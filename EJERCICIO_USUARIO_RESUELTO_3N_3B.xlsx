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YBORG\.gemini\antigravity\AUTOMATIZACION\"/>
    </mc:Choice>
  </mc:AlternateContent>
  <xr:revisionPtr revIDLastSave="0" documentId="13_ncr:1_{25A7E683-DD7F-4B7D-AF98-C8259CE37656}" xr6:coauthVersionLast="47" xr6:coauthVersionMax="47" xr10:uidLastSave="{00000000-0000-0000-0000-000000000000}"/>
  <bookViews>
    <workbookView xWindow="7176" yWindow="4248" windowWidth="12000" windowHeight="7992" xr2:uid="{00000000-000D-0000-FFFF-FFFF00000000}"/>
  </bookViews>
  <sheets>
    <sheet name="MANUAL_ISOSTATICA_3R" sheetId="1" r:id="rId1"/>
    <sheet name="MANUAL_HIPERESTATICA_4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30" i="2" l="1"/>
  <c r="G330" i="2"/>
  <c r="F330" i="2"/>
  <c r="D330" i="2"/>
  <c r="C330" i="2"/>
  <c r="B330" i="2"/>
  <c r="H329" i="2"/>
  <c r="G329" i="2"/>
  <c r="F329" i="2"/>
  <c r="D329" i="2"/>
  <c r="C329" i="2"/>
  <c r="B329" i="2"/>
  <c r="D328" i="2"/>
  <c r="C328" i="2"/>
  <c r="B328" i="2"/>
  <c r="D327" i="2"/>
  <c r="C327" i="2"/>
  <c r="B327" i="2"/>
  <c r="D326" i="2"/>
  <c r="C326" i="2"/>
  <c r="B326" i="2"/>
  <c r="D325" i="2"/>
  <c r="C325" i="2"/>
  <c r="B325" i="2"/>
  <c r="D324" i="2"/>
  <c r="C324" i="2"/>
  <c r="B324" i="2"/>
  <c r="D323" i="2"/>
  <c r="C323" i="2"/>
  <c r="B323" i="2"/>
  <c r="C318" i="2"/>
  <c r="H317" i="2"/>
  <c r="G317" i="2" s="1"/>
  <c r="H316" i="2"/>
  <c r="G316" i="2"/>
  <c r="H315" i="2"/>
  <c r="G315" i="2" s="1"/>
  <c r="H314" i="2"/>
  <c r="G314" i="2"/>
  <c r="C310" i="2"/>
  <c r="H309" i="2"/>
  <c r="G309" i="2" s="1"/>
  <c r="H308" i="2"/>
  <c r="G308" i="2"/>
  <c r="H307" i="2"/>
  <c r="G307" i="2"/>
  <c r="H306" i="2"/>
  <c r="G306" i="2" s="1"/>
  <c r="H301" i="2"/>
  <c r="H300" i="2"/>
  <c r="H299" i="2"/>
  <c r="H298" i="2"/>
  <c r="H293" i="2"/>
  <c r="H292" i="2"/>
  <c r="H291" i="2"/>
  <c r="H290" i="2"/>
  <c r="H285" i="2"/>
  <c r="H284" i="2"/>
  <c r="H283" i="2"/>
  <c r="H282" i="2"/>
  <c r="H277" i="2"/>
  <c r="H276" i="2"/>
  <c r="H275" i="2"/>
  <c r="H274" i="2"/>
  <c r="H269" i="2"/>
  <c r="H268" i="2"/>
  <c r="H267" i="2"/>
  <c r="H266" i="2"/>
  <c r="H261" i="2"/>
  <c r="H260" i="2"/>
  <c r="H259" i="2"/>
  <c r="H258" i="2"/>
  <c r="C129" i="2"/>
  <c r="B112" i="2"/>
  <c r="D44" i="2"/>
  <c r="B44" i="2"/>
  <c r="E27" i="2"/>
  <c r="H24" i="2"/>
  <c r="E146" i="2" s="1"/>
  <c r="G24" i="2"/>
  <c r="E24" i="2"/>
  <c r="D24" i="2"/>
  <c r="F147" i="2" s="1"/>
  <c r="H23" i="2"/>
  <c r="F133" i="2" s="1"/>
  <c r="G23" i="2"/>
  <c r="E23" i="2"/>
  <c r="F131" i="2" s="1"/>
  <c r="D23" i="2"/>
  <c r="F130" i="2" s="1"/>
  <c r="H22" i="2"/>
  <c r="E112" i="2" s="1"/>
  <c r="G22" i="2"/>
  <c r="F115" i="2" s="1"/>
  <c r="E22" i="2"/>
  <c r="D22" i="2"/>
  <c r="F113" i="2" s="1"/>
  <c r="H21" i="2"/>
  <c r="E95" i="2" s="1"/>
  <c r="G21" i="2"/>
  <c r="E21" i="2"/>
  <c r="D21" i="2"/>
  <c r="F96" i="2" s="1"/>
  <c r="H20" i="2"/>
  <c r="E78" i="2" s="1"/>
  <c r="G20" i="2"/>
  <c r="E20" i="2"/>
  <c r="C78" i="2" s="1"/>
  <c r="D20" i="2"/>
  <c r="F79" i="2" s="1"/>
  <c r="H19" i="2"/>
  <c r="F65" i="2" s="1"/>
  <c r="G19" i="2"/>
  <c r="E19" i="2"/>
  <c r="F63" i="2" s="1"/>
  <c r="D19" i="2"/>
  <c r="B61" i="2" s="1"/>
  <c r="H18" i="2"/>
  <c r="E44" i="2" s="1"/>
  <c r="G18" i="2"/>
  <c r="F47" i="2" s="1"/>
  <c r="E18" i="2"/>
  <c r="D18" i="2"/>
  <c r="F45" i="2" s="1"/>
  <c r="H17" i="2"/>
  <c r="F31" i="2" s="1"/>
  <c r="G17" i="2"/>
  <c r="E17" i="2"/>
  <c r="F29" i="2" s="1"/>
  <c r="D17" i="2"/>
  <c r="B27" i="2" s="1"/>
  <c r="M13" i="2"/>
  <c r="L13" i="2"/>
  <c r="F13" i="2"/>
  <c r="E13" i="2"/>
  <c r="D13" i="2"/>
  <c r="C13" i="2"/>
  <c r="M12" i="2"/>
  <c r="L12" i="2"/>
  <c r="F12" i="2"/>
  <c r="E12" i="2"/>
  <c r="D12" i="2"/>
  <c r="C12" i="2"/>
  <c r="G12" i="2" s="1"/>
  <c r="M11" i="2"/>
  <c r="L11" i="2"/>
  <c r="F328" i="2" s="1"/>
  <c r="F11" i="2"/>
  <c r="E11" i="2"/>
  <c r="D11" i="2"/>
  <c r="H11" i="2" s="1"/>
  <c r="C11" i="2"/>
  <c r="M10" i="2"/>
  <c r="L10" i="2"/>
  <c r="F327" i="2" s="1"/>
  <c r="F10" i="2"/>
  <c r="E10" i="2"/>
  <c r="D10" i="2"/>
  <c r="C10" i="2"/>
  <c r="G10" i="2" s="1"/>
  <c r="U9" i="2"/>
  <c r="E182" i="2" s="1"/>
  <c r="A204" i="2" s="1"/>
  <c r="T9" i="2"/>
  <c r="E181" i="2" s="1"/>
  <c r="M9" i="2"/>
  <c r="L9" i="2"/>
  <c r="F326" i="2" s="1"/>
  <c r="F9" i="2"/>
  <c r="E9" i="2"/>
  <c r="D9" i="2"/>
  <c r="C9" i="2"/>
  <c r="G9" i="2" s="1"/>
  <c r="U8" i="2"/>
  <c r="E180" i="2" s="1"/>
  <c r="G190" i="2" s="1"/>
  <c r="T8" i="2"/>
  <c r="E189" i="2" s="1"/>
  <c r="M8" i="2"/>
  <c r="L8" i="2"/>
  <c r="F325" i="2" s="1"/>
  <c r="F8" i="2"/>
  <c r="E8" i="2"/>
  <c r="D8" i="2"/>
  <c r="H8" i="2" s="1"/>
  <c r="C8" i="2"/>
  <c r="U7" i="2"/>
  <c r="T7" i="2"/>
  <c r="M7" i="2"/>
  <c r="L7" i="2"/>
  <c r="F324" i="2" s="1"/>
  <c r="F7" i="2"/>
  <c r="E7" i="2"/>
  <c r="D7" i="2"/>
  <c r="C7" i="2"/>
  <c r="U6" i="2"/>
  <c r="E186" i="2" s="1"/>
  <c r="F186" i="2" s="1"/>
  <c r="T6" i="2"/>
  <c r="E175" i="2" s="1"/>
  <c r="M6" i="2"/>
  <c r="L6" i="2"/>
  <c r="F323" i="2" s="1"/>
  <c r="F6" i="2"/>
  <c r="E6" i="2"/>
  <c r="D6" i="2"/>
  <c r="H6" i="2" s="1"/>
  <c r="C6" i="2"/>
  <c r="H333" i="1"/>
  <c r="G333" i="1"/>
  <c r="F333" i="1"/>
  <c r="D333" i="1"/>
  <c r="C333" i="1"/>
  <c r="B333" i="1"/>
  <c r="H332" i="1"/>
  <c r="G332" i="1"/>
  <c r="F332" i="1"/>
  <c r="D332" i="1"/>
  <c r="C332" i="1"/>
  <c r="B332" i="1"/>
  <c r="H331" i="1"/>
  <c r="G331" i="1"/>
  <c r="F331" i="1"/>
  <c r="D331" i="1"/>
  <c r="C331" i="1"/>
  <c r="B331" i="1"/>
  <c r="H330" i="1"/>
  <c r="G330" i="1"/>
  <c r="F330" i="1"/>
  <c r="D330" i="1"/>
  <c r="C330" i="1"/>
  <c r="B330" i="1"/>
  <c r="H329" i="1"/>
  <c r="G329" i="1"/>
  <c r="F329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C321" i="1"/>
  <c r="H320" i="1"/>
  <c r="G320" i="1" s="1"/>
  <c r="H319" i="1"/>
  <c r="G319" i="1" s="1"/>
  <c r="H318" i="1"/>
  <c r="G318" i="1"/>
  <c r="H317" i="1"/>
  <c r="G317" i="1" s="1"/>
  <c r="C313" i="1"/>
  <c r="H312" i="1"/>
  <c r="G312" i="1" s="1"/>
  <c r="H311" i="1"/>
  <c r="G311" i="1" s="1"/>
  <c r="H310" i="1"/>
  <c r="G310" i="1" s="1"/>
  <c r="H309" i="1"/>
  <c r="G309" i="1" s="1"/>
  <c r="C305" i="1"/>
  <c r="H304" i="1"/>
  <c r="G304" i="1"/>
  <c r="H303" i="1"/>
  <c r="G303" i="1"/>
  <c r="H302" i="1"/>
  <c r="G302" i="1" s="1"/>
  <c r="H301" i="1"/>
  <c r="G301" i="1"/>
  <c r="C297" i="1"/>
  <c r="H296" i="1"/>
  <c r="G296" i="1"/>
  <c r="H295" i="1"/>
  <c r="G295" i="1" s="1"/>
  <c r="H294" i="1"/>
  <c r="G294" i="1" s="1"/>
  <c r="H293" i="1"/>
  <c r="G293" i="1"/>
  <c r="C289" i="1"/>
  <c r="H288" i="1"/>
  <c r="G288" i="1" s="1"/>
  <c r="H287" i="1"/>
  <c r="G287" i="1"/>
  <c r="H286" i="1"/>
  <c r="G286" i="1"/>
  <c r="H285" i="1"/>
  <c r="G285" i="1" s="1"/>
  <c r="H280" i="1"/>
  <c r="H279" i="1"/>
  <c r="H278" i="1"/>
  <c r="H277" i="1"/>
  <c r="H272" i="1"/>
  <c r="H271" i="1"/>
  <c r="H270" i="1"/>
  <c r="H269" i="1"/>
  <c r="H264" i="1"/>
  <c r="H263" i="1"/>
  <c r="H262" i="1"/>
  <c r="H261" i="1"/>
  <c r="E192" i="1"/>
  <c r="F192" i="1" s="1"/>
  <c r="E191" i="1"/>
  <c r="E182" i="1"/>
  <c r="E181" i="1"/>
  <c r="G191" i="1" s="1"/>
  <c r="F46" i="1"/>
  <c r="F45" i="1"/>
  <c r="C44" i="1"/>
  <c r="F31" i="1"/>
  <c r="H24" i="1"/>
  <c r="E146" i="1" s="1"/>
  <c r="G24" i="1"/>
  <c r="D146" i="1" s="1"/>
  <c r="E24" i="1"/>
  <c r="F148" i="1" s="1"/>
  <c r="D24" i="1"/>
  <c r="F147" i="1" s="1"/>
  <c r="H23" i="1"/>
  <c r="G23" i="1"/>
  <c r="D129" i="1" s="1"/>
  <c r="E23" i="1"/>
  <c r="F131" i="1" s="1"/>
  <c r="D23" i="1"/>
  <c r="B129" i="1" s="1"/>
  <c r="H22" i="1"/>
  <c r="F116" i="1" s="1"/>
  <c r="G22" i="1"/>
  <c r="D112" i="1" s="1"/>
  <c r="E22" i="1"/>
  <c r="F114" i="1" s="1"/>
  <c r="D22" i="1"/>
  <c r="H21" i="1"/>
  <c r="E95" i="1" s="1"/>
  <c r="G21" i="1"/>
  <c r="F98" i="1" s="1"/>
  <c r="E21" i="1"/>
  <c r="C95" i="1" s="1"/>
  <c r="D21" i="1"/>
  <c r="H20" i="1"/>
  <c r="F82" i="1" s="1"/>
  <c r="G20" i="1"/>
  <c r="F81" i="1" s="1"/>
  <c r="E20" i="1"/>
  <c r="F80" i="1" s="1"/>
  <c r="D20" i="1"/>
  <c r="F79" i="1" s="1"/>
  <c r="H19" i="1"/>
  <c r="E61" i="1" s="1"/>
  <c r="G19" i="1"/>
  <c r="E19" i="1"/>
  <c r="F63" i="1" s="1"/>
  <c r="D19" i="1"/>
  <c r="F62" i="1" s="1"/>
  <c r="H18" i="1"/>
  <c r="E44" i="1" s="1"/>
  <c r="G18" i="1"/>
  <c r="E18" i="1"/>
  <c r="D18" i="1"/>
  <c r="B44" i="1" s="1"/>
  <c r="H17" i="1"/>
  <c r="E27" i="1" s="1"/>
  <c r="G17" i="1"/>
  <c r="F30" i="1" s="1"/>
  <c r="E17" i="1"/>
  <c r="F29" i="1" s="1"/>
  <c r="D17" i="1"/>
  <c r="F28" i="1" s="1"/>
  <c r="M13" i="1"/>
  <c r="L13" i="1"/>
  <c r="F13" i="1"/>
  <c r="E13" i="1"/>
  <c r="D13" i="1"/>
  <c r="C13" i="1"/>
  <c r="G13" i="1" s="1"/>
  <c r="M12" i="1"/>
  <c r="L12" i="1"/>
  <c r="F12" i="1"/>
  <c r="E12" i="1"/>
  <c r="D12" i="1"/>
  <c r="C12" i="1"/>
  <c r="M11" i="1"/>
  <c r="L11" i="1"/>
  <c r="F11" i="1"/>
  <c r="E11" i="1"/>
  <c r="D11" i="1"/>
  <c r="C11" i="1"/>
  <c r="M10" i="1"/>
  <c r="L10" i="1"/>
  <c r="F10" i="1"/>
  <c r="E10" i="1"/>
  <c r="D10" i="1"/>
  <c r="C10" i="1"/>
  <c r="U9" i="1"/>
  <c r="T9" i="1"/>
  <c r="M9" i="1"/>
  <c r="L9" i="1"/>
  <c r="F9" i="1"/>
  <c r="E9" i="1"/>
  <c r="D9" i="1"/>
  <c r="C9" i="1"/>
  <c r="U8" i="1"/>
  <c r="T8" i="1"/>
  <c r="M8" i="1"/>
  <c r="L8" i="1"/>
  <c r="F328" i="1" s="1"/>
  <c r="F8" i="1"/>
  <c r="E8" i="1"/>
  <c r="D8" i="1"/>
  <c r="C8" i="1"/>
  <c r="U7" i="1"/>
  <c r="E178" i="1" s="1"/>
  <c r="A200" i="1" s="1"/>
  <c r="T7" i="1"/>
  <c r="E177" i="1" s="1"/>
  <c r="A199" i="1" s="1"/>
  <c r="M7" i="1"/>
  <c r="L7" i="1"/>
  <c r="F327" i="1" s="1"/>
  <c r="F7" i="1"/>
  <c r="E7" i="1"/>
  <c r="D7" i="1"/>
  <c r="H7" i="1" s="1"/>
  <c r="C7" i="1"/>
  <c r="U6" i="1"/>
  <c r="E186" i="1" s="1"/>
  <c r="T6" i="1"/>
  <c r="E175" i="1" s="1"/>
  <c r="A197" i="1" s="1"/>
  <c r="M6" i="1"/>
  <c r="L6" i="1"/>
  <c r="F326" i="1" s="1"/>
  <c r="F6" i="1"/>
  <c r="E6" i="1"/>
  <c r="D6" i="1"/>
  <c r="C6" i="1"/>
  <c r="A203" i="1" l="1"/>
  <c r="G7" i="1"/>
  <c r="I7" i="1" s="1"/>
  <c r="J7" i="1" s="1"/>
  <c r="F150" i="2"/>
  <c r="F97" i="1"/>
  <c r="E190" i="2"/>
  <c r="L202" i="2" s="1"/>
  <c r="F99" i="1"/>
  <c r="G11" i="1"/>
  <c r="C112" i="1"/>
  <c r="E112" i="1"/>
  <c r="H8" i="1"/>
  <c r="H10" i="1"/>
  <c r="F130" i="1"/>
  <c r="E179" i="2"/>
  <c r="A201" i="2" s="1"/>
  <c r="E185" i="2"/>
  <c r="L197" i="2" s="1"/>
  <c r="C129" i="1"/>
  <c r="C27" i="2"/>
  <c r="H37" i="2" s="1"/>
  <c r="C146" i="1"/>
  <c r="H9" i="1"/>
  <c r="C61" i="2"/>
  <c r="C61" i="1"/>
  <c r="H12" i="2"/>
  <c r="E61" i="2"/>
  <c r="H12" i="1"/>
  <c r="G185" i="1"/>
  <c r="G6" i="2"/>
  <c r="I6" i="2" s="1"/>
  <c r="G8" i="2"/>
  <c r="I8" i="2" s="1"/>
  <c r="E325" i="2" s="1"/>
  <c r="F82" i="2"/>
  <c r="L198" i="2"/>
  <c r="G9" i="1"/>
  <c r="F65" i="1"/>
  <c r="E187" i="1"/>
  <c r="L199" i="1" s="1"/>
  <c r="G6" i="1"/>
  <c r="I6" i="1" s="1"/>
  <c r="E326" i="1" s="1"/>
  <c r="B78" i="1"/>
  <c r="E188" i="1"/>
  <c r="F188" i="1" s="1"/>
  <c r="F116" i="2"/>
  <c r="E129" i="2"/>
  <c r="H6" i="1"/>
  <c r="G8" i="1"/>
  <c r="I8" i="1" s="1"/>
  <c r="K8" i="1" s="1"/>
  <c r="G10" i="1"/>
  <c r="C78" i="1"/>
  <c r="D90" i="1" s="1"/>
  <c r="B129" i="2"/>
  <c r="I10" i="1"/>
  <c r="K10" i="1" s="1"/>
  <c r="F293" i="1" s="1"/>
  <c r="E327" i="1"/>
  <c r="B95" i="2"/>
  <c r="B27" i="1"/>
  <c r="F48" i="2"/>
  <c r="G192" i="2"/>
  <c r="F62" i="2"/>
  <c r="D78" i="1"/>
  <c r="F150" i="1"/>
  <c r="G13" i="2"/>
  <c r="B146" i="2"/>
  <c r="I12" i="2"/>
  <c r="E329" i="2" s="1"/>
  <c r="E192" i="2"/>
  <c r="L204" i="2" s="1"/>
  <c r="H10" i="2"/>
  <c r="I10" i="2" s="1"/>
  <c r="K7" i="1"/>
  <c r="F269" i="1" s="1"/>
  <c r="F28" i="2"/>
  <c r="E191" i="2"/>
  <c r="L203" i="2" s="1"/>
  <c r="G12" i="1"/>
  <c r="F149" i="1"/>
  <c r="E78" i="1"/>
  <c r="D92" i="1" s="1"/>
  <c r="E176" i="1"/>
  <c r="A198" i="1" s="1"/>
  <c r="B78" i="2"/>
  <c r="H7" i="2"/>
  <c r="H9" i="2"/>
  <c r="I9" i="2" s="1"/>
  <c r="K9" i="2" s="1"/>
  <c r="G11" i="2"/>
  <c r="I11" i="2" s="1"/>
  <c r="H11" i="1"/>
  <c r="F80" i="2"/>
  <c r="E187" i="2"/>
  <c r="E177" i="2"/>
  <c r="F30" i="2"/>
  <c r="D27" i="2"/>
  <c r="D95" i="2"/>
  <c r="F98" i="2"/>
  <c r="C27" i="1"/>
  <c r="J9" i="2"/>
  <c r="E326" i="2"/>
  <c r="D78" i="2"/>
  <c r="H90" i="2" s="1"/>
  <c r="F81" i="2"/>
  <c r="D146" i="2"/>
  <c r="F149" i="2"/>
  <c r="E180" i="1"/>
  <c r="E190" i="1"/>
  <c r="E269" i="1"/>
  <c r="C269" i="1"/>
  <c r="H88" i="1"/>
  <c r="I85" i="1"/>
  <c r="E188" i="2"/>
  <c r="E178" i="2"/>
  <c r="F96" i="1"/>
  <c r="B95" i="1"/>
  <c r="K8" i="2"/>
  <c r="J8" i="2"/>
  <c r="N8" i="2"/>
  <c r="N7" i="1"/>
  <c r="F186" i="1"/>
  <c r="L198" i="1"/>
  <c r="G58" i="2"/>
  <c r="A202" i="2"/>
  <c r="B112" i="1"/>
  <c r="F113" i="1"/>
  <c r="B61" i="1"/>
  <c r="L203" i="1"/>
  <c r="F191" i="1"/>
  <c r="D44" i="1"/>
  <c r="C52" i="1" s="1"/>
  <c r="F47" i="1"/>
  <c r="F115" i="1"/>
  <c r="D57" i="1"/>
  <c r="D51" i="1"/>
  <c r="G57" i="1"/>
  <c r="F99" i="2"/>
  <c r="H13" i="1"/>
  <c r="I13" i="1" s="1"/>
  <c r="F48" i="1"/>
  <c r="H13" i="2"/>
  <c r="I13" i="2" s="1"/>
  <c r="D61" i="2"/>
  <c r="E72" i="2" s="1"/>
  <c r="F64" i="2"/>
  <c r="D129" i="2"/>
  <c r="H142" i="2" s="1"/>
  <c r="F132" i="2"/>
  <c r="F133" i="1"/>
  <c r="E129" i="1"/>
  <c r="C51" i="1"/>
  <c r="A204" i="1"/>
  <c r="G192" i="1"/>
  <c r="F64" i="1"/>
  <c r="D61" i="1"/>
  <c r="F132" i="1"/>
  <c r="L200" i="1"/>
  <c r="E179" i="1"/>
  <c r="E189" i="1"/>
  <c r="E185" i="1"/>
  <c r="B41" i="2"/>
  <c r="A197" i="2"/>
  <c r="G185" i="2"/>
  <c r="G7" i="2"/>
  <c r="I7" i="2" s="1"/>
  <c r="C95" i="2"/>
  <c r="F97" i="2"/>
  <c r="B146" i="1"/>
  <c r="C44" i="2"/>
  <c r="D51" i="2" s="1"/>
  <c r="F46" i="2"/>
  <c r="C112" i="2"/>
  <c r="F122" i="2" s="1"/>
  <c r="F114" i="2"/>
  <c r="L204" i="1"/>
  <c r="L201" i="2"/>
  <c r="D112" i="2"/>
  <c r="D27" i="1"/>
  <c r="D95" i="1"/>
  <c r="A203" i="2"/>
  <c r="G191" i="2"/>
  <c r="C146" i="2"/>
  <c r="F148" i="2"/>
  <c r="E176" i="2"/>
  <c r="G35" i="2" l="1"/>
  <c r="F187" i="1"/>
  <c r="H87" i="1"/>
  <c r="C90" i="1"/>
  <c r="I12" i="1"/>
  <c r="G189" i="2"/>
  <c r="I11" i="1"/>
  <c r="J11" i="1" s="1"/>
  <c r="D40" i="2"/>
  <c r="F38" i="2"/>
  <c r="F108" i="2"/>
  <c r="C137" i="1"/>
  <c r="F40" i="2"/>
  <c r="G36" i="2"/>
  <c r="B86" i="1"/>
  <c r="G92" i="1"/>
  <c r="G85" i="1"/>
  <c r="G40" i="2"/>
  <c r="H155" i="2"/>
  <c r="G186" i="1"/>
  <c r="G187" i="1" s="1"/>
  <c r="E40" i="1"/>
  <c r="F185" i="2"/>
  <c r="F85" i="1"/>
  <c r="N6" i="2"/>
  <c r="B29" i="2" s="1"/>
  <c r="B35" i="2" s="1"/>
  <c r="E323" i="2"/>
  <c r="K6" i="2"/>
  <c r="C28" i="2" s="1"/>
  <c r="C34" i="2" s="1"/>
  <c r="J6" i="2"/>
  <c r="G104" i="2"/>
  <c r="D108" i="2"/>
  <c r="C72" i="2"/>
  <c r="F109" i="2"/>
  <c r="G89" i="2"/>
  <c r="H103" i="2"/>
  <c r="H38" i="2"/>
  <c r="H35" i="2"/>
  <c r="I92" i="1"/>
  <c r="B88" i="1"/>
  <c r="N9" i="2"/>
  <c r="B82" i="2" s="1"/>
  <c r="H86" i="2" s="1"/>
  <c r="B91" i="1"/>
  <c r="G156" i="2"/>
  <c r="D38" i="2"/>
  <c r="F124" i="2"/>
  <c r="G86" i="1"/>
  <c r="B90" i="1"/>
  <c r="F88" i="1"/>
  <c r="H40" i="2"/>
  <c r="H160" i="2"/>
  <c r="B92" i="1"/>
  <c r="D88" i="1"/>
  <c r="C88" i="1"/>
  <c r="E103" i="2"/>
  <c r="F89" i="2"/>
  <c r="D293" i="1"/>
  <c r="E330" i="1"/>
  <c r="I106" i="2"/>
  <c r="C86" i="1"/>
  <c r="G34" i="2"/>
  <c r="C38" i="2"/>
  <c r="D269" i="1"/>
  <c r="C40" i="2"/>
  <c r="F90" i="1"/>
  <c r="I39" i="2"/>
  <c r="G90" i="1"/>
  <c r="C41" i="2"/>
  <c r="E40" i="2"/>
  <c r="H37" i="1"/>
  <c r="C87" i="1"/>
  <c r="D40" i="1"/>
  <c r="E328" i="1"/>
  <c r="C70" i="2"/>
  <c r="D39" i="2"/>
  <c r="N10" i="1"/>
  <c r="A293" i="1" s="1"/>
  <c r="B294" i="1" s="1"/>
  <c r="D86" i="1"/>
  <c r="D86" i="2"/>
  <c r="G41" i="2"/>
  <c r="I40" i="2"/>
  <c r="H41" i="2"/>
  <c r="H86" i="1"/>
  <c r="C85" i="1"/>
  <c r="B88" i="2"/>
  <c r="H85" i="1"/>
  <c r="E38" i="2"/>
  <c r="G88" i="1"/>
  <c r="I90" i="2"/>
  <c r="I36" i="2"/>
  <c r="E39" i="2"/>
  <c r="H36" i="2"/>
  <c r="F34" i="2"/>
  <c r="G52" i="2"/>
  <c r="B40" i="1"/>
  <c r="J6" i="1"/>
  <c r="H90" i="1"/>
  <c r="K6" i="1"/>
  <c r="D261" i="1" s="1"/>
  <c r="N8" i="1"/>
  <c r="H38" i="1"/>
  <c r="B38" i="2"/>
  <c r="E91" i="1"/>
  <c r="E88" i="1"/>
  <c r="F35" i="2"/>
  <c r="B39" i="2"/>
  <c r="D88" i="2"/>
  <c r="F86" i="2"/>
  <c r="H34" i="2"/>
  <c r="G39" i="2"/>
  <c r="F36" i="2"/>
  <c r="I57" i="2"/>
  <c r="E92" i="1"/>
  <c r="J10" i="1"/>
  <c r="C293" i="1" s="1"/>
  <c r="N6" i="1"/>
  <c r="E29" i="1" s="1"/>
  <c r="G35" i="1" s="1"/>
  <c r="J8" i="1"/>
  <c r="C277" i="1" s="1"/>
  <c r="I87" i="1"/>
  <c r="I38" i="2"/>
  <c r="H108" i="2"/>
  <c r="I41" i="2"/>
  <c r="F92" i="2"/>
  <c r="B40" i="2"/>
  <c r="G37" i="2"/>
  <c r="F51" i="2"/>
  <c r="I9" i="1"/>
  <c r="K10" i="2"/>
  <c r="J10" i="2"/>
  <c r="C290" i="2" s="1"/>
  <c r="N10" i="2"/>
  <c r="E98" i="2" s="1"/>
  <c r="G106" i="2" s="1"/>
  <c r="E327" i="2"/>
  <c r="F139" i="2"/>
  <c r="G57" i="2"/>
  <c r="I51" i="2"/>
  <c r="G136" i="2"/>
  <c r="C157" i="2"/>
  <c r="B54" i="2"/>
  <c r="I103" i="2"/>
  <c r="H56" i="2"/>
  <c r="D58" i="2"/>
  <c r="B109" i="2"/>
  <c r="B126" i="2"/>
  <c r="B87" i="1"/>
  <c r="C158" i="2"/>
  <c r="B104" i="2"/>
  <c r="C53" i="2"/>
  <c r="B57" i="2"/>
  <c r="I153" i="2"/>
  <c r="D141" i="2"/>
  <c r="B159" i="2"/>
  <c r="C51" i="2"/>
  <c r="N12" i="2"/>
  <c r="D130" i="2" s="1"/>
  <c r="J234" i="1"/>
  <c r="A234" i="1" s="1"/>
  <c r="A240" i="1" s="1"/>
  <c r="E142" i="2"/>
  <c r="F57" i="2"/>
  <c r="E58" i="2"/>
  <c r="E51" i="2"/>
  <c r="I119" i="2"/>
  <c r="B41" i="1"/>
  <c r="C89" i="1"/>
  <c r="I91" i="1"/>
  <c r="D91" i="1"/>
  <c r="C125" i="2"/>
  <c r="G153" i="2"/>
  <c r="G51" i="2"/>
  <c r="H52" i="2"/>
  <c r="I52" i="2"/>
  <c r="G141" i="2"/>
  <c r="B160" i="2"/>
  <c r="B55" i="2"/>
  <c r="H138" i="2"/>
  <c r="B53" i="1"/>
  <c r="D57" i="2"/>
  <c r="H51" i="2"/>
  <c r="C138" i="1"/>
  <c r="I123" i="2"/>
  <c r="J12" i="2"/>
  <c r="E57" i="2"/>
  <c r="I143" i="2"/>
  <c r="I124" i="2"/>
  <c r="F92" i="1"/>
  <c r="E155" i="2"/>
  <c r="F156" i="2"/>
  <c r="F136" i="2"/>
  <c r="D107" i="2"/>
  <c r="F158" i="2"/>
  <c r="B52" i="2"/>
  <c r="F58" i="2"/>
  <c r="C57" i="2"/>
  <c r="E120" i="2"/>
  <c r="D34" i="1"/>
  <c r="F86" i="1"/>
  <c r="B85" i="1"/>
  <c r="E85" i="1"/>
  <c r="E86" i="2"/>
  <c r="F126" i="2"/>
  <c r="F119" i="2"/>
  <c r="B123" i="2"/>
  <c r="G109" i="2"/>
  <c r="G119" i="2"/>
  <c r="C123" i="2"/>
  <c r="H153" i="2"/>
  <c r="H53" i="2"/>
  <c r="H91" i="1"/>
  <c r="G88" i="2"/>
  <c r="D158" i="2"/>
  <c r="H53" i="1"/>
  <c r="G89" i="1"/>
  <c r="G138" i="2"/>
  <c r="D103" i="2"/>
  <c r="C108" i="2"/>
  <c r="C56" i="2"/>
  <c r="I90" i="1"/>
  <c r="E102" i="2"/>
  <c r="C58" i="2"/>
  <c r="K12" i="2"/>
  <c r="D306" i="2" s="1"/>
  <c r="I86" i="1"/>
  <c r="E52" i="2"/>
  <c r="D38" i="1"/>
  <c r="B108" i="2"/>
  <c r="D72" i="2"/>
  <c r="E108" i="2"/>
  <c r="B75" i="2"/>
  <c r="F138" i="2"/>
  <c r="D104" i="2"/>
  <c r="F104" i="2"/>
  <c r="F160" i="2"/>
  <c r="H58" i="2"/>
  <c r="G125" i="2"/>
  <c r="H58" i="1"/>
  <c r="F120" i="2"/>
  <c r="H41" i="1"/>
  <c r="F91" i="1"/>
  <c r="B137" i="1"/>
  <c r="H89" i="1"/>
  <c r="F87" i="1"/>
  <c r="E87" i="1"/>
  <c r="B122" i="2"/>
  <c r="I53" i="2"/>
  <c r="B58" i="2"/>
  <c r="H54" i="2"/>
  <c r="C52" i="2"/>
  <c r="B53" i="2"/>
  <c r="E86" i="1"/>
  <c r="E90" i="1"/>
  <c r="C54" i="2"/>
  <c r="C121" i="2"/>
  <c r="G87" i="1"/>
  <c r="H92" i="1"/>
  <c r="B51" i="2"/>
  <c r="C92" i="1"/>
  <c r="D85" i="1"/>
  <c r="H119" i="2"/>
  <c r="G91" i="1"/>
  <c r="I88" i="1"/>
  <c r="D87" i="1"/>
  <c r="E104" i="2"/>
  <c r="F89" i="1"/>
  <c r="D89" i="1"/>
  <c r="E106" i="2"/>
  <c r="C68" i="2"/>
  <c r="G120" i="2"/>
  <c r="E107" i="2"/>
  <c r="D52" i="2"/>
  <c r="C91" i="1"/>
  <c r="B89" i="1"/>
  <c r="I89" i="1"/>
  <c r="E89" i="1"/>
  <c r="G188" i="1"/>
  <c r="J236" i="1" s="1"/>
  <c r="J235" i="1"/>
  <c r="K13" i="2"/>
  <c r="E330" i="2"/>
  <c r="J13" i="2"/>
  <c r="N13" i="2"/>
  <c r="I139" i="2"/>
  <c r="H139" i="2"/>
  <c r="G139" i="2"/>
  <c r="C139" i="2"/>
  <c r="E143" i="2"/>
  <c r="F137" i="2"/>
  <c r="B143" i="2"/>
  <c r="E137" i="2"/>
  <c r="B139" i="2"/>
  <c r="D137" i="2"/>
  <c r="G137" i="2"/>
  <c r="C137" i="2"/>
  <c r="B137" i="2"/>
  <c r="I142" i="2"/>
  <c r="B142" i="2"/>
  <c r="I136" i="2"/>
  <c r="F143" i="2"/>
  <c r="I141" i="2"/>
  <c r="E141" i="2"/>
  <c r="G143" i="2"/>
  <c r="H136" i="2"/>
  <c r="B141" i="2"/>
  <c r="G140" i="2"/>
  <c r="D140" i="2"/>
  <c r="B140" i="2"/>
  <c r="B140" i="1"/>
  <c r="I38" i="1"/>
  <c r="H140" i="2"/>
  <c r="F142" i="2"/>
  <c r="D157" i="2"/>
  <c r="B54" i="1"/>
  <c r="F58" i="1"/>
  <c r="I56" i="1"/>
  <c r="B51" i="1"/>
  <c r="G52" i="1"/>
  <c r="I55" i="1"/>
  <c r="H55" i="1"/>
  <c r="G58" i="1"/>
  <c r="E52" i="1"/>
  <c r="D52" i="1"/>
  <c r="B52" i="1"/>
  <c r="I51" i="1"/>
  <c r="H51" i="1"/>
  <c r="E58" i="1"/>
  <c r="C58" i="1"/>
  <c r="B58" i="1"/>
  <c r="G51" i="1"/>
  <c r="D58" i="1"/>
  <c r="I57" i="1"/>
  <c r="I54" i="1"/>
  <c r="I39" i="1"/>
  <c r="I37" i="1"/>
  <c r="A261" i="1"/>
  <c r="E30" i="1"/>
  <c r="G38" i="1" s="1"/>
  <c r="D30" i="1"/>
  <c r="F38" i="1" s="1"/>
  <c r="D31" i="1"/>
  <c r="F39" i="1" s="1"/>
  <c r="E31" i="1"/>
  <c r="G39" i="1" s="1"/>
  <c r="I138" i="2"/>
  <c r="H40" i="1"/>
  <c r="C40" i="1"/>
  <c r="D138" i="2"/>
  <c r="C159" i="2"/>
  <c r="I140" i="1"/>
  <c r="D35" i="1"/>
  <c r="G36" i="1"/>
  <c r="I140" i="2"/>
  <c r="C90" i="2"/>
  <c r="C154" i="2"/>
  <c r="H159" i="1"/>
  <c r="H157" i="1"/>
  <c r="H155" i="1"/>
  <c r="H153" i="1"/>
  <c r="G159" i="1"/>
  <c r="G157" i="1"/>
  <c r="G155" i="1"/>
  <c r="G153" i="1"/>
  <c r="F160" i="1"/>
  <c r="D158" i="1"/>
  <c r="B156" i="1"/>
  <c r="F153" i="1"/>
  <c r="C159" i="1"/>
  <c r="H156" i="1"/>
  <c r="E154" i="1"/>
  <c r="I160" i="1"/>
  <c r="F158" i="1"/>
  <c r="C156" i="1"/>
  <c r="E153" i="1"/>
  <c r="H160" i="1"/>
  <c r="E158" i="1"/>
  <c r="I155" i="1"/>
  <c r="D153" i="1"/>
  <c r="G160" i="1"/>
  <c r="C158" i="1"/>
  <c r="F155" i="1"/>
  <c r="I159" i="1"/>
  <c r="G156" i="1"/>
  <c r="C153" i="1"/>
  <c r="F159" i="1"/>
  <c r="F156" i="1"/>
  <c r="B153" i="1"/>
  <c r="D159" i="1"/>
  <c r="D156" i="1"/>
  <c r="H158" i="1"/>
  <c r="C155" i="1"/>
  <c r="D157" i="1"/>
  <c r="C157" i="1"/>
  <c r="B157" i="1"/>
  <c r="G154" i="1"/>
  <c r="I156" i="1"/>
  <c r="E160" i="1"/>
  <c r="E156" i="1"/>
  <c r="E159" i="1"/>
  <c r="D160" i="1"/>
  <c r="E155" i="1"/>
  <c r="B160" i="1"/>
  <c r="H154" i="1"/>
  <c r="I158" i="1"/>
  <c r="C160" i="1"/>
  <c r="D155" i="1"/>
  <c r="B155" i="1"/>
  <c r="I154" i="1"/>
  <c r="B159" i="1"/>
  <c r="B158" i="1"/>
  <c r="F157" i="1"/>
  <c r="I157" i="1"/>
  <c r="E157" i="1"/>
  <c r="F154" i="1"/>
  <c r="D154" i="1"/>
  <c r="I153" i="1"/>
  <c r="G158" i="1"/>
  <c r="C154" i="1"/>
  <c r="B154" i="1"/>
  <c r="H141" i="2"/>
  <c r="H136" i="1"/>
  <c r="G122" i="2"/>
  <c r="G139" i="1"/>
  <c r="D36" i="1"/>
  <c r="D85" i="2"/>
  <c r="B120" i="2"/>
  <c r="G126" i="2"/>
  <c r="F125" i="2"/>
  <c r="E123" i="2"/>
  <c r="D123" i="2"/>
  <c r="G121" i="2"/>
  <c r="D120" i="2"/>
  <c r="B121" i="2"/>
  <c r="F121" i="2"/>
  <c r="C156" i="2"/>
  <c r="H56" i="1"/>
  <c r="H138" i="1"/>
  <c r="E57" i="1"/>
  <c r="B119" i="2"/>
  <c r="B125" i="2"/>
  <c r="I141" i="1"/>
  <c r="E38" i="1"/>
  <c r="D39" i="1"/>
  <c r="C261" i="1"/>
  <c r="E261" i="1"/>
  <c r="B99" i="1"/>
  <c r="E96" i="1"/>
  <c r="D96" i="1"/>
  <c r="C96" i="1"/>
  <c r="D99" i="1"/>
  <c r="E97" i="1"/>
  <c r="C99" i="1"/>
  <c r="C97" i="1"/>
  <c r="C98" i="1"/>
  <c r="D137" i="1"/>
  <c r="D136" i="2"/>
  <c r="B105" i="2"/>
  <c r="C109" i="2"/>
  <c r="I154" i="2"/>
  <c r="D106" i="2"/>
  <c r="I58" i="2"/>
  <c r="C55" i="2"/>
  <c r="I53" i="1"/>
  <c r="C136" i="1"/>
  <c r="H140" i="1"/>
  <c r="H54" i="1"/>
  <c r="F141" i="1"/>
  <c r="G124" i="2"/>
  <c r="H120" i="2"/>
  <c r="C120" i="2"/>
  <c r="H137" i="1"/>
  <c r="F139" i="1"/>
  <c r="C41" i="1"/>
  <c r="D41" i="1"/>
  <c r="F36" i="1"/>
  <c r="I35" i="2"/>
  <c r="I34" i="2"/>
  <c r="F41" i="2"/>
  <c r="E41" i="2"/>
  <c r="G38" i="2"/>
  <c r="D41" i="2"/>
  <c r="F39" i="2"/>
  <c r="H39" i="2"/>
  <c r="C39" i="2"/>
  <c r="I37" i="2"/>
  <c r="F37" i="2"/>
  <c r="E137" i="1"/>
  <c r="I231" i="2"/>
  <c r="E331" i="1"/>
  <c r="K11" i="1"/>
  <c r="N11" i="1"/>
  <c r="E293" i="1"/>
  <c r="D140" i="1"/>
  <c r="I143" i="1"/>
  <c r="G137" i="1"/>
  <c r="A277" i="1"/>
  <c r="B65" i="1"/>
  <c r="D69" i="1" s="1"/>
  <c r="F140" i="2"/>
  <c r="E140" i="1"/>
  <c r="F40" i="1"/>
  <c r="C75" i="2"/>
  <c r="I71" i="2"/>
  <c r="D69" i="2"/>
  <c r="H73" i="2"/>
  <c r="I70" i="2"/>
  <c r="G70" i="2"/>
  <c r="C73" i="2"/>
  <c r="G69" i="2"/>
  <c r="B73" i="2"/>
  <c r="F69" i="2"/>
  <c r="C69" i="2"/>
  <c r="I68" i="2"/>
  <c r="H68" i="2"/>
  <c r="E73" i="2"/>
  <c r="G68" i="2"/>
  <c r="D73" i="2"/>
  <c r="D68" i="2"/>
  <c r="G71" i="2"/>
  <c r="F71" i="2"/>
  <c r="H71" i="2"/>
  <c r="E71" i="2"/>
  <c r="D71" i="2"/>
  <c r="C71" i="2"/>
  <c r="B70" i="2"/>
  <c r="B71" i="2"/>
  <c r="D70" i="2"/>
  <c r="B69" i="2"/>
  <c r="H70" i="2"/>
  <c r="B68" i="2"/>
  <c r="D74" i="2"/>
  <c r="B74" i="2"/>
  <c r="E75" i="2"/>
  <c r="I138" i="1"/>
  <c r="B36" i="1"/>
  <c r="C74" i="2"/>
  <c r="D160" i="2"/>
  <c r="D138" i="1"/>
  <c r="E51" i="1"/>
  <c r="H139" i="1"/>
  <c r="D274" i="2"/>
  <c r="F274" i="2"/>
  <c r="G92" i="2"/>
  <c r="C89" i="2"/>
  <c r="E91" i="2"/>
  <c r="I87" i="2"/>
  <c r="I88" i="2"/>
  <c r="H87" i="2"/>
  <c r="G87" i="2"/>
  <c r="F87" i="2"/>
  <c r="D91" i="2"/>
  <c r="C87" i="2"/>
  <c r="B87" i="2"/>
  <c r="E85" i="2"/>
  <c r="G90" i="2"/>
  <c r="D90" i="2"/>
  <c r="I89" i="2"/>
  <c r="D89" i="2"/>
  <c r="B90" i="2"/>
  <c r="H89" i="2"/>
  <c r="B89" i="2"/>
  <c r="G86" i="2"/>
  <c r="F85" i="2"/>
  <c r="E87" i="2"/>
  <c r="D87" i="2"/>
  <c r="N12" i="1"/>
  <c r="J12" i="1"/>
  <c r="K12" i="1"/>
  <c r="E332" i="1"/>
  <c r="C88" i="2"/>
  <c r="D142" i="1"/>
  <c r="E333" i="1"/>
  <c r="N13" i="1"/>
  <c r="K13" i="1"/>
  <c r="J13" i="1"/>
  <c r="C36" i="1"/>
  <c r="B108" i="1"/>
  <c r="B106" i="1"/>
  <c r="B104" i="1"/>
  <c r="B102" i="1"/>
  <c r="E109" i="1"/>
  <c r="E107" i="1"/>
  <c r="E105" i="1"/>
  <c r="E103" i="1"/>
  <c r="D109" i="1"/>
  <c r="D107" i="1"/>
  <c r="D105" i="1"/>
  <c r="D103" i="1"/>
  <c r="G108" i="1"/>
  <c r="D106" i="1"/>
  <c r="H103" i="1"/>
  <c r="F108" i="1"/>
  <c r="C106" i="1"/>
  <c r="G103" i="1"/>
  <c r="D108" i="1"/>
  <c r="H105" i="1"/>
  <c r="C103" i="1"/>
  <c r="H107" i="1"/>
  <c r="C105" i="1"/>
  <c r="H102" i="1"/>
  <c r="I109" i="1"/>
  <c r="H106" i="1"/>
  <c r="F103" i="1"/>
  <c r="G109" i="1"/>
  <c r="I102" i="1"/>
  <c r="H109" i="1"/>
  <c r="G106" i="1"/>
  <c r="B103" i="1"/>
  <c r="F106" i="1"/>
  <c r="F109" i="1"/>
  <c r="E106" i="1"/>
  <c r="G102" i="1"/>
  <c r="C109" i="1"/>
  <c r="I105" i="1"/>
  <c r="F102" i="1"/>
  <c r="I104" i="1"/>
  <c r="B109" i="1"/>
  <c r="G105" i="1"/>
  <c r="E102" i="1"/>
  <c r="H108" i="1"/>
  <c r="C102" i="1"/>
  <c r="E108" i="1"/>
  <c r="H104" i="1"/>
  <c r="G104" i="1"/>
  <c r="I108" i="1"/>
  <c r="F105" i="1"/>
  <c r="D102" i="1"/>
  <c r="B105" i="1"/>
  <c r="C108" i="1"/>
  <c r="I107" i="1"/>
  <c r="G107" i="1"/>
  <c r="F107" i="1"/>
  <c r="C107" i="1"/>
  <c r="B107" i="1"/>
  <c r="E104" i="1"/>
  <c r="D104" i="1"/>
  <c r="C104" i="1"/>
  <c r="I106" i="1"/>
  <c r="F104" i="1"/>
  <c r="I103" i="1"/>
  <c r="H159" i="2"/>
  <c r="D155" i="2"/>
  <c r="I158" i="2"/>
  <c r="D153" i="2"/>
  <c r="F159" i="2"/>
  <c r="H158" i="2"/>
  <c r="E159" i="2"/>
  <c r="G158" i="2"/>
  <c r="F157" i="2"/>
  <c r="E157" i="2"/>
  <c r="D156" i="2"/>
  <c r="B156" i="2"/>
  <c r="I155" i="2"/>
  <c r="D154" i="2"/>
  <c r="I156" i="2"/>
  <c r="G154" i="2"/>
  <c r="C153" i="2"/>
  <c r="B153" i="2"/>
  <c r="H88" i="2"/>
  <c r="G157" i="2"/>
  <c r="B139" i="1"/>
  <c r="I58" i="1"/>
  <c r="D124" i="2"/>
  <c r="D37" i="1"/>
  <c r="A198" i="2"/>
  <c r="G186" i="2"/>
  <c r="I232" i="2" s="1"/>
  <c r="E139" i="2"/>
  <c r="D143" i="2"/>
  <c r="H106" i="2"/>
  <c r="I160" i="2"/>
  <c r="E153" i="2"/>
  <c r="H107" i="2"/>
  <c r="J11" i="2"/>
  <c r="N11" i="2"/>
  <c r="E328" i="2"/>
  <c r="K11" i="2"/>
  <c r="D141" i="1"/>
  <c r="F52" i="1"/>
  <c r="F123" i="2"/>
  <c r="D75" i="2"/>
  <c r="E74" i="2"/>
  <c r="C136" i="2"/>
  <c r="B72" i="2"/>
  <c r="F68" i="2"/>
  <c r="D142" i="2"/>
  <c r="C138" i="2"/>
  <c r="E89" i="2"/>
  <c r="E88" i="2"/>
  <c r="G160" i="2"/>
  <c r="I107" i="2"/>
  <c r="I56" i="2"/>
  <c r="B56" i="2"/>
  <c r="I55" i="2"/>
  <c r="H55" i="2"/>
  <c r="H157" i="2"/>
  <c r="C160" i="2"/>
  <c r="L197" i="1"/>
  <c r="F185" i="1"/>
  <c r="F189" i="1" s="1"/>
  <c r="F190" i="1" s="1"/>
  <c r="I54" i="2"/>
  <c r="H57" i="2"/>
  <c r="G138" i="1"/>
  <c r="B143" i="1"/>
  <c r="B57" i="1"/>
  <c r="E75" i="1"/>
  <c r="E73" i="1"/>
  <c r="D75" i="1"/>
  <c r="D73" i="1"/>
  <c r="I74" i="1"/>
  <c r="G72" i="1"/>
  <c r="H74" i="1"/>
  <c r="F72" i="1"/>
  <c r="F74" i="1"/>
  <c r="D72" i="1"/>
  <c r="C74" i="1"/>
  <c r="I71" i="1"/>
  <c r="G69" i="1"/>
  <c r="H75" i="1"/>
  <c r="H72" i="1"/>
  <c r="F69" i="1"/>
  <c r="F75" i="1"/>
  <c r="G75" i="1"/>
  <c r="E72" i="1"/>
  <c r="C72" i="1"/>
  <c r="C75" i="1"/>
  <c r="B72" i="1"/>
  <c r="I68" i="1"/>
  <c r="B75" i="1"/>
  <c r="H71" i="1"/>
  <c r="H68" i="1"/>
  <c r="B74" i="1"/>
  <c r="G74" i="1"/>
  <c r="G71" i="1"/>
  <c r="G68" i="1"/>
  <c r="I73" i="1"/>
  <c r="H73" i="1"/>
  <c r="E74" i="1"/>
  <c r="F71" i="1"/>
  <c r="F68" i="1"/>
  <c r="D74" i="1"/>
  <c r="I70" i="1"/>
  <c r="H70" i="1"/>
  <c r="H69" i="1"/>
  <c r="I69" i="1"/>
  <c r="F73" i="1"/>
  <c r="C73" i="1"/>
  <c r="F70" i="1"/>
  <c r="I75" i="1"/>
  <c r="G73" i="1"/>
  <c r="B73" i="1"/>
  <c r="I72" i="1"/>
  <c r="G70" i="1"/>
  <c r="C119" i="2"/>
  <c r="G123" i="2"/>
  <c r="C122" i="2"/>
  <c r="C37" i="1"/>
  <c r="G37" i="1"/>
  <c r="I36" i="1"/>
  <c r="E35" i="1"/>
  <c r="F290" i="2"/>
  <c r="D290" i="2"/>
  <c r="B142" i="1"/>
  <c r="C82" i="2"/>
  <c r="I86" i="2" s="1"/>
  <c r="H126" i="1"/>
  <c r="H124" i="1"/>
  <c r="H122" i="1"/>
  <c r="H120" i="1"/>
  <c r="E126" i="1"/>
  <c r="D124" i="1"/>
  <c r="C122" i="1"/>
  <c r="B120" i="1"/>
  <c r="H125" i="1"/>
  <c r="G123" i="1"/>
  <c r="F121" i="1"/>
  <c r="E119" i="1"/>
  <c r="G125" i="1"/>
  <c r="F123" i="1"/>
  <c r="E121" i="1"/>
  <c r="D119" i="1"/>
  <c r="I124" i="1"/>
  <c r="D122" i="1"/>
  <c r="G119" i="1"/>
  <c r="G124" i="1"/>
  <c r="F119" i="1"/>
  <c r="B122" i="1"/>
  <c r="E124" i="1"/>
  <c r="H121" i="1"/>
  <c r="B119" i="1"/>
  <c r="F126" i="1"/>
  <c r="I123" i="1"/>
  <c r="C121" i="1"/>
  <c r="C126" i="1"/>
  <c r="I122" i="1"/>
  <c r="C119" i="1"/>
  <c r="F122" i="1"/>
  <c r="B126" i="1"/>
  <c r="G122" i="1"/>
  <c r="I125" i="1"/>
  <c r="F125" i="1"/>
  <c r="E122" i="1"/>
  <c r="E125" i="1"/>
  <c r="I121" i="1"/>
  <c r="G120" i="1"/>
  <c r="D125" i="1"/>
  <c r="G121" i="1"/>
  <c r="B121" i="1"/>
  <c r="F124" i="1"/>
  <c r="B124" i="1"/>
  <c r="F120" i="1"/>
  <c r="C125" i="1"/>
  <c r="D121" i="1"/>
  <c r="B125" i="1"/>
  <c r="I120" i="1"/>
  <c r="C124" i="1"/>
  <c r="D126" i="1"/>
  <c r="E123" i="1"/>
  <c r="H123" i="1"/>
  <c r="D123" i="1"/>
  <c r="C123" i="1"/>
  <c r="B123" i="1"/>
  <c r="D120" i="1"/>
  <c r="C120" i="1"/>
  <c r="I126" i="1"/>
  <c r="G126" i="1"/>
  <c r="E120" i="1"/>
  <c r="I119" i="1"/>
  <c r="H119" i="1"/>
  <c r="F143" i="1"/>
  <c r="C143" i="1"/>
  <c r="G136" i="1"/>
  <c r="E63" i="2"/>
  <c r="I73" i="2" s="1"/>
  <c r="D63" i="2"/>
  <c r="B63" i="2"/>
  <c r="F73" i="2" s="1"/>
  <c r="C65" i="2"/>
  <c r="G75" i="2" s="1"/>
  <c r="A274" i="2"/>
  <c r="B65" i="2"/>
  <c r="F75" i="2" s="1"/>
  <c r="B64" i="2"/>
  <c r="F74" i="2" s="1"/>
  <c r="D65" i="2"/>
  <c r="H75" i="2" s="1"/>
  <c r="E64" i="2"/>
  <c r="I74" i="2" s="1"/>
  <c r="C63" i="2"/>
  <c r="G73" i="2" s="1"/>
  <c r="E65" i="2"/>
  <c r="I75" i="2" s="1"/>
  <c r="E62" i="2"/>
  <c r="I72" i="2" s="1"/>
  <c r="D62" i="2"/>
  <c r="H72" i="2" s="1"/>
  <c r="C62" i="2"/>
  <c r="G72" i="2" s="1"/>
  <c r="B62" i="2"/>
  <c r="F72" i="2" s="1"/>
  <c r="D64" i="2"/>
  <c r="H74" i="2" s="1"/>
  <c r="C64" i="2"/>
  <c r="G74" i="2" s="1"/>
  <c r="B154" i="2"/>
  <c r="D143" i="1"/>
  <c r="G40" i="1"/>
  <c r="C274" i="2"/>
  <c r="E274" i="2"/>
  <c r="F277" i="1"/>
  <c r="D277" i="1"/>
  <c r="C143" i="2"/>
  <c r="H156" i="2"/>
  <c r="B141" i="1"/>
  <c r="I41" i="1"/>
  <c r="E68" i="2"/>
  <c r="G91" i="2"/>
  <c r="H154" i="2"/>
  <c r="E143" i="1"/>
  <c r="G142" i="2"/>
  <c r="E70" i="2"/>
  <c r="F138" i="1"/>
  <c r="E69" i="2"/>
  <c r="F70" i="2"/>
  <c r="D139" i="2"/>
  <c r="C140" i="2"/>
  <c r="E90" i="2"/>
  <c r="G155" i="2"/>
  <c r="C104" i="2"/>
  <c r="G159" i="2"/>
  <c r="B155" i="2"/>
  <c r="E154" i="2"/>
  <c r="I142" i="1"/>
  <c r="E141" i="1"/>
  <c r="G141" i="1"/>
  <c r="H52" i="1"/>
  <c r="C56" i="1"/>
  <c r="H124" i="2"/>
  <c r="I120" i="2"/>
  <c r="C124" i="2"/>
  <c r="E34" i="1"/>
  <c r="E37" i="1"/>
  <c r="E306" i="2"/>
  <c r="C306" i="2"/>
  <c r="F136" i="1"/>
  <c r="D282" i="2"/>
  <c r="F282" i="2"/>
  <c r="A199" i="2"/>
  <c r="G140" i="1"/>
  <c r="H69" i="2"/>
  <c r="B136" i="2"/>
  <c r="C142" i="2"/>
  <c r="E92" i="2"/>
  <c r="F141" i="2"/>
  <c r="G108" i="2"/>
  <c r="D105" i="2"/>
  <c r="C155" i="2"/>
  <c r="I157" i="2"/>
  <c r="E156" i="2"/>
  <c r="E139" i="1"/>
  <c r="H142" i="1"/>
  <c r="F52" i="2"/>
  <c r="B138" i="1"/>
  <c r="G143" i="1"/>
  <c r="B55" i="1"/>
  <c r="D159" i="2"/>
  <c r="F91" i="2"/>
  <c r="D119" i="2"/>
  <c r="B124" i="2"/>
  <c r="C126" i="2"/>
  <c r="H35" i="1"/>
  <c r="G41" i="1"/>
  <c r="E39" i="1"/>
  <c r="A290" i="2"/>
  <c r="D97" i="2"/>
  <c r="F103" i="2" s="1"/>
  <c r="B97" i="2"/>
  <c r="B103" i="2" s="1"/>
  <c r="D99" i="2"/>
  <c r="F107" i="2" s="1"/>
  <c r="C99" i="2"/>
  <c r="C107" i="2" s="1"/>
  <c r="E96" i="2"/>
  <c r="G102" i="2" s="1"/>
  <c r="C282" i="2"/>
  <c r="E282" i="2"/>
  <c r="L199" i="2"/>
  <c r="F187" i="2"/>
  <c r="C141" i="1"/>
  <c r="E258" i="2"/>
  <c r="C258" i="2"/>
  <c r="D136" i="1"/>
  <c r="G142" i="1"/>
  <c r="E136" i="2"/>
  <c r="H137" i="2"/>
  <c r="F153" i="2"/>
  <c r="E158" i="2"/>
  <c r="H141" i="1"/>
  <c r="B130" i="2"/>
  <c r="C133" i="2"/>
  <c r="E36" i="1"/>
  <c r="C139" i="1"/>
  <c r="C141" i="2"/>
  <c r="E138" i="2"/>
  <c r="D92" i="2"/>
  <c r="F88" i="2"/>
  <c r="B157" i="2"/>
  <c r="B158" i="2"/>
  <c r="E160" i="2"/>
  <c r="D102" i="2"/>
  <c r="G105" i="2"/>
  <c r="E105" i="2"/>
  <c r="F105" i="2"/>
  <c r="C105" i="2"/>
  <c r="I104" i="2"/>
  <c r="H104" i="2"/>
  <c r="I109" i="2"/>
  <c r="H102" i="2"/>
  <c r="H109" i="2"/>
  <c r="I102" i="2"/>
  <c r="E109" i="2"/>
  <c r="D109" i="2"/>
  <c r="I108" i="2"/>
  <c r="I105" i="2"/>
  <c r="H105" i="2"/>
  <c r="C57" i="1"/>
  <c r="C142" i="1"/>
  <c r="F142" i="1"/>
  <c r="H143" i="1"/>
  <c r="I52" i="1"/>
  <c r="B56" i="1"/>
  <c r="E119" i="2"/>
  <c r="H123" i="2"/>
  <c r="F137" i="1"/>
  <c r="I40" i="1"/>
  <c r="F41" i="1"/>
  <c r="F37" i="1"/>
  <c r="I139" i="1"/>
  <c r="A200" i="2"/>
  <c r="L202" i="1"/>
  <c r="F140" i="1"/>
  <c r="L201" i="1"/>
  <c r="G189" i="1"/>
  <c r="A201" i="1"/>
  <c r="B138" i="2"/>
  <c r="I137" i="2"/>
  <c r="H57" i="1"/>
  <c r="D139" i="1"/>
  <c r="C140" i="1"/>
  <c r="F57" i="1"/>
  <c r="H34" i="1"/>
  <c r="E41" i="1"/>
  <c r="B37" i="1"/>
  <c r="I136" i="1"/>
  <c r="F258" i="2"/>
  <c r="D258" i="2"/>
  <c r="I69" i="2"/>
  <c r="H143" i="2"/>
  <c r="E140" i="2"/>
  <c r="G85" i="2"/>
  <c r="F90" i="2"/>
  <c r="I159" i="2"/>
  <c r="F155" i="2"/>
  <c r="F154" i="2"/>
  <c r="J7" i="2"/>
  <c r="E324" i="2"/>
  <c r="K7" i="2"/>
  <c r="N7" i="2"/>
  <c r="F51" i="1"/>
  <c r="C54" i="1"/>
  <c r="E138" i="1"/>
  <c r="B136" i="1"/>
  <c r="C55" i="1"/>
  <c r="I137" i="1"/>
  <c r="E124" i="2"/>
  <c r="C53" i="1"/>
  <c r="I34" i="1"/>
  <c r="I35" i="1"/>
  <c r="H39" i="1"/>
  <c r="D46" i="1"/>
  <c r="F54" i="1" s="1"/>
  <c r="C46" i="1"/>
  <c r="E54" i="1" s="1"/>
  <c r="D48" i="1"/>
  <c r="F56" i="1" s="1"/>
  <c r="C48" i="1"/>
  <c r="E56" i="1" s="1"/>
  <c r="C47" i="1"/>
  <c r="E55" i="1" s="1"/>
  <c r="B45" i="1"/>
  <c r="D53" i="1" s="1"/>
  <c r="E46" i="1"/>
  <c r="G54" i="1" s="1"/>
  <c r="A269" i="1"/>
  <c r="E48" i="1"/>
  <c r="G56" i="1" s="1"/>
  <c r="B47" i="1"/>
  <c r="D55" i="1" s="1"/>
  <c r="B48" i="1"/>
  <c r="D56" i="1" s="1"/>
  <c r="D47" i="1"/>
  <c r="F55" i="1" s="1"/>
  <c r="E47" i="1"/>
  <c r="G55" i="1" s="1"/>
  <c r="C45" i="1"/>
  <c r="E53" i="1" s="1"/>
  <c r="B46" i="1"/>
  <c r="D54" i="1" s="1"/>
  <c r="E45" i="1"/>
  <c r="G53" i="1" s="1"/>
  <c r="D45" i="1"/>
  <c r="F53" i="1" s="1"/>
  <c r="H36" i="1"/>
  <c r="F188" i="2"/>
  <c r="L200" i="2"/>
  <c r="A202" i="1"/>
  <c r="G190" i="1"/>
  <c r="E136" i="1"/>
  <c r="E142" i="1"/>
  <c r="E29" i="2"/>
  <c r="E35" i="2" s="1"/>
  <c r="D29" i="2"/>
  <c r="D35" i="2" s="1"/>
  <c r="D28" i="2"/>
  <c r="D34" i="2" s="1"/>
  <c r="A258" i="2"/>
  <c r="E30" i="2"/>
  <c r="E36" i="2" s="1"/>
  <c r="C30" i="2"/>
  <c r="C36" i="2" s="1"/>
  <c r="D31" i="2"/>
  <c r="D37" i="2" s="1"/>
  <c r="B28" i="2"/>
  <c r="B34" i="2" s="1"/>
  <c r="E62" i="1" l="1"/>
  <c r="C70" i="1" s="1"/>
  <c r="C132" i="2"/>
  <c r="E31" i="2"/>
  <c r="E37" i="2" s="1"/>
  <c r="D132" i="2"/>
  <c r="C96" i="2"/>
  <c r="C102" i="2" s="1"/>
  <c r="E97" i="2"/>
  <c r="G103" i="2" s="1"/>
  <c r="E99" i="1"/>
  <c r="D30" i="2"/>
  <c r="D36" i="2" s="1"/>
  <c r="E132" i="2"/>
  <c r="D96" i="2"/>
  <c r="F102" i="2" s="1"/>
  <c r="F164" i="2" s="1"/>
  <c r="G197" i="2" s="1"/>
  <c r="B96" i="1"/>
  <c r="C97" i="2"/>
  <c r="C103" i="2" s="1"/>
  <c r="E28" i="2"/>
  <c r="E34" i="2" s="1"/>
  <c r="E164" i="2" s="1"/>
  <c r="F197" i="2" s="1"/>
  <c r="D97" i="1"/>
  <c r="B99" i="2"/>
  <c r="B107" i="2" s="1"/>
  <c r="B169" i="2" s="1"/>
  <c r="C202" i="2" s="1"/>
  <c r="B64" i="1"/>
  <c r="D68" i="1" s="1"/>
  <c r="D164" i="1" s="1"/>
  <c r="E197" i="1" s="1"/>
  <c r="B96" i="2"/>
  <c r="B102" i="2" s="1"/>
  <c r="C64" i="1"/>
  <c r="E68" i="1" s="1"/>
  <c r="B97" i="1"/>
  <c r="E290" i="2"/>
  <c r="B98" i="1"/>
  <c r="C30" i="1"/>
  <c r="C38" i="1" s="1"/>
  <c r="C168" i="1" s="1"/>
  <c r="D201" i="1" s="1"/>
  <c r="E130" i="2"/>
  <c r="C131" i="2"/>
  <c r="B98" i="2"/>
  <c r="B106" i="2" s="1"/>
  <c r="D64" i="1"/>
  <c r="B68" i="1" s="1"/>
  <c r="E28" i="1"/>
  <c r="G34" i="1" s="1"/>
  <c r="G164" i="1" s="1"/>
  <c r="H197" i="1" s="1"/>
  <c r="C29" i="2"/>
  <c r="C35" i="2" s="1"/>
  <c r="C165" i="2" s="1"/>
  <c r="D198" i="2" s="1"/>
  <c r="F261" i="1"/>
  <c r="E99" i="2"/>
  <c r="G107" i="2" s="1"/>
  <c r="D65" i="1"/>
  <c r="B69" i="1" s="1"/>
  <c r="B165" i="1" s="1"/>
  <c r="C198" i="1" s="1"/>
  <c r="D98" i="1"/>
  <c r="C31" i="1"/>
  <c r="C39" i="1" s="1"/>
  <c r="B28" i="1"/>
  <c r="B34" i="1" s="1"/>
  <c r="C31" i="2"/>
  <c r="C37" i="2" s="1"/>
  <c r="D98" i="2"/>
  <c r="F106" i="2" s="1"/>
  <c r="C63" i="1"/>
  <c r="E71" i="1" s="1"/>
  <c r="E98" i="1"/>
  <c r="D29" i="1"/>
  <c r="F35" i="1" s="1"/>
  <c r="B30" i="2"/>
  <c r="B36" i="2" s="1"/>
  <c r="B166" i="2" s="1"/>
  <c r="C199" i="2" s="1"/>
  <c r="C28" i="1"/>
  <c r="C34" i="1" s="1"/>
  <c r="C164" i="1" s="1"/>
  <c r="D197" i="1" s="1"/>
  <c r="C98" i="2"/>
  <c r="C106" i="2" s="1"/>
  <c r="C65" i="1"/>
  <c r="E69" i="1" s="1"/>
  <c r="B31" i="2"/>
  <c r="B37" i="2" s="1"/>
  <c r="B167" i="2" s="1"/>
  <c r="C200" i="2" s="1"/>
  <c r="B132" i="2"/>
  <c r="B79" i="2"/>
  <c r="H91" i="2" s="1"/>
  <c r="D63" i="1"/>
  <c r="B71" i="1" s="1"/>
  <c r="B30" i="1"/>
  <c r="B38" i="1" s="1"/>
  <c r="B168" i="1" s="1"/>
  <c r="C201" i="1" s="1"/>
  <c r="E329" i="1"/>
  <c r="J9" i="1"/>
  <c r="N9" i="1"/>
  <c r="K9" i="1"/>
  <c r="E79" i="2"/>
  <c r="C91" i="2" s="1"/>
  <c r="E82" i="2"/>
  <c r="C86" i="2" s="1"/>
  <c r="C79" i="2"/>
  <c r="I91" i="2" s="1"/>
  <c r="G171" i="2"/>
  <c r="H204" i="2" s="1"/>
  <c r="B80" i="2"/>
  <c r="H92" i="2" s="1"/>
  <c r="C62" i="1"/>
  <c r="E70" i="1" s="1"/>
  <c r="E166" i="1" s="1"/>
  <c r="F199" i="1" s="1"/>
  <c r="B31" i="1"/>
  <c r="B39" i="1" s="1"/>
  <c r="B169" i="1" s="1"/>
  <c r="C202" i="1" s="1"/>
  <c r="D164" i="2"/>
  <c r="E197" i="2" s="1"/>
  <c r="E80" i="2"/>
  <c r="C92" i="2" s="1"/>
  <c r="C171" i="2" s="1"/>
  <c r="D204" i="2" s="1"/>
  <c r="B63" i="1"/>
  <c r="D71" i="1" s="1"/>
  <c r="D167" i="1" s="1"/>
  <c r="E200" i="1" s="1"/>
  <c r="H168" i="1"/>
  <c r="I201" i="1" s="1"/>
  <c r="F170" i="2"/>
  <c r="G203" i="2" s="1"/>
  <c r="E277" i="1"/>
  <c r="G170" i="2"/>
  <c r="H203" i="2" s="1"/>
  <c r="C80" i="2"/>
  <c r="I92" i="2" s="1"/>
  <c r="I169" i="2"/>
  <c r="J202" i="2" s="1"/>
  <c r="B62" i="1"/>
  <c r="D70" i="1" s="1"/>
  <c r="D166" i="1" s="1"/>
  <c r="E199" i="1" s="1"/>
  <c r="B29" i="1"/>
  <c r="B35" i="1" s="1"/>
  <c r="D79" i="2"/>
  <c r="B91" i="2" s="1"/>
  <c r="B170" i="2" s="1"/>
  <c r="C203" i="2" s="1"/>
  <c r="E64" i="1"/>
  <c r="C68" i="1" s="1"/>
  <c r="D80" i="2"/>
  <c r="B92" i="2" s="1"/>
  <c r="B171" i="2" s="1"/>
  <c r="C204" i="2" s="1"/>
  <c r="E65" i="1"/>
  <c r="C69" i="1" s="1"/>
  <c r="D28" i="1"/>
  <c r="F34" i="1" s="1"/>
  <c r="F164" i="1" s="1"/>
  <c r="G197" i="1" s="1"/>
  <c r="D82" i="2"/>
  <c r="B86" i="2" s="1"/>
  <c r="B165" i="2" s="1"/>
  <c r="C198" i="2" s="1"/>
  <c r="D81" i="2"/>
  <c r="B85" i="2" s="1"/>
  <c r="B164" i="2" s="1"/>
  <c r="C197" i="2" s="1"/>
  <c r="B81" i="2"/>
  <c r="H85" i="2" s="1"/>
  <c r="H164" i="2" s="1"/>
  <c r="I197" i="2" s="1"/>
  <c r="C81" i="2"/>
  <c r="I85" i="2" s="1"/>
  <c r="I164" i="2" s="1"/>
  <c r="J197" i="2" s="1"/>
  <c r="E81" i="2"/>
  <c r="C85" i="2" s="1"/>
  <c r="D62" i="1"/>
  <c r="B70" i="1" s="1"/>
  <c r="C29" i="1"/>
  <c r="C35" i="1" s="1"/>
  <c r="A282" i="2"/>
  <c r="E63" i="1"/>
  <c r="C71" i="1" s="1"/>
  <c r="C170" i="2"/>
  <c r="D203" i="2" s="1"/>
  <c r="C169" i="1"/>
  <c r="D202" i="1" s="1"/>
  <c r="H165" i="2"/>
  <c r="I198" i="2" s="1"/>
  <c r="E133" i="2"/>
  <c r="B168" i="2"/>
  <c r="C201" i="2" s="1"/>
  <c r="F165" i="1"/>
  <c r="G198" i="1" s="1"/>
  <c r="H167" i="1"/>
  <c r="I200" i="1" s="1"/>
  <c r="G164" i="2"/>
  <c r="H197" i="2" s="1"/>
  <c r="B133" i="2"/>
  <c r="D168" i="1"/>
  <c r="E201" i="1" s="1"/>
  <c r="A306" i="2"/>
  <c r="B307" i="2" s="1"/>
  <c r="D131" i="2"/>
  <c r="D170" i="1"/>
  <c r="E203" i="1" s="1"/>
  <c r="I164" i="1"/>
  <c r="J197" i="1" s="1"/>
  <c r="C168" i="2"/>
  <c r="D201" i="2" s="1"/>
  <c r="B170" i="1"/>
  <c r="C203" i="1" s="1"/>
  <c r="B131" i="2"/>
  <c r="E170" i="1"/>
  <c r="F203" i="1" s="1"/>
  <c r="C130" i="2"/>
  <c r="E131" i="2"/>
  <c r="F306" i="2"/>
  <c r="B171" i="1"/>
  <c r="C204" i="1" s="1"/>
  <c r="G165" i="2"/>
  <c r="H198" i="2" s="1"/>
  <c r="C167" i="2"/>
  <c r="D200" i="2" s="1"/>
  <c r="D133" i="2"/>
  <c r="H171" i="1"/>
  <c r="I204" i="1" s="1"/>
  <c r="F165" i="2"/>
  <c r="G198" i="2" s="1"/>
  <c r="G165" i="1"/>
  <c r="H198" i="1" s="1"/>
  <c r="H168" i="2"/>
  <c r="I201" i="2" s="1"/>
  <c r="I168" i="2"/>
  <c r="J201" i="2" s="1"/>
  <c r="F236" i="1"/>
  <c r="A236" i="1"/>
  <c r="A242" i="1" s="1"/>
  <c r="A232" i="2"/>
  <c r="A237" i="2" s="1"/>
  <c r="D317" i="1"/>
  <c r="F317" i="1"/>
  <c r="B149" i="1"/>
  <c r="C148" i="1"/>
  <c r="D149" i="1"/>
  <c r="E147" i="1"/>
  <c r="E150" i="1"/>
  <c r="B150" i="1"/>
  <c r="C150" i="1"/>
  <c r="D150" i="1"/>
  <c r="E149" i="1"/>
  <c r="C149" i="1"/>
  <c r="B148" i="1"/>
  <c r="C147" i="1"/>
  <c r="E148" i="1"/>
  <c r="D148" i="1"/>
  <c r="D147" i="1"/>
  <c r="A317" i="1"/>
  <c r="B318" i="1" s="1"/>
  <c r="B147" i="1"/>
  <c r="F166" i="1"/>
  <c r="G199" i="1" s="1"/>
  <c r="C170" i="1"/>
  <c r="D203" i="1" s="1"/>
  <c r="E169" i="1"/>
  <c r="F202" i="1" s="1"/>
  <c r="F171" i="1"/>
  <c r="G204" i="1" s="1"/>
  <c r="G187" i="2"/>
  <c r="I233" i="2" s="1"/>
  <c r="F298" i="2"/>
  <c r="D298" i="2"/>
  <c r="I170" i="1"/>
  <c r="J203" i="1" s="1"/>
  <c r="H165" i="1"/>
  <c r="I198" i="1" s="1"/>
  <c r="D171" i="1"/>
  <c r="E204" i="1" s="1"/>
  <c r="I168" i="1"/>
  <c r="J201" i="1" s="1"/>
  <c r="C116" i="2"/>
  <c r="E126" i="2" s="1"/>
  <c r="E171" i="2" s="1"/>
  <c r="F204" i="2" s="1"/>
  <c r="B113" i="2"/>
  <c r="D121" i="2" s="1"/>
  <c r="B116" i="2"/>
  <c r="D126" i="2" s="1"/>
  <c r="D171" i="2" s="1"/>
  <c r="E204" i="2" s="1"/>
  <c r="E115" i="2"/>
  <c r="I125" i="2" s="1"/>
  <c r="I170" i="2" s="1"/>
  <c r="J203" i="2" s="1"/>
  <c r="E114" i="2"/>
  <c r="I122" i="2" s="1"/>
  <c r="I167" i="2" s="1"/>
  <c r="J200" i="2" s="1"/>
  <c r="D114" i="2"/>
  <c r="H122" i="2" s="1"/>
  <c r="H167" i="2" s="1"/>
  <c r="I200" i="2" s="1"/>
  <c r="D116" i="2"/>
  <c r="H126" i="2" s="1"/>
  <c r="C114" i="2"/>
  <c r="E122" i="2" s="1"/>
  <c r="B114" i="2"/>
  <c r="D122" i="2" s="1"/>
  <c r="D113" i="2"/>
  <c r="H121" i="2" s="1"/>
  <c r="H166" i="2" s="1"/>
  <c r="I199" i="2" s="1"/>
  <c r="C113" i="2"/>
  <c r="E121" i="2" s="1"/>
  <c r="A298" i="2"/>
  <c r="C115" i="2"/>
  <c r="E125" i="2" s="1"/>
  <c r="E170" i="2" s="1"/>
  <c r="F203" i="2" s="1"/>
  <c r="B115" i="2"/>
  <c r="D125" i="2" s="1"/>
  <c r="D170" i="2" s="1"/>
  <c r="E203" i="2" s="1"/>
  <c r="E116" i="2"/>
  <c r="I126" i="2" s="1"/>
  <c r="I171" i="2" s="1"/>
  <c r="J204" i="2" s="1"/>
  <c r="D115" i="2"/>
  <c r="H125" i="2" s="1"/>
  <c r="E113" i="2"/>
  <c r="I121" i="2" s="1"/>
  <c r="I166" i="2" s="1"/>
  <c r="J199" i="2" s="1"/>
  <c r="C150" i="2"/>
  <c r="B147" i="2"/>
  <c r="B150" i="2"/>
  <c r="E149" i="2"/>
  <c r="E148" i="2"/>
  <c r="E150" i="2"/>
  <c r="C149" i="2"/>
  <c r="B149" i="2"/>
  <c r="D148" i="2"/>
  <c r="A314" i="2"/>
  <c r="B315" i="2" s="1"/>
  <c r="E147" i="2"/>
  <c r="D147" i="2"/>
  <c r="C147" i="2"/>
  <c r="C148" i="2"/>
  <c r="D149" i="2"/>
  <c r="B148" i="2"/>
  <c r="D150" i="2"/>
  <c r="C298" i="2"/>
  <c r="E298" i="2"/>
  <c r="E309" i="1"/>
  <c r="C309" i="1"/>
  <c r="C171" i="1"/>
  <c r="D204" i="1" s="1"/>
  <c r="F169" i="1"/>
  <c r="G202" i="1" s="1"/>
  <c r="I167" i="1"/>
  <c r="J200" i="1" s="1"/>
  <c r="E314" i="2"/>
  <c r="C314" i="2"/>
  <c r="G167" i="1"/>
  <c r="H200" i="1" s="1"/>
  <c r="G169" i="1"/>
  <c r="H202" i="1" s="1"/>
  <c r="I165" i="2"/>
  <c r="J198" i="2" s="1"/>
  <c r="D169" i="1"/>
  <c r="E202" i="1" s="1"/>
  <c r="F167" i="1"/>
  <c r="G200" i="1" s="1"/>
  <c r="E168" i="1"/>
  <c r="F201" i="1" s="1"/>
  <c r="H170" i="1"/>
  <c r="I203" i="1" s="1"/>
  <c r="G171" i="1"/>
  <c r="H204" i="1" s="1"/>
  <c r="G168" i="1"/>
  <c r="H201" i="1" s="1"/>
  <c r="C166" i="2"/>
  <c r="D199" i="2" s="1"/>
  <c r="F309" i="1"/>
  <c r="D309" i="1"/>
  <c r="A309" i="1"/>
  <c r="B310" i="1" s="1"/>
  <c r="B132" i="1"/>
  <c r="E131" i="1"/>
  <c r="E130" i="1"/>
  <c r="D130" i="1"/>
  <c r="E133" i="1"/>
  <c r="C133" i="1"/>
  <c r="E132" i="1"/>
  <c r="D133" i="1"/>
  <c r="B133" i="1"/>
  <c r="D132" i="1"/>
  <c r="C132" i="1"/>
  <c r="B131" i="1"/>
  <c r="C131" i="1"/>
  <c r="D131" i="1"/>
  <c r="C130" i="1"/>
  <c r="B130" i="1"/>
  <c r="C169" i="2"/>
  <c r="D202" i="2" s="1"/>
  <c r="B164" i="1"/>
  <c r="C197" i="1" s="1"/>
  <c r="I169" i="1"/>
  <c r="J202" i="1" s="1"/>
  <c r="B166" i="1"/>
  <c r="C199" i="1" s="1"/>
  <c r="F171" i="2"/>
  <c r="G204" i="2" s="1"/>
  <c r="C167" i="1"/>
  <c r="D200" i="1" s="1"/>
  <c r="A231" i="2"/>
  <c r="A236" i="2" s="1"/>
  <c r="D165" i="2"/>
  <c r="E198" i="2" s="1"/>
  <c r="E165" i="2"/>
  <c r="F198" i="2" s="1"/>
  <c r="G170" i="1"/>
  <c r="H203" i="1" s="1"/>
  <c r="A266" i="2"/>
  <c r="C48" i="2"/>
  <c r="E56" i="2" s="1"/>
  <c r="E169" i="2" s="1"/>
  <c r="F202" i="2" s="1"/>
  <c r="B45" i="2"/>
  <c r="D53" i="2" s="1"/>
  <c r="B48" i="2"/>
  <c r="D56" i="2" s="1"/>
  <c r="D169" i="2" s="1"/>
  <c r="E202" i="2" s="1"/>
  <c r="E47" i="2"/>
  <c r="G55" i="2" s="1"/>
  <c r="G168" i="2" s="1"/>
  <c r="H201" i="2" s="1"/>
  <c r="C46" i="2"/>
  <c r="E54" i="2" s="1"/>
  <c r="E167" i="2" s="1"/>
  <c r="F200" i="2" s="1"/>
  <c r="B46" i="2"/>
  <c r="D54" i="2" s="1"/>
  <c r="D167" i="2" s="1"/>
  <c r="E200" i="2" s="1"/>
  <c r="E46" i="2"/>
  <c r="G54" i="2" s="1"/>
  <c r="G167" i="2" s="1"/>
  <c r="H200" i="2" s="1"/>
  <c r="E45" i="2"/>
  <c r="G53" i="2" s="1"/>
  <c r="G166" i="2" s="1"/>
  <c r="H199" i="2" s="1"/>
  <c r="E48" i="2"/>
  <c r="G56" i="2" s="1"/>
  <c r="D48" i="2"/>
  <c r="F56" i="2" s="1"/>
  <c r="B47" i="2"/>
  <c r="D55" i="2" s="1"/>
  <c r="D168" i="2" s="1"/>
  <c r="E201" i="2" s="1"/>
  <c r="D46" i="2"/>
  <c r="F54" i="2" s="1"/>
  <c r="F167" i="2" s="1"/>
  <c r="G200" i="2" s="1"/>
  <c r="C45" i="2"/>
  <c r="E53" i="2" s="1"/>
  <c r="C47" i="2"/>
  <c r="E55" i="2" s="1"/>
  <c r="E168" i="2" s="1"/>
  <c r="F201" i="2" s="1"/>
  <c r="D45" i="2"/>
  <c r="F53" i="2" s="1"/>
  <c r="F166" i="2" s="1"/>
  <c r="G199" i="2" s="1"/>
  <c r="D47" i="2"/>
  <c r="F55" i="2" s="1"/>
  <c r="F168" i="2" s="1"/>
  <c r="G201" i="2" s="1"/>
  <c r="B167" i="1"/>
  <c r="C200" i="1" s="1"/>
  <c r="D115" i="1"/>
  <c r="D114" i="1"/>
  <c r="C114" i="1"/>
  <c r="E113" i="1"/>
  <c r="A301" i="1"/>
  <c r="B302" i="1" s="1"/>
  <c r="C113" i="1"/>
  <c r="D116" i="1"/>
  <c r="E116" i="1"/>
  <c r="C116" i="1"/>
  <c r="B116" i="1"/>
  <c r="B115" i="1"/>
  <c r="E114" i="1"/>
  <c r="E115" i="1"/>
  <c r="C115" i="1"/>
  <c r="D113" i="1"/>
  <c r="B114" i="1"/>
  <c r="B113" i="1"/>
  <c r="H169" i="2"/>
  <c r="I202" i="2" s="1"/>
  <c r="G166" i="1"/>
  <c r="H199" i="1" s="1"/>
  <c r="F314" i="2"/>
  <c r="D314" i="2"/>
  <c r="C164" i="2"/>
  <c r="D197" i="2" s="1"/>
  <c r="H166" i="1"/>
  <c r="I199" i="1" s="1"/>
  <c r="D266" i="2"/>
  <c r="F266" i="2"/>
  <c r="E171" i="1"/>
  <c r="F204" i="1" s="1"/>
  <c r="E167" i="1"/>
  <c r="F200" i="1" s="1"/>
  <c r="I210" i="1"/>
  <c r="A218" i="1" s="1"/>
  <c r="A226" i="1" s="1"/>
  <c r="D208" i="1"/>
  <c r="J212" i="1"/>
  <c r="C208" i="1"/>
  <c r="J209" i="1"/>
  <c r="I211" i="1"/>
  <c r="A219" i="1" s="1"/>
  <c r="A227" i="1" s="1"/>
  <c r="F208" i="1"/>
  <c r="F234" i="1" s="1"/>
  <c r="G208" i="1"/>
  <c r="G234" i="1" s="1"/>
  <c r="E208" i="1"/>
  <c r="J211" i="1"/>
  <c r="J210" i="1"/>
  <c r="I212" i="1"/>
  <c r="A220" i="1" s="1"/>
  <c r="A228" i="1" s="1"/>
  <c r="I213" i="1"/>
  <c r="A221" i="1" s="1"/>
  <c r="A229" i="1" s="1"/>
  <c r="J213" i="1"/>
  <c r="I209" i="1"/>
  <c r="A217" i="1" s="1"/>
  <c r="A225" i="1" s="1"/>
  <c r="D301" i="1"/>
  <c r="F301" i="1"/>
  <c r="F169" i="2"/>
  <c r="G202" i="2" s="1"/>
  <c r="D165" i="1"/>
  <c r="E198" i="1" s="1"/>
  <c r="A235" i="1"/>
  <c r="A241" i="1" s="1"/>
  <c r="F168" i="1"/>
  <c r="G201" i="1" s="1"/>
  <c r="C317" i="1"/>
  <c r="E317" i="1"/>
  <c r="H169" i="1"/>
  <c r="I202" i="1" s="1"/>
  <c r="C266" i="2"/>
  <c r="E266" i="2"/>
  <c r="H164" i="1"/>
  <c r="I197" i="1" s="1"/>
  <c r="F189" i="2"/>
  <c r="I209" i="2" s="1"/>
  <c r="E165" i="1"/>
  <c r="F198" i="1" s="1"/>
  <c r="F170" i="1"/>
  <c r="G203" i="1" s="1"/>
  <c r="E301" i="1"/>
  <c r="C301" i="1"/>
  <c r="I165" i="1"/>
  <c r="J198" i="1" s="1"/>
  <c r="E164" i="1"/>
  <c r="F197" i="1" s="1"/>
  <c r="I171" i="1"/>
  <c r="J204" i="1" s="1"/>
  <c r="I166" i="1"/>
  <c r="J199" i="1" s="1"/>
  <c r="C166" i="1"/>
  <c r="D199" i="1" s="1"/>
  <c r="H170" i="2" l="1"/>
  <c r="I203" i="2" s="1"/>
  <c r="G169" i="2"/>
  <c r="H202" i="2" s="1"/>
  <c r="E234" i="1"/>
  <c r="C165" i="1"/>
  <c r="D198" i="1" s="1"/>
  <c r="H171" i="2"/>
  <c r="I204" i="2" s="1"/>
  <c r="D285" i="1"/>
  <c r="F285" i="1"/>
  <c r="E79" i="1"/>
  <c r="A285" i="1"/>
  <c r="B286" i="1" s="1"/>
  <c r="C79" i="1"/>
  <c r="B81" i="1"/>
  <c r="B79" i="1"/>
  <c r="D82" i="1"/>
  <c r="C81" i="1"/>
  <c r="C82" i="1"/>
  <c r="D80" i="1"/>
  <c r="E82" i="1"/>
  <c r="D79" i="1"/>
  <c r="C80" i="1"/>
  <c r="B80" i="1"/>
  <c r="B82" i="1"/>
  <c r="E81" i="1"/>
  <c r="D81" i="1"/>
  <c r="E80" i="1"/>
  <c r="E285" i="1"/>
  <c r="C285" i="1"/>
  <c r="E236" i="1"/>
  <c r="G235" i="1"/>
  <c r="D234" i="1"/>
  <c r="G236" i="1"/>
  <c r="C234" i="1"/>
  <c r="F190" i="2"/>
  <c r="H210" i="2" s="1"/>
  <c r="A217" i="2" s="1"/>
  <c r="A224" i="2" s="1"/>
  <c r="D166" i="2"/>
  <c r="E199" i="2" s="1"/>
  <c r="E235" i="1"/>
  <c r="E166" i="2"/>
  <c r="F199" i="2" s="1"/>
  <c r="E212" i="1"/>
  <c r="D212" i="1"/>
  <c r="C212" i="1"/>
  <c r="A212" i="1"/>
  <c r="I220" i="1" s="1"/>
  <c r="G212" i="1"/>
  <c r="F212" i="1"/>
  <c r="A233" i="2"/>
  <c r="A238" i="2" s="1"/>
  <c r="G210" i="1"/>
  <c r="E210" i="1"/>
  <c r="D210" i="1"/>
  <c r="F210" i="1"/>
  <c r="C210" i="1"/>
  <c r="A210" i="1"/>
  <c r="I218" i="1" s="1"/>
  <c r="C211" i="1"/>
  <c r="A211" i="1"/>
  <c r="I219" i="1" s="1"/>
  <c r="G211" i="1"/>
  <c r="F211" i="1"/>
  <c r="E211" i="1"/>
  <c r="D211" i="1"/>
  <c r="D235" i="1"/>
  <c r="G188" i="2"/>
  <c r="I234" i="2"/>
  <c r="D254" i="1"/>
  <c r="D248" i="1"/>
  <c r="D253" i="1"/>
  <c r="D250" i="1"/>
  <c r="D249" i="1"/>
  <c r="C213" i="1"/>
  <c r="A213" i="1"/>
  <c r="I221" i="1" s="1"/>
  <c r="D213" i="1"/>
  <c r="G213" i="1"/>
  <c r="E213" i="1"/>
  <c r="F213" i="1"/>
  <c r="C235" i="1"/>
  <c r="C236" i="1"/>
  <c r="A209" i="2"/>
  <c r="H216" i="2" s="1"/>
  <c r="C208" i="2"/>
  <c r="C209" i="2" s="1"/>
  <c r="H209" i="2"/>
  <c r="A216" i="2" s="1"/>
  <c r="A223" i="2" s="1"/>
  <c r="F235" i="1"/>
  <c r="C209" i="1"/>
  <c r="A209" i="1"/>
  <c r="I217" i="1" s="1"/>
  <c r="D209" i="1"/>
  <c r="E209" i="1"/>
  <c r="G209" i="1"/>
  <c r="F209" i="1"/>
  <c r="D236" i="1"/>
  <c r="I210" i="2" l="1"/>
  <c r="F191" i="2"/>
  <c r="D208" i="2"/>
  <c r="D209" i="2" s="1"/>
  <c r="C233" i="2"/>
  <c r="G262" i="1"/>
  <c r="G280" i="1"/>
  <c r="C210" i="2"/>
  <c r="A210" i="2"/>
  <c r="H217" i="2" s="1"/>
  <c r="D210" i="2"/>
  <c r="C232" i="2"/>
  <c r="C231" i="2"/>
  <c r="G278" i="1"/>
  <c r="G270" i="1"/>
  <c r="C217" i="1" a="1"/>
  <c r="C234" i="2"/>
  <c r="A234" i="2"/>
  <c r="A239" i="2" s="1"/>
  <c r="G277" i="1"/>
  <c r="G269" i="1"/>
  <c r="D231" i="2" l="1"/>
  <c r="D232" i="2"/>
  <c r="D234" i="2"/>
  <c r="I211" i="2"/>
  <c r="H211" i="2"/>
  <c r="A218" i="2" s="1"/>
  <c r="A225" i="2" s="1"/>
  <c r="D233" i="2"/>
  <c r="E208" i="2"/>
  <c r="F192" i="2"/>
  <c r="I212" i="2" s="1"/>
  <c r="C219" i="1"/>
  <c r="G221" i="1"/>
  <c r="E218" i="1"/>
  <c r="F221" i="1"/>
  <c r="D218" i="1"/>
  <c r="D219" i="1"/>
  <c r="G218" i="1"/>
  <c r="C218" i="1"/>
  <c r="D221" i="1"/>
  <c r="C221" i="1"/>
  <c r="C217" i="1"/>
  <c r="G220" i="1"/>
  <c r="G219" i="1"/>
  <c r="F219" i="1"/>
  <c r="E219" i="1"/>
  <c r="F218" i="1"/>
  <c r="E217" i="1"/>
  <c r="F220" i="1"/>
  <c r="E221" i="1"/>
  <c r="E220" i="1"/>
  <c r="D220" i="1"/>
  <c r="C220" i="1"/>
  <c r="G217" i="1"/>
  <c r="F217" i="1"/>
  <c r="D217" i="1"/>
  <c r="C212" i="2" l="1"/>
  <c r="E212" i="2"/>
  <c r="D212" i="2"/>
  <c r="A212" i="2"/>
  <c r="H219" i="2" s="1"/>
  <c r="E233" i="2"/>
  <c r="E209" i="2"/>
  <c r="E232" i="2"/>
  <c r="E234" i="2"/>
  <c r="E231" i="2"/>
  <c r="E210" i="2"/>
  <c r="F208" i="2"/>
  <c r="F211" i="2" s="1"/>
  <c r="H212" i="2"/>
  <c r="A219" i="2" s="1"/>
  <c r="A226" i="2" s="1"/>
  <c r="D244" i="2" s="1"/>
  <c r="C211" i="2"/>
  <c r="A211" i="2"/>
  <c r="H218" i="2" s="1"/>
  <c r="E211" i="2"/>
  <c r="D211" i="2"/>
  <c r="C225" i="1" a="1"/>
  <c r="D246" i="2" l="1"/>
  <c r="D245" i="2"/>
  <c r="D247" i="2"/>
  <c r="G266" i="2"/>
  <c r="G260" i="2"/>
  <c r="G298" i="2"/>
  <c r="G267" i="2"/>
  <c r="G261" i="2"/>
  <c r="G299" i="2"/>
  <c r="G285" i="2"/>
  <c r="G291" i="2"/>
  <c r="G259" i="2"/>
  <c r="G284" i="2"/>
  <c r="G258" i="2"/>
  <c r="G290" i="2"/>
  <c r="F233" i="2"/>
  <c r="F209" i="2"/>
  <c r="F231" i="2"/>
  <c r="F232" i="2"/>
  <c r="F234" i="2"/>
  <c r="F210" i="2"/>
  <c r="F212" i="2"/>
  <c r="C229" i="1"/>
  <c r="I238" i="1" s="1"/>
  <c r="C228" i="1"/>
  <c r="I237" i="1" s="1"/>
  <c r="C227" i="1"/>
  <c r="C225" i="1"/>
  <c r="C226" i="1"/>
  <c r="B259" i="2" l="1"/>
  <c r="G323" i="2" s="1"/>
  <c r="C216" i="2" a="1"/>
  <c r="D218" i="2" s="1"/>
  <c r="C217" i="2"/>
  <c r="C218" i="2"/>
  <c r="E217" i="2"/>
  <c r="E218" i="2"/>
  <c r="F217" i="2"/>
  <c r="D219" i="2"/>
  <c r="E216" i="2"/>
  <c r="D217" i="2"/>
  <c r="F218" i="2"/>
  <c r="I235" i="1"/>
  <c r="D251" i="1"/>
  <c r="I234" i="1"/>
  <c r="D247" i="1"/>
  <c r="I236" i="1"/>
  <c r="D252" i="1"/>
  <c r="C219" i="2" l="1"/>
  <c r="C216" i="2"/>
  <c r="D216" i="2"/>
  <c r="E219" i="2"/>
  <c r="C262" i="2"/>
  <c r="H323" i="2" s="1"/>
  <c r="F219" i="2"/>
  <c r="F216" i="2"/>
  <c r="C223" i="2" a="1"/>
  <c r="G264" i="1"/>
  <c r="G272" i="1"/>
  <c r="G261" i="1"/>
  <c r="G279" i="1"/>
  <c r="B278" i="1" s="1"/>
  <c r="C240" i="1" a="1"/>
  <c r="G263" i="1"/>
  <c r="G271" i="1"/>
  <c r="C226" i="2" l="1"/>
  <c r="C224" i="2"/>
  <c r="C223" i="2"/>
  <c r="C225" i="2"/>
  <c r="B262" i="1"/>
  <c r="G328" i="1"/>
  <c r="C281" i="1"/>
  <c r="H328" i="1" s="1"/>
  <c r="B270" i="1"/>
  <c r="C241" i="1"/>
  <c r="C242" i="1"/>
  <c r="C240" i="1"/>
  <c r="H233" i="2" l="1"/>
  <c r="D250" i="2"/>
  <c r="H232" i="2"/>
  <c r="D249" i="2"/>
  <c r="D248" i="2"/>
  <c r="H231" i="2"/>
  <c r="H234" i="2"/>
  <c r="D251" i="2"/>
  <c r="G327" i="1"/>
  <c r="C273" i="1"/>
  <c r="H327" i="1" s="1"/>
  <c r="G326" i="1"/>
  <c r="C265" i="1"/>
  <c r="H326" i="1" s="1"/>
  <c r="G301" i="2" l="1"/>
  <c r="G283" i="2"/>
  <c r="G277" i="2"/>
  <c r="G274" i="2"/>
  <c r="G292" i="2"/>
  <c r="G268" i="2"/>
  <c r="C236" i="2" a="1"/>
  <c r="G276" i="2"/>
  <c r="G300" i="2"/>
  <c r="B299" i="2" s="1"/>
  <c r="G282" i="2"/>
  <c r="B283" i="2" s="1"/>
  <c r="G275" i="2"/>
  <c r="G293" i="2"/>
  <c r="G269" i="2"/>
  <c r="B275" i="2" l="1"/>
  <c r="C302" i="2"/>
  <c r="H328" i="2" s="1"/>
  <c r="G328" i="2"/>
  <c r="B267" i="2"/>
  <c r="C286" i="2"/>
  <c r="H326" i="2" s="1"/>
  <c r="G326" i="2"/>
  <c r="C239" i="2"/>
  <c r="C236" i="2"/>
  <c r="C237" i="2"/>
  <c r="C238" i="2"/>
  <c r="B291" i="2"/>
  <c r="C270" i="2" l="1"/>
  <c r="H324" i="2" s="1"/>
  <c r="G324" i="2"/>
  <c r="G327" i="2"/>
  <c r="C294" i="2"/>
  <c r="H327" i="2" s="1"/>
  <c r="C278" i="2"/>
  <c r="H325" i="2" s="1"/>
  <c r="G325" i="2"/>
</calcChain>
</file>

<file path=xl/sharedStrings.xml><?xml version="1.0" encoding="utf-8"?>
<sst xmlns="http://schemas.openxmlformats.org/spreadsheetml/2006/main" count="861" uniqueCount="147">
  <si>
    <t>PLANTILLA MANUAL - CASO ISOSTÁTICO (HASTA 8 BARRAS - CÁTEDRA ING. ULIANOV)</t>
  </si>
  <si>
    <t>Cátedra: Análisis Estructural II | Ing. Ulianov Cuba Valencia | Plantilla 100% Automatizada con Capacidad hasta 8 Barras</t>
  </si>
  <si>
    <t>BARRA</t>
  </si>
  <si>
    <t>INICIO (cm)</t>
  </si>
  <si>
    <t>FIN (cm)</t>
  </si>
  <si>
    <t>DX (cm)</t>
  </si>
  <si>
    <t>DY (cm)</t>
  </si>
  <si>
    <t>L (cm)</t>
  </si>
  <si>
    <t>Cx</t>
  </si>
  <si>
    <t>Cy</t>
  </si>
  <si>
    <t>A (cm²)</t>
  </si>
  <si>
    <t>E (Kgf/cm²)</t>
  </si>
  <si>
    <t>AE/L (Kgf/cm)</t>
  </si>
  <si>
    <t>COORDENADAS, CONDICIONES DE APOYO Y CARGAS NODALES</t>
  </si>
  <si>
    <t>X</t>
  </si>
  <si>
    <t>Y</t>
  </si>
  <si>
    <t>NUDO</t>
  </si>
  <si>
    <t>X (cm)</t>
  </si>
  <si>
    <t>Y (cm)</t>
  </si>
  <si>
    <t>TIPO APOYO</t>
  </si>
  <si>
    <t>Rx</t>
  </si>
  <si>
    <t>Ry</t>
  </si>
  <si>
    <t>Px (Kgf)</t>
  </si>
  <si>
    <t>Py (Kgf)</t>
  </si>
  <si>
    <t>Móvil Y</t>
  </si>
  <si>
    <t>Fijo</t>
  </si>
  <si>
    <t>Libre</t>
  </si>
  <si>
    <t>CONECTIVIDAD DE BARRAS Y GRADOS DE LIBERTAD ASOCIADOS:</t>
  </si>
  <si>
    <t>NUDO INICIO</t>
  </si>
  <si>
    <t>u_ini_x</t>
  </si>
  <si>
    <t>u_ini_y</t>
  </si>
  <si>
    <t>NUDO FIN</t>
  </si>
  <si>
    <t>u_fin_x</t>
  </si>
  <si>
    <t>u_fin_y</t>
  </si>
  <si>
    <t>k1=</t>
  </si>
  <si>
    <t>U1X</t>
  </si>
  <si>
    <t>U1Y</t>
  </si>
  <si>
    <t>U2X</t>
  </si>
  <si>
    <t>U2Y</t>
  </si>
  <si>
    <t>U3X</t>
  </si>
  <si>
    <t>U3Y</t>
  </si>
  <si>
    <t>U4X</t>
  </si>
  <si>
    <t>U4Y</t>
  </si>
  <si>
    <t>K1=</t>
  </si>
  <si>
    <t>k2=</t>
  </si>
  <si>
    <t>K2=</t>
  </si>
  <si>
    <t>k3=</t>
  </si>
  <si>
    <t>K3=</t>
  </si>
  <si>
    <t>k4=</t>
  </si>
  <si>
    <t>K4=</t>
  </si>
  <si>
    <t>k5=</t>
  </si>
  <si>
    <t>K5=</t>
  </si>
  <si>
    <t>k6=</t>
  </si>
  <si>
    <t>K6=</t>
  </si>
  <si>
    <t>k7=</t>
  </si>
  <si>
    <t>K7=</t>
  </si>
  <si>
    <t>k8=</t>
  </si>
  <si>
    <t>K8=</t>
  </si>
  <si>
    <t>Karmadura=</t>
  </si>
  <si>
    <t>Matriz de cargas:</t>
  </si>
  <si>
    <t>1. MATRIZ DE CARGAS Y DESPLAZAMIENTOS ({C} Y {D})</t>
  </si>
  <si>
    <t>C1X</t>
  </si>
  <si>
    <t>• Columna B: Variable del vector (C1X, C1Y / D1X, D1Y).</t>
  </si>
  <si>
    <t>C1Y</t>
  </si>
  <si>
    <t>• Columna C: Grado de libertad global asociado (U1X, U1Y...).</t>
  </si>
  <si>
    <t>C2X</t>
  </si>
  <si>
    <t>• Columna E (Cargas): Si hay apoyo, C=Cnx (reacción incógnita). Si está libre, C=Px (carga externa).</t>
  </si>
  <si>
    <t>C=</t>
  </si>
  <si>
    <t>C2Y</t>
  </si>
  <si>
    <t>=</t>
  </si>
  <si>
    <t>• Columna E (Desplazamientos): Si hay apoyo, D=0 (restringido). Si está libre, D=Dnx (desplazamiento incógnita).</t>
  </si>
  <si>
    <t>C3X</t>
  </si>
  <si>
    <t>• Columnas F y G (Auxiliares): Conteo dinámico de grados libres (D≠0) y apoyos (D=0) para extraer K11 y K21.</t>
  </si>
  <si>
    <t>C3Y</t>
  </si>
  <si>
    <t>C4X</t>
  </si>
  <si>
    <t>C4Y</t>
  </si>
  <si>
    <t>Matriz de desplazamientos:</t>
  </si>
  <si>
    <t>D1X</t>
  </si>
  <si>
    <t>D1Y</t>
  </si>
  <si>
    <t>D2X</t>
  </si>
  <si>
    <t>D=</t>
  </si>
  <si>
    <t>D2Y</t>
  </si>
  <si>
    <t>D3X</t>
  </si>
  <si>
    <t>D3Y</t>
  </si>
  <si>
    <t>D4X</t>
  </si>
  <si>
    <t>D4Y</t>
  </si>
  <si>
    <t>Ecuacion matricial:</t>
  </si>
  <si>
    <t>C = Karmadura*D</t>
  </si>
  <si>
    <t>ELIMINO FILA Y COLUMNA DE LOS QUE NO CORRESPONDE PARA HALLAR LOS DESPLAZAMIENTOS</t>
  </si>
  <si>
    <t>2. ECUACIÓN MATRICIAL GLOBAL: {C} = [K] · {D}</t>
  </si>
  <si>
    <t>ELIMINO COLUMNA SEGÚN LAS REACCIONES EN ORDEN SIN CONSIDERAR LAS FILAS ANULADAS</t>
  </si>
  <si>
    <t>• Fundamento: Ley de Hooke generalizada para armaduras planas {C} = [K_global] · {D}.</t>
  </si>
  <si>
    <t>C</t>
  </si>
  <si>
    <t>K</t>
  </si>
  <si>
    <t>D</t>
  </si>
  <si>
    <t>• Apunte del Docente: 'ELIMINO FILA Y COLUMNA DE LOS QUE NO CORRESPONDE PARA HALLAR LOS DESPLAZAMIENTOS'.</t>
  </si>
  <si>
    <t>·</t>
  </si>
  <si>
    <t>• Partición de Rigidez:</t>
  </si>
  <si>
    <t xml:space="preserve">    [ C_libres ] = [ K11   K12 ] · [ D_libres ]</t>
  </si>
  <si>
    <t xml:space="preserve">    [ R_apoyos ]   [ K21   K22 ]   [    0     ]</t>
  </si>
  <si>
    <t>• K11 (verde pastel): Rigideces directas para {D_libres} = [K11]⁻¹ · {C_libres}.</t>
  </si>
  <si>
    <t>• K21 (lavanda pastel): Rigideces de acoplamiento para reacciones {R} = [K21] · {D_libres}.</t>
  </si>
  <si>
    <t>Ecuacion matricial reducida para el calculo de desplazamientos:</t>
  </si>
  <si>
    <t>3. CÁLCULO DE DESPLAZAMIENTOS: {D} = [K₁₁]⁻¹ · {C}</t>
  </si>
  <si>
    <t>• Submatriz [K11]: Extraída dinámicamente con INDEX/MATCH desde Karmadura usando los grados libres.</t>
  </si>
  <si>
    <t>• Vector de Cargas {C}: Fuerzas externas actuantes en los nudos libres.</t>
  </si>
  <si>
    <t>• Inversión [MINVERSA]: Matriz de flexibilidad [K11]⁻¹ en cm/Kgf.</t>
  </si>
  <si>
    <t>• Multiplicación [MMULT]: {D_libres} = [K11]⁻¹ · {C} obtiene los desplazamientos reales en cm.</t>
  </si>
  <si>
    <t>D=MINVERSA(K)*C</t>
  </si>
  <si>
    <t>MIN</t>
  </si>
  <si>
    <t>D=MMULT(MIN)*C</t>
  </si>
  <si>
    <t>MM*C</t>
  </si>
  <si>
    <t>cm</t>
  </si>
  <si>
    <t>Ecuacion matricial reducida para el calculo de reacciones</t>
  </si>
  <si>
    <t>4. CÁLCULO DE REACCIONES: {R} = [K₂₁] · {D}</t>
  </si>
  <si>
    <t>• Submatriz [K21]: Filas de apoyos (D=0) y columnas de grados libres (D≠0).</t>
  </si>
  <si>
    <t>• Multiplicación [MMULT]: {R} = [K21] · {D_libres} genera las reacciones en cada apoyo en Kgf.</t>
  </si>
  <si>
    <t>• Verificación de Equilibrio Global: ∑ Fx = 0  y  ∑ Fy = 0 (Equilibrio estático exacto).</t>
  </si>
  <si>
    <t>Kgf</t>
  </si>
  <si>
    <t>Matriz de desplazamientos total</t>
  </si>
  <si>
    <t>Calculo de las fuerzas</t>
  </si>
  <si>
    <t>5. CÁLCULO DE FUERZAS EN BARRAS: {Fₘ} = (AE/L) · [-cx, -cy, cx, cy] · {D}</t>
  </si>
  <si>
    <t>• Fila de Signos [-cx, -cy, +cx, +cy]: Deformación axial relativa de la barra m.</t>
  </si>
  <si>
    <t>AE/L</t>
  </si>
  <si>
    <t>cx</t>
  </si>
  <si>
    <t>cy</t>
  </si>
  <si>
    <t>• Fuerza Axial F_m: Obtenida mediante =(MMULT(C:F, G:G)*A) vinculada a los nudos reales.</t>
  </si>
  <si>
    <t>-</t>
  </si>
  <si>
    <t>+</t>
  </si>
  <si>
    <t>• Diagnóstico de Estado: Tracción (+), Compresión (-) o Fuerza Nula.</t>
  </si>
  <si>
    <t>F1=</t>
  </si>
  <si>
    <t>F2=</t>
  </si>
  <si>
    <t>F3=</t>
  </si>
  <si>
    <t>F4=</t>
  </si>
  <si>
    <t>F5=</t>
  </si>
  <si>
    <t>F6=</t>
  </si>
  <si>
    <t>F7=</t>
  </si>
  <si>
    <t>F8=</t>
  </si>
  <si>
    <t>RESUMEN GENERAL DE FUERZAS EN LAS BARRAS (HASTA 8 BARRAS)</t>
  </si>
  <si>
    <t>BARRA
#</t>
  </si>
  <si>
    <t>NUDO
INI</t>
  </si>
  <si>
    <t>NUDO
FIN</t>
  </si>
  <si>
    <t>LONGITUD L
(cm)</t>
  </si>
  <si>
    <t>ÁREA A
(cm²)</t>
  </si>
  <si>
    <t>FUERZA AXIAL N
(Kgf)</t>
  </si>
  <si>
    <t>ESTADO ESTRUCTURAL
(TRACCIÓN / COMPRESIÓN)</t>
  </si>
  <si>
    <t>PLANTILLA MANUAL - CASO HIPERESTÁTICO (HASTA 8 BARRAS - CÁTEDRA ING. ULIANOV)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</si>
</sst>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E+00"/>
    <numFmt numFmtId="166" formatCode="0.000000000"/>
    <numFmt numFmtId="167" formatCode="0.00000000"/>
    <numFmt numFmtId="168" formatCode="#,##0.00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9"/>
      <color rgb="FFCBD5E1"/>
      <name val="Segoe UI"/>
    </font>
    <font>
      <b/>
      <sz val="9"/>
      <color rgb="FFFFFFFF"/>
      <name val="Segoe UI"/>
    </font>
    <font>
      <b/>
      <sz val="9"/>
      <color rgb="FF1E293B"/>
      <name val="Segoe UI"/>
    </font>
    <font>
      <b/>
      <sz val="10"/>
      <color rgb="FFFFFFFF"/>
      <name val="Segoe UI"/>
    </font>
    <font>
      <b/>
      <sz val="9"/>
      <name val="Segoe UI"/>
    </font>
    <font>
      <b/>
      <sz val="9"/>
      <color rgb="FF1E3A8A"/>
      <name val="Segoe UI"/>
    </font>
    <font>
      <sz val="9"/>
      <name val="Segoe UI"/>
    </font>
    <font>
      <b/>
      <sz val="11"/>
      <color rgb="FF1E293B"/>
      <name val="Segoe UI"/>
    </font>
    <font>
      <b/>
      <sz val="10"/>
      <color rgb="FF1E293B"/>
      <name val="Segoe UI"/>
    </font>
    <font>
      <i/>
      <sz val="8"/>
      <color rgb="FF64748B"/>
      <name val="Segoe UI"/>
    </font>
    <font>
      <sz val="8"/>
      <color rgb="FF334155"/>
      <name val="Segoe UI"/>
    </font>
    <font>
      <b/>
      <u/>
      <sz val="10"/>
      <color rgb="FF1E293B"/>
      <name val="Segoe UI"/>
    </font>
    <font>
      <b/>
      <sz val="8"/>
      <color rgb="FF334155"/>
      <name val="Segoe UI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3E8FF"/>
      </patternFill>
    </fill>
    <fill>
      <patternFill patternType="solid">
        <fgColor rgb="FFCCFBF1"/>
      </patternFill>
    </fill>
    <fill>
      <patternFill patternType="solid">
        <fgColor rgb="FFFEF9C3"/>
      </patternFill>
    </fill>
    <fill>
      <patternFill patternType="solid">
        <fgColor rgb="FFEDE7F6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E2E8F0"/>
      </patternFill>
    </fill>
    <fill>
      <patternFill patternType="solid">
        <fgColor rgb="FFFEF08A"/>
      </patternFill>
    </fill>
    <fill>
      <patternFill patternType="solid">
        <fgColor rgb="FFEDEDFA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0B981"/>
      </top>
      <bottom style="medium">
        <color rgb="FF10B981"/>
      </bottom>
      <diagonal/>
    </border>
    <border>
      <left style="medium">
        <color rgb="FF94A3B8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4" fontId="7" fillId="7" borderId="1" xfId="0" applyNumberFormat="1" applyFont="1" applyFill="1" applyBorder="1" applyAlignment="1">
      <alignment horizontal="right" vertical="center"/>
    </xf>
    <xf numFmtId="4" fontId="8" fillId="6" borderId="1" xfId="0" applyNumberFormat="1" applyFont="1" applyFill="1" applyBorder="1" applyAlignment="1">
      <alignment horizontal="right" vertical="center"/>
    </xf>
    <xf numFmtId="4" fontId="6" fillId="6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" fontId="8" fillId="8" borderId="1" xfId="0" applyNumberFormat="1" applyFont="1" applyFill="1" applyBorder="1" applyAlignment="1">
      <alignment horizontal="right" vertical="center"/>
    </xf>
    <xf numFmtId="4" fontId="8" fillId="15" borderId="1" xfId="0" applyNumberFormat="1" applyFont="1" applyFill="1" applyBorder="1" applyAlignment="1">
      <alignment horizontal="right" vertical="center"/>
    </xf>
    <xf numFmtId="4" fontId="8" fillId="9" borderId="1" xfId="0" applyNumberFormat="1" applyFont="1" applyFill="1" applyBorder="1" applyAlignment="1">
      <alignment horizontal="right" vertical="center"/>
    </xf>
    <xf numFmtId="4" fontId="8" fillId="10" borderId="1" xfId="0" applyNumberFormat="1" applyFont="1" applyFill="1" applyBorder="1" applyAlignment="1">
      <alignment horizontal="right" vertical="center"/>
    </xf>
    <xf numFmtId="4" fontId="8" fillId="7" borderId="1" xfId="0" applyNumberFormat="1" applyFont="1" applyFill="1" applyBorder="1" applyAlignment="1">
      <alignment horizontal="right" vertical="center"/>
    </xf>
    <xf numFmtId="4" fontId="8" fillId="11" borderId="1" xfId="0" applyNumberFormat="1" applyFont="1" applyFill="1" applyBorder="1" applyAlignment="1">
      <alignment horizontal="right" vertical="center"/>
    </xf>
    <xf numFmtId="4" fontId="8" fillId="12" borderId="1" xfId="0" applyNumberFormat="1" applyFont="1" applyFill="1" applyBorder="1" applyAlignment="1">
      <alignment horizontal="right" vertical="center"/>
    </xf>
    <xf numFmtId="4" fontId="8" fillId="13" borderId="1" xfId="0" applyNumberFormat="1" applyFont="1" applyFill="1" applyBorder="1" applyAlignment="1">
      <alignment horizontal="right" vertical="center"/>
    </xf>
    <xf numFmtId="4" fontId="8" fillId="14" borderId="1" xfId="0" applyNumberFormat="1" applyFont="1" applyFill="1" applyBorder="1" applyAlignment="1">
      <alignment horizontal="right" vertical="center"/>
    </xf>
    <xf numFmtId="4" fontId="6" fillId="16" borderId="2" xfId="0" applyNumberFormat="1" applyFont="1" applyFill="1" applyBorder="1" applyAlignment="1">
      <alignment horizontal="right" vertical="center"/>
    </xf>
    <xf numFmtId="4" fontId="6" fillId="16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6" fillId="15" borderId="1" xfId="0" applyFont="1" applyFill="1" applyBorder="1" applyAlignment="1">
      <alignment horizontal="center" vertical="center" wrapText="1"/>
    </xf>
    <xf numFmtId="4" fontId="6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horizontal="center" vertical="center" wrapText="1"/>
    </xf>
    <xf numFmtId="4" fontId="6" fillId="15" borderId="1" xfId="0" applyNumberFormat="1" applyFont="1" applyFill="1" applyBorder="1" applyAlignment="1">
      <alignment horizontal="right" vertical="center"/>
    </xf>
    <xf numFmtId="4" fontId="6" fillId="9" borderId="1" xfId="0" applyNumberFormat="1" applyFont="1" applyFill="1" applyBorder="1" applyAlignment="1">
      <alignment horizontal="right" vertical="center"/>
    </xf>
    <xf numFmtId="165" fontId="8" fillId="15" borderId="1" xfId="0" applyNumberFormat="1" applyFont="1" applyFill="1" applyBorder="1" applyAlignment="1">
      <alignment horizontal="right" vertical="center"/>
    </xf>
    <xf numFmtId="166" fontId="6" fillId="15" borderId="1" xfId="0" applyNumberFormat="1" applyFont="1" applyFill="1" applyBorder="1" applyAlignment="1">
      <alignment horizontal="right" vertical="center"/>
    </xf>
    <xf numFmtId="0" fontId="6" fillId="19" borderId="1" xfId="0" applyFont="1" applyFill="1" applyBorder="1" applyAlignment="1">
      <alignment horizontal="center" vertical="center" wrapText="1"/>
    </xf>
    <xf numFmtId="166" fontId="8" fillId="15" borderId="1" xfId="0" applyNumberFormat="1" applyFont="1" applyFill="1" applyBorder="1" applyAlignment="1">
      <alignment horizontal="right" vertical="center"/>
    </xf>
    <xf numFmtId="0" fontId="6" fillId="15" borderId="0" xfId="0" applyFont="1" applyFill="1" applyAlignment="1">
      <alignment horizontal="center" vertical="center" wrapText="1"/>
    </xf>
    <xf numFmtId="164" fontId="8" fillId="15" borderId="1" xfId="0" applyNumberFormat="1" applyFont="1" applyFill="1" applyBorder="1" applyAlignment="1">
      <alignment horizontal="right" vertical="center"/>
    </xf>
    <xf numFmtId="167" fontId="8" fillId="15" borderId="1" xfId="0" applyNumberFormat="1" applyFont="1" applyFill="1" applyBorder="1" applyAlignment="1">
      <alignment horizontal="right" vertical="center"/>
    </xf>
    <xf numFmtId="168" fontId="6" fillId="18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 wrapText="1"/>
    </xf>
    <xf numFmtId="0" fontId="0" fillId="0" borderId="0" xfId="0"/>
    <xf numFmtId="0" fontId="4" fillId="17" borderId="3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5" fillId="3" borderId="0" xfId="0" applyFont="1" applyFill="1"/>
    <xf numFmtId="0" fontId="5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3"/>
  <sheetViews>
    <sheetView tabSelected="1" workbookViewId="0">
      <selection sqref="A1:N1"/>
    </sheetView>
  </sheetViews>
  <sheetFormatPr baseColWidth="10" defaultColWidth="8.88671875" defaultRowHeight="14.4" x14ac:dyDescent="0.3"/>
  <cols>
    <col min="1" max="1" width="11" customWidth="1"/>
    <col min="2" max="14" width="13" customWidth="1"/>
    <col min="15" max="15" width="3" customWidth="1"/>
    <col min="16" max="16" width="7" customWidth="1"/>
    <col min="17" max="18" width="11" customWidth="1"/>
    <col min="19" max="19" width="14" customWidth="1"/>
    <col min="20" max="21" width="6" customWidth="1"/>
    <col min="22" max="23" width="12" customWidth="1"/>
    <col min="24" max="24" width="3" customWidth="1"/>
    <col min="25" max="30" width="18" customWidth="1"/>
  </cols>
  <sheetData>
    <row r="1" spans="1:23" ht="25.95" customHeight="1" x14ac:dyDescent="0.3">
      <c r="A1" s="6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23" ht="18" customHeight="1" x14ac:dyDescent="0.3">
      <c r="A2" s="62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4" spans="1:23" ht="18" customHeight="1" x14ac:dyDescent="0.3">
      <c r="B4" s="58" t="s">
        <v>2</v>
      </c>
      <c r="C4" s="58" t="s">
        <v>3</v>
      </c>
      <c r="D4" s="58"/>
      <c r="E4" s="58" t="s">
        <v>4</v>
      </c>
      <c r="F4" s="58"/>
      <c r="G4" s="58" t="s">
        <v>5</v>
      </c>
      <c r="H4" s="58" t="s">
        <v>6</v>
      </c>
      <c r="I4" s="58" t="s">
        <v>7</v>
      </c>
      <c r="J4" s="58" t="s">
        <v>8</v>
      </c>
      <c r="K4" s="58" t="s">
        <v>9</v>
      </c>
      <c r="L4" s="58" t="s">
        <v>10</v>
      </c>
      <c r="M4" s="58" t="s">
        <v>11</v>
      </c>
      <c r="N4" s="58" t="s">
        <v>12</v>
      </c>
      <c r="P4" s="50" t="s">
        <v>13</v>
      </c>
      <c r="Q4" s="51"/>
      <c r="R4" s="51"/>
      <c r="S4" s="51"/>
      <c r="T4" s="51"/>
      <c r="U4" s="51"/>
      <c r="V4" s="51"/>
      <c r="W4" s="51"/>
    </row>
    <row r="5" spans="1:23" ht="18" customHeight="1" x14ac:dyDescent="0.3">
      <c r="B5" s="59"/>
      <c r="C5" s="2" t="s">
        <v>14</v>
      </c>
      <c r="D5" s="2" t="s">
        <v>15</v>
      </c>
      <c r="E5" s="2" t="s">
        <v>14</v>
      </c>
      <c r="F5" s="2" t="s">
        <v>15</v>
      </c>
      <c r="G5" s="59"/>
      <c r="H5" s="59"/>
      <c r="I5" s="59"/>
      <c r="J5" s="59"/>
      <c r="K5" s="59"/>
      <c r="L5" s="59"/>
      <c r="M5" s="59"/>
      <c r="N5" s="59"/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</row>
    <row r="6" spans="1:23" ht="19.05" customHeight="1" x14ac:dyDescent="0.3">
      <c r="B6" s="3">
        <v>1</v>
      </c>
      <c r="C6" s="4">
        <f t="shared" ref="C6:C13" si="0">IF(C17="","", IFERROR(VLOOKUP(C17, $P$6:$W$9, 2, FALSE), ""))</f>
        <v>0</v>
      </c>
      <c r="D6" s="4">
        <f t="shared" ref="D6:D13" si="1">IF(C17="","", IFERROR(VLOOKUP(C17, $P$6:$W$9, 3, FALSE), ""))</f>
        <v>0</v>
      </c>
      <c r="E6" s="4">
        <f t="shared" ref="E6:E13" si="2">IF(F17="","", IFERROR(VLOOKUP(F17, $P$6:$W$9, 2, FALSE), ""))</f>
        <v>-400</v>
      </c>
      <c r="F6" s="4">
        <f t="shared" ref="F6:F13" si="3">IF(F17="","", IFERROR(VLOOKUP(F17, $P$6:$W$9, 3, FALSE), ""))</f>
        <v>500</v>
      </c>
      <c r="G6" s="5">
        <f t="shared" ref="G6:H13" si="4">IF(OR(C6="",E6=""), "", E6-C6)</f>
        <v>-400</v>
      </c>
      <c r="H6" s="5">
        <f t="shared" si="4"/>
        <v>500</v>
      </c>
      <c r="I6" s="6">
        <f t="shared" ref="I6:I13" si="5">IF(OR(G6="",H6=""), "", SQRT(G6^2+H6^2))</f>
        <v>640.31242374328485</v>
      </c>
      <c r="J6" s="7">
        <f t="shared" ref="J6:J13" si="6">IF(OR(I6="",I6=0), "", G6/I6)</f>
        <v>-0.62469504755442429</v>
      </c>
      <c r="K6" s="7">
        <f t="shared" ref="K6:K13" si="7">IF(OR(I6="",I6=0), "", H6/I6)</f>
        <v>0.78086880944303039</v>
      </c>
      <c r="L6" s="4">
        <f t="shared" ref="L6:L13" si="8">IF(C17="","", 10)</f>
        <v>10</v>
      </c>
      <c r="M6" s="8">
        <f t="shared" ref="M6:M13" si="9">IF(C17="","", 2100000)</f>
        <v>2100000</v>
      </c>
      <c r="N6" s="6">
        <f t="shared" ref="N6:N13" si="10">IF(OR(I6="",I6=0,L6="",M6=""), 0, (L6*M6)/I6)</f>
        <v>32796.489996607277</v>
      </c>
      <c r="P6" s="9">
        <v>1</v>
      </c>
      <c r="Q6" s="4">
        <v>0</v>
      </c>
      <c r="R6" s="4">
        <v>0</v>
      </c>
      <c r="S6" s="10" t="s">
        <v>24</v>
      </c>
      <c r="T6" s="9">
        <f>IF(Q6="","", IF(LEFT(UPPER(TRIM(S6)),4)="FIJO", 1, IF(OR(UPPER(TRIM(S6))="MOVIL X", UPPER(TRIM(S6))="MÓVIL X", UPPER(TRIM(S6))="RODILLO X"), 1, 0)))</f>
        <v>0</v>
      </c>
      <c r="U6" s="9">
        <f>IF(Q6="","", IF(LEFT(UPPER(TRIM(S6)),4)="FIJO", 1, IF(OR(UPPER(TRIM(S6))="MOVIL Y", UPPER(TRIM(S6))="MÓVIL Y", UPPER(TRIM(S6))="RODILLO Y", UPPER(TRIM(S6))="MOVIL", UPPER(TRIM(S6))="MÓVIL"), 1, 0)))</f>
        <v>1</v>
      </c>
      <c r="V6" s="4">
        <v>0</v>
      </c>
      <c r="W6" s="4">
        <v>0</v>
      </c>
    </row>
    <row r="7" spans="1:23" ht="19.05" customHeight="1" x14ac:dyDescent="0.3">
      <c r="B7" s="11">
        <v>2</v>
      </c>
      <c r="C7" s="4">
        <f t="shared" si="0"/>
        <v>-700</v>
      </c>
      <c r="D7" s="4">
        <f t="shared" si="1"/>
        <v>0</v>
      </c>
      <c r="E7" s="4">
        <f t="shared" si="2"/>
        <v>-400</v>
      </c>
      <c r="F7" s="4">
        <f t="shared" si="3"/>
        <v>500</v>
      </c>
      <c r="G7" s="5">
        <f t="shared" si="4"/>
        <v>300</v>
      </c>
      <c r="H7" s="5">
        <f t="shared" si="4"/>
        <v>500</v>
      </c>
      <c r="I7" s="6">
        <f t="shared" si="5"/>
        <v>583.09518948453001</v>
      </c>
      <c r="J7" s="7">
        <f t="shared" si="6"/>
        <v>0.51449575542752657</v>
      </c>
      <c r="K7" s="7">
        <f t="shared" si="7"/>
        <v>0.85749292571254421</v>
      </c>
      <c r="L7" s="4">
        <f t="shared" si="8"/>
        <v>10</v>
      </c>
      <c r="M7" s="8">
        <f t="shared" si="9"/>
        <v>2100000</v>
      </c>
      <c r="N7" s="6">
        <f t="shared" si="10"/>
        <v>36014.702879926859</v>
      </c>
      <c r="P7" s="9">
        <v>2</v>
      </c>
      <c r="Q7" s="4">
        <v>-700</v>
      </c>
      <c r="R7" s="4">
        <v>0</v>
      </c>
      <c r="S7" s="10" t="s">
        <v>25</v>
      </c>
      <c r="T7" s="9">
        <f>IF(Q7="","", IF(LEFT(UPPER(TRIM(S7)),4)="FIJO", 1, IF(OR(UPPER(TRIM(S7))="MOVIL X", UPPER(TRIM(S7))="MÓVIL X", UPPER(TRIM(S7))="RODILLO X"), 1, 0)))</f>
        <v>1</v>
      </c>
      <c r="U7" s="9">
        <f>IF(Q7="","", IF(LEFT(UPPER(TRIM(S7)),4)="FIJO", 1, IF(OR(UPPER(TRIM(S7))="MOVIL Y", UPPER(TRIM(S7))="MÓVIL Y", UPPER(TRIM(S7))="RODILLO Y", UPPER(TRIM(S7))="MOVIL", UPPER(TRIM(S7))="MÓVIL"), 1, 0)))</f>
        <v>1</v>
      </c>
      <c r="V7" s="4">
        <v>0</v>
      </c>
      <c r="W7" s="4">
        <v>0</v>
      </c>
    </row>
    <row r="8" spans="1:23" ht="19.05" customHeight="1" x14ac:dyDescent="0.3">
      <c r="B8" s="12">
        <v>3</v>
      </c>
      <c r="C8" s="4">
        <f t="shared" si="0"/>
        <v>-700</v>
      </c>
      <c r="D8" s="4">
        <f t="shared" si="1"/>
        <v>0</v>
      </c>
      <c r="E8" s="4">
        <f t="shared" si="2"/>
        <v>0</v>
      </c>
      <c r="F8" s="4">
        <f t="shared" si="3"/>
        <v>0</v>
      </c>
      <c r="G8" s="5">
        <f t="shared" si="4"/>
        <v>700</v>
      </c>
      <c r="H8" s="5">
        <f t="shared" si="4"/>
        <v>0</v>
      </c>
      <c r="I8" s="6">
        <f t="shared" si="5"/>
        <v>700</v>
      </c>
      <c r="J8" s="7">
        <f t="shared" si="6"/>
        <v>1</v>
      </c>
      <c r="K8" s="7">
        <f t="shared" si="7"/>
        <v>0</v>
      </c>
      <c r="L8" s="4">
        <f t="shared" si="8"/>
        <v>10</v>
      </c>
      <c r="M8" s="8">
        <f t="shared" si="9"/>
        <v>2100000</v>
      </c>
      <c r="N8" s="6">
        <f t="shared" si="10"/>
        <v>30000</v>
      </c>
      <c r="P8" s="9">
        <v>3</v>
      </c>
      <c r="Q8" s="4">
        <v>-400</v>
      </c>
      <c r="R8" s="4">
        <v>500</v>
      </c>
      <c r="S8" s="10" t="s">
        <v>26</v>
      </c>
      <c r="T8" s="9">
        <f>IF(Q8="","", IF(LEFT(UPPER(TRIM(S8)),4)="FIJO", 1, IF(OR(UPPER(TRIM(S8))="MOVIL X", UPPER(TRIM(S8))="MÓVIL X", UPPER(TRIM(S8))="RODILLO X"), 1, 0)))</f>
        <v>0</v>
      </c>
      <c r="U8" s="9">
        <f>IF(Q8="","", IF(LEFT(UPPER(TRIM(S8)),4)="FIJO", 1, IF(OR(UPPER(TRIM(S8))="MOVIL Y", UPPER(TRIM(S8))="MÓVIL Y", UPPER(TRIM(S8))="RODILLO Y", UPPER(TRIM(S8))="MOVIL", UPPER(TRIM(S8))="MÓVIL"), 1, 0)))</f>
        <v>0</v>
      </c>
      <c r="V8" s="4">
        <v>4000</v>
      </c>
      <c r="W8" s="4">
        <v>-5000</v>
      </c>
    </row>
    <row r="9" spans="1:23" ht="19.05" customHeight="1" x14ac:dyDescent="0.3">
      <c r="B9" s="13">
        <v>4</v>
      </c>
      <c r="C9" s="4" t="str">
        <f t="shared" si="0"/>
        <v/>
      </c>
      <c r="D9" s="4" t="str">
        <f t="shared" si="1"/>
        <v/>
      </c>
      <c r="E9" s="4" t="str">
        <f t="shared" si="2"/>
        <v/>
      </c>
      <c r="F9" s="4" t="str">
        <f t="shared" si="3"/>
        <v/>
      </c>
      <c r="G9" s="5" t="str">
        <f t="shared" si="4"/>
        <v/>
      </c>
      <c r="H9" s="5" t="str">
        <f t="shared" si="4"/>
        <v/>
      </c>
      <c r="I9" s="6" t="str">
        <f t="shared" si="5"/>
        <v/>
      </c>
      <c r="J9" s="7" t="str">
        <f t="shared" si="6"/>
        <v/>
      </c>
      <c r="K9" s="7" t="str">
        <f t="shared" si="7"/>
        <v/>
      </c>
      <c r="L9" s="4" t="str">
        <f t="shared" si="8"/>
        <v/>
      </c>
      <c r="M9" s="8" t="str">
        <f t="shared" si="9"/>
        <v/>
      </c>
      <c r="N9" s="6">
        <f t="shared" si="10"/>
        <v>0</v>
      </c>
      <c r="P9" s="9">
        <v>4</v>
      </c>
      <c r="Q9" s="4"/>
      <c r="R9" s="4"/>
      <c r="S9" s="10" t="s">
        <v>26</v>
      </c>
      <c r="T9" s="9" t="str">
        <f>IF(Q9="","", IF(LEFT(UPPER(TRIM(S9)),4)="FIJO", 1, IF(OR(UPPER(TRIM(S9))="MOVIL X", UPPER(TRIM(S9))="MÓVIL X", UPPER(TRIM(S9))="RODILLO X"), 1, 0)))</f>
        <v/>
      </c>
      <c r="U9" s="9" t="str">
        <f>IF(Q9="","", IF(LEFT(UPPER(TRIM(S9)),4)="FIJO", 1, IF(OR(UPPER(TRIM(S9))="MOVIL Y", UPPER(TRIM(S9))="MÓVIL Y", UPPER(TRIM(S9))="RODILLO Y", UPPER(TRIM(S9))="MOVIL", UPPER(TRIM(S9))="MÓVIL"), 1, 0)))</f>
        <v/>
      </c>
      <c r="V9" s="4"/>
      <c r="W9" s="4"/>
    </row>
    <row r="10" spans="1:23" ht="19.05" customHeight="1" x14ac:dyDescent="0.3">
      <c r="B10" s="14">
        <v>5</v>
      </c>
      <c r="C10" s="4" t="str">
        <f t="shared" si="0"/>
        <v/>
      </c>
      <c r="D10" s="4" t="str">
        <f t="shared" si="1"/>
        <v/>
      </c>
      <c r="E10" s="4" t="str">
        <f t="shared" si="2"/>
        <v/>
      </c>
      <c r="F10" s="4" t="str">
        <f t="shared" si="3"/>
        <v/>
      </c>
      <c r="G10" s="5" t="str">
        <f t="shared" si="4"/>
        <v/>
      </c>
      <c r="H10" s="5" t="str">
        <f t="shared" si="4"/>
        <v/>
      </c>
      <c r="I10" s="6" t="str">
        <f t="shared" si="5"/>
        <v/>
      </c>
      <c r="J10" s="7" t="str">
        <f t="shared" si="6"/>
        <v/>
      </c>
      <c r="K10" s="7" t="str">
        <f t="shared" si="7"/>
        <v/>
      </c>
      <c r="L10" s="4" t="str">
        <f t="shared" si="8"/>
        <v/>
      </c>
      <c r="M10" s="8" t="str">
        <f t="shared" si="9"/>
        <v/>
      </c>
      <c r="N10" s="6">
        <f t="shared" si="10"/>
        <v>0</v>
      </c>
    </row>
    <row r="11" spans="1:23" ht="19.05" customHeight="1" x14ac:dyDescent="0.3">
      <c r="B11" s="15">
        <v>6</v>
      </c>
      <c r="C11" s="4" t="str">
        <f t="shared" si="0"/>
        <v/>
      </c>
      <c r="D11" s="4" t="str">
        <f t="shared" si="1"/>
        <v/>
      </c>
      <c r="E11" s="4" t="str">
        <f t="shared" si="2"/>
        <v/>
      </c>
      <c r="F11" s="4" t="str">
        <f t="shared" si="3"/>
        <v/>
      </c>
      <c r="G11" s="5" t="str">
        <f t="shared" si="4"/>
        <v/>
      </c>
      <c r="H11" s="5" t="str">
        <f t="shared" si="4"/>
        <v/>
      </c>
      <c r="I11" s="6" t="str">
        <f t="shared" si="5"/>
        <v/>
      </c>
      <c r="J11" s="7" t="str">
        <f t="shared" si="6"/>
        <v/>
      </c>
      <c r="K11" s="7" t="str">
        <f t="shared" si="7"/>
        <v/>
      </c>
      <c r="L11" s="4" t="str">
        <f t="shared" si="8"/>
        <v/>
      </c>
      <c r="M11" s="8" t="str">
        <f t="shared" si="9"/>
        <v/>
      </c>
      <c r="N11" s="6">
        <f t="shared" si="10"/>
        <v>0</v>
      </c>
    </row>
    <row r="12" spans="1:23" ht="19.05" customHeight="1" x14ac:dyDescent="0.3">
      <c r="B12" s="16">
        <v>7</v>
      </c>
      <c r="C12" s="4" t="str">
        <f t="shared" si="0"/>
        <v/>
      </c>
      <c r="D12" s="4" t="str">
        <f t="shared" si="1"/>
        <v/>
      </c>
      <c r="E12" s="4" t="str">
        <f t="shared" si="2"/>
        <v/>
      </c>
      <c r="F12" s="4" t="str">
        <f t="shared" si="3"/>
        <v/>
      </c>
      <c r="G12" s="5" t="str">
        <f t="shared" si="4"/>
        <v/>
      </c>
      <c r="H12" s="5" t="str">
        <f t="shared" si="4"/>
        <v/>
      </c>
      <c r="I12" s="6" t="str">
        <f t="shared" si="5"/>
        <v/>
      </c>
      <c r="J12" s="7" t="str">
        <f t="shared" si="6"/>
        <v/>
      </c>
      <c r="K12" s="7" t="str">
        <f t="shared" si="7"/>
        <v/>
      </c>
      <c r="L12" s="4" t="str">
        <f t="shared" si="8"/>
        <v/>
      </c>
      <c r="M12" s="8" t="str">
        <f t="shared" si="9"/>
        <v/>
      </c>
      <c r="N12" s="6">
        <f t="shared" si="10"/>
        <v>0</v>
      </c>
    </row>
    <row r="13" spans="1:23" ht="19.05" customHeight="1" x14ac:dyDescent="0.3">
      <c r="B13" s="17">
        <v>8</v>
      </c>
      <c r="C13" s="4" t="str">
        <f t="shared" si="0"/>
        <v/>
      </c>
      <c r="D13" s="4" t="str">
        <f t="shared" si="1"/>
        <v/>
      </c>
      <c r="E13" s="4" t="str">
        <f t="shared" si="2"/>
        <v/>
      </c>
      <c r="F13" s="4" t="str">
        <f t="shared" si="3"/>
        <v/>
      </c>
      <c r="G13" s="5" t="str">
        <f t="shared" si="4"/>
        <v/>
      </c>
      <c r="H13" s="5" t="str">
        <f t="shared" si="4"/>
        <v/>
      </c>
      <c r="I13" s="6" t="str">
        <f t="shared" si="5"/>
        <v/>
      </c>
      <c r="J13" s="7" t="str">
        <f t="shared" si="6"/>
        <v/>
      </c>
      <c r="K13" s="7" t="str">
        <f t="shared" si="7"/>
        <v/>
      </c>
      <c r="L13" s="4" t="str">
        <f t="shared" si="8"/>
        <v/>
      </c>
      <c r="M13" s="8" t="str">
        <f t="shared" si="9"/>
        <v/>
      </c>
      <c r="N13" s="6">
        <f t="shared" si="10"/>
        <v>0</v>
      </c>
    </row>
    <row r="15" spans="1:23" ht="19.95" customHeight="1" x14ac:dyDescent="0.35">
      <c r="B15" s="56" t="s">
        <v>27</v>
      </c>
      <c r="C15" s="51"/>
      <c r="D15" s="51"/>
      <c r="E15" s="51"/>
      <c r="F15" s="51"/>
      <c r="G15" s="51"/>
      <c r="H15" s="51"/>
    </row>
    <row r="16" spans="1:23" ht="18" customHeight="1" x14ac:dyDescent="0.3">
      <c r="B16" s="1" t="s">
        <v>2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33</v>
      </c>
    </row>
    <row r="17" spans="1:8" ht="19.05" customHeight="1" x14ac:dyDescent="0.3">
      <c r="B17" s="3">
        <v>1</v>
      </c>
      <c r="C17" s="18">
        <v>1</v>
      </c>
      <c r="D17" s="9" t="str">
        <f t="shared" ref="D17:D24" si="11">IF(C17="","", "U" &amp; C17 &amp; "X")</f>
        <v>U1X</v>
      </c>
      <c r="E17" s="9" t="str">
        <f t="shared" ref="E17:E24" si="12">IF(C17="","", "U" &amp; C17 &amp; "Y")</f>
        <v>U1Y</v>
      </c>
      <c r="F17" s="18">
        <v>3</v>
      </c>
      <c r="G17" s="9" t="str">
        <f t="shared" ref="G17:G24" si="13">IF(F17="","", "U" &amp; F17 &amp; "X")</f>
        <v>U3X</v>
      </c>
      <c r="H17" s="9" t="str">
        <f t="shared" ref="H17:H24" si="14">IF(F17="","", "U" &amp; F17 &amp; "Y")</f>
        <v>U3Y</v>
      </c>
    </row>
    <row r="18" spans="1:8" ht="19.05" customHeight="1" x14ac:dyDescent="0.3">
      <c r="B18" s="11">
        <v>2</v>
      </c>
      <c r="C18" s="18">
        <v>2</v>
      </c>
      <c r="D18" s="9" t="str">
        <f t="shared" si="11"/>
        <v>U2X</v>
      </c>
      <c r="E18" s="9" t="str">
        <f t="shared" si="12"/>
        <v>U2Y</v>
      </c>
      <c r="F18" s="18">
        <v>3</v>
      </c>
      <c r="G18" s="9" t="str">
        <f t="shared" si="13"/>
        <v>U3X</v>
      </c>
      <c r="H18" s="9" t="str">
        <f t="shared" si="14"/>
        <v>U3Y</v>
      </c>
    </row>
    <row r="19" spans="1:8" ht="19.05" customHeight="1" x14ac:dyDescent="0.3">
      <c r="B19" s="12">
        <v>3</v>
      </c>
      <c r="C19" s="18">
        <v>2</v>
      </c>
      <c r="D19" s="9" t="str">
        <f t="shared" si="11"/>
        <v>U2X</v>
      </c>
      <c r="E19" s="9" t="str">
        <f t="shared" si="12"/>
        <v>U2Y</v>
      </c>
      <c r="F19" s="18">
        <v>1</v>
      </c>
      <c r="G19" s="9" t="str">
        <f t="shared" si="13"/>
        <v>U1X</v>
      </c>
      <c r="H19" s="9" t="str">
        <f t="shared" si="14"/>
        <v>U1Y</v>
      </c>
    </row>
    <row r="20" spans="1:8" ht="19.05" customHeight="1" x14ac:dyDescent="0.3">
      <c r="B20" s="13">
        <v>4</v>
      </c>
      <c r="C20" s="18"/>
      <c r="D20" s="9" t="str">
        <f t="shared" si="11"/>
        <v/>
      </c>
      <c r="E20" s="9" t="str">
        <f t="shared" si="12"/>
        <v/>
      </c>
      <c r="F20" s="18"/>
      <c r="G20" s="9" t="str">
        <f t="shared" si="13"/>
        <v/>
      </c>
      <c r="H20" s="9" t="str">
        <f t="shared" si="14"/>
        <v/>
      </c>
    </row>
    <row r="21" spans="1:8" ht="19.05" customHeight="1" x14ac:dyDescent="0.3">
      <c r="B21" s="14">
        <v>5</v>
      </c>
      <c r="C21" s="18"/>
      <c r="D21" s="9" t="str">
        <f t="shared" si="11"/>
        <v/>
      </c>
      <c r="E21" s="9" t="str">
        <f t="shared" si="12"/>
        <v/>
      </c>
      <c r="F21" s="18"/>
      <c r="G21" s="9" t="str">
        <f t="shared" si="13"/>
        <v/>
      </c>
      <c r="H21" s="9" t="str">
        <f t="shared" si="14"/>
        <v/>
      </c>
    </row>
    <row r="22" spans="1:8" ht="19.05" customHeight="1" x14ac:dyDescent="0.3">
      <c r="B22" s="15">
        <v>6</v>
      </c>
      <c r="C22" s="18"/>
      <c r="D22" s="9" t="str">
        <f t="shared" si="11"/>
        <v/>
      </c>
      <c r="E22" s="9" t="str">
        <f t="shared" si="12"/>
        <v/>
      </c>
      <c r="F22" s="18"/>
      <c r="G22" s="9" t="str">
        <f t="shared" si="13"/>
        <v/>
      </c>
      <c r="H22" s="9" t="str">
        <f t="shared" si="14"/>
        <v/>
      </c>
    </row>
    <row r="23" spans="1:8" ht="19.05" customHeight="1" x14ac:dyDescent="0.3">
      <c r="B23" s="16">
        <v>7</v>
      </c>
      <c r="C23" s="18"/>
      <c r="D23" s="9" t="str">
        <f t="shared" si="11"/>
        <v/>
      </c>
      <c r="E23" s="9" t="str">
        <f t="shared" si="12"/>
        <v/>
      </c>
      <c r="F23" s="18"/>
      <c r="G23" s="9" t="str">
        <f t="shared" si="13"/>
        <v/>
      </c>
      <c r="H23" s="9" t="str">
        <f t="shared" si="14"/>
        <v/>
      </c>
    </row>
    <row r="24" spans="1:8" ht="19.05" customHeight="1" x14ac:dyDescent="0.3">
      <c r="B24" s="17">
        <v>8</v>
      </c>
      <c r="C24" s="18"/>
      <c r="D24" s="9" t="str">
        <f t="shared" si="11"/>
        <v/>
      </c>
      <c r="E24" s="9" t="str">
        <f t="shared" si="12"/>
        <v/>
      </c>
      <c r="F24" s="18"/>
      <c r="G24" s="9" t="str">
        <f t="shared" si="13"/>
        <v/>
      </c>
      <c r="H24" s="9" t="str">
        <f t="shared" si="14"/>
        <v/>
      </c>
    </row>
    <row r="27" spans="1:8" ht="19.05" customHeight="1" x14ac:dyDescent="0.3">
      <c r="A27" s="19" t="s">
        <v>34</v>
      </c>
      <c r="B27" s="3" t="str">
        <f>IF(D17="","-",D17)</f>
        <v>U1X</v>
      </c>
      <c r="C27" s="3" t="str">
        <f>IF(E17="","-",E17)</f>
        <v>U1Y</v>
      </c>
      <c r="D27" s="3" t="str">
        <f>IF(G17="","-",G17)</f>
        <v>U3X</v>
      </c>
      <c r="E27" s="3" t="str">
        <f>IF(H17="","-",H17)</f>
        <v>U3Y</v>
      </c>
    </row>
    <row r="28" spans="1:8" ht="18" customHeight="1" x14ac:dyDescent="0.3">
      <c r="B28" s="20">
        <f>IF(N6=0, 0, N6*J6*J6)</f>
        <v>12798.630242578451</v>
      </c>
      <c r="C28" s="20">
        <f>IF(N6=0, 0, N6*J6*K6)</f>
        <v>-15998.287803223064</v>
      </c>
      <c r="D28" s="20">
        <f>IF(N6=0, 0, -N6*J6*J6)</f>
        <v>-12798.630242578451</v>
      </c>
      <c r="E28" s="20">
        <f>IF(N6=0, 0, -N6*J6*K6)</f>
        <v>15998.287803223064</v>
      </c>
      <c r="F28" s="3" t="str">
        <f>IF(D17="","-",D17)</f>
        <v>U1X</v>
      </c>
    </row>
    <row r="29" spans="1:8" ht="18" customHeight="1" x14ac:dyDescent="0.3">
      <c r="B29" s="20">
        <f>IF(N6=0, 0, N6*J6*K6)</f>
        <v>-15998.287803223064</v>
      </c>
      <c r="C29" s="20">
        <f>IF(N6=0, 0, N6*K6*K6)</f>
        <v>19997.859754028832</v>
      </c>
      <c r="D29" s="20">
        <f>IF(N6=0, 0, -N6*J6*K6)</f>
        <v>15998.287803223064</v>
      </c>
      <c r="E29" s="20">
        <f>IF(N6=0, 0, -N6*K6*K6)</f>
        <v>-19997.859754028832</v>
      </c>
      <c r="F29" s="3" t="str">
        <f>IF(E17="","-",E17)</f>
        <v>U1Y</v>
      </c>
    </row>
    <row r="30" spans="1:8" ht="18" customHeight="1" x14ac:dyDescent="0.3">
      <c r="B30" s="20">
        <f>IF(N6=0, 0, -N6*J6*J6)</f>
        <v>-12798.630242578451</v>
      </c>
      <c r="C30" s="20">
        <f>IF(N6=0, 0, -N6*J6*K6)</f>
        <v>15998.287803223064</v>
      </c>
      <c r="D30" s="20">
        <f>IF(N6=0, 0, N6*J6*J6)</f>
        <v>12798.630242578451</v>
      </c>
      <c r="E30" s="20">
        <f>IF(N6=0, 0, N6*J6*K6)</f>
        <v>-15998.287803223064</v>
      </c>
      <c r="F30" s="3" t="str">
        <f>IF(G17="","-",G17)</f>
        <v>U3X</v>
      </c>
    </row>
    <row r="31" spans="1:8" ht="18" customHeight="1" x14ac:dyDescent="0.3">
      <c r="B31" s="20">
        <f>IF(N6=0, 0, -N6*J6*K6)</f>
        <v>15998.287803223064</v>
      </c>
      <c r="C31" s="20">
        <f>IF(N6=0, 0, -N6*K6*K6)</f>
        <v>-19997.859754028832</v>
      </c>
      <c r="D31" s="20">
        <f>IF(N6=0, 0, N6*J6*K6)</f>
        <v>-15998.287803223064</v>
      </c>
      <c r="E31" s="20">
        <f>IF(N6=0, 0, N6*K6*K6)</f>
        <v>19997.859754028832</v>
      </c>
      <c r="F31" s="3" t="str">
        <f>IF(H17="","-",H17)</f>
        <v>U3Y</v>
      </c>
    </row>
    <row r="33" spans="1:10" ht="19.05" customHeight="1" x14ac:dyDescent="0.3"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</row>
    <row r="34" spans="1:10" ht="19.05" customHeight="1" x14ac:dyDescent="0.3">
      <c r="B34" s="21">
        <f t="shared" ref="B34:I41" si="15">IFERROR(INDEX($B$28:$E$31, MATCH($J34, $B$27:$E$27, 0), MATCH(B$33, $B$27:$E$27, 0)), 0)</f>
        <v>12798.630242578451</v>
      </c>
      <c r="C34" s="21">
        <f t="shared" si="15"/>
        <v>-15998.287803223064</v>
      </c>
      <c r="D34" s="21">
        <f t="shared" si="15"/>
        <v>0</v>
      </c>
      <c r="E34" s="21">
        <f t="shared" si="15"/>
        <v>0</v>
      </c>
      <c r="F34" s="21">
        <f t="shared" si="15"/>
        <v>-12798.630242578451</v>
      </c>
      <c r="G34" s="21">
        <f t="shared" si="15"/>
        <v>15998.287803223064</v>
      </c>
      <c r="H34" s="21">
        <f t="shared" si="15"/>
        <v>0</v>
      </c>
      <c r="I34" s="21">
        <f t="shared" si="15"/>
        <v>0</v>
      </c>
      <c r="J34" s="3" t="s">
        <v>35</v>
      </c>
    </row>
    <row r="35" spans="1:10" ht="19.05" customHeight="1" x14ac:dyDescent="0.3">
      <c r="B35" s="21">
        <f t="shared" si="15"/>
        <v>-15998.287803223064</v>
      </c>
      <c r="C35" s="21">
        <f t="shared" si="15"/>
        <v>19997.859754028832</v>
      </c>
      <c r="D35" s="21">
        <f t="shared" si="15"/>
        <v>0</v>
      </c>
      <c r="E35" s="21">
        <f t="shared" si="15"/>
        <v>0</v>
      </c>
      <c r="F35" s="21">
        <f t="shared" si="15"/>
        <v>15998.287803223064</v>
      </c>
      <c r="G35" s="21">
        <f t="shared" si="15"/>
        <v>-19997.859754028832</v>
      </c>
      <c r="H35" s="21">
        <f t="shared" si="15"/>
        <v>0</v>
      </c>
      <c r="I35" s="21">
        <f t="shared" si="15"/>
        <v>0</v>
      </c>
      <c r="J35" s="3" t="s">
        <v>36</v>
      </c>
    </row>
    <row r="36" spans="1:10" ht="19.05" customHeight="1" x14ac:dyDescent="0.3">
      <c r="B36" s="21">
        <f t="shared" si="15"/>
        <v>0</v>
      </c>
      <c r="C36" s="21">
        <f t="shared" si="15"/>
        <v>0</v>
      </c>
      <c r="D36" s="21">
        <f t="shared" si="15"/>
        <v>0</v>
      </c>
      <c r="E36" s="21">
        <f t="shared" si="15"/>
        <v>0</v>
      </c>
      <c r="F36" s="21">
        <f t="shared" si="15"/>
        <v>0</v>
      </c>
      <c r="G36" s="21">
        <f t="shared" si="15"/>
        <v>0</v>
      </c>
      <c r="H36" s="21">
        <f t="shared" si="15"/>
        <v>0</v>
      </c>
      <c r="I36" s="21">
        <f t="shared" si="15"/>
        <v>0</v>
      </c>
      <c r="J36" s="3" t="s">
        <v>37</v>
      </c>
    </row>
    <row r="37" spans="1:10" ht="19.05" customHeight="1" x14ac:dyDescent="0.3">
      <c r="A37" s="19" t="s">
        <v>43</v>
      </c>
      <c r="B37" s="21">
        <f t="shared" si="15"/>
        <v>0</v>
      </c>
      <c r="C37" s="21">
        <f t="shared" si="15"/>
        <v>0</v>
      </c>
      <c r="D37" s="21">
        <f t="shared" si="15"/>
        <v>0</v>
      </c>
      <c r="E37" s="21">
        <f t="shared" si="15"/>
        <v>0</v>
      </c>
      <c r="F37" s="21">
        <f t="shared" si="15"/>
        <v>0</v>
      </c>
      <c r="G37" s="21">
        <f t="shared" si="15"/>
        <v>0</v>
      </c>
      <c r="H37" s="21">
        <f t="shared" si="15"/>
        <v>0</v>
      </c>
      <c r="I37" s="21">
        <f t="shared" si="15"/>
        <v>0</v>
      </c>
      <c r="J37" s="3" t="s">
        <v>38</v>
      </c>
    </row>
    <row r="38" spans="1:10" ht="19.05" customHeight="1" x14ac:dyDescent="0.3">
      <c r="B38" s="21">
        <f t="shared" si="15"/>
        <v>-12798.630242578451</v>
      </c>
      <c r="C38" s="21">
        <f t="shared" si="15"/>
        <v>15998.287803223064</v>
      </c>
      <c r="D38" s="21">
        <f t="shared" si="15"/>
        <v>0</v>
      </c>
      <c r="E38" s="21">
        <f t="shared" si="15"/>
        <v>0</v>
      </c>
      <c r="F38" s="21">
        <f t="shared" si="15"/>
        <v>12798.630242578451</v>
      </c>
      <c r="G38" s="21">
        <f t="shared" si="15"/>
        <v>-15998.287803223064</v>
      </c>
      <c r="H38" s="21">
        <f t="shared" si="15"/>
        <v>0</v>
      </c>
      <c r="I38" s="21">
        <f t="shared" si="15"/>
        <v>0</v>
      </c>
      <c r="J38" s="3" t="s">
        <v>39</v>
      </c>
    </row>
    <row r="39" spans="1:10" ht="19.05" customHeight="1" x14ac:dyDescent="0.3">
      <c r="B39" s="21">
        <f t="shared" si="15"/>
        <v>15998.287803223064</v>
      </c>
      <c r="C39" s="21">
        <f t="shared" si="15"/>
        <v>-19997.859754028832</v>
      </c>
      <c r="D39" s="21">
        <f t="shared" si="15"/>
        <v>0</v>
      </c>
      <c r="E39" s="21">
        <f t="shared" si="15"/>
        <v>0</v>
      </c>
      <c r="F39" s="21">
        <f t="shared" si="15"/>
        <v>-15998.287803223064</v>
      </c>
      <c r="G39" s="21">
        <f t="shared" si="15"/>
        <v>19997.859754028832</v>
      </c>
      <c r="H39" s="21">
        <f t="shared" si="15"/>
        <v>0</v>
      </c>
      <c r="I39" s="21">
        <f t="shared" si="15"/>
        <v>0</v>
      </c>
      <c r="J39" s="3" t="s">
        <v>40</v>
      </c>
    </row>
    <row r="40" spans="1:10" ht="19.05" customHeight="1" x14ac:dyDescent="0.3">
      <c r="B40" s="21">
        <f t="shared" si="15"/>
        <v>0</v>
      </c>
      <c r="C40" s="21">
        <f t="shared" si="15"/>
        <v>0</v>
      </c>
      <c r="D40" s="21">
        <f t="shared" si="15"/>
        <v>0</v>
      </c>
      <c r="E40" s="21">
        <f t="shared" si="15"/>
        <v>0</v>
      </c>
      <c r="F40" s="21">
        <f t="shared" si="15"/>
        <v>0</v>
      </c>
      <c r="G40" s="21">
        <f t="shared" si="15"/>
        <v>0</v>
      </c>
      <c r="H40" s="21">
        <f t="shared" si="15"/>
        <v>0</v>
      </c>
      <c r="I40" s="21">
        <f t="shared" si="15"/>
        <v>0</v>
      </c>
      <c r="J40" s="3" t="s">
        <v>41</v>
      </c>
    </row>
    <row r="41" spans="1:10" ht="19.05" customHeight="1" x14ac:dyDescent="0.3">
      <c r="B41" s="21">
        <f t="shared" si="15"/>
        <v>0</v>
      </c>
      <c r="C41" s="21">
        <f t="shared" si="15"/>
        <v>0</v>
      </c>
      <c r="D41" s="21">
        <f t="shared" si="15"/>
        <v>0</v>
      </c>
      <c r="E41" s="21">
        <f t="shared" si="15"/>
        <v>0</v>
      </c>
      <c r="F41" s="21">
        <f t="shared" si="15"/>
        <v>0</v>
      </c>
      <c r="G41" s="21">
        <f t="shared" si="15"/>
        <v>0</v>
      </c>
      <c r="H41" s="21">
        <f t="shared" si="15"/>
        <v>0</v>
      </c>
      <c r="I41" s="21">
        <f t="shared" si="15"/>
        <v>0</v>
      </c>
      <c r="J41" s="3" t="s">
        <v>42</v>
      </c>
    </row>
    <row r="44" spans="1:10" ht="19.05" customHeight="1" x14ac:dyDescent="0.3">
      <c r="A44" s="19" t="s">
        <v>44</v>
      </c>
      <c r="B44" s="11" t="str">
        <f>IF(D18="","-",D18)</f>
        <v>U2X</v>
      </c>
      <c r="C44" s="11" t="str">
        <f>IF(E18="","-",E18)</f>
        <v>U2Y</v>
      </c>
      <c r="D44" s="11" t="str">
        <f>IF(G18="","-",G18)</f>
        <v>U3X</v>
      </c>
      <c r="E44" s="11" t="str">
        <f>IF(H18="","-",H18)</f>
        <v>U3Y</v>
      </c>
    </row>
    <row r="45" spans="1:10" ht="18" customHeight="1" x14ac:dyDescent="0.3">
      <c r="B45" s="22">
        <f>IF(N7=0, 0, N7*J7*J7)</f>
        <v>9533.3037035100515</v>
      </c>
      <c r="C45" s="22">
        <f>IF(N7=0, 0, N7*J7*K7)</f>
        <v>15888.839505850086</v>
      </c>
      <c r="D45" s="22">
        <f>IF(N7=0, 0, -N7*J7*J7)</f>
        <v>-9533.3037035100515</v>
      </c>
      <c r="E45" s="22">
        <f>IF(N7=0, 0, -N7*J7*K7)</f>
        <v>-15888.839505850086</v>
      </c>
      <c r="F45" s="11" t="str">
        <f>IF(D18="","-",D18)</f>
        <v>U2X</v>
      </c>
    </row>
    <row r="46" spans="1:10" ht="18" customHeight="1" x14ac:dyDescent="0.3">
      <c r="B46" s="22">
        <f>IF(N7=0, 0, N7*J7*K7)</f>
        <v>15888.839505850086</v>
      </c>
      <c r="C46" s="22">
        <f>IF(N7=0, 0, N7*K7*K7)</f>
        <v>26481.399176416809</v>
      </c>
      <c r="D46" s="22">
        <f>IF(N7=0, 0, -N7*J7*K7)</f>
        <v>-15888.839505850086</v>
      </c>
      <c r="E46" s="22">
        <f>IF(N7=0, 0, -N7*K7*K7)</f>
        <v>-26481.399176416809</v>
      </c>
      <c r="F46" s="11" t="str">
        <f>IF(E18="","-",E18)</f>
        <v>U2Y</v>
      </c>
    </row>
    <row r="47" spans="1:10" ht="18" customHeight="1" x14ac:dyDescent="0.3">
      <c r="B47" s="22">
        <f>IF(N7=0, 0, -N7*J7*J7)</f>
        <v>-9533.3037035100515</v>
      </c>
      <c r="C47" s="22">
        <f>IF(N7=0, 0, -N7*J7*K7)</f>
        <v>-15888.839505850086</v>
      </c>
      <c r="D47" s="22">
        <f>IF(N7=0, 0, N7*J7*J7)</f>
        <v>9533.3037035100515</v>
      </c>
      <c r="E47" s="22">
        <f>IF(N7=0, 0, N7*J7*K7)</f>
        <v>15888.839505850086</v>
      </c>
      <c r="F47" s="11" t="str">
        <f>IF(G18="","-",G18)</f>
        <v>U3X</v>
      </c>
    </row>
    <row r="48" spans="1:10" ht="18" customHeight="1" x14ac:dyDescent="0.3">
      <c r="B48" s="22">
        <f>IF(N7=0, 0, -N7*J7*K7)</f>
        <v>-15888.839505850086</v>
      </c>
      <c r="C48" s="22">
        <f>IF(N7=0, 0, -N7*K7*K7)</f>
        <v>-26481.399176416809</v>
      </c>
      <c r="D48" s="22">
        <f>IF(N7=0, 0, N7*J7*K7)</f>
        <v>15888.839505850086</v>
      </c>
      <c r="E48" s="22">
        <f>IF(N7=0, 0, N7*K7*K7)</f>
        <v>26481.399176416809</v>
      </c>
      <c r="F48" s="11" t="str">
        <f>IF(H18="","-",H18)</f>
        <v>U3Y</v>
      </c>
    </row>
    <row r="50" spans="1:10" ht="19.05" customHeight="1" x14ac:dyDescent="0.3">
      <c r="B50" s="1" t="s">
        <v>35</v>
      </c>
      <c r="C50" s="1" t="s">
        <v>36</v>
      </c>
      <c r="D50" s="1" t="s">
        <v>37</v>
      </c>
      <c r="E50" s="1" t="s">
        <v>38</v>
      </c>
      <c r="F50" s="1" t="s">
        <v>39</v>
      </c>
      <c r="G50" s="1" t="s">
        <v>40</v>
      </c>
      <c r="H50" s="1" t="s">
        <v>41</v>
      </c>
      <c r="I50" s="1" t="s">
        <v>42</v>
      </c>
    </row>
    <row r="51" spans="1:10" ht="19.05" customHeight="1" x14ac:dyDescent="0.3">
      <c r="B51" s="21">
        <f t="shared" ref="B51:I58" si="16">IFERROR(INDEX($B$45:$E$48, MATCH($J51, $B$44:$E$44, 0), MATCH(B$50, $B$44:$E$44, 0)), 0)</f>
        <v>0</v>
      </c>
      <c r="C51" s="21">
        <f t="shared" si="16"/>
        <v>0</v>
      </c>
      <c r="D51" s="21">
        <f t="shared" si="16"/>
        <v>0</v>
      </c>
      <c r="E51" s="21">
        <f t="shared" si="16"/>
        <v>0</v>
      </c>
      <c r="F51" s="21">
        <f t="shared" si="16"/>
        <v>0</v>
      </c>
      <c r="G51" s="21">
        <f t="shared" si="16"/>
        <v>0</v>
      </c>
      <c r="H51" s="21">
        <f t="shared" si="16"/>
        <v>0</v>
      </c>
      <c r="I51" s="21">
        <f t="shared" si="16"/>
        <v>0</v>
      </c>
      <c r="J51" s="11" t="s">
        <v>35</v>
      </c>
    </row>
    <row r="52" spans="1:10" ht="19.05" customHeight="1" x14ac:dyDescent="0.3">
      <c r="B52" s="21">
        <f t="shared" si="16"/>
        <v>0</v>
      </c>
      <c r="C52" s="21">
        <f t="shared" si="16"/>
        <v>0</v>
      </c>
      <c r="D52" s="21">
        <f t="shared" si="16"/>
        <v>0</v>
      </c>
      <c r="E52" s="21">
        <f t="shared" si="16"/>
        <v>0</v>
      </c>
      <c r="F52" s="21">
        <f t="shared" si="16"/>
        <v>0</v>
      </c>
      <c r="G52" s="21">
        <f t="shared" si="16"/>
        <v>0</v>
      </c>
      <c r="H52" s="21">
        <f t="shared" si="16"/>
        <v>0</v>
      </c>
      <c r="I52" s="21">
        <f t="shared" si="16"/>
        <v>0</v>
      </c>
      <c r="J52" s="11" t="s">
        <v>36</v>
      </c>
    </row>
    <row r="53" spans="1:10" ht="19.05" customHeight="1" x14ac:dyDescent="0.3">
      <c r="B53" s="21">
        <f t="shared" si="16"/>
        <v>0</v>
      </c>
      <c r="C53" s="21">
        <f t="shared" si="16"/>
        <v>0</v>
      </c>
      <c r="D53" s="21">
        <f t="shared" si="16"/>
        <v>9533.3037035100515</v>
      </c>
      <c r="E53" s="21">
        <f t="shared" si="16"/>
        <v>15888.839505850086</v>
      </c>
      <c r="F53" s="21">
        <f t="shared" si="16"/>
        <v>-9533.3037035100515</v>
      </c>
      <c r="G53" s="21">
        <f t="shared" si="16"/>
        <v>-15888.839505850086</v>
      </c>
      <c r="H53" s="21">
        <f t="shared" si="16"/>
        <v>0</v>
      </c>
      <c r="I53" s="21">
        <f t="shared" si="16"/>
        <v>0</v>
      </c>
      <c r="J53" s="11" t="s">
        <v>37</v>
      </c>
    </row>
    <row r="54" spans="1:10" ht="19.05" customHeight="1" x14ac:dyDescent="0.3">
      <c r="A54" s="19" t="s">
        <v>45</v>
      </c>
      <c r="B54" s="21">
        <f t="shared" si="16"/>
        <v>0</v>
      </c>
      <c r="C54" s="21">
        <f t="shared" si="16"/>
        <v>0</v>
      </c>
      <c r="D54" s="21">
        <f t="shared" si="16"/>
        <v>15888.839505850086</v>
      </c>
      <c r="E54" s="21">
        <f t="shared" si="16"/>
        <v>26481.399176416809</v>
      </c>
      <c r="F54" s="21">
        <f t="shared" si="16"/>
        <v>-15888.839505850086</v>
      </c>
      <c r="G54" s="21">
        <f t="shared" si="16"/>
        <v>-26481.399176416809</v>
      </c>
      <c r="H54" s="21">
        <f t="shared" si="16"/>
        <v>0</v>
      </c>
      <c r="I54" s="21">
        <f t="shared" si="16"/>
        <v>0</v>
      </c>
      <c r="J54" s="11" t="s">
        <v>38</v>
      </c>
    </row>
    <row r="55" spans="1:10" ht="19.05" customHeight="1" x14ac:dyDescent="0.3">
      <c r="B55" s="21">
        <f t="shared" si="16"/>
        <v>0</v>
      </c>
      <c r="C55" s="21">
        <f t="shared" si="16"/>
        <v>0</v>
      </c>
      <c r="D55" s="21">
        <f t="shared" si="16"/>
        <v>-9533.3037035100515</v>
      </c>
      <c r="E55" s="21">
        <f t="shared" si="16"/>
        <v>-15888.839505850086</v>
      </c>
      <c r="F55" s="21">
        <f t="shared" si="16"/>
        <v>9533.3037035100515</v>
      </c>
      <c r="G55" s="21">
        <f t="shared" si="16"/>
        <v>15888.839505850086</v>
      </c>
      <c r="H55" s="21">
        <f t="shared" si="16"/>
        <v>0</v>
      </c>
      <c r="I55" s="21">
        <f t="shared" si="16"/>
        <v>0</v>
      </c>
      <c r="J55" s="11" t="s">
        <v>39</v>
      </c>
    </row>
    <row r="56" spans="1:10" ht="19.05" customHeight="1" x14ac:dyDescent="0.3">
      <c r="B56" s="21">
        <f t="shared" si="16"/>
        <v>0</v>
      </c>
      <c r="C56" s="21">
        <f t="shared" si="16"/>
        <v>0</v>
      </c>
      <c r="D56" s="21">
        <f t="shared" si="16"/>
        <v>-15888.839505850086</v>
      </c>
      <c r="E56" s="21">
        <f t="shared" si="16"/>
        <v>-26481.399176416809</v>
      </c>
      <c r="F56" s="21">
        <f t="shared" si="16"/>
        <v>15888.839505850086</v>
      </c>
      <c r="G56" s="21">
        <f t="shared" si="16"/>
        <v>26481.399176416809</v>
      </c>
      <c r="H56" s="21">
        <f t="shared" si="16"/>
        <v>0</v>
      </c>
      <c r="I56" s="21">
        <f t="shared" si="16"/>
        <v>0</v>
      </c>
      <c r="J56" s="11" t="s">
        <v>40</v>
      </c>
    </row>
    <row r="57" spans="1:10" ht="19.05" customHeight="1" x14ac:dyDescent="0.3">
      <c r="B57" s="21">
        <f t="shared" si="16"/>
        <v>0</v>
      </c>
      <c r="C57" s="21">
        <f t="shared" si="16"/>
        <v>0</v>
      </c>
      <c r="D57" s="21">
        <f t="shared" si="16"/>
        <v>0</v>
      </c>
      <c r="E57" s="21">
        <f t="shared" si="16"/>
        <v>0</v>
      </c>
      <c r="F57" s="21">
        <f t="shared" si="16"/>
        <v>0</v>
      </c>
      <c r="G57" s="21">
        <f t="shared" si="16"/>
        <v>0</v>
      </c>
      <c r="H57" s="21">
        <f t="shared" si="16"/>
        <v>0</v>
      </c>
      <c r="I57" s="21">
        <f t="shared" si="16"/>
        <v>0</v>
      </c>
      <c r="J57" s="11" t="s">
        <v>41</v>
      </c>
    </row>
    <row r="58" spans="1:10" ht="19.05" customHeight="1" x14ac:dyDescent="0.3">
      <c r="B58" s="21">
        <f t="shared" si="16"/>
        <v>0</v>
      </c>
      <c r="C58" s="21">
        <f t="shared" si="16"/>
        <v>0</v>
      </c>
      <c r="D58" s="21">
        <f t="shared" si="16"/>
        <v>0</v>
      </c>
      <c r="E58" s="21">
        <f t="shared" si="16"/>
        <v>0</v>
      </c>
      <c r="F58" s="21">
        <f t="shared" si="16"/>
        <v>0</v>
      </c>
      <c r="G58" s="21">
        <f t="shared" si="16"/>
        <v>0</v>
      </c>
      <c r="H58" s="21">
        <f t="shared" si="16"/>
        <v>0</v>
      </c>
      <c r="I58" s="21">
        <f t="shared" si="16"/>
        <v>0</v>
      </c>
      <c r="J58" s="11" t="s">
        <v>42</v>
      </c>
    </row>
    <row r="61" spans="1:10" ht="19.05" customHeight="1" x14ac:dyDescent="0.3">
      <c r="A61" s="19" t="s">
        <v>46</v>
      </c>
      <c r="B61" s="12" t="str">
        <f>IF(D19="","-",D19)</f>
        <v>U2X</v>
      </c>
      <c r="C61" s="12" t="str">
        <f>IF(E19="","-",E19)</f>
        <v>U2Y</v>
      </c>
      <c r="D61" s="12" t="str">
        <f>IF(G19="","-",G19)</f>
        <v>U1X</v>
      </c>
      <c r="E61" s="12" t="str">
        <f>IF(H19="","-",H19)</f>
        <v>U1Y</v>
      </c>
    </row>
    <row r="62" spans="1:10" ht="18" customHeight="1" x14ac:dyDescent="0.3">
      <c r="B62" s="23">
        <f>IF(N8=0, 0, N8*J8*J8)</f>
        <v>30000</v>
      </c>
      <c r="C62" s="23">
        <f>IF(N8=0, 0, N8*J8*K8)</f>
        <v>0</v>
      </c>
      <c r="D62" s="23">
        <f>IF(N8=0, 0, -N8*J8*J8)</f>
        <v>-30000</v>
      </c>
      <c r="E62" s="23">
        <f>IF(N8=0, 0, -N8*J8*K8)</f>
        <v>0</v>
      </c>
      <c r="F62" s="12" t="str">
        <f>IF(D19="","-",D19)</f>
        <v>U2X</v>
      </c>
    </row>
    <row r="63" spans="1:10" ht="18" customHeight="1" x14ac:dyDescent="0.3">
      <c r="B63" s="23">
        <f>IF(N8=0, 0, N8*J8*K8)</f>
        <v>0</v>
      </c>
      <c r="C63" s="23">
        <f>IF(N8=0, 0, N8*K8*K8)</f>
        <v>0</v>
      </c>
      <c r="D63" s="23">
        <f>IF(N8=0, 0, -N8*J8*K8)</f>
        <v>0</v>
      </c>
      <c r="E63" s="23">
        <f>IF(N8=0, 0, -N8*K8*K8)</f>
        <v>0</v>
      </c>
      <c r="F63" s="12" t="str">
        <f>IF(E19="","-",E19)</f>
        <v>U2Y</v>
      </c>
    </row>
    <row r="64" spans="1:10" ht="18" customHeight="1" x14ac:dyDescent="0.3">
      <c r="B64" s="23">
        <f>IF(N8=0, 0, -N8*J8*J8)</f>
        <v>-30000</v>
      </c>
      <c r="C64" s="23">
        <f>IF(N8=0, 0, -N8*J8*K8)</f>
        <v>0</v>
      </c>
      <c r="D64" s="23">
        <f>IF(N8=0, 0, N8*J8*J8)</f>
        <v>30000</v>
      </c>
      <c r="E64" s="23">
        <f>IF(N8=0, 0, N8*J8*K8)</f>
        <v>0</v>
      </c>
      <c r="F64" s="12" t="str">
        <f>IF(G19="","-",G19)</f>
        <v>U1X</v>
      </c>
    </row>
    <row r="65" spans="1:10" ht="18" customHeight="1" x14ac:dyDescent="0.3">
      <c r="B65" s="23">
        <f>IF(N8=0, 0, -N8*J8*K8)</f>
        <v>0</v>
      </c>
      <c r="C65" s="23">
        <f>IF(N8=0, 0, -N8*K8*K8)</f>
        <v>0</v>
      </c>
      <c r="D65" s="23">
        <f>IF(N8=0, 0, N8*J8*K8)</f>
        <v>0</v>
      </c>
      <c r="E65" s="23">
        <f>IF(N8=0, 0, N8*K8*K8)</f>
        <v>0</v>
      </c>
      <c r="F65" s="12" t="str">
        <f>IF(H19="","-",H19)</f>
        <v>U1Y</v>
      </c>
    </row>
    <row r="67" spans="1:10" ht="19.05" customHeight="1" x14ac:dyDescent="0.3">
      <c r="B67" s="1" t="s">
        <v>35</v>
      </c>
      <c r="C67" s="1" t="s">
        <v>36</v>
      </c>
      <c r="D67" s="1" t="s">
        <v>37</v>
      </c>
      <c r="E67" s="1" t="s">
        <v>38</v>
      </c>
      <c r="F67" s="1" t="s">
        <v>39</v>
      </c>
      <c r="G67" s="1" t="s">
        <v>40</v>
      </c>
      <c r="H67" s="1" t="s">
        <v>41</v>
      </c>
      <c r="I67" s="1" t="s">
        <v>42</v>
      </c>
    </row>
    <row r="68" spans="1:10" ht="19.05" customHeight="1" x14ac:dyDescent="0.3">
      <c r="B68" s="21">
        <f t="shared" ref="B68:I75" si="17">IFERROR(INDEX($B$62:$E$65, MATCH($J68, $B$61:$E$61, 0), MATCH(B$67, $B$61:$E$61, 0)), 0)</f>
        <v>30000</v>
      </c>
      <c r="C68" s="21">
        <f t="shared" si="17"/>
        <v>0</v>
      </c>
      <c r="D68" s="21">
        <f t="shared" si="17"/>
        <v>-30000</v>
      </c>
      <c r="E68" s="21">
        <f t="shared" si="17"/>
        <v>0</v>
      </c>
      <c r="F68" s="21">
        <f t="shared" si="17"/>
        <v>0</v>
      </c>
      <c r="G68" s="21">
        <f t="shared" si="17"/>
        <v>0</v>
      </c>
      <c r="H68" s="21">
        <f t="shared" si="17"/>
        <v>0</v>
      </c>
      <c r="I68" s="21">
        <f t="shared" si="17"/>
        <v>0</v>
      </c>
      <c r="J68" s="12" t="s">
        <v>35</v>
      </c>
    </row>
    <row r="69" spans="1:10" ht="19.05" customHeight="1" x14ac:dyDescent="0.3">
      <c r="B69" s="21">
        <f t="shared" si="17"/>
        <v>0</v>
      </c>
      <c r="C69" s="21">
        <f t="shared" si="17"/>
        <v>0</v>
      </c>
      <c r="D69" s="21">
        <f t="shared" si="17"/>
        <v>0</v>
      </c>
      <c r="E69" s="21">
        <f t="shared" si="17"/>
        <v>0</v>
      </c>
      <c r="F69" s="21">
        <f t="shared" si="17"/>
        <v>0</v>
      </c>
      <c r="G69" s="21">
        <f t="shared" si="17"/>
        <v>0</v>
      </c>
      <c r="H69" s="21">
        <f t="shared" si="17"/>
        <v>0</v>
      </c>
      <c r="I69" s="21">
        <f t="shared" si="17"/>
        <v>0</v>
      </c>
      <c r="J69" s="12" t="s">
        <v>36</v>
      </c>
    </row>
    <row r="70" spans="1:10" ht="19.05" customHeight="1" x14ac:dyDescent="0.3">
      <c r="B70" s="21">
        <f t="shared" si="17"/>
        <v>-30000</v>
      </c>
      <c r="C70" s="21">
        <f t="shared" si="17"/>
        <v>0</v>
      </c>
      <c r="D70" s="21">
        <f t="shared" si="17"/>
        <v>30000</v>
      </c>
      <c r="E70" s="21">
        <f t="shared" si="17"/>
        <v>0</v>
      </c>
      <c r="F70" s="21">
        <f t="shared" si="17"/>
        <v>0</v>
      </c>
      <c r="G70" s="21">
        <f t="shared" si="17"/>
        <v>0</v>
      </c>
      <c r="H70" s="21">
        <f t="shared" si="17"/>
        <v>0</v>
      </c>
      <c r="I70" s="21">
        <f t="shared" si="17"/>
        <v>0</v>
      </c>
      <c r="J70" s="12" t="s">
        <v>37</v>
      </c>
    </row>
    <row r="71" spans="1:10" ht="19.05" customHeight="1" x14ac:dyDescent="0.3">
      <c r="A71" s="19" t="s">
        <v>47</v>
      </c>
      <c r="B71" s="21">
        <f t="shared" si="17"/>
        <v>0</v>
      </c>
      <c r="C71" s="21">
        <f t="shared" si="17"/>
        <v>0</v>
      </c>
      <c r="D71" s="21">
        <f t="shared" si="17"/>
        <v>0</v>
      </c>
      <c r="E71" s="21">
        <f t="shared" si="17"/>
        <v>0</v>
      </c>
      <c r="F71" s="21">
        <f t="shared" si="17"/>
        <v>0</v>
      </c>
      <c r="G71" s="21">
        <f t="shared" si="17"/>
        <v>0</v>
      </c>
      <c r="H71" s="21">
        <f t="shared" si="17"/>
        <v>0</v>
      </c>
      <c r="I71" s="21">
        <f t="shared" si="17"/>
        <v>0</v>
      </c>
      <c r="J71" s="12" t="s">
        <v>38</v>
      </c>
    </row>
    <row r="72" spans="1:10" ht="19.05" customHeight="1" x14ac:dyDescent="0.3">
      <c r="B72" s="21">
        <f t="shared" si="17"/>
        <v>0</v>
      </c>
      <c r="C72" s="21">
        <f t="shared" si="17"/>
        <v>0</v>
      </c>
      <c r="D72" s="21">
        <f t="shared" si="17"/>
        <v>0</v>
      </c>
      <c r="E72" s="21">
        <f t="shared" si="17"/>
        <v>0</v>
      </c>
      <c r="F72" s="21">
        <f t="shared" si="17"/>
        <v>0</v>
      </c>
      <c r="G72" s="21">
        <f t="shared" si="17"/>
        <v>0</v>
      </c>
      <c r="H72" s="21">
        <f t="shared" si="17"/>
        <v>0</v>
      </c>
      <c r="I72" s="21">
        <f t="shared" si="17"/>
        <v>0</v>
      </c>
      <c r="J72" s="12" t="s">
        <v>39</v>
      </c>
    </row>
    <row r="73" spans="1:10" ht="19.05" customHeight="1" x14ac:dyDescent="0.3">
      <c r="B73" s="21">
        <f t="shared" si="17"/>
        <v>0</v>
      </c>
      <c r="C73" s="21">
        <f t="shared" si="17"/>
        <v>0</v>
      </c>
      <c r="D73" s="21">
        <f t="shared" si="17"/>
        <v>0</v>
      </c>
      <c r="E73" s="21">
        <f t="shared" si="17"/>
        <v>0</v>
      </c>
      <c r="F73" s="21">
        <f t="shared" si="17"/>
        <v>0</v>
      </c>
      <c r="G73" s="21">
        <f t="shared" si="17"/>
        <v>0</v>
      </c>
      <c r="H73" s="21">
        <f t="shared" si="17"/>
        <v>0</v>
      </c>
      <c r="I73" s="21">
        <f t="shared" si="17"/>
        <v>0</v>
      </c>
      <c r="J73" s="12" t="s">
        <v>40</v>
      </c>
    </row>
    <row r="74" spans="1:10" ht="19.05" customHeight="1" x14ac:dyDescent="0.3">
      <c r="B74" s="21">
        <f t="shared" si="17"/>
        <v>0</v>
      </c>
      <c r="C74" s="21">
        <f t="shared" si="17"/>
        <v>0</v>
      </c>
      <c r="D74" s="21">
        <f t="shared" si="17"/>
        <v>0</v>
      </c>
      <c r="E74" s="21">
        <f t="shared" si="17"/>
        <v>0</v>
      </c>
      <c r="F74" s="21">
        <f t="shared" si="17"/>
        <v>0</v>
      </c>
      <c r="G74" s="21">
        <f t="shared" si="17"/>
        <v>0</v>
      </c>
      <c r="H74" s="21">
        <f t="shared" si="17"/>
        <v>0</v>
      </c>
      <c r="I74" s="21">
        <f t="shared" si="17"/>
        <v>0</v>
      </c>
      <c r="J74" s="12" t="s">
        <v>41</v>
      </c>
    </row>
    <row r="75" spans="1:10" ht="19.05" customHeight="1" x14ac:dyDescent="0.3">
      <c r="B75" s="21">
        <f t="shared" si="17"/>
        <v>0</v>
      </c>
      <c r="C75" s="21">
        <f t="shared" si="17"/>
        <v>0</v>
      </c>
      <c r="D75" s="21">
        <f t="shared" si="17"/>
        <v>0</v>
      </c>
      <c r="E75" s="21">
        <f t="shared" si="17"/>
        <v>0</v>
      </c>
      <c r="F75" s="21">
        <f t="shared" si="17"/>
        <v>0</v>
      </c>
      <c r="G75" s="21">
        <f t="shared" si="17"/>
        <v>0</v>
      </c>
      <c r="H75" s="21">
        <f t="shared" si="17"/>
        <v>0</v>
      </c>
      <c r="I75" s="21">
        <f t="shared" si="17"/>
        <v>0</v>
      </c>
      <c r="J75" s="12" t="s">
        <v>42</v>
      </c>
    </row>
    <row r="78" spans="1:10" ht="19.05" customHeight="1" x14ac:dyDescent="0.3">
      <c r="A78" s="19" t="s">
        <v>48</v>
      </c>
      <c r="B78" s="13" t="str">
        <f>IF(D20="","-",D20)</f>
        <v>-</v>
      </c>
      <c r="C78" s="13" t="str">
        <f>IF(E20="","-",E20)</f>
        <v>-</v>
      </c>
      <c r="D78" s="13" t="str">
        <f>IF(G20="","-",G20)</f>
        <v>-</v>
      </c>
      <c r="E78" s="13" t="str">
        <f>IF(H20="","-",H20)</f>
        <v>-</v>
      </c>
    </row>
    <row r="79" spans="1:10" ht="18" customHeight="1" x14ac:dyDescent="0.3">
      <c r="B79" s="24">
        <f>IF(N9=0, 0, N9*J9*J9)</f>
        <v>0</v>
      </c>
      <c r="C79" s="24">
        <f>IF(N9=0, 0, N9*J9*K9)</f>
        <v>0</v>
      </c>
      <c r="D79" s="24">
        <f>IF(N9=0, 0, -N9*J9*J9)</f>
        <v>0</v>
      </c>
      <c r="E79" s="24">
        <f>IF(N9=0, 0, -N9*J9*K9)</f>
        <v>0</v>
      </c>
      <c r="F79" s="13" t="str">
        <f>IF(D20="","-",D20)</f>
        <v>-</v>
      </c>
    </row>
    <row r="80" spans="1:10" ht="18" customHeight="1" x14ac:dyDescent="0.3">
      <c r="B80" s="24">
        <f>IF(N9=0, 0, N9*J9*K9)</f>
        <v>0</v>
      </c>
      <c r="C80" s="24">
        <f>IF(N9=0, 0, N9*K9*K9)</f>
        <v>0</v>
      </c>
      <c r="D80" s="24">
        <f>IF(N9=0, 0, -N9*J9*K9)</f>
        <v>0</v>
      </c>
      <c r="E80" s="24">
        <f>IF(N9=0, 0, -N9*K9*K9)</f>
        <v>0</v>
      </c>
      <c r="F80" s="13" t="str">
        <f>IF(E20="","-",E20)</f>
        <v>-</v>
      </c>
    </row>
    <row r="81" spans="1:10" ht="18" customHeight="1" x14ac:dyDescent="0.3">
      <c r="B81" s="24">
        <f>IF(N9=0, 0, -N9*J9*J9)</f>
        <v>0</v>
      </c>
      <c r="C81" s="24">
        <f>IF(N9=0, 0, -N9*J9*K9)</f>
        <v>0</v>
      </c>
      <c r="D81" s="24">
        <f>IF(N9=0, 0, N9*J9*J9)</f>
        <v>0</v>
      </c>
      <c r="E81" s="24">
        <f>IF(N9=0, 0, N9*J9*K9)</f>
        <v>0</v>
      </c>
      <c r="F81" s="13" t="str">
        <f>IF(G20="","-",G20)</f>
        <v>-</v>
      </c>
    </row>
    <row r="82" spans="1:10" ht="18" customHeight="1" x14ac:dyDescent="0.3">
      <c r="B82" s="24">
        <f>IF(N9=0, 0, -N9*J9*K9)</f>
        <v>0</v>
      </c>
      <c r="C82" s="24">
        <f>IF(N9=0, 0, -N9*K9*K9)</f>
        <v>0</v>
      </c>
      <c r="D82" s="24">
        <f>IF(N9=0, 0, N9*J9*K9)</f>
        <v>0</v>
      </c>
      <c r="E82" s="24">
        <f>IF(N9=0, 0, N9*K9*K9)</f>
        <v>0</v>
      </c>
      <c r="F82" s="13" t="str">
        <f>IF(H20="","-",H20)</f>
        <v>-</v>
      </c>
    </row>
    <row r="84" spans="1:10" ht="19.05" customHeight="1" x14ac:dyDescent="0.3">
      <c r="B84" s="1" t="s">
        <v>35</v>
      </c>
      <c r="C84" s="1" t="s">
        <v>36</v>
      </c>
      <c r="D84" s="1" t="s">
        <v>37</v>
      </c>
      <c r="E84" s="1" t="s">
        <v>38</v>
      </c>
      <c r="F84" s="1" t="s">
        <v>39</v>
      </c>
      <c r="G84" s="1" t="s">
        <v>40</v>
      </c>
      <c r="H84" s="1" t="s">
        <v>41</v>
      </c>
      <c r="I84" s="1" t="s">
        <v>42</v>
      </c>
    </row>
    <row r="85" spans="1:10" ht="19.05" customHeight="1" x14ac:dyDescent="0.3">
      <c r="B85" s="21">
        <f t="shared" ref="B85:I92" si="18">IFERROR(INDEX($B$79:$E$82, MATCH($J85, $B$78:$E$78, 0), MATCH(B$84, $B$78:$E$78, 0)), 0)</f>
        <v>0</v>
      </c>
      <c r="C85" s="21">
        <f t="shared" si="18"/>
        <v>0</v>
      </c>
      <c r="D85" s="21">
        <f t="shared" si="18"/>
        <v>0</v>
      </c>
      <c r="E85" s="21">
        <f t="shared" si="18"/>
        <v>0</v>
      </c>
      <c r="F85" s="21">
        <f t="shared" si="18"/>
        <v>0</v>
      </c>
      <c r="G85" s="21">
        <f t="shared" si="18"/>
        <v>0</v>
      </c>
      <c r="H85" s="21">
        <f t="shared" si="18"/>
        <v>0</v>
      </c>
      <c r="I85" s="21">
        <f t="shared" si="18"/>
        <v>0</v>
      </c>
      <c r="J85" s="13" t="s">
        <v>35</v>
      </c>
    </row>
    <row r="86" spans="1:10" ht="19.05" customHeight="1" x14ac:dyDescent="0.3">
      <c r="B86" s="21">
        <f t="shared" si="18"/>
        <v>0</v>
      </c>
      <c r="C86" s="21">
        <f t="shared" si="18"/>
        <v>0</v>
      </c>
      <c r="D86" s="21">
        <f t="shared" si="18"/>
        <v>0</v>
      </c>
      <c r="E86" s="21">
        <f t="shared" si="18"/>
        <v>0</v>
      </c>
      <c r="F86" s="21">
        <f t="shared" si="18"/>
        <v>0</v>
      </c>
      <c r="G86" s="21">
        <f t="shared" si="18"/>
        <v>0</v>
      </c>
      <c r="H86" s="21">
        <f t="shared" si="18"/>
        <v>0</v>
      </c>
      <c r="I86" s="21">
        <f t="shared" si="18"/>
        <v>0</v>
      </c>
      <c r="J86" s="13" t="s">
        <v>36</v>
      </c>
    </row>
    <row r="87" spans="1:10" ht="19.05" customHeight="1" x14ac:dyDescent="0.3">
      <c r="B87" s="21">
        <f t="shared" si="18"/>
        <v>0</v>
      </c>
      <c r="C87" s="21">
        <f t="shared" si="18"/>
        <v>0</v>
      </c>
      <c r="D87" s="21">
        <f t="shared" si="18"/>
        <v>0</v>
      </c>
      <c r="E87" s="21">
        <f t="shared" si="18"/>
        <v>0</v>
      </c>
      <c r="F87" s="21">
        <f t="shared" si="18"/>
        <v>0</v>
      </c>
      <c r="G87" s="21">
        <f t="shared" si="18"/>
        <v>0</v>
      </c>
      <c r="H87" s="21">
        <f t="shared" si="18"/>
        <v>0</v>
      </c>
      <c r="I87" s="21">
        <f t="shared" si="18"/>
        <v>0</v>
      </c>
      <c r="J87" s="13" t="s">
        <v>37</v>
      </c>
    </row>
    <row r="88" spans="1:10" ht="19.05" customHeight="1" x14ac:dyDescent="0.3">
      <c r="A88" s="19" t="s">
        <v>49</v>
      </c>
      <c r="B88" s="21">
        <f t="shared" si="18"/>
        <v>0</v>
      </c>
      <c r="C88" s="21">
        <f t="shared" si="18"/>
        <v>0</v>
      </c>
      <c r="D88" s="21">
        <f t="shared" si="18"/>
        <v>0</v>
      </c>
      <c r="E88" s="21">
        <f t="shared" si="18"/>
        <v>0</v>
      </c>
      <c r="F88" s="21">
        <f t="shared" si="18"/>
        <v>0</v>
      </c>
      <c r="G88" s="21">
        <f t="shared" si="18"/>
        <v>0</v>
      </c>
      <c r="H88" s="21">
        <f t="shared" si="18"/>
        <v>0</v>
      </c>
      <c r="I88" s="21">
        <f t="shared" si="18"/>
        <v>0</v>
      </c>
      <c r="J88" s="13" t="s">
        <v>38</v>
      </c>
    </row>
    <row r="89" spans="1:10" ht="19.05" customHeight="1" x14ac:dyDescent="0.3">
      <c r="B89" s="21">
        <f t="shared" si="18"/>
        <v>0</v>
      </c>
      <c r="C89" s="21">
        <f t="shared" si="18"/>
        <v>0</v>
      </c>
      <c r="D89" s="21">
        <f t="shared" si="18"/>
        <v>0</v>
      </c>
      <c r="E89" s="21">
        <f t="shared" si="18"/>
        <v>0</v>
      </c>
      <c r="F89" s="21">
        <f t="shared" si="18"/>
        <v>0</v>
      </c>
      <c r="G89" s="21">
        <f t="shared" si="18"/>
        <v>0</v>
      </c>
      <c r="H89" s="21">
        <f t="shared" si="18"/>
        <v>0</v>
      </c>
      <c r="I89" s="21">
        <f t="shared" si="18"/>
        <v>0</v>
      </c>
      <c r="J89" s="13" t="s">
        <v>39</v>
      </c>
    </row>
    <row r="90" spans="1:10" ht="19.05" customHeight="1" x14ac:dyDescent="0.3">
      <c r="B90" s="21">
        <f t="shared" si="18"/>
        <v>0</v>
      </c>
      <c r="C90" s="21">
        <f t="shared" si="18"/>
        <v>0</v>
      </c>
      <c r="D90" s="21">
        <f t="shared" si="18"/>
        <v>0</v>
      </c>
      <c r="E90" s="21">
        <f t="shared" si="18"/>
        <v>0</v>
      </c>
      <c r="F90" s="21">
        <f t="shared" si="18"/>
        <v>0</v>
      </c>
      <c r="G90" s="21">
        <f t="shared" si="18"/>
        <v>0</v>
      </c>
      <c r="H90" s="21">
        <f t="shared" si="18"/>
        <v>0</v>
      </c>
      <c r="I90" s="21">
        <f t="shared" si="18"/>
        <v>0</v>
      </c>
      <c r="J90" s="13" t="s">
        <v>40</v>
      </c>
    </row>
    <row r="91" spans="1:10" ht="19.05" customHeight="1" x14ac:dyDescent="0.3">
      <c r="B91" s="21">
        <f t="shared" si="18"/>
        <v>0</v>
      </c>
      <c r="C91" s="21">
        <f t="shared" si="18"/>
        <v>0</v>
      </c>
      <c r="D91" s="21">
        <f t="shared" si="18"/>
        <v>0</v>
      </c>
      <c r="E91" s="21">
        <f t="shared" si="18"/>
        <v>0</v>
      </c>
      <c r="F91" s="21">
        <f t="shared" si="18"/>
        <v>0</v>
      </c>
      <c r="G91" s="21">
        <f t="shared" si="18"/>
        <v>0</v>
      </c>
      <c r="H91" s="21">
        <f t="shared" si="18"/>
        <v>0</v>
      </c>
      <c r="I91" s="21">
        <f t="shared" si="18"/>
        <v>0</v>
      </c>
      <c r="J91" s="13" t="s">
        <v>41</v>
      </c>
    </row>
    <row r="92" spans="1:10" ht="19.05" customHeight="1" x14ac:dyDescent="0.3">
      <c r="B92" s="21">
        <f t="shared" si="18"/>
        <v>0</v>
      </c>
      <c r="C92" s="21">
        <f t="shared" si="18"/>
        <v>0</v>
      </c>
      <c r="D92" s="21">
        <f t="shared" si="18"/>
        <v>0</v>
      </c>
      <c r="E92" s="21">
        <f t="shared" si="18"/>
        <v>0</v>
      </c>
      <c r="F92" s="21">
        <f t="shared" si="18"/>
        <v>0</v>
      </c>
      <c r="G92" s="21">
        <f t="shared" si="18"/>
        <v>0</v>
      </c>
      <c r="H92" s="21">
        <f t="shared" si="18"/>
        <v>0</v>
      </c>
      <c r="I92" s="21">
        <f t="shared" si="18"/>
        <v>0</v>
      </c>
      <c r="J92" s="13" t="s">
        <v>42</v>
      </c>
    </row>
    <row r="95" spans="1:10" ht="19.05" customHeight="1" x14ac:dyDescent="0.3">
      <c r="A95" s="19" t="s">
        <v>50</v>
      </c>
      <c r="B95" s="14" t="str">
        <f>IF(D21="","-",D21)</f>
        <v>-</v>
      </c>
      <c r="C95" s="14" t="str">
        <f>IF(E21="","-",E21)</f>
        <v>-</v>
      </c>
      <c r="D95" s="14" t="str">
        <f>IF(G21="","-",G21)</f>
        <v>-</v>
      </c>
      <c r="E95" s="14" t="str">
        <f>IF(H21="","-",H21)</f>
        <v>-</v>
      </c>
    </row>
    <row r="96" spans="1:10" ht="18" customHeight="1" x14ac:dyDescent="0.3">
      <c r="B96" s="25">
        <f>IF(N10=0, 0, N10*J10*J10)</f>
        <v>0</v>
      </c>
      <c r="C96" s="25">
        <f>IF(N10=0, 0, N10*J10*K10)</f>
        <v>0</v>
      </c>
      <c r="D96" s="25">
        <f>IF(N10=0, 0, -N10*J10*J10)</f>
        <v>0</v>
      </c>
      <c r="E96" s="25">
        <f>IF(N10=0, 0, -N10*J10*K10)</f>
        <v>0</v>
      </c>
      <c r="F96" s="14" t="str">
        <f>IF(D21="","-",D21)</f>
        <v>-</v>
      </c>
    </row>
    <row r="97" spans="1:10" ht="18" customHeight="1" x14ac:dyDescent="0.3">
      <c r="B97" s="25">
        <f>IF(N10=0, 0, N10*J10*K10)</f>
        <v>0</v>
      </c>
      <c r="C97" s="25">
        <f>IF(N10=0, 0, N10*K10*K10)</f>
        <v>0</v>
      </c>
      <c r="D97" s="25">
        <f>IF(N10=0, 0, -N10*J10*K10)</f>
        <v>0</v>
      </c>
      <c r="E97" s="25">
        <f>IF(N10=0, 0, -N10*K10*K10)</f>
        <v>0</v>
      </c>
      <c r="F97" s="14" t="str">
        <f>IF(E21="","-",E21)</f>
        <v>-</v>
      </c>
    </row>
    <row r="98" spans="1:10" ht="18" customHeight="1" x14ac:dyDescent="0.3">
      <c r="B98" s="25">
        <f>IF(N10=0, 0, -N10*J10*J10)</f>
        <v>0</v>
      </c>
      <c r="C98" s="25">
        <f>IF(N10=0, 0, -N10*J10*K10)</f>
        <v>0</v>
      </c>
      <c r="D98" s="25">
        <f>IF(N10=0, 0, N10*J10*J10)</f>
        <v>0</v>
      </c>
      <c r="E98" s="25">
        <f>IF(N10=0, 0, N10*J10*K10)</f>
        <v>0</v>
      </c>
      <c r="F98" s="14" t="str">
        <f>IF(G21="","-",G21)</f>
        <v>-</v>
      </c>
    </row>
    <row r="99" spans="1:10" ht="18" customHeight="1" x14ac:dyDescent="0.3">
      <c r="B99" s="25">
        <f>IF(N10=0, 0, -N10*J10*K10)</f>
        <v>0</v>
      </c>
      <c r="C99" s="25">
        <f>IF(N10=0, 0, -N10*K10*K10)</f>
        <v>0</v>
      </c>
      <c r="D99" s="25">
        <f>IF(N10=0, 0, N10*J10*K10)</f>
        <v>0</v>
      </c>
      <c r="E99" s="25">
        <f>IF(N10=0, 0, N10*K10*K10)</f>
        <v>0</v>
      </c>
      <c r="F99" s="14" t="str">
        <f>IF(H21="","-",H21)</f>
        <v>-</v>
      </c>
    </row>
    <row r="101" spans="1:10" ht="19.05" customHeight="1" x14ac:dyDescent="0.3">
      <c r="B101" s="1" t="s">
        <v>35</v>
      </c>
      <c r="C101" s="1" t="s">
        <v>36</v>
      </c>
      <c r="D101" s="1" t="s">
        <v>37</v>
      </c>
      <c r="E101" s="1" t="s">
        <v>38</v>
      </c>
      <c r="F101" s="1" t="s">
        <v>39</v>
      </c>
      <c r="G101" s="1" t="s">
        <v>40</v>
      </c>
      <c r="H101" s="1" t="s">
        <v>41</v>
      </c>
      <c r="I101" s="1" t="s">
        <v>42</v>
      </c>
    </row>
    <row r="102" spans="1:10" ht="19.05" customHeight="1" x14ac:dyDescent="0.3">
      <c r="B102" s="21">
        <f t="shared" ref="B102:I109" si="19">IFERROR(INDEX($B$96:$E$99, MATCH($J102, $B$95:$E$95, 0), MATCH(B$101, $B$95:$E$95, 0)), 0)</f>
        <v>0</v>
      </c>
      <c r="C102" s="21">
        <f t="shared" si="19"/>
        <v>0</v>
      </c>
      <c r="D102" s="21">
        <f t="shared" si="19"/>
        <v>0</v>
      </c>
      <c r="E102" s="21">
        <f t="shared" si="19"/>
        <v>0</v>
      </c>
      <c r="F102" s="21">
        <f t="shared" si="19"/>
        <v>0</v>
      </c>
      <c r="G102" s="21">
        <f t="shared" si="19"/>
        <v>0</v>
      </c>
      <c r="H102" s="21">
        <f t="shared" si="19"/>
        <v>0</v>
      </c>
      <c r="I102" s="21">
        <f t="shared" si="19"/>
        <v>0</v>
      </c>
      <c r="J102" s="14" t="s">
        <v>35</v>
      </c>
    </row>
    <row r="103" spans="1:10" ht="19.05" customHeight="1" x14ac:dyDescent="0.3">
      <c r="B103" s="21">
        <f t="shared" si="19"/>
        <v>0</v>
      </c>
      <c r="C103" s="21">
        <f t="shared" si="19"/>
        <v>0</v>
      </c>
      <c r="D103" s="21">
        <f t="shared" si="19"/>
        <v>0</v>
      </c>
      <c r="E103" s="21">
        <f t="shared" si="19"/>
        <v>0</v>
      </c>
      <c r="F103" s="21">
        <f t="shared" si="19"/>
        <v>0</v>
      </c>
      <c r="G103" s="21">
        <f t="shared" si="19"/>
        <v>0</v>
      </c>
      <c r="H103" s="21">
        <f t="shared" si="19"/>
        <v>0</v>
      </c>
      <c r="I103" s="21">
        <f t="shared" si="19"/>
        <v>0</v>
      </c>
      <c r="J103" s="14" t="s">
        <v>36</v>
      </c>
    </row>
    <row r="104" spans="1:10" ht="19.05" customHeight="1" x14ac:dyDescent="0.3">
      <c r="B104" s="21">
        <f t="shared" si="19"/>
        <v>0</v>
      </c>
      <c r="C104" s="21">
        <f t="shared" si="19"/>
        <v>0</v>
      </c>
      <c r="D104" s="21">
        <f t="shared" si="19"/>
        <v>0</v>
      </c>
      <c r="E104" s="21">
        <f t="shared" si="19"/>
        <v>0</v>
      </c>
      <c r="F104" s="21">
        <f t="shared" si="19"/>
        <v>0</v>
      </c>
      <c r="G104" s="21">
        <f t="shared" si="19"/>
        <v>0</v>
      </c>
      <c r="H104" s="21">
        <f t="shared" si="19"/>
        <v>0</v>
      </c>
      <c r="I104" s="21">
        <f t="shared" si="19"/>
        <v>0</v>
      </c>
      <c r="J104" s="14" t="s">
        <v>37</v>
      </c>
    </row>
    <row r="105" spans="1:10" ht="19.05" customHeight="1" x14ac:dyDescent="0.3">
      <c r="A105" s="19" t="s">
        <v>51</v>
      </c>
      <c r="B105" s="21">
        <f t="shared" si="19"/>
        <v>0</v>
      </c>
      <c r="C105" s="21">
        <f t="shared" si="19"/>
        <v>0</v>
      </c>
      <c r="D105" s="21">
        <f t="shared" si="19"/>
        <v>0</v>
      </c>
      <c r="E105" s="21">
        <f t="shared" si="19"/>
        <v>0</v>
      </c>
      <c r="F105" s="21">
        <f t="shared" si="19"/>
        <v>0</v>
      </c>
      <c r="G105" s="21">
        <f t="shared" si="19"/>
        <v>0</v>
      </c>
      <c r="H105" s="21">
        <f t="shared" si="19"/>
        <v>0</v>
      </c>
      <c r="I105" s="21">
        <f t="shared" si="19"/>
        <v>0</v>
      </c>
      <c r="J105" s="14" t="s">
        <v>38</v>
      </c>
    </row>
    <row r="106" spans="1:10" ht="19.05" customHeight="1" x14ac:dyDescent="0.3">
      <c r="B106" s="21">
        <f t="shared" si="19"/>
        <v>0</v>
      </c>
      <c r="C106" s="21">
        <f t="shared" si="19"/>
        <v>0</v>
      </c>
      <c r="D106" s="21">
        <f t="shared" si="19"/>
        <v>0</v>
      </c>
      <c r="E106" s="21">
        <f t="shared" si="19"/>
        <v>0</v>
      </c>
      <c r="F106" s="21">
        <f t="shared" si="19"/>
        <v>0</v>
      </c>
      <c r="G106" s="21">
        <f t="shared" si="19"/>
        <v>0</v>
      </c>
      <c r="H106" s="21">
        <f t="shared" si="19"/>
        <v>0</v>
      </c>
      <c r="I106" s="21">
        <f t="shared" si="19"/>
        <v>0</v>
      </c>
      <c r="J106" s="14" t="s">
        <v>39</v>
      </c>
    </row>
    <row r="107" spans="1:10" ht="19.05" customHeight="1" x14ac:dyDescent="0.3">
      <c r="B107" s="21">
        <f t="shared" si="19"/>
        <v>0</v>
      </c>
      <c r="C107" s="21">
        <f t="shared" si="19"/>
        <v>0</v>
      </c>
      <c r="D107" s="21">
        <f t="shared" si="19"/>
        <v>0</v>
      </c>
      <c r="E107" s="21">
        <f t="shared" si="19"/>
        <v>0</v>
      </c>
      <c r="F107" s="21">
        <f t="shared" si="19"/>
        <v>0</v>
      </c>
      <c r="G107" s="21">
        <f t="shared" si="19"/>
        <v>0</v>
      </c>
      <c r="H107" s="21">
        <f t="shared" si="19"/>
        <v>0</v>
      </c>
      <c r="I107" s="21">
        <f t="shared" si="19"/>
        <v>0</v>
      </c>
      <c r="J107" s="14" t="s">
        <v>40</v>
      </c>
    </row>
    <row r="108" spans="1:10" ht="19.05" customHeight="1" x14ac:dyDescent="0.3">
      <c r="B108" s="21">
        <f t="shared" si="19"/>
        <v>0</v>
      </c>
      <c r="C108" s="21">
        <f t="shared" si="19"/>
        <v>0</v>
      </c>
      <c r="D108" s="21">
        <f t="shared" si="19"/>
        <v>0</v>
      </c>
      <c r="E108" s="21">
        <f t="shared" si="19"/>
        <v>0</v>
      </c>
      <c r="F108" s="21">
        <f t="shared" si="19"/>
        <v>0</v>
      </c>
      <c r="G108" s="21">
        <f t="shared" si="19"/>
        <v>0</v>
      </c>
      <c r="H108" s="21">
        <f t="shared" si="19"/>
        <v>0</v>
      </c>
      <c r="I108" s="21">
        <f t="shared" si="19"/>
        <v>0</v>
      </c>
      <c r="J108" s="14" t="s">
        <v>41</v>
      </c>
    </row>
    <row r="109" spans="1:10" ht="19.05" customHeight="1" x14ac:dyDescent="0.3">
      <c r="B109" s="21">
        <f t="shared" si="19"/>
        <v>0</v>
      </c>
      <c r="C109" s="21">
        <f t="shared" si="19"/>
        <v>0</v>
      </c>
      <c r="D109" s="21">
        <f t="shared" si="19"/>
        <v>0</v>
      </c>
      <c r="E109" s="21">
        <f t="shared" si="19"/>
        <v>0</v>
      </c>
      <c r="F109" s="21">
        <f t="shared" si="19"/>
        <v>0</v>
      </c>
      <c r="G109" s="21">
        <f t="shared" si="19"/>
        <v>0</v>
      </c>
      <c r="H109" s="21">
        <f t="shared" si="19"/>
        <v>0</v>
      </c>
      <c r="I109" s="21">
        <f t="shared" si="19"/>
        <v>0</v>
      </c>
      <c r="J109" s="14" t="s">
        <v>42</v>
      </c>
    </row>
    <row r="112" spans="1:10" ht="19.05" customHeight="1" x14ac:dyDescent="0.3">
      <c r="A112" s="19" t="s">
        <v>52</v>
      </c>
      <c r="B112" s="15" t="str">
        <f>IF(D22="","-",D22)</f>
        <v>-</v>
      </c>
      <c r="C112" s="15" t="str">
        <f>IF(E22="","-",E22)</f>
        <v>-</v>
      </c>
      <c r="D112" s="15" t="str">
        <f>IF(G22="","-",G22)</f>
        <v>-</v>
      </c>
      <c r="E112" s="15" t="str">
        <f>IF(H22="","-",H22)</f>
        <v>-</v>
      </c>
    </row>
    <row r="113" spans="1:10" ht="18" customHeight="1" x14ac:dyDescent="0.3">
      <c r="B113" s="26">
        <f>IF(N11=0, 0, N11*J11*J11)</f>
        <v>0</v>
      </c>
      <c r="C113" s="26">
        <f>IF(N11=0, 0, N11*J11*K11)</f>
        <v>0</v>
      </c>
      <c r="D113" s="26">
        <f>IF(N11=0, 0, -N11*J11*J11)</f>
        <v>0</v>
      </c>
      <c r="E113" s="26">
        <f>IF(N11=0, 0, -N11*J11*K11)</f>
        <v>0</v>
      </c>
      <c r="F113" s="15" t="str">
        <f>IF(D22="","-",D22)</f>
        <v>-</v>
      </c>
    </row>
    <row r="114" spans="1:10" ht="18" customHeight="1" x14ac:dyDescent="0.3">
      <c r="B114" s="26">
        <f>IF(N11=0, 0, N11*J11*K11)</f>
        <v>0</v>
      </c>
      <c r="C114" s="26">
        <f>IF(N11=0, 0, N11*K11*K11)</f>
        <v>0</v>
      </c>
      <c r="D114" s="26">
        <f>IF(N11=0, 0, -N11*J11*K11)</f>
        <v>0</v>
      </c>
      <c r="E114" s="26">
        <f>IF(N11=0, 0, -N11*K11*K11)</f>
        <v>0</v>
      </c>
      <c r="F114" s="15" t="str">
        <f>IF(E22="","-",E22)</f>
        <v>-</v>
      </c>
    </row>
    <row r="115" spans="1:10" ht="18" customHeight="1" x14ac:dyDescent="0.3">
      <c r="B115" s="26">
        <f>IF(N11=0, 0, -N11*J11*J11)</f>
        <v>0</v>
      </c>
      <c r="C115" s="26">
        <f>IF(N11=0, 0, -N11*J11*K11)</f>
        <v>0</v>
      </c>
      <c r="D115" s="26">
        <f>IF(N11=0, 0, N11*J11*J11)</f>
        <v>0</v>
      </c>
      <c r="E115" s="26">
        <f>IF(N11=0, 0, N11*J11*K11)</f>
        <v>0</v>
      </c>
      <c r="F115" s="15" t="str">
        <f>IF(G22="","-",G22)</f>
        <v>-</v>
      </c>
    </row>
    <row r="116" spans="1:10" ht="18" customHeight="1" x14ac:dyDescent="0.3">
      <c r="B116" s="26">
        <f>IF(N11=0, 0, -N11*J11*K11)</f>
        <v>0</v>
      </c>
      <c r="C116" s="26">
        <f>IF(N11=0, 0, -N11*K11*K11)</f>
        <v>0</v>
      </c>
      <c r="D116" s="26">
        <f>IF(N11=0, 0, N11*J11*K11)</f>
        <v>0</v>
      </c>
      <c r="E116" s="26">
        <f>IF(N11=0, 0, N11*K11*K11)</f>
        <v>0</v>
      </c>
      <c r="F116" s="15" t="str">
        <f>IF(H22="","-",H22)</f>
        <v>-</v>
      </c>
    </row>
    <row r="118" spans="1:10" ht="19.05" customHeight="1" x14ac:dyDescent="0.3">
      <c r="B118" s="1" t="s">
        <v>35</v>
      </c>
      <c r="C118" s="1" t="s">
        <v>36</v>
      </c>
      <c r="D118" s="1" t="s">
        <v>37</v>
      </c>
      <c r="E118" s="1" t="s">
        <v>38</v>
      </c>
      <c r="F118" s="1" t="s">
        <v>39</v>
      </c>
      <c r="G118" s="1" t="s">
        <v>40</v>
      </c>
      <c r="H118" s="1" t="s">
        <v>41</v>
      </c>
      <c r="I118" s="1" t="s">
        <v>42</v>
      </c>
    </row>
    <row r="119" spans="1:10" ht="19.05" customHeight="1" x14ac:dyDescent="0.3">
      <c r="B119" s="21">
        <f t="shared" ref="B119:I126" si="20">IFERROR(INDEX($B$113:$E$116, MATCH($J119, $B$112:$E$112, 0), MATCH(B$118, $B$112:$E$112, 0)), 0)</f>
        <v>0</v>
      </c>
      <c r="C119" s="21">
        <f t="shared" si="20"/>
        <v>0</v>
      </c>
      <c r="D119" s="21">
        <f t="shared" si="20"/>
        <v>0</v>
      </c>
      <c r="E119" s="21">
        <f t="shared" si="20"/>
        <v>0</v>
      </c>
      <c r="F119" s="21">
        <f t="shared" si="20"/>
        <v>0</v>
      </c>
      <c r="G119" s="21">
        <f t="shared" si="20"/>
        <v>0</v>
      </c>
      <c r="H119" s="21">
        <f t="shared" si="20"/>
        <v>0</v>
      </c>
      <c r="I119" s="21">
        <f t="shared" si="20"/>
        <v>0</v>
      </c>
      <c r="J119" s="15" t="s">
        <v>35</v>
      </c>
    </row>
    <row r="120" spans="1:10" ht="19.05" customHeight="1" x14ac:dyDescent="0.3">
      <c r="B120" s="21">
        <f t="shared" si="20"/>
        <v>0</v>
      </c>
      <c r="C120" s="21">
        <f t="shared" si="20"/>
        <v>0</v>
      </c>
      <c r="D120" s="21">
        <f t="shared" si="20"/>
        <v>0</v>
      </c>
      <c r="E120" s="21">
        <f t="shared" si="20"/>
        <v>0</v>
      </c>
      <c r="F120" s="21">
        <f t="shared" si="20"/>
        <v>0</v>
      </c>
      <c r="G120" s="21">
        <f t="shared" si="20"/>
        <v>0</v>
      </c>
      <c r="H120" s="21">
        <f t="shared" si="20"/>
        <v>0</v>
      </c>
      <c r="I120" s="21">
        <f t="shared" si="20"/>
        <v>0</v>
      </c>
      <c r="J120" s="15" t="s">
        <v>36</v>
      </c>
    </row>
    <row r="121" spans="1:10" ht="19.05" customHeight="1" x14ac:dyDescent="0.3">
      <c r="B121" s="21">
        <f t="shared" si="20"/>
        <v>0</v>
      </c>
      <c r="C121" s="21">
        <f t="shared" si="20"/>
        <v>0</v>
      </c>
      <c r="D121" s="21">
        <f t="shared" si="20"/>
        <v>0</v>
      </c>
      <c r="E121" s="21">
        <f t="shared" si="20"/>
        <v>0</v>
      </c>
      <c r="F121" s="21">
        <f t="shared" si="20"/>
        <v>0</v>
      </c>
      <c r="G121" s="21">
        <f t="shared" si="20"/>
        <v>0</v>
      </c>
      <c r="H121" s="21">
        <f t="shared" si="20"/>
        <v>0</v>
      </c>
      <c r="I121" s="21">
        <f t="shared" si="20"/>
        <v>0</v>
      </c>
      <c r="J121" s="15" t="s">
        <v>37</v>
      </c>
    </row>
    <row r="122" spans="1:10" ht="19.05" customHeight="1" x14ac:dyDescent="0.3">
      <c r="A122" s="19" t="s">
        <v>53</v>
      </c>
      <c r="B122" s="21">
        <f t="shared" si="20"/>
        <v>0</v>
      </c>
      <c r="C122" s="21">
        <f t="shared" si="20"/>
        <v>0</v>
      </c>
      <c r="D122" s="21">
        <f t="shared" si="20"/>
        <v>0</v>
      </c>
      <c r="E122" s="21">
        <f t="shared" si="20"/>
        <v>0</v>
      </c>
      <c r="F122" s="21">
        <f t="shared" si="20"/>
        <v>0</v>
      </c>
      <c r="G122" s="21">
        <f t="shared" si="20"/>
        <v>0</v>
      </c>
      <c r="H122" s="21">
        <f t="shared" si="20"/>
        <v>0</v>
      </c>
      <c r="I122" s="21">
        <f t="shared" si="20"/>
        <v>0</v>
      </c>
      <c r="J122" s="15" t="s">
        <v>38</v>
      </c>
    </row>
    <row r="123" spans="1:10" ht="19.05" customHeight="1" x14ac:dyDescent="0.3">
      <c r="B123" s="21">
        <f t="shared" si="20"/>
        <v>0</v>
      </c>
      <c r="C123" s="21">
        <f t="shared" si="20"/>
        <v>0</v>
      </c>
      <c r="D123" s="21">
        <f t="shared" si="20"/>
        <v>0</v>
      </c>
      <c r="E123" s="21">
        <f t="shared" si="20"/>
        <v>0</v>
      </c>
      <c r="F123" s="21">
        <f t="shared" si="20"/>
        <v>0</v>
      </c>
      <c r="G123" s="21">
        <f t="shared" si="20"/>
        <v>0</v>
      </c>
      <c r="H123" s="21">
        <f t="shared" si="20"/>
        <v>0</v>
      </c>
      <c r="I123" s="21">
        <f t="shared" si="20"/>
        <v>0</v>
      </c>
      <c r="J123" s="15" t="s">
        <v>39</v>
      </c>
    </row>
    <row r="124" spans="1:10" ht="19.05" customHeight="1" x14ac:dyDescent="0.3">
      <c r="B124" s="21">
        <f t="shared" si="20"/>
        <v>0</v>
      </c>
      <c r="C124" s="21">
        <f t="shared" si="20"/>
        <v>0</v>
      </c>
      <c r="D124" s="21">
        <f t="shared" si="20"/>
        <v>0</v>
      </c>
      <c r="E124" s="21">
        <f t="shared" si="20"/>
        <v>0</v>
      </c>
      <c r="F124" s="21">
        <f t="shared" si="20"/>
        <v>0</v>
      </c>
      <c r="G124" s="21">
        <f t="shared" si="20"/>
        <v>0</v>
      </c>
      <c r="H124" s="21">
        <f t="shared" si="20"/>
        <v>0</v>
      </c>
      <c r="I124" s="21">
        <f t="shared" si="20"/>
        <v>0</v>
      </c>
      <c r="J124" s="15" t="s">
        <v>40</v>
      </c>
    </row>
    <row r="125" spans="1:10" ht="19.05" customHeight="1" x14ac:dyDescent="0.3">
      <c r="B125" s="21">
        <f t="shared" si="20"/>
        <v>0</v>
      </c>
      <c r="C125" s="21">
        <f t="shared" si="20"/>
        <v>0</v>
      </c>
      <c r="D125" s="21">
        <f t="shared" si="20"/>
        <v>0</v>
      </c>
      <c r="E125" s="21">
        <f t="shared" si="20"/>
        <v>0</v>
      </c>
      <c r="F125" s="21">
        <f t="shared" si="20"/>
        <v>0</v>
      </c>
      <c r="G125" s="21">
        <f t="shared" si="20"/>
        <v>0</v>
      </c>
      <c r="H125" s="21">
        <f t="shared" si="20"/>
        <v>0</v>
      </c>
      <c r="I125" s="21">
        <f t="shared" si="20"/>
        <v>0</v>
      </c>
      <c r="J125" s="15" t="s">
        <v>41</v>
      </c>
    </row>
    <row r="126" spans="1:10" ht="19.05" customHeight="1" x14ac:dyDescent="0.3">
      <c r="B126" s="21">
        <f t="shared" si="20"/>
        <v>0</v>
      </c>
      <c r="C126" s="21">
        <f t="shared" si="20"/>
        <v>0</v>
      </c>
      <c r="D126" s="21">
        <f t="shared" si="20"/>
        <v>0</v>
      </c>
      <c r="E126" s="21">
        <f t="shared" si="20"/>
        <v>0</v>
      </c>
      <c r="F126" s="21">
        <f t="shared" si="20"/>
        <v>0</v>
      </c>
      <c r="G126" s="21">
        <f t="shared" si="20"/>
        <v>0</v>
      </c>
      <c r="H126" s="21">
        <f t="shared" si="20"/>
        <v>0</v>
      </c>
      <c r="I126" s="21">
        <f t="shared" si="20"/>
        <v>0</v>
      </c>
      <c r="J126" s="15" t="s">
        <v>42</v>
      </c>
    </row>
    <row r="129" spans="1:10" ht="19.05" customHeight="1" x14ac:dyDescent="0.3">
      <c r="A129" s="19" t="s">
        <v>54</v>
      </c>
      <c r="B129" s="16" t="str">
        <f>IF(D23="","-",D23)</f>
        <v>-</v>
      </c>
      <c r="C129" s="16" t="str">
        <f>IF(E23="","-",E23)</f>
        <v>-</v>
      </c>
      <c r="D129" s="16" t="str">
        <f>IF(G23="","-",G23)</f>
        <v>-</v>
      </c>
      <c r="E129" s="16" t="str">
        <f>IF(H23="","-",H23)</f>
        <v>-</v>
      </c>
    </row>
    <row r="130" spans="1:10" ht="18" customHeight="1" x14ac:dyDescent="0.3">
      <c r="B130" s="27">
        <f>IF(N12=0, 0, N12*J12*J12)</f>
        <v>0</v>
      </c>
      <c r="C130" s="27">
        <f>IF(N12=0, 0, N12*J12*K12)</f>
        <v>0</v>
      </c>
      <c r="D130" s="27">
        <f>IF(N12=0, 0, -N12*J12*J12)</f>
        <v>0</v>
      </c>
      <c r="E130" s="27">
        <f>IF(N12=0, 0, -N12*J12*K12)</f>
        <v>0</v>
      </c>
      <c r="F130" s="16" t="str">
        <f>IF(D23="","-",D23)</f>
        <v>-</v>
      </c>
    </row>
    <row r="131" spans="1:10" ht="18" customHeight="1" x14ac:dyDescent="0.3">
      <c r="B131" s="27">
        <f>IF(N12=0, 0, N12*J12*K12)</f>
        <v>0</v>
      </c>
      <c r="C131" s="27">
        <f>IF(N12=0, 0, N12*K12*K12)</f>
        <v>0</v>
      </c>
      <c r="D131" s="27">
        <f>IF(N12=0, 0, -N12*J12*K12)</f>
        <v>0</v>
      </c>
      <c r="E131" s="27">
        <f>IF(N12=0, 0, -N12*K12*K12)</f>
        <v>0</v>
      </c>
      <c r="F131" s="16" t="str">
        <f>IF(E23="","-",E23)</f>
        <v>-</v>
      </c>
    </row>
    <row r="132" spans="1:10" ht="18" customHeight="1" x14ac:dyDescent="0.3">
      <c r="B132" s="27">
        <f>IF(N12=0, 0, -N12*J12*J12)</f>
        <v>0</v>
      </c>
      <c r="C132" s="27">
        <f>IF(N12=0, 0, -N12*J12*K12)</f>
        <v>0</v>
      </c>
      <c r="D132" s="27">
        <f>IF(N12=0, 0, N12*J12*J12)</f>
        <v>0</v>
      </c>
      <c r="E132" s="27">
        <f>IF(N12=0, 0, N12*J12*K12)</f>
        <v>0</v>
      </c>
      <c r="F132" s="16" t="str">
        <f>IF(G23="","-",G23)</f>
        <v>-</v>
      </c>
    </row>
    <row r="133" spans="1:10" ht="18" customHeight="1" x14ac:dyDescent="0.3">
      <c r="B133" s="27">
        <f>IF(N12=0, 0, -N12*J12*K12)</f>
        <v>0</v>
      </c>
      <c r="C133" s="27">
        <f>IF(N12=0, 0, -N12*K12*K12)</f>
        <v>0</v>
      </c>
      <c r="D133" s="27">
        <f>IF(N12=0, 0, N12*J12*K12)</f>
        <v>0</v>
      </c>
      <c r="E133" s="27">
        <f>IF(N12=0, 0, N12*K12*K12)</f>
        <v>0</v>
      </c>
      <c r="F133" s="16" t="str">
        <f>IF(H23="","-",H23)</f>
        <v>-</v>
      </c>
    </row>
    <row r="135" spans="1:10" ht="19.05" customHeight="1" x14ac:dyDescent="0.3">
      <c r="B135" s="1" t="s">
        <v>35</v>
      </c>
      <c r="C135" s="1" t="s">
        <v>36</v>
      </c>
      <c r="D135" s="1" t="s">
        <v>37</v>
      </c>
      <c r="E135" s="1" t="s">
        <v>38</v>
      </c>
      <c r="F135" s="1" t="s">
        <v>39</v>
      </c>
      <c r="G135" s="1" t="s">
        <v>40</v>
      </c>
      <c r="H135" s="1" t="s">
        <v>41</v>
      </c>
      <c r="I135" s="1" t="s">
        <v>42</v>
      </c>
    </row>
    <row r="136" spans="1:10" ht="19.05" customHeight="1" x14ac:dyDescent="0.3">
      <c r="B136" s="21">
        <f t="shared" ref="B136:I143" si="21">IFERROR(INDEX($B$130:$E$133, MATCH($J136, $B$129:$E$129, 0), MATCH(B$135, $B$129:$E$129, 0)), 0)</f>
        <v>0</v>
      </c>
      <c r="C136" s="21">
        <f t="shared" si="21"/>
        <v>0</v>
      </c>
      <c r="D136" s="21">
        <f t="shared" si="21"/>
        <v>0</v>
      </c>
      <c r="E136" s="21">
        <f t="shared" si="21"/>
        <v>0</v>
      </c>
      <c r="F136" s="21">
        <f t="shared" si="21"/>
        <v>0</v>
      </c>
      <c r="G136" s="21">
        <f t="shared" si="21"/>
        <v>0</v>
      </c>
      <c r="H136" s="21">
        <f t="shared" si="21"/>
        <v>0</v>
      </c>
      <c r="I136" s="21">
        <f t="shared" si="21"/>
        <v>0</v>
      </c>
      <c r="J136" s="16" t="s">
        <v>35</v>
      </c>
    </row>
    <row r="137" spans="1:10" ht="19.05" customHeight="1" x14ac:dyDescent="0.3">
      <c r="B137" s="21">
        <f t="shared" si="21"/>
        <v>0</v>
      </c>
      <c r="C137" s="21">
        <f t="shared" si="21"/>
        <v>0</v>
      </c>
      <c r="D137" s="21">
        <f t="shared" si="21"/>
        <v>0</v>
      </c>
      <c r="E137" s="21">
        <f t="shared" si="21"/>
        <v>0</v>
      </c>
      <c r="F137" s="21">
        <f t="shared" si="21"/>
        <v>0</v>
      </c>
      <c r="G137" s="21">
        <f t="shared" si="21"/>
        <v>0</v>
      </c>
      <c r="H137" s="21">
        <f t="shared" si="21"/>
        <v>0</v>
      </c>
      <c r="I137" s="21">
        <f t="shared" si="21"/>
        <v>0</v>
      </c>
      <c r="J137" s="16" t="s">
        <v>36</v>
      </c>
    </row>
    <row r="138" spans="1:10" ht="19.05" customHeight="1" x14ac:dyDescent="0.3">
      <c r="B138" s="21">
        <f t="shared" si="21"/>
        <v>0</v>
      </c>
      <c r="C138" s="21">
        <f t="shared" si="21"/>
        <v>0</v>
      </c>
      <c r="D138" s="21">
        <f t="shared" si="21"/>
        <v>0</v>
      </c>
      <c r="E138" s="21">
        <f t="shared" si="21"/>
        <v>0</v>
      </c>
      <c r="F138" s="21">
        <f t="shared" si="21"/>
        <v>0</v>
      </c>
      <c r="G138" s="21">
        <f t="shared" si="21"/>
        <v>0</v>
      </c>
      <c r="H138" s="21">
        <f t="shared" si="21"/>
        <v>0</v>
      </c>
      <c r="I138" s="21">
        <f t="shared" si="21"/>
        <v>0</v>
      </c>
      <c r="J138" s="16" t="s">
        <v>37</v>
      </c>
    </row>
    <row r="139" spans="1:10" ht="19.05" customHeight="1" x14ac:dyDescent="0.3">
      <c r="A139" s="19" t="s">
        <v>55</v>
      </c>
      <c r="B139" s="21">
        <f t="shared" si="21"/>
        <v>0</v>
      </c>
      <c r="C139" s="21">
        <f t="shared" si="21"/>
        <v>0</v>
      </c>
      <c r="D139" s="21">
        <f t="shared" si="21"/>
        <v>0</v>
      </c>
      <c r="E139" s="21">
        <f t="shared" si="21"/>
        <v>0</v>
      </c>
      <c r="F139" s="21">
        <f t="shared" si="21"/>
        <v>0</v>
      </c>
      <c r="G139" s="21">
        <f t="shared" si="21"/>
        <v>0</v>
      </c>
      <c r="H139" s="21">
        <f t="shared" si="21"/>
        <v>0</v>
      </c>
      <c r="I139" s="21">
        <f t="shared" si="21"/>
        <v>0</v>
      </c>
      <c r="J139" s="16" t="s">
        <v>38</v>
      </c>
    </row>
    <row r="140" spans="1:10" ht="19.05" customHeight="1" x14ac:dyDescent="0.3">
      <c r="B140" s="21">
        <f t="shared" si="21"/>
        <v>0</v>
      </c>
      <c r="C140" s="21">
        <f t="shared" si="21"/>
        <v>0</v>
      </c>
      <c r="D140" s="21">
        <f t="shared" si="21"/>
        <v>0</v>
      </c>
      <c r="E140" s="21">
        <f t="shared" si="21"/>
        <v>0</v>
      </c>
      <c r="F140" s="21">
        <f t="shared" si="21"/>
        <v>0</v>
      </c>
      <c r="G140" s="21">
        <f t="shared" si="21"/>
        <v>0</v>
      </c>
      <c r="H140" s="21">
        <f t="shared" si="21"/>
        <v>0</v>
      </c>
      <c r="I140" s="21">
        <f t="shared" si="21"/>
        <v>0</v>
      </c>
      <c r="J140" s="16" t="s">
        <v>39</v>
      </c>
    </row>
    <row r="141" spans="1:10" ht="19.05" customHeight="1" x14ac:dyDescent="0.3">
      <c r="B141" s="21">
        <f t="shared" si="21"/>
        <v>0</v>
      </c>
      <c r="C141" s="21">
        <f t="shared" si="21"/>
        <v>0</v>
      </c>
      <c r="D141" s="21">
        <f t="shared" si="21"/>
        <v>0</v>
      </c>
      <c r="E141" s="21">
        <f t="shared" si="21"/>
        <v>0</v>
      </c>
      <c r="F141" s="21">
        <f t="shared" si="21"/>
        <v>0</v>
      </c>
      <c r="G141" s="21">
        <f t="shared" si="21"/>
        <v>0</v>
      </c>
      <c r="H141" s="21">
        <f t="shared" si="21"/>
        <v>0</v>
      </c>
      <c r="I141" s="21">
        <f t="shared" si="21"/>
        <v>0</v>
      </c>
      <c r="J141" s="16" t="s">
        <v>40</v>
      </c>
    </row>
    <row r="142" spans="1:10" ht="19.05" customHeight="1" x14ac:dyDescent="0.3">
      <c r="B142" s="21">
        <f t="shared" si="21"/>
        <v>0</v>
      </c>
      <c r="C142" s="21">
        <f t="shared" si="21"/>
        <v>0</v>
      </c>
      <c r="D142" s="21">
        <f t="shared" si="21"/>
        <v>0</v>
      </c>
      <c r="E142" s="21">
        <f t="shared" si="21"/>
        <v>0</v>
      </c>
      <c r="F142" s="21">
        <f t="shared" si="21"/>
        <v>0</v>
      </c>
      <c r="G142" s="21">
        <f t="shared" si="21"/>
        <v>0</v>
      </c>
      <c r="H142" s="21">
        <f t="shared" si="21"/>
        <v>0</v>
      </c>
      <c r="I142" s="21">
        <f t="shared" si="21"/>
        <v>0</v>
      </c>
      <c r="J142" s="16" t="s">
        <v>41</v>
      </c>
    </row>
    <row r="143" spans="1:10" ht="19.05" customHeight="1" x14ac:dyDescent="0.3">
      <c r="B143" s="21">
        <f t="shared" si="21"/>
        <v>0</v>
      </c>
      <c r="C143" s="21">
        <f t="shared" si="21"/>
        <v>0</v>
      </c>
      <c r="D143" s="21">
        <f t="shared" si="21"/>
        <v>0</v>
      </c>
      <c r="E143" s="21">
        <f t="shared" si="21"/>
        <v>0</v>
      </c>
      <c r="F143" s="21">
        <f t="shared" si="21"/>
        <v>0</v>
      </c>
      <c r="G143" s="21">
        <f t="shared" si="21"/>
        <v>0</v>
      </c>
      <c r="H143" s="21">
        <f t="shared" si="21"/>
        <v>0</v>
      </c>
      <c r="I143" s="21">
        <f t="shared" si="21"/>
        <v>0</v>
      </c>
      <c r="J143" s="16" t="s">
        <v>42</v>
      </c>
    </row>
    <row r="146" spans="1:10" ht="19.05" customHeight="1" x14ac:dyDescent="0.3">
      <c r="A146" s="19" t="s">
        <v>56</v>
      </c>
      <c r="B146" s="17" t="str">
        <f>IF(D24="","-",D24)</f>
        <v>-</v>
      </c>
      <c r="C146" s="17" t="str">
        <f>IF(E24="","-",E24)</f>
        <v>-</v>
      </c>
      <c r="D146" s="17" t="str">
        <f>IF(G24="","-",G24)</f>
        <v>-</v>
      </c>
      <c r="E146" s="17" t="str">
        <f>IF(H24="","-",H24)</f>
        <v>-</v>
      </c>
    </row>
    <row r="147" spans="1:10" ht="18" customHeight="1" x14ac:dyDescent="0.3">
      <c r="B147" s="28">
        <f>IF(N13=0, 0, N13*J13*J13)</f>
        <v>0</v>
      </c>
      <c r="C147" s="28">
        <f>IF(N13=0, 0, N13*J13*K13)</f>
        <v>0</v>
      </c>
      <c r="D147" s="28">
        <f>IF(N13=0, 0, -N13*J13*J13)</f>
        <v>0</v>
      </c>
      <c r="E147" s="28">
        <f>IF(N13=0, 0, -N13*J13*K13)</f>
        <v>0</v>
      </c>
      <c r="F147" s="17" t="str">
        <f>IF(D24="","-",D24)</f>
        <v>-</v>
      </c>
    </row>
    <row r="148" spans="1:10" ht="18" customHeight="1" x14ac:dyDescent="0.3">
      <c r="B148" s="28">
        <f>IF(N13=0, 0, N13*J13*K13)</f>
        <v>0</v>
      </c>
      <c r="C148" s="28">
        <f>IF(N13=0, 0, N13*K13*K13)</f>
        <v>0</v>
      </c>
      <c r="D148" s="28">
        <f>IF(N13=0, 0, -N13*J13*K13)</f>
        <v>0</v>
      </c>
      <c r="E148" s="28">
        <f>IF(N13=0, 0, -N13*K13*K13)</f>
        <v>0</v>
      </c>
      <c r="F148" s="17" t="str">
        <f>IF(E24="","-",E24)</f>
        <v>-</v>
      </c>
    </row>
    <row r="149" spans="1:10" ht="18" customHeight="1" x14ac:dyDescent="0.3">
      <c r="B149" s="28">
        <f>IF(N13=0, 0, -N13*J13*J13)</f>
        <v>0</v>
      </c>
      <c r="C149" s="28">
        <f>IF(N13=0, 0, -N13*J13*K13)</f>
        <v>0</v>
      </c>
      <c r="D149" s="28">
        <f>IF(N13=0, 0, N13*J13*J13)</f>
        <v>0</v>
      </c>
      <c r="E149" s="28">
        <f>IF(N13=0, 0, N13*J13*K13)</f>
        <v>0</v>
      </c>
      <c r="F149" s="17" t="str">
        <f>IF(G24="","-",G24)</f>
        <v>-</v>
      </c>
    </row>
    <row r="150" spans="1:10" ht="18" customHeight="1" x14ac:dyDescent="0.3">
      <c r="B150" s="28">
        <f>IF(N13=0, 0, -N13*J13*K13)</f>
        <v>0</v>
      </c>
      <c r="C150" s="28">
        <f>IF(N13=0, 0, -N13*K13*K13)</f>
        <v>0</v>
      </c>
      <c r="D150" s="28">
        <f>IF(N13=0, 0, N13*J13*K13)</f>
        <v>0</v>
      </c>
      <c r="E150" s="28">
        <f>IF(N13=0, 0, N13*K13*K13)</f>
        <v>0</v>
      </c>
      <c r="F150" s="17" t="str">
        <f>IF(H24="","-",H24)</f>
        <v>-</v>
      </c>
    </row>
    <row r="152" spans="1:10" ht="19.05" customHeight="1" x14ac:dyDescent="0.3">
      <c r="B152" s="1" t="s">
        <v>35</v>
      </c>
      <c r="C152" s="1" t="s">
        <v>36</v>
      </c>
      <c r="D152" s="1" t="s">
        <v>37</v>
      </c>
      <c r="E152" s="1" t="s">
        <v>38</v>
      </c>
      <c r="F152" s="1" t="s">
        <v>39</v>
      </c>
      <c r="G152" s="1" t="s">
        <v>40</v>
      </c>
      <c r="H152" s="1" t="s">
        <v>41</v>
      </c>
      <c r="I152" s="1" t="s">
        <v>42</v>
      </c>
    </row>
    <row r="153" spans="1:10" ht="19.05" customHeight="1" x14ac:dyDescent="0.3">
      <c r="B153" s="21">
        <f t="shared" ref="B153:I160" si="22">IFERROR(INDEX($B$147:$E$150, MATCH($J153, $B$146:$E$146, 0), MATCH(B$152, $B$146:$E$146, 0)), 0)</f>
        <v>0</v>
      </c>
      <c r="C153" s="21">
        <f t="shared" si="22"/>
        <v>0</v>
      </c>
      <c r="D153" s="21">
        <f t="shared" si="22"/>
        <v>0</v>
      </c>
      <c r="E153" s="21">
        <f t="shared" si="22"/>
        <v>0</v>
      </c>
      <c r="F153" s="21">
        <f t="shared" si="22"/>
        <v>0</v>
      </c>
      <c r="G153" s="21">
        <f t="shared" si="22"/>
        <v>0</v>
      </c>
      <c r="H153" s="21">
        <f t="shared" si="22"/>
        <v>0</v>
      </c>
      <c r="I153" s="21">
        <f t="shared" si="22"/>
        <v>0</v>
      </c>
      <c r="J153" s="17" t="s">
        <v>35</v>
      </c>
    </row>
    <row r="154" spans="1:10" ht="19.05" customHeight="1" x14ac:dyDescent="0.3">
      <c r="B154" s="21">
        <f t="shared" si="22"/>
        <v>0</v>
      </c>
      <c r="C154" s="21">
        <f t="shared" si="22"/>
        <v>0</v>
      </c>
      <c r="D154" s="21">
        <f t="shared" si="22"/>
        <v>0</v>
      </c>
      <c r="E154" s="21">
        <f t="shared" si="22"/>
        <v>0</v>
      </c>
      <c r="F154" s="21">
        <f t="shared" si="22"/>
        <v>0</v>
      </c>
      <c r="G154" s="21">
        <f t="shared" si="22"/>
        <v>0</v>
      </c>
      <c r="H154" s="21">
        <f t="shared" si="22"/>
        <v>0</v>
      </c>
      <c r="I154" s="21">
        <f t="shared" si="22"/>
        <v>0</v>
      </c>
      <c r="J154" s="17" t="s">
        <v>36</v>
      </c>
    </row>
    <row r="155" spans="1:10" ht="19.05" customHeight="1" x14ac:dyDescent="0.3">
      <c r="B155" s="21">
        <f t="shared" si="22"/>
        <v>0</v>
      </c>
      <c r="C155" s="21">
        <f t="shared" si="22"/>
        <v>0</v>
      </c>
      <c r="D155" s="21">
        <f t="shared" si="22"/>
        <v>0</v>
      </c>
      <c r="E155" s="21">
        <f t="shared" si="22"/>
        <v>0</v>
      </c>
      <c r="F155" s="21">
        <f t="shared" si="22"/>
        <v>0</v>
      </c>
      <c r="G155" s="21">
        <f t="shared" si="22"/>
        <v>0</v>
      </c>
      <c r="H155" s="21">
        <f t="shared" si="22"/>
        <v>0</v>
      </c>
      <c r="I155" s="21">
        <f t="shared" si="22"/>
        <v>0</v>
      </c>
      <c r="J155" s="17" t="s">
        <v>37</v>
      </c>
    </row>
    <row r="156" spans="1:10" ht="19.05" customHeight="1" x14ac:dyDescent="0.3">
      <c r="A156" s="19" t="s">
        <v>57</v>
      </c>
      <c r="B156" s="21">
        <f t="shared" si="22"/>
        <v>0</v>
      </c>
      <c r="C156" s="21">
        <f t="shared" si="22"/>
        <v>0</v>
      </c>
      <c r="D156" s="21">
        <f t="shared" si="22"/>
        <v>0</v>
      </c>
      <c r="E156" s="21">
        <f t="shared" si="22"/>
        <v>0</v>
      </c>
      <c r="F156" s="21">
        <f t="shared" si="22"/>
        <v>0</v>
      </c>
      <c r="G156" s="21">
        <f t="shared" si="22"/>
        <v>0</v>
      </c>
      <c r="H156" s="21">
        <f t="shared" si="22"/>
        <v>0</v>
      </c>
      <c r="I156" s="21">
        <f t="shared" si="22"/>
        <v>0</v>
      </c>
      <c r="J156" s="17" t="s">
        <v>38</v>
      </c>
    </row>
    <row r="157" spans="1:10" ht="19.05" customHeight="1" x14ac:dyDescent="0.3">
      <c r="B157" s="21">
        <f t="shared" si="22"/>
        <v>0</v>
      </c>
      <c r="C157" s="21">
        <f t="shared" si="22"/>
        <v>0</v>
      </c>
      <c r="D157" s="21">
        <f t="shared" si="22"/>
        <v>0</v>
      </c>
      <c r="E157" s="21">
        <f t="shared" si="22"/>
        <v>0</v>
      </c>
      <c r="F157" s="21">
        <f t="shared" si="22"/>
        <v>0</v>
      </c>
      <c r="G157" s="21">
        <f t="shared" si="22"/>
        <v>0</v>
      </c>
      <c r="H157" s="21">
        <f t="shared" si="22"/>
        <v>0</v>
      </c>
      <c r="I157" s="21">
        <f t="shared" si="22"/>
        <v>0</v>
      </c>
      <c r="J157" s="17" t="s">
        <v>39</v>
      </c>
    </row>
    <row r="158" spans="1:10" ht="19.05" customHeight="1" x14ac:dyDescent="0.3">
      <c r="B158" s="21">
        <f t="shared" si="22"/>
        <v>0</v>
      </c>
      <c r="C158" s="21">
        <f t="shared" si="22"/>
        <v>0</v>
      </c>
      <c r="D158" s="21">
        <f t="shared" si="22"/>
        <v>0</v>
      </c>
      <c r="E158" s="21">
        <f t="shared" si="22"/>
        <v>0</v>
      </c>
      <c r="F158" s="21">
        <f t="shared" si="22"/>
        <v>0</v>
      </c>
      <c r="G158" s="21">
        <f t="shared" si="22"/>
        <v>0</v>
      </c>
      <c r="H158" s="21">
        <f t="shared" si="22"/>
        <v>0</v>
      </c>
      <c r="I158" s="21">
        <f t="shared" si="22"/>
        <v>0</v>
      </c>
      <c r="J158" s="17" t="s">
        <v>40</v>
      </c>
    </row>
    <row r="159" spans="1:10" ht="19.05" customHeight="1" x14ac:dyDescent="0.3">
      <c r="B159" s="21">
        <f t="shared" si="22"/>
        <v>0</v>
      </c>
      <c r="C159" s="21">
        <f t="shared" si="22"/>
        <v>0</v>
      </c>
      <c r="D159" s="21">
        <f t="shared" si="22"/>
        <v>0</v>
      </c>
      <c r="E159" s="21">
        <f t="shared" si="22"/>
        <v>0</v>
      </c>
      <c r="F159" s="21">
        <f t="shared" si="22"/>
        <v>0</v>
      </c>
      <c r="G159" s="21">
        <f t="shared" si="22"/>
        <v>0</v>
      </c>
      <c r="H159" s="21">
        <f t="shared" si="22"/>
        <v>0</v>
      </c>
      <c r="I159" s="21">
        <f t="shared" si="22"/>
        <v>0</v>
      </c>
      <c r="J159" s="17" t="s">
        <v>41</v>
      </c>
    </row>
    <row r="160" spans="1:10" ht="19.05" customHeight="1" x14ac:dyDescent="0.3">
      <c r="B160" s="21">
        <f t="shared" si="22"/>
        <v>0</v>
      </c>
      <c r="C160" s="21">
        <f t="shared" si="22"/>
        <v>0</v>
      </c>
      <c r="D160" s="21">
        <f t="shared" si="22"/>
        <v>0</v>
      </c>
      <c r="E160" s="21">
        <f t="shared" si="22"/>
        <v>0</v>
      </c>
      <c r="F160" s="21">
        <f t="shared" si="22"/>
        <v>0</v>
      </c>
      <c r="G160" s="21">
        <f t="shared" si="22"/>
        <v>0</v>
      </c>
      <c r="H160" s="21">
        <f t="shared" si="22"/>
        <v>0</v>
      </c>
      <c r="I160" s="21">
        <f t="shared" si="22"/>
        <v>0</v>
      </c>
      <c r="J160" s="17" t="s">
        <v>42</v>
      </c>
    </row>
    <row r="163" spans="1:30" ht="19.95" customHeight="1" x14ac:dyDescent="0.3">
      <c r="B163" s="1" t="s">
        <v>35</v>
      </c>
      <c r="C163" s="1" t="s">
        <v>36</v>
      </c>
      <c r="D163" s="1" t="s">
        <v>37</v>
      </c>
      <c r="E163" s="1" t="s">
        <v>38</v>
      </c>
      <c r="F163" s="1" t="s">
        <v>39</v>
      </c>
      <c r="G163" s="1" t="s">
        <v>40</v>
      </c>
      <c r="H163" s="1" t="s">
        <v>41</v>
      </c>
      <c r="I163" s="1" t="s">
        <v>42</v>
      </c>
    </row>
    <row r="164" spans="1:30" ht="19.95" customHeight="1" x14ac:dyDescent="0.3">
      <c r="B164" s="29">
        <f t="shared" ref="B164:I171" si="23">B34+B51+B68+B85+B102+B119+B136+B153</f>
        <v>42798.630242578452</v>
      </c>
      <c r="C164" s="30">
        <f t="shared" si="23"/>
        <v>-15998.287803223064</v>
      </c>
      <c r="D164" s="21">
        <f t="shared" si="23"/>
        <v>-30000</v>
      </c>
      <c r="E164" s="21">
        <f t="shared" si="23"/>
        <v>0</v>
      </c>
      <c r="F164" s="21">
        <f t="shared" si="23"/>
        <v>-12798.630242578451</v>
      </c>
      <c r="G164" s="21">
        <f t="shared" si="23"/>
        <v>15998.287803223064</v>
      </c>
      <c r="H164" s="21">
        <f t="shared" si="23"/>
        <v>0</v>
      </c>
      <c r="I164" s="21">
        <f t="shared" si="23"/>
        <v>0</v>
      </c>
      <c r="J164" s="31" t="s">
        <v>35</v>
      </c>
    </row>
    <row r="165" spans="1:30" ht="19.95" customHeight="1" x14ac:dyDescent="0.3">
      <c r="B165" s="30">
        <f t="shared" si="23"/>
        <v>-15998.287803223064</v>
      </c>
      <c r="C165" s="29">
        <f t="shared" si="23"/>
        <v>19997.859754028832</v>
      </c>
      <c r="D165" s="21">
        <f t="shared" si="23"/>
        <v>0</v>
      </c>
      <c r="E165" s="21">
        <f t="shared" si="23"/>
        <v>0</v>
      </c>
      <c r="F165" s="21">
        <f t="shared" si="23"/>
        <v>15998.287803223064</v>
      </c>
      <c r="G165" s="21">
        <f t="shared" si="23"/>
        <v>-19997.859754028832</v>
      </c>
      <c r="H165" s="21">
        <f t="shared" si="23"/>
        <v>0</v>
      </c>
      <c r="I165" s="21">
        <f t="shared" si="23"/>
        <v>0</v>
      </c>
      <c r="J165" s="31" t="s">
        <v>36</v>
      </c>
    </row>
    <row r="166" spans="1:30" ht="19.95" customHeight="1" x14ac:dyDescent="0.3">
      <c r="B166" s="21">
        <f t="shared" si="23"/>
        <v>-30000</v>
      </c>
      <c r="C166" s="21">
        <f t="shared" si="23"/>
        <v>0</v>
      </c>
      <c r="D166" s="29">
        <f t="shared" si="23"/>
        <v>39533.30370351005</v>
      </c>
      <c r="E166" s="30">
        <f t="shared" si="23"/>
        <v>15888.839505850086</v>
      </c>
      <c r="F166" s="21">
        <f t="shared" si="23"/>
        <v>-9533.3037035100515</v>
      </c>
      <c r="G166" s="21">
        <f t="shared" si="23"/>
        <v>-15888.839505850086</v>
      </c>
      <c r="H166" s="21">
        <f t="shared" si="23"/>
        <v>0</v>
      </c>
      <c r="I166" s="21">
        <f t="shared" si="23"/>
        <v>0</v>
      </c>
      <c r="J166" s="31" t="s">
        <v>37</v>
      </c>
    </row>
    <row r="167" spans="1:30" ht="19.95" customHeight="1" x14ac:dyDescent="0.3">
      <c r="A167" s="19" t="s">
        <v>58</v>
      </c>
      <c r="B167" s="21">
        <f t="shared" si="23"/>
        <v>0</v>
      </c>
      <c r="C167" s="21">
        <f t="shared" si="23"/>
        <v>0</v>
      </c>
      <c r="D167" s="30">
        <f t="shared" si="23"/>
        <v>15888.839505850086</v>
      </c>
      <c r="E167" s="29">
        <f t="shared" si="23"/>
        <v>26481.399176416809</v>
      </c>
      <c r="F167" s="21">
        <f t="shared" si="23"/>
        <v>-15888.839505850086</v>
      </c>
      <c r="G167" s="21">
        <f t="shared" si="23"/>
        <v>-26481.399176416809</v>
      </c>
      <c r="H167" s="21">
        <f t="shared" si="23"/>
        <v>0</v>
      </c>
      <c r="I167" s="21">
        <f t="shared" si="23"/>
        <v>0</v>
      </c>
      <c r="J167" s="31" t="s">
        <v>38</v>
      </c>
    </row>
    <row r="168" spans="1:30" ht="19.95" customHeight="1" x14ac:dyDescent="0.3">
      <c r="B168" s="21">
        <f t="shared" si="23"/>
        <v>-12798.630242578451</v>
      </c>
      <c r="C168" s="21">
        <f t="shared" si="23"/>
        <v>15998.287803223064</v>
      </c>
      <c r="D168" s="21">
        <f t="shared" si="23"/>
        <v>-9533.3037035100515</v>
      </c>
      <c r="E168" s="21">
        <f t="shared" si="23"/>
        <v>-15888.839505850086</v>
      </c>
      <c r="F168" s="29">
        <f t="shared" si="23"/>
        <v>22331.933946088502</v>
      </c>
      <c r="G168" s="30">
        <f t="shared" si="23"/>
        <v>-109.44829737297732</v>
      </c>
      <c r="H168" s="21">
        <f t="shared" si="23"/>
        <v>0</v>
      </c>
      <c r="I168" s="21">
        <f t="shared" si="23"/>
        <v>0</v>
      </c>
      <c r="J168" s="31" t="s">
        <v>39</v>
      </c>
    </row>
    <row r="169" spans="1:30" ht="19.95" customHeight="1" x14ac:dyDescent="0.3">
      <c r="B169" s="21">
        <f t="shared" si="23"/>
        <v>15998.287803223064</v>
      </c>
      <c r="C169" s="21">
        <f t="shared" si="23"/>
        <v>-19997.859754028832</v>
      </c>
      <c r="D169" s="21">
        <f t="shared" si="23"/>
        <v>-15888.839505850086</v>
      </c>
      <c r="E169" s="21">
        <f t="shared" si="23"/>
        <v>-26481.399176416809</v>
      </c>
      <c r="F169" s="30">
        <f t="shared" si="23"/>
        <v>-109.44829737297732</v>
      </c>
      <c r="G169" s="29">
        <f t="shared" si="23"/>
        <v>46479.258930445641</v>
      </c>
      <c r="H169" s="21">
        <f t="shared" si="23"/>
        <v>0</v>
      </c>
      <c r="I169" s="21">
        <f t="shared" si="23"/>
        <v>0</v>
      </c>
      <c r="J169" s="31" t="s">
        <v>40</v>
      </c>
    </row>
    <row r="170" spans="1:30" ht="19.95" customHeight="1" x14ac:dyDescent="0.3">
      <c r="B170" s="21">
        <f t="shared" si="23"/>
        <v>0</v>
      </c>
      <c r="C170" s="21">
        <f t="shared" si="23"/>
        <v>0</v>
      </c>
      <c r="D170" s="21">
        <f t="shared" si="23"/>
        <v>0</v>
      </c>
      <c r="E170" s="21">
        <f t="shared" si="23"/>
        <v>0</v>
      </c>
      <c r="F170" s="21">
        <f t="shared" si="23"/>
        <v>0</v>
      </c>
      <c r="G170" s="21">
        <f t="shared" si="23"/>
        <v>0</v>
      </c>
      <c r="H170" s="29">
        <f t="shared" si="23"/>
        <v>0</v>
      </c>
      <c r="I170" s="30">
        <f t="shared" si="23"/>
        <v>0</v>
      </c>
      <c r="J170" s="31" t="s">
        <v>41</v>
      </c>
    </row>
    <row r="171" spans="1:30" ht="19.95" customHeight="1" x14ac:dyDescent="0.3">
      <c r="B171" s="21">
        <f t="shared" si="23"/>
        <v>0</v>
      </c>
      <c r="C171" s="21">
        <f t="shared" si="23"/>
        <v>0</v>
      </c>
      <c r="D171" s="21">
        <f t="shared" si="23"/>
        <v>0</v>
      </c>
      <c r="E171" s="21">
        <f t="shared" si="23"/>
        <v>0</v>
      </c>
      <c r="F171" s="21">
        <f t="shared" si="23"/>
        <v>0</v>
      </c>
      <c r="G171" s="21">
        <f t="shared" si="23"/>
        <v>0</v>
      </c>
      <c r="H171" s="30">
        <f t="shared" si="23"/>
        <v>0</v>
      </c>
      <c r="I171" s="29">
        <f t="shared" si="23"/>
        <v>0</v>
      </c>
      <c r="J171" s="31" t="s">
        <v>42</v>
      </c>
    </row>
    <row r="174" spans="1:30" ht="19.95" customHeight="1" x14ac:dyDescent="0.35">
      <c r="A174" s="32" t="s">
        <v>59</v>
      </c>
      <c r="Y174" s="52" t="s">
        <v>60</v>
      </c>
      <c r="Z174" s="52"/>
      <c r="AA174" s="52"/>
      <c r="AB174" s="52"/>
      <c r="AC174" s="52"/>
      <c r="AD174" s="52"/>
    </row>
    <row r="175" spans="1:30" ht="16.95" customHeight="1" x14ac:dyDescent="0.3">
      <c r="B175" s="33" t="s">
        <v>61</v>
      </c>
      <c r="C175" s="33" t="s">
        <v>35</v>
      </c>
      <c r="E175" s="34">
        <f>IF(IFERROR(VLOOKUP(1, $P$6:$W$9, 2, FALSE), "")="", 0, IF(VLOOKUP(1, $P$6:$W$9, 5, FALSE)=1, B175, VLOOKUP(1, $P$6:$W$9, 7, FALSE)))</f>
        <v>0</v>
      </c>
      <c r="Y175" s="54" t="s">
        <v>62</v>
      </c>
      <c r="Z175" s="54"/>
      <c r="AA175" s="54"/>
      <c r="AB175" s="54"/>
      <c r="AC175" s="54"/>
      <c r="AD175" s="54"/>
    </row>
    <row r="176" spans="1:30" ht="16.95" customHeight="1" x14ac:dyDescent="0.3">
      <c r="B176" s="33" t="s">
        <v>63</v>
      </c>
      <c r="C176" s="33" t="s">
        <v>36</v>
      </c>
      <c r="E176" s="34" t="str">
        <f>IF(IFERROR(VLOOKUP(1, $P$6:$W$9, 2, FALSE), "")="", 0, IF(VLOOKUP(1, $P$6:$W$9, 6, FALSE)=1, B176, VLOOKUP(1, $P$6:$W$9, 8, FALSE)))</f>
        <v>C1Y</v>
      </c>
      <c r="Y176" s="54" t="s">
        <v>64</v>
      </c>
      <c r="Z176" s="54"/>
      <c r="AA176" s="54"/>
      <c r="AB176" s="54"/>
      <c r="AC176" s="54"/>
      <c r="AD176" s="54"/>
    </row>
    <row r="177" spans="1:30" ht="16.95" customHeight="1" x14ac:dyDescent="0.3">
      <c r="B177" s="33" t="s">
        <v>65</v>
      </c>
      <c r="C177" s="33" t="s">
        <v>37</v>
      </c>
      <c r="E177" s="34" t="str">
        <f>IF(IFERROR(VLOOKUP(2, $P$6:$W$9, 2, FALSE), "")="", 0, IF(VLOOKUP(2, $P$6:$W$9, 5, FALSE)=1, B177, VLOOKUP(2, $P$6:$W$9, 7, FALSE)))</f>
        <v>C2X</v>
      </c>
      <c r="Y177" s="54" t="s">
        <v>66</v>
      </c>
      <c r="Z177" s="54"/>
      <c r="AA177" s="54"/>
      <c r="AB177" s="54"/>
      <c r="AC177" s="54"/>
      <c r="AD177" s="54"/>
    </row>
    <row r="178" spans="1:30" ht="16.95" customHeight="1" x14ac:dyDescent="0.3">
      <c r="A178" s="11" t="s">
        <v>67</v>
      </c>
      <c r="B178" s="33" t="s">
        <v>68</v>
      </c>
      <c r="C178" s="33" t="s">
        <v>38</v>
      </c>
      <c r="D178" s="35" t="s">
        <v>69</v>
      </c>
      <c r="E178" s="34" t="str">
        <f>IF(IFERROR(VLOOKUP(2, $P$6:$W$9, 2, FALSE), "")="", 0, IF(VLOOKUP(2, $P$6:$W$9, 6, FALSE)=1, B178, VLOOKUP(2, $P$6:$W$9, 8, FALSE)))</f>
        <v>C2Y</v>
      </c>
      <c r="Y178" s="54" t="s">
        <v>70</v>
      </c>
      <c r="Z178" s="54"/>
      <c r="AA178" s="54"/>
      <c r="AB178" s="54"/>
      <c r="AC178" s="54"/>
      <c r="AD178" s="54"/>
    </row>
    <row r="179" spans="1:30" ht="16.95" customHeight="1" x14ac:dyDescent="0.3">
      <c r="B179" s="33" t="s">
        <v>71</v>
      </c>
      <c r="C179" s="33" t="s">
        <v>39</v>
      </c>
      <c r="E179" s="34">
        <f>IF(IFERROR(VLOOKUP(3, $P$6:$W$9, 2, FALSE), "")="", 0, IF(VLOOKUP(3, $P$6:$W$9, 5, FALSE)=1, B179, VLOOKUP(3, $P$6:$W$9, 7, FALSE)))</f>
        <v>4000</v>
      </c>
      <c r="Y179" s="54" t="s">
        <v>72</v>
      </c>
      <c r="Z179" s="54"/>
      <c r="AA179" s="54"/>
      <c r="AB179" s="54"/>
      <c r="AC179" s="54"/>
      <c r="AD179" s="54"/>
    </row>
    <row r="180" spans="1:30" ht="16.95" customHeight="1" x14ac:dyDescent="0.3">
      <c r="B180" s="33" t="s">
        <v>73</v>
      </c>
      <c r="C180" s="33" t="s">
        <v>40</v>
      </c>
      <c r="E180" s="34">
        <f>IF(IFERROR(VLOOKUP(3, $P$6:$W$9, 2, FALSE), "")="", 0, IF(VLOOKUP(3, $P$6:$W$9, 6, FALSE)=1, B180, VLOOKUP(3, $P$6:$W$9, 8, FALSE)))</f>
        <v>-5000</v>
      </c>
      <c r="Y180" s="54"/>
      <c r="Z180" s="54"/>
      <c r="AA180" s="54"/>
      <c r="AB180" s="54"/>
      <c r="AC180" s="54"/>
      <c r="AD180" s="54"/>
    </row>
    <row r="181" spans="1:30" ht="16.95" customHeight="1" x14ac:dyDescent="0.3">
      <c r="B181" s="33" t="s">
        <v>74</v>
      </c>
      <c r="C181" s="33" t="s">
        <v>41</v>
      </c>
      <c r="E181" s="34">
        <f>IF(IFERROR(VLOOKUP(4, $P$6:$W$9, 2, FALSE), "")="", 0, IF(VLOOKUP(4, $P$6:$W$9, 5, FALSE)=1, B181, VLOOKUP(4, $P$6:$W$9, 7, FALSE)))</f>
        <v>0</v>
      </c>
      <c r="Y181" s="54"/>
      <c r="Z181" s="54"/>
      <c r="AA181" s="54"/>
      <c r="AB181" s="54"/>
      <c r="AC181" s="54"/>
      <c r="AD181" s="54"/>
    </row>
    <row r="182" spans="1:30" ht="16.95" customHeight="1" x14ac:dyDescent="0.3">
      <c r="B182" s="33" t="s">
        <v>75</v>
      </c>
      <c r="C182" s="33" t="s">
        <v>42</v>
      </c>
      <c r="E182" s="34">
        <f>IF(IFERROR(VLOOKUP(4, $P$6:$W$9, 2, FALSE), "")="", 0, IF(VLOOKUP(4, $P$6:$W$9, 6, FALSE)=1, B182, VLOOKUP(4, $P$6:$W$9, 8, FALSE)))</f>
        <v>0</v>
      </c>
      <c r="Y182" s="54"/>
      <c r="Z182" s="54"/>
      <c r="AA182" s="54"/>
      <c r="AB182" s="54"/>
      <c r="AC182" s="54"/>
      <c r="AD182" s="54"/>
    </row>
    <row r="183" spans="1:30" ht="16.95" customHeight="1" x14ac:dyDescent="0.3">
      <c r="Y183" s="54"/>
      <c r="Z183" s="54"/>
      <c r="AA183" s="54"/>
      <c r="AB183" s="54"/>
      <c r="AC183" s="54"/>
      <c r="AD183" s="54"/>
    </row>
    <row r="184" spans="1:30" ht="16.95" customHeight="1" x14ac:dyDescent="0.35">
      <c r="A184" s="32" t="s">
        <v>76</v>
      </c>
      <c r="Y184" s="54"/>
      <c r="Z184" s="54"/>
      <c r="AA184" s="54"/>
      <c r="AB184" s="54"/>
      <c r="AC184" s="54"/>
      <c r="AD184" s="54"/>
    </row>
    <row r="185" spans="1:30" ht="16.95" customHeight="1" x14ac:dyDescent="0.3">
      <c r="B185" s="33" t="s">
        <v>77</v>
      </c>
      <c r="C185" s="33" t="s">
        <v>35</v>
      </c>
      <c r="E185" s="12" t="str">
        <f>IF(IFERROR(VLOOKUP(1, $P$6:$W$9, 2, FALSE), "")="", 0, IF(VLOOKUP(1, $P$6:$W$9, 5, FALSE)=1, 0, B185))</f>
        <v>D1X</v>
      </c>
      <c r="F185" s="36">
        <f>IF(ISTEXT(E185), 1, "")</f>
        <v>1</v>
      </c>
      <c r="G185" s="36" t="str">
        <f>IF(ISTEXT(E175), 1, "")</f>
        <v/>
      </c>
      <c r="Y185" s="54"/>
      <c r="Z185" s="54"/>
      <c r="AA185" s="54"/>
      <c r="AB185" s="54"/>
      <c r="AC185" s="54"/>
      <c r="AD185" s="54"/>
    </row>
    <row r="186" spans="1:30" ht="16.95" customHeight="1" x14ac:dyDescent="0.3">
      <c r="B186" s="33" t="s">
        <v>78</v>
      </c>
      <c r="C186" s="33" t="s">
        <v>36</v>
      </c>
      <c r="E186" s="12">
        <f>IF(IFERROR(VLOOKUP(1, $P$6:$W$9, 2, FALSE), "")="", 0, IF(VLOOKUP(1, $P$6:$W$9, 6, FALSE)=1, 0, B186))</f>
        <v>0</v>
      </c>
      <c r="F186" s="36" t="str">
        <f>IF(ISTEXT(E186), MAX(F$185:F185) + 1, "")</f>
        <v/>
      </c>
      <c r="G186" s="36">
        <f>IF(ISTEXT(E176), MAX(G$185:G185) + 1, "")</f>
        <v>1</v>
      </c>
      <c r="Y186" s="54"/>
      <c r="Z186" s="54"/>
      <c r="AA186" s="54"/>
      <c r="AB186" s="54"/>
      <c r="AC186" s="54"/>
      <c r="AD186" s="54"/>
    </row>
    <row r="187" spans="1:30" ht="16.95" customHeight="1" x14ac:dyDescent="0.3">
      <c r="B187" s="33" t="s">
        <v>79</v>
      </c>
      <c r="C187" s="33" t="s">
        <v>37</v>
      </c>
      <c r="E187" s="12">
        <f>IF(IFERROR(VLOOKUP(2, $P$6:$W$9, 2, FALSE), "")="", 0, IF(VLOOKUP(2, $P$6:$W$9, 5, FALSE)=1, 0, B187))</f>
        <v>0</v>
      </c>
      <c r="F187" s="36" t="str">
        <f>IF(ISTEXT(E187), MAX(F$185:F186) + 1, "")</f>
        <v/>
      </c>
      <c r="G187" s="36">
        <f>IF(ISTEXT(E177), MAX(G$185:G186) + 1, "")</f>
        <v>2</v>
      </c>
      <c r="Y187" s="54"/>
      <c r="Z187" s="54"/>
      <c r="AA187" s="54"/>
      <c r="AB187" s="54"/>
      <c r="AC187" s="54"/>
      <c r="AD187" s="54"/>
    </row>
    <row r="188" spans="1:30" ht="16.95" customHeight="1" x14ac:dyDescent="0.3">
      <c r="A188" s="11" t="s">
        <v>80</v>
      </c>
      <c r="B188" s="33" t="s">
        <v>81</v>
      </c>
      <c r="C188" s="33" t="s">
        <v>38</v>
      </c>
      <c r="D188" s="35" t="s">
        <v>69</v>
      </c>
      <c r="E188" s="12">
        <f>IF(IFERROR(VLOOKUP(2, $P$6:$W$9, 2, FALSE), "")="", 0, IF(VLOOKUP(2, $P$6:$W$9, 6, FALSE)=1, 0, B188))</f>
        <v>0</v>
      </c>
      <c r="F188" s="36" t="str">
        <f>IF(ISTEXT(E188), MAX(F$185:F187) + 1, "")</f>
        <v/>
      </c>
      <c r="G188" s="36">
        <f>IF(ISTEXT(E178), MAX(G$185:G187) + 1, "")</f>
        <v>3</v>
      </c>
      <c r="Y188" s="54"/>
      <c r="Z188" s="54"/>
      <c r="AA188" s="54"/>
      <c r="AB188" s="54"/>
      <c r="AC188" s="54"/>
      <c r="AD188" s="54"/>
    </row>
    <row r="189" spans="1:30" ht="16.95" customHeight="1" x14ac:dyDescent="0.3">
      <c r="B189" s="33" t="s">
        <v>82</v>
      </c>
      <c r="C189" s="33" t="s">
        <v>39</v>
      </c>
      <c r="E189" s="12" t="str">
        <f>IF(IFERROR(VLOOKUP(3, $P$6:$W$9, 2, FALSE), "")="", 0, IF(VLOOKUP(3, $P$6:$W$9, 5, FALSE)=1, 0, B189))</f>
        <v>D3X</v>
      </c>
      <c r="F189" s="36">
        <f>IF(ISTEXT(E189), MAX(F$185:F188) + 1, "")</f>
        <v>2</v>
      </c>
      <c r="G189" s="36" t="str">
        <f>IF(ISTEXT(E179), MAX(G$185:G188) + 1, "")</f>
        <v/>
      </c>
      <c r="Y189" s="54"/>
      <c r="Z189" s="54"/>
      <c r="AA189" s="54"/>
      <c r="AB189" s="54"/>
      <c r="AC189" s="54"/>
      <c r="AD189" s="54"/>
    </row>
    <row r="190" spans="1:30" ht="16.95" customHeight="1" x14ac:dyDescent="0.3">
      <c r="B190" s="33" t="s">
        <v>83</v>
      </c>
      <c r="C190" s="33" t="s">
        <v>40</v>
      </c>
      <c r="E190" s="12" t="str">
        <f>IF(IFERROR(VLOOKUP(3, $P$6:$W$9, 2, FALSE), "")="", 0, IF(VLOOKUP(3, $P$6:$W$9, 6, FALSE)=1, 0, B190))</f>
        <v>D3Y</v>
      </c>
      <c r="F190" s="36">
        <f>IF(ISTEXT(E190), MAX(F$185:F189) + 1, "")</f>
        <v>3</v>
      </c>
      <c r="G190" s="36" t="str">
        <f>IF(ISTEXT(E180), MAX(G$185:G189) + 1, "")</f>
        <v/>
      </c>
      <c r="Y190" s="54"/>
      <c r="Z190" s="54"/>
      <c r="AA190" s="54"/>
      <c r="AB190" s="54"/>
      <c r="AC190" s="54"/>
      <c r="AD190" s="54"/>
    </row>
    <row r="191" spans="1:30" ht="16.95" customHeight="1" x14ac:dyDescent="0.3">
      <c r="B191" s="33" t="s">
        <v>84</v>
      </c>
      <c r="C191" s="33" t="s">
        <v>41</v>
      </c>
      <c r="E191" s="12">
        <f>IF(IFERROR(VLOOKUP(4, $P$6:$W$9, 2, FALSE), "")="", 0, IF(VLOOKUP(4, $P$6:$W$9, 5, FALSE)=1, 0, B191))</f>
        <v>0</v>
      </c>
      <c r="F191" s="36" t="str">
        <f>IF(ISTEXT(E191), MAX(F$185:F190) + 1, "")</f>
        <v/>
      </c>
      <c r="G191" s="36" t="str">
        <f>IF(ISTEXT(E181), MAX(G$185:G190) + 1, "")</f>
        <v/>
      </c>
      <c r="Y191" s="54"/>
      <c r="Z191" s="54"/>
      <c r="AA191" s="54"/>
      <c r="AB191" s="54"/>
      <c r="AC191" s="54"/>
      <c r="AD191" s="54"/>
    </row>
    <row r="192" spans="1:30" ht="16.95" customHeight="1" x14ac:dyDescent="0.3">
      <c r="B192" s="33" t="s">
        <v>85</v>
      </c>
      <c r="C192" s="33" t="s">
        <v>42</v>
      </c>
      <c r="E192" s="12">
        <f>IF(IFERROR(VLOOKUP(4, $P$6:$W$9, 2, FALSE), "")="", 0, IF(VLOOKUP(4, $P$6:$W$9, 6, FALSE)=1, 0, B192))</f>
        <v>0</v>
      </c>
      <c r="F192" s="36" t="str">
        <f>IF(ISTEXT(E192), MAX(F$185:F191) + 1, "")</f>
        <v/>
      </c>
      <c r="G192" s="36" t="str">
        <f>IF(ISTEXT(E182), MAX(G$185:G191) + 1, "")</f>
        <v/>
      </c>
      <c r="Y192" s="54"/>
      <c r="Z192" s="54"/>
      <c r="AA192" s="54"/>
      <c r="AB192" s="54"/>
      <c r="AC192" s="54"/>
      <c r="AD192" s="54"/>
    </row>
    <row r="194" spans="1:30" ht="19.95" customHeight="1" x14ac:dyDescent="0.35">
      <c r="A194" s="37" t="s">
        <v>86</v>
      </c>
      <c r="C194" s="61" t="s">
        <v>87</v>
      </c>
      <c r="D194" s="61"/>
      <c r="E194" s="38" t="s">
        <v>88</v>
      </c>
      <c r="Y194" s="52" t="s">
        <v>89</v>
      </c>
      <c r="Z194" s="52"/>
      <c r="AA194" s="52"/>
      <c r="AB194" s="52"/>
      <c r="AC194" s="52"/>
      <c r="AD194" s="52"/>
    </row>
    <row r="195" spans="1:30" ht="16.95" customHeight="1" x14ac:dyDescent="0.3">
      <c r="E195" s="38" t="s">
        <v>90</v>
      </c>
      <c r="Y195" s="54" t="s">
        <v>91</v>
      </c>
      <c r="Z195" s="54"/>
      <c r="AA195" s="54"/>
      <c r="AB195" s="54"/>
      <c r="AC195" s="54"/>
      <c r="AD195" s="54"/>
    </row>
    <row r="196" spans="1:30" ht="16.95" customHeight="1" x14ac:dyDescent="0.3">
      <c r="A196" s="39" t="s">
        <v>92</v>
      </c>
      <c r="C196" s="39" t="s">
        <v>93</v>
      </c>
      <c r="L196" s="39" t="s">
        <v>94</v>
      </c>
      <c r="Y196" s="54" t="s">
        <v>95</v>
      </c>
      <c r="Z196" s="54"/>
      <c r="AA196" s="54"/>
      <c r="AB196" s="54"/>
      <c r="AC196" s="54"/>
      <c r="AD196" s="54"/>
    </row>
    <row r="197" spans="1:30" ht="16.95" customHeight="1" x14ac:dyDescent="0.3">
      <c r="A197" s="40">
        <f t="shared" ref="A197:A204" si="24">E175</f>
        <v>0</v>
      </c>
      <c r="C197" s="21">
        <f t="shared" ref="C197:J204" si="25">B164</f>
        <v>42798.630242578452</v>
      </c>
      <c r="D197" s="21">
        <f t="shared" si="25"/>
        <v>-15998.287803223064</v>
      </c>
      <c r="E197" s="21">
        <f t="shared" si="25"/>
        <v>-30000</v>
      </c>
      <c r="F197" s="21">
        <f t="shared" si="25"/>
        <v>0</v>
      </c>
      <c r="G197" s="21">
        <f t="shared" si="25"/>
        <v>-12798.630242578451</v>
      </c>
      <c r="H197" s="21">
        <f t="shared" si="25"/>
        <v>15998.287803223064</v>
      </c>
      <c r="I197" s="21">
        <f t="shared" si="25"/>
        <v>0</v>
      </c>
      <c r="J197" s="21">
        <f t="shared" si="25"/>
        <v>0</v>
      </c>
      <c r="K197" s="35" t="s">
        <v>96</v>
      </c>
      <c r="L197" s="33" t="str">
        <f t="shared" ref="L197:L204" si="26">E185</f>
        <v>D1X</v>
      </c>
      <c r="Y197" s="54" t="s">
        <v>97</v>
      </c>
      <c r="Z197" s="54"/>
      <c r="AA197" s="54"/>
      <c r="AB197" s="54"/>
      <c r="AC197" s="54"/>
      <c r="AD197" s="54"/>
    </row>
    <row r="198" spans="1:30" ht="16.95" customHeight="1" x14ac:dyDescent="0.3">
      <c r="A198" s="40" t="str">
        <f t="shared" si="24"/>
        <v>C1Y</v>
      </c>
      <c r="C198" s="21">
        <f t="shared" si="25"/>
        <v>-15998.287803223064</v>
      </c>
      <c r="D198" s="21">
        <f t="shared" si="25"/>
        <v>19997.859754028832</v>
      </c>
      <c r="E198" s="21">
        <f t="shared" si="25"/>
        <v>0</v>
      </c>
      <c r="F198" s="21">
        <f t="shared" si="25"/>
        <v>0</v>
      </c>
      <c r="G198" s="21">
        <f t="shared" si="25"/>
        <v>15998.287803223064</v>
      </c>
      <c r="H198" s="21">
        <f t="shared" si="25"/>
        <v>-19997.859754028832</v>
      </c>
      <c r="I198" s="21">
        <f t="shared" si="25"/>
        <v>0</v>
      </c>
      <c r="J198" s="21">
        <f t="shared" si="25"/>
        <v>0</v>
      </c>
      <c r="K198" s="35" t="s">
        <v>96</v>
      </c>
      <c r="L198" s="33">
        <f t="shared" si="26"/>
        <v>0</v>
      </c>
      <c r="Y198" s="54" t="s">
        <v>98</v>
      </c>
      <c r="Z198" s="54"/>
      <c r="AA198" s="54"/>
      <c r="AB198" s="54"/>
      <c r="AC198" s="54"/>
      <c r="AD198" s="54"/>
    </row>
    <row r="199" spans="1:30" ht="16.95" customHeight="1" x14ac:dyDescent="0.3">
      <c r="A199" s="40" t="str">
        <f t="shared" si="24"/>
        <v>C2X</v>
      </c>
      <c r="C199" s="21">
        <f t="shared" si="25"/>
        <v>-30000</v>
      </c>
      <c r="D199" s="21">
        <f t="shared" si="25"/>
        <v>0</v>
      </c>
      <c r="E199" s="21">
        <f t="shared" si="25"/>
        <v>39533.30370351005</v>
      </c>
      <c r="F199" s="21">
        <f t="shared" si="25"/>
        <v>15888.839505850086</v>
      </c>
      <c r="G199" s="21">
        <f t="shared" si="25"/>
        <v>-9533.3037035100515</v>
      </c>
      <c r="H199" s="21">
        <f t="shared" si="25"/>
        <v>-15888.839505850086</v>
      </c>
      <c r="I199" s="21">
        <f t="shared" si="25"/>
        <v>0</v>
      </c>
      <c r="J199" s="21">
        <f t="shared" si="25"/>
        <v>0</v>
      </c>
      <c r="K199" s="35" t="s">
        <v>96</v>
      </c>
      <c r="L199" s="33">
        <f t="shared" si="26"/>
        <v>0</v>
      </c>
      <c r="Y199" s="54" t="s">
        <v>99</v>
      </c>
      <c r="Z199" s="54"/>
      <c r="AA199" s="54"/>
      <c r="AB199" s="54"/>
      <c r="AC199" s="54"/>
      <c r="AD199" s="54"/>
    </row>
    <row r="200" spans="1:30" ht="16.95" customHeight="1" x14ac:dyDescent="0.3">
      <c r="A200" s="40" t="str">
        <f t="shared" si="24"/>
        <v>C2Y</v>
      </c>
      <c r="C200" s="21">
        <f t="shared" si="25"/>
        <v>0</v>
      </c>
      <c r="D200" s="21">
        <f t="shared" si="25"/>
        <v>0</v>
      </c>
      <c r="E200" s="21">
        <f t="shared" si="25"/>
        <v>15888.839505850086</v>
      </c>
      <c r="F200" s="21">
        <f t="shared" si="25"/>
        <v>26481.399176416809</v>
      </c>
      <c r="G200" s="21">
        <f t="shared" si="25"/>
        <v>-15888.839505850086</v>
      </c>
      <c r="H200" s="21">
        <f t="shared" si="25"/>
        <v>-26481.399176416809</v>
      </c>
      <c r="I200" s="21">
        <f t="shared" si="25"/>
        <v>0</v>
      </c>
      <c r="J200" s="21">
        <f t="shared" si="25"/>
        <v>0</v>
      </c>
      <c r="K200" s="35" t="s">
        <v>96</v>
      </c>
      <c r="L200" s="33">
        <f t="shared" si="26"/>
        <v>0</v>
      </c>
      <c r="Y200" s="54" t="s">
        <v>100</v>
      </c>
      <c r="Z200" s="54"/>
      <c r="AA200" s="54"/>
      <c r="AB200" s="54"/>
      <c r="AC200" s="54"/>
      <c r="AD200" s="54"/>
    </row>
    <row r="201" spans="1:30" ht="16.95" customHeight="1" x14ac:dyDescent="0.3">
      <c r="A201" s="40">
        <f t="shared" si="24"/>
        <v>4000</v>
      </c>
      <c r="B201" s="35" t="s">
        <v>69</v>
      </c>
      <c r="C201" s="21">
        <f t="shared" si="25"/>
        <v>-12798.630242578451</v>
      </c>
      <c r="D201" s="21">
        <f t="shared" si="25"/>
        <v>15998.287803223064</v>
      </c>
      <c r="E201" s="21">
        <f t="shared" si="25"/>
        <v>-9533.3037035100515</v>
      </c>
      <c r="F201" s="21">
        <f t="shared" si="25"/>
        <v>-15888.839505850086</v>
      </c>
      <c r="G201" s="21">
        <f t="shared" si="25"/>
        <v>22331.933946088502</v>
      </c>
      <c r="H201" s="21">
        <f t="shared" si="25"/>
        <v>-109.44829737297732</v>
      </c>
      <c r="I201" s="21">
        <f t="shared" si="25"/>
        <v>0</v>
      </c>
      <c r="J201" s="21">
        <f t="shared" si="25"/>
        <v>0</v>
      </c>
      <c r="K201" s="35" t="s">
        <v>96</v>
      </c>
      <c r="L201" s="33" t="str">
        <f t="shared" si="26"/>
        <v>D3X</v>
      </c>
      <c r="Y201" s="54" t="s">
        <v>101</v>
      </c>
      <c r="Z201" s="54"/>
      <c r="AA201" s="54"/>
      <c r="AB201" s="54"/>
      <c r="AC201" s="54"/>
      <c r="AD201" s="54"/>
    </row>
    <row r="202" spans="1:30" ht="16.95" customHeight="1" x14ac:dyDescent="0.3">
      <c r="A202" s="40">
        <f t="shared" si="24"/>
        <v>-5000</v>
      </c>
      <c r="C202" s="21">
        <f t="shared" si="25"/>
        <v>15998.287803223064</v>
      </c>
      <c r="D202" s="21">
        <f t="shared" si="25"/>
        <v>-19997.859754028832</v>
      </c>
      <c r="E202" s="21">
        <f t="shared" si="25"/>
        <v>-15888.839505850086</v>
      </c>
      <c r="F202" s="21">
        <f t="shared" si="25"/>
        <v>-26481.399176416809</v>
      </c>
      <c r="G202" s="21">
        <f t="shared" si="25"/>
        <v>-109.44829737297732</v>
      </c>
      <c r="H202" s="21">
        <f t="shared" si="25"/>
        <v>46479.258930445641</v>
      </c>
      <c r="I202" s="21">
        <f t="shared" si="25"/>
        <v>0</v>
      </c>
      <c r="J202" s="21">
        <f t="shared" si="25"/>
        <v>0</v>
      </c>
      <c r="K202" s="35" t="s">
        <v>96</v>
      </c>
      <c r="L202" s="33" t="str">
        <f t="shared" si="26"/>
        <v>D3Y</v>
      </c>
      <c r="Y202" s="54"/>
      <c r="Z202" s="54"/>
      <c r="AA202" s="54"/>
      <c r="AB202" s="54"/>
      <c r="AC202" s="54"/>
      <c r="AD202" s="54"/>
    </row>
    <row r="203" spans="1:30" ht="16.95" customHeight="1" x14ac:dyDescent="0.3">
      <c r="A203" s="40">
        <f t="shared" si="24"/>
        <v>0</v>
      </c>
      <c r="C203" s="21">
        <f t="shared" si="25"/>
        <v>0</v>
      </c>
      <c r="D203" s="21">
        <f t="shared" si="25"/>
        <v>0</v>
      </c>
      <c r="E203" s="21">
        <f t="shared" si="25"/>
        <v>0</v>
      </c>
      <c r="F203" s="21">
        <f t="shared" si="25"/>
        <v>0</v>
      </c>
      <c r="G203" s="21">
        <f t="shared" si="25"/>
        <v>0</v>
      </c>
      <c r="H203" s="21">
        <f t="shared" si="25"/>
        <v>0</v>
      </c>
      <c r="I203" s="21">
        <f t="shared" si="25"/>
        <v>0</v>
      </c>
      <c r="J203" s="21">
        <f t="shared" si="25"/>
        <v>0</v>
      </c>
      <c r="K203" s="35" t="s">
        <v>96</v>
      </c>
      <c r="L203" s="33">
        <f t="shared" si="26"/>
        <v>0</v>
      </c>
      <c r="Y203" s="54"/>
      <c r="Z203" s="54"/>
      <c r="AA203" s="54"/>
      <c r="AB203" s="54"/>
      <c r="AC203" s="54"/>
      <c r="AD203" s="54"/>
    </row>
    <row r="204" spans="1:30" ht="16.95" customHeight="1" x14ac:dyDescent="0.3">
      <c r="A204" s="40">
        <f t="shared" si="24"/>
        <v>0</v>
      </c>
      <c r="C204" s="21">
        <f t="shared" si="25"/>
        <v>0</v>
      </c>
      <c r="D204" s="21">
        <f t="shared" si="25"/>
        <v>0</v>
      </c>
      <c r="E204" s="21">
        <f t="shared" si="25"/>
        <v>0</v>
      </c>
      <c r="F204" s="21">
        <f t="shared" si="25"/>
        <v>0</v>
      </c>
      <c r="G204" s="21">
        <f t="shared" si="25"/>
        <v>0</v>
      </c>
      <c r="H204" s="21">
        <f t="shared" si="25"/>
        <v>0</v>
      </c>
      <c r="I204" s="21">
        <f t="shared" si="25"/>
        <v>0</v>
      </c>
      <c r="J204" s="21">
        <f t="shared" si="25"/>
        <v>0</v>
      </c>
      <c r="K204" s="35" t="s">
        <v>96</v>
      </c>
      <c r="L204" s="33">
        <f t="shared" si="26"/>
        <v>0</v>
      </c>
      <c r="Y204" s="54"/>
      <c r="Z204" s="54"/>
      <c r="AA204" s="54"/>
      <c r="AB204" s="54"/>
      <c r="AC204" s="54"/>
      <c r="AD204" s="54"/>
    </row>
    <row r="207" spans="1:30" ht="19.95" customHeight="1" x14ac:dyDescent="0.35">
      <c r="A207" s="37" t="s">
        <v>102</v>
      </c>
      <c r="Y207" s="52" t="s">
        <v>103</v>
      </c>
      <c r="Z207" s="52"/>
      <c r="AA207" s="52"/>
      <c r="AB207" s="52"/>
      <c r="AC207" s="52"/>
      <c r="AD207" s="52"/>
    </row>
    <row r="208" spans="1:30" ht="16.95" customHeight="1" x14ac:dyDescent="0.3">
      <c r="C208" s="11" t="str">
        <f>IFERROR(INDEX(C$185:C$192, MATCH(1, F$185:F$192, 0)), "-")</f>
        <v>U1X</v>
      </c>
      <c r="D208" s="11" t="str">
        <f>IFERROR(INDEX(C$185:C$192, MATCH(2, F$185:F$192, 0)), "-")</f>
        <v>U3X</v>
      </c>
      <c r="E208" s="11" t="str">
        <f>IFERROR(INDEX(C$185:C$192, MATCH(3, F$185:F$192, 0)), "-")</f>
        <v>U3Y</v>
      </c>
      <c r="F208" s="11" t="str">
        <f>IFERROR(INDEX(C$185:C$192, MATCH(4, F$185:F$192, 0)), "-")</f>
        <v>-</v>
      </c>
      <c r="G208" s="11" t="str">
        <f>IFERROR(INDEX(C$185:C$192, MATCH(5, F$185:F$192, 0)), "-")</f>
        <v>-</v>
      </c>
      <c r="Y208" s="54" t="s">
        <v>104</v>
      </c>
      <c r="Z208" s="54"/>
      <c r="AA208" s="54"/>
      <c r="AB208" s="54"/>
      <c r="AC208" s="54"/>
      <c r="AD208" s="54"/>
    </row>
    <row r="209" spans="1:30" ht="16.95" customHeight="1" x14ac:dyDescent="0.3">
      <c r="A209" s="41">
        <f>IF($J209="-", 0, IFERROR(INDEX(E$175:E$182, MATCH($J209, C$175:C$182, 0)), 0))</f>
        <v>0</v>
      </c>
      <c r="C209" s="41">
        <f>IF(OR($J209="-", C$208="-"), 1, IF(OR(IFERROR(INDEX($B$164:$I$171, MATCH($J209, $J$164:$J$171, 0), MATCH($J209, $B$163:$I$163, 0)), 0)=0, IFERROR(INDEX($B$164:$I$171, MATCH(C$208, $J$164:$J$171, 0), MATCH(C$208, $B$163:$I$163, 0)), 0)=0), 1, IFERROR(INDEX($B$164:$I$171, MATCH($J209, $J$164:$J$171, 0), MATCH(C$208, $B$163:$I$163, 0)), 0)))</f>
        <v>42798.630242578452</v>
      </c>
      <c r="D209" s="41">
        <f>IF(OR($J209="-", D$208="-"), 0, IF(OR(IFERROR(INDEX($B$164:$I$171, MATCH($J209, $J$164:$J$171, 0), MATCH($J209, $B$163:$I$163, 0)), 0)=0, IFERROR(INDEX($B$164:$I$171, MATCH(D$208, $J$164:$J$171, 0), MATCH(D$208, $B$163:$I$163, 0)), 0)=0), 0, IFERROR(INDEX($B$164:$I$171, MATCH($J209, $J$164:$J$171, 0), MATCH(D$208, $B$163:$I$163, 0)), 0)))</f>
        <v>-12798.630242578451</v>
      </c>
      <c r="E209" s="41">
        <f>IF(OR($J209="-", E$208="-"), 0, IF(OR(IFERROR(INDEX($B$164:$I$171, MATCH($J209, $J$164:$J$171, 0), MATCH($J209, $B$163:$I$163, 0)), 0)=0, IFERROR(INDEX($B$164:$I$171, MATCH(E$208, $J$164:$J$171, 0), MATCH(E$208, $B$163:$I$163, 0)), 0)=0), 0, IFERROR(INDEX($B$164:$I$171, MATCH($J209, $J$164:$J$171, 0), MATCH(E$208, $B$163:$I$163, 0)), 0)))</f>
        <v>15998.287803223064</v>
      </c>
      <c r="F209" s="41">
        <f>IF(OR($J209="-", F$208="-"), 0, IF(OR(IFERROR(INDEX($B$164:$I$171, MATCH($J209, $J$164:$J$171, 0), MATCH($J209, $B$163:$I$163, 0)), 0)=0, IFERROR(INDEX($B$164:$I$171, MATCH(F$208, $J$164:$J$171, 0), MATCH(F$208, $B$163:$I$163, 0)), 0)=0), 0, IFERROR(INDEX($B$164:$I$171, MATCH($J209, $J$164:$J$171, 0), MATCH(F$208, $B$163:$I$163, 0)), 0)))</f>
        <v>0</v>
      </c>
      <c r="G209" s="41">
        <f>IF(OR($J209="-", G$208="-"), 0, IF(OR(IFERROR(INDEX($B$164:$I$171, MATCH($J209, $J$164:$J$171, 0), MATCH($J209, $B$163:$I$163, 0)), 0)=0, IFERROR(INDEX($B$164:$I$171, MATCH(G$208, $J$164:$J$171, 0), MATCH(G$208, $B$163:$I$163, 0)), 0)=0), 0, IFERROR(INDEX($B$164:$I$171, MATCH($J209, $J$164:$J$171, 0), MATCH(G$208, $B$163:$I$163, 0)), 0)))</f>
        <v>0</v>
      </c>
      <c r="H209" s="35" t="s">
        <v>96</v>
      </c>
      <c r="I209" s="11" t="str">
        <f>IFERROR(INDEX(B$185:B$192, MATCH(1, F$185:F$192, 0)), "-")</f>
        <v>D1X</v>
      </c>
      <c r="J209" s="36" t="str">
        <f>IFERROR(INDEX(C$185:C$192, MATCH(1, F$185:F$192, 0)), "-")</f>
        <v>U1X</v>
      </c>
      <c r="Y209" s="54" t="s">
        <v>105</v>
      </c>
      <c r="Z209" s="54"/>
      <c r="AA209" s="54"/>
      <c r="AB209" s="54"/>
      <c r="AC209" s="54"/>
      <c r="AD209" s="54"/>
    </row>
    <row r="210" spans="1:30" ht="16.95" customHeight="1" x14ac:dyDescent="0.3">
      <c r="A210" s="41">
        <f>IF($J210="-", 0, IFERROR(INDEX(E$175:E$182, MATCH($J210, C$175:C$182, 0)), 0))</f>
        <v>4000</v>
      </c>
      <c r="C210" s="41">
        <f>IF(OR($J210="-", C$208="-"), 0, IF(OR(IFERROR(INDEX($B$164:$I$171, MATCH($J210, $J$164:$J$171, 0), MATCH($J210, $B$163:$I$163, 0)), 0)=0, IFERROR(INDEX($B$164:$I$171, MATCH(C$208, $J$164:$J$171, 0), MATCH(C$208, $B$163:$I$163, 0)), 0)=0), 0, IFERROR(INDEX($B$164:$I$171, MATCH($J210, $J$164:$J$171, 0), MATCH(C$208, $B$163:$I$163, 0)), 0)))</f>
        <v>-12798.630242578451</v>
      </c>
      <c r="D210" s="41">
        <f>IF(OR($J210="-", D$208="-"), 1, IF(OR(IFERROR(INDEX($B$164:$I$171, MATCH($J210, $J$164:$J$171, 0), MATCH($J210, $B$163:$I$163, 0)), 0)=0, IFERROR(INDEX($B$164:$I$171, MATCH(D$208, $J$164:$J$171, 0), MATCH(D$208, $B$163:$I$163, 0)), 0)=0), 1, IFERROR(INDEX($B$164:$I$171, MATCH($J210, $J$164:$J$171, 0), MATCH(D$208, $B$163:$I$163, 0)), 0)))</f>
        <v>22331.933946088502</v>
      </c>
      <c r="E210" s="41">
        <f>IF(OR($J210="-", E$208="-"), 0, IF(OR(IFERROR(INDEX($B$164:$I$171, MATCH($J210, $J$164:$J$171, 0), MATCH($J210, $B$163:$I$163, 0)), 0)=0, IFERROR(INDEX($B$164:$I$171, MATCH(E$208, $J$164:$J$171, 0), MATCH(E$208, $B$163:$I$163, 0)), 0)=0), 0, IFERROR(INDEX($B$164:$I$171, MATCH($J210, $J$164:$J$171, 0), MATCH(E$208, $B$163:$I$163, 0)), 0)))</f>
        <v>-109.44829737297732</v>
      </c>
      <c r="F210" s="41">
        <f>IF(OR($J210="-", F$208="-"), 0, IF(OR(IFERROR(INDEX($B$164:$I$171, MATCH($J210, $J$164:$J$171, 0), MATCH($J210, $B$163:$I$163, 0)), 0)=0, IFERROR(INDEX($B$164:$I$171, MATCH(F$208, $J$164:$J$171, 0), MATCH(F$208, $B$163:$I$163, 0)), 0)=0), 0, IFERROR(INDEX($B$164:$I$171, MATCH($J210, $J$164:$J$171, 0), MATCH(F$208, $B$163:$I$163, 0)), 0)))</f>
        <v>0</v>
      </c>
      <c r="G210" s="41">
        <f>IF(OR($J210="-", G$208="-"), 0, IF(OR(IFERROR(INDEX($B$164:$I$171, MATCH($J210, $J$164:$J$171, 0), MATCH($J210, $B$163:$I$163, 0)), 0)=0, IFERROR(INDEX($B$164:$I$171, MATCH(G$208, $J$164:$J$171, 0), MATCH(G$208, $B$163:$I$163, 0)), 0)=0), 0, IFERROR(INDEX($B$164:$I$171, MATCH($J210, $J$164:$J$171, 0), MATCH(G$208, $B$163:$I$163, 0)), 0)))</f>
        <v>0</v>
      </c>
      <c r="H210" s="35" t="s">
        <v>96</v>
      </c>
      <c r="I210" s="11" t="str">
        <f>IFERROR(INDEX(B$185:B$192, MATCH(2, F$185:F$192, 0)), "-")</f>
        <v>D3X</v>
      </c>
      <c r="J210" s="36" t="str">
        <f>IFERROR(INDEX(C$185:C$192, MATCH(2, F$185:F$192, 0)), "-")</f>
        <v>U3X</v>
      </c>
      <c r="Y210" s="54" t="s">
        <v>106</v>
      </c>
      <c r="Z210" s="54"/>
      <c r="AA210" s="54"/>
      <c r="AB210" s="54"/>
      <c r="AC210" s="54"/>
      <c r="AD210" s="54"/>
    </row>
    <row r="211" spans="1:30" ht="16.95" customHeight="1" x14ac:dyDescent="0.3">
      <c r="A211" s="41">
        <f>IF($J211="-", 0, IFERROR(INDEX(E$175:E$182, MATCH($J211, C$175:C$182, 0)), 0))</f>
        <v>-5000</v>
      </c>
      <c r="B211" s="35" t="s">
        <v>69</v>
      </c>
      <c r="C211" s="41">
        <f>IF(OR($J211="-", C$208="-"), 0, IF(OR(IFERROR(INDEX($B$164:$I$171, MATCH($J211, $J$164:$J$171, 0), MATCH($J211, $B$163:$I$163, 0)), 0)=0, IFERROR(INDEX($B$164:$I$171, MATCH(C$208, $J$164:$J$171, 0), MATCH(C$208, $B$163:$I$163, 0)), 0)=0), 0, IFERROR(INDEX($B$164:$I$171, MATCH($J211, $J$164:$J$171, 0), MATCH(C$208, $B$163:$I$163, 0)), 0)))</f>
        <v>15998.287803223064</v>
      </c>
      <c r="D211" s="41">
        <f>IF(OR($J211="-", D$208="-"), 0, IF(OR(IFERROR(INDEX($B$164:$I$171, MATCH($J211, $J$164:$J$171, 0), MATCH($J211, $B$163:$I$163, 0)), 0)=0, IFERROR(INDEX($B$164:$I$171, MATCH(D$208, $J$164:$J$171, 0), MATCH(D$208, $B$163:$I$163, 0)), 0)=0), 0, IFERROR(INDEX($B$164:$I$171, MATCH($J211, $J$164:$J$171, 0), MATCH(D$208, $B$163:$I$163, 0)), 0)))</f>
        <v>-109.44829737297732</v>
      </c>
      <c r="E211" s="41">
        <f>IF(OR($J211="-", E$208="-"), 1, IF(OR(IFERROR(INDEX($B$164:$I$171, MATCH($J211, $J$164:$J$171, 0), MATCH($J211, $B$163:$I$163, 0)), 0)=0, IFERROR(INDEX($B$164:$I$171, MATCH(E$208, $J$164:$J$171, 0), MATCH(E$208, $B$163:$I$163, 0)), 0)=0), 1, IFERROR(INDEX($B$164:$I$171, MATCH($J211, $J$164:$J$171, 0), MATCH(E$208, $B$163:$I$163, 0)), 0)))</f>
        <v>46479.258930445641</v>
      </c>
      <c r="F211" s="41">
        <f>IF(OR($J211="-", F$208="-"), 0, IF(OR(IFERROR(INDEX($B$164:$I$171, MATCH($J211, $J$164:$J$171, 0), MATCH($J211, $B$163:$I$163, 0)), 0)=0, IFERROR(INDEX($B$164:$I$171, MATCH(F$208, $J$164:$J$171, 0), MATCH(F$208, $B$163:$I$163, 0)), 0)=0), 0, IFERROR(INDEX($B$164:$I$171, MATCH($J211, $J$164:$J$171, 0), MATCH(F$208, $B$163:$I$163, 0)), 0)))</f>
        <v>0</v>
      </c>
      <c r="G211" s="41">
        <f>IF(OR($J211="-", G$208="-"), 0, IF(OR(IFERROR(INDEX($B$164:$I$171, MATCH($J211, $J$164:$J$171, 0), MATCH($J211, $B$163:$I$163, 0)), 0)=0, IFERROR(INDEX($B$164:$I$171, MATCH(G$208, $J$164:$J$171, 0), MATCH(G$208, $B$163:$I$163, 0)), 0)=0), 0, IFERROR(INDEX($B$164:$I$171, MATCH($J211, $J$164:$J$171, 0), MATCH(G$208, $B$163:$I$163, 0)), 0)))</f>
        <v>0</v>
      </c>
      <c r="H211" s="35" t="s">
        <v>96</v>
      </c>
      <c r="I211" s="11" t="str">
        <f>IFERROR(INDEX(B$185:B$192, MATCH(3, F$185:F$192, 0)), "-")</f>
        <v>D3Y</v>
      </c>
      <c r="J211" s="36" t="str">
        <f>IFERROR(INDEX(C$185:C$192, MATCH(3, F$185:F$192, 0)), "-")</f>
        <v>U3Y</v>
      </c>
      <c r="Y211" s="54" t="s">
        <v>107</v>
      </c>
      <c r="Z211" s="54"/>
      <c r="AA211" s="54"/>
      <c r="AB211" s="54"/>
      <c r="AC211" s="54"/>
      <c r="AD211" s="54"/>
    </row>
    <row r="212" spans="1:30" ht="16.95" customHeight="1" x14ac:dyDescent="0.3">
      <c r="A212" s="41">
        <f>IF($J212="-", 0, IFERROR(INDEX(E$175:E$182, MATCH($J212, C$175:C$182, 0)), 0))</f>
        <v>0</v>
      </c>
      <c r="C212" s="41">
        <f>IF(OR($J212="-", C$208="-"), 0, IF(OR(IFERROR(INDEX($B$164:$I$171, MATCH($J212, $J$164:$J$171, 0), MATCH($J212, $B$163:$I$163, 0)), 0)=0, IFERROR(INDEX($B$164:$I$171, MATCH(C$208, $J$164:$J$171, 0), MATCH(C$208, $B$163:$I$163, 0)), 0)=0), 0, IFERROR(INDEX($B$164:$I$171, MATCH($J212, $J$164:$J$171, 0), MATCH(C$208, $B$163:$I$163, 0)), 0)))</f>
        <v>0</v>
      </c>
      <c r="D212" s="41">
        <f>IF(OR($J212="-", D$208="-"), 0, IF(OR(IFERROR(INDEX($B$164:$I$171, MATCH($J212, $J$164:$J$171, 0), MATCH($J212, $B$163:$I$163, 0)), 0)=0, IFERROR(INDEX($B$164:$I$171, MATCH(D$208, $J$164:$J$171, 0), MATCH(D$208, $B$163:$I$163, 0)), 0)=0), 0, IFERROR(INDEX($B$164:$I$171, MATCH($J212, $J$164:$J$171, 0), MATCH(D$208, $B$163:$I$163, 0)), 0)))</f>
        <v>0</v>
      </c>
      <c r="E212" s="41">
        <f>IF(OR($J212="-", E$208="-"), 0, IF(OR(IFERROR(INDEX($B$164:$I$171, MATCH($J212, $J$164:$J$171, 0), MATCH($J212, $B$163:$I$163, 0)), 0)=0, IFERROR(INDEX($B$164:$I$171, MATCH(E$208, $J$164:$J$171, 0), MATCH(E$208, $B$163:$I$163, 0)), 0)=0), 0, IFERROR(INDEX($B$164:$I$171, MATCH($J212, $J$164:$J$171, 0), MATCH(E$208, $B$163:$I$163, 0)), 0)))</f>
        <v>0</v>
      </c>
      <c r="F212" s="41">
        <f>IF(OR($J212="-", F$208="-"), 1, IF(OR(IFERROR(INDEX($B$164:$I$171, MATCH($J212, $J$164:$J$171, 0), MATCH($J212, $B$163:$I$163, 0)), 0)=0, IFERROR(INDEX($B$164:$I$171, MATCH(F$208, $J$164:$J$171, 0), MATCH(F$208, $B$163:$I$163, 0)), 0)=0), 1, IFERROR(INDEX($B$164:$I$171, MATCH($J212, $J$164:$J$171, 0), MATCH(F$208, $B$163:$I$163, 0)), 0)))</f>
        <v>1</v>
      </c>
      <c r="G212" s="41">
        <f>IF(OR($J212="-", G$208="-"), 0, IF(OR(IFERROR(INDEX($B$164:$I$171, MATCH($J212, $J$164:$J$171, 0), MATCH($J212, $B$163:$I$163, 0)), 0)=0, IFERROR(INDEX($B$164:$I$171, MATCH(G$208, $J$164:$J$171, 0), MATCH(G$208, $B$163:$I$163, 0)), 0)=0), 0, IFERROR(INDEX($B$164:$I$171, MATCH($J212, $J$164:$J$171, 0), MATCH(G$208, $B$163:$I$163, 0)), 0)))</f>
        <v>0</v>
      </c>
      <c r="H212" s="35" t="s">
        <v>96</v>
      </c>
      <c r="I212" s="11" t="str">
        <f>IFERROR(INDEX(B$185:B$192, MATCH(4, F$185:F$192, 0)), "-")</f>
        <v>-</v>
      </c>
      <c r="J212" s="36" t="str">
        <f>IFERROR(INDEX(C$185:C$192, MATCH(4, F$185:F$192, 0)), "-")</f>
        <v>-</v>
      </c>
      <c r="Y212" s="54"/>
      <c r="Z212" s="54"/>
      <c r="AA212" s="54"/>
      <c r="AB212" s="54"/>
      <c r="AC212" s="54"/>
      <c r="AD212" s="54"/>
    </row>
    <row r="213" spans="1:30" ht="16.95" customHeight="1" x14ac:dyDescent="0.3">
      <c r="A213" s="41">
        <f>IF($J213="-", 0, IFERROR(INDEX(E$175:E$182, MATCH($J213, C$175:C$182, 0)), 0))</f>
        <v>0</v>
      </c>
      <c r="C213" s="41">
        <f>IF(OR($J213="-", C$208="-"), 0, IF(OR(IFERROR(INDEX($B$164:$I$171, MATCH($J213, $J$164:$J$171, 0), MATCH($J213, $B$163:$I$163, 0)), 0)=0, IFERROR(INDEX($B$164:$I$171, MATCH(C$208, $J$164:$J$171, 0), MATCH(C$208, $B$163:$I$163, 0)), 0)=0), 0, IFERROR(INDEX($B$164:$I$171, MATCH($J213, $J$164:$J$171, 0), MATCH(C$208, $B$163:$I$163, 0)), 0)))</f>
        <v>0</v>
      </c>
      <c r="D213" s="41">
        <f>IF(OR($J213="-", D$208="-"), 0, IF(OR(IFERROR(INDEX($B$164:$I$171, MATCH($J213, $J$164:$J$171, 0), MATCH($J213, $B$163:$I$163, 0)), 0)=0, IFERROR(INDEX($B$164:$I$171, MATCH(D$208, $J$164:$J$171, 0), MATCH(D$208, $B$163:$I$163, 0)), 0)=0), 0, IFERROR(INDEX($B$164:$I$171, MATCH($J213, $J$164:$J$171, 0), MATCH(D$208, $B$163:$I$163, 0)), 0)))</f>
        <v>0</v>
      </c>
      <c r="E213" s="41">
        <f>IF(OR($J213="-", E$208="-"), 0, IF(OR(IFERROR(INDEX($B$164:$I$171, MATCH($J213, $J$164:$J$171, 0), MATCH($J213, $B$163:$I$163, 0)), 0)=0, IFERROR(INDEX($B$164:$I$171, MATCH(E$208, $J$164:$J$171, 0), MATCH(E$208, $B$163:$I$163, 0)), 0)=0), 0, IFERROR(INDEX($B$164:$I$171, MATCH($J213, $J$164:$J$171, 0), MATCH(E$208, $B$163:$I$163, 0)), 0)))</f>
        <v>0</v>
      </c>
      <c r="F213" s="41">
        <f>IF(OR($J213="-", F$208="-"), 0, IF(OR(IFERROR(INDEX($B$164:$I$171, MATCH($J213, $J$164:$J$171, 0), MATCH($J213, $B$163:$I$163, 0)), 0)=0, IFERROR(INDEX($B$164:$I$171, MATCH(F$208, $J$164:$J$171, 0), MATCH(F$208, $B$163:$I$163, 0)), 0)=0), 0, IFERROR(INDEX($B$164:$I$171, MATCH($J213, $J$164:$J$171, 0), MATCH(F$208, $B$163:$I$163, 0)), 0)))</f>
        <v>0</v>
      </c>
      <c r="G213" s="41">
        <f>IF(OR($J213="-", G$208="-"), 1, IF(OR(IFERROR(INDEX($B$164:$I$171, MATCH($J213, $J$164:$J$171, 0), MATCH($J213, $B$163:$I$163, 0)), 0)=0, IFERROR(INDEX($B$164:$I$171, MATCH(G$208, $J$164:$J$171, 0), MATCH(G$208, $B$163:$I$163, 0)), 0)=0), 1, IFERROR(INDEX($B$164:$I$171, MATCH($J213, $J$164:$J$171, 0), MATCH(G$208, $B$163:$I$163, 0)), 0)))</f>
        <v>1</v>
      </c>
      <c r="H213" s="35" t="s">
        <v>96</v>
      </c>
      <c r="I213" s="11" t="str">
        <f>IFERROR(INDEX(B$185:B$192, MATCH(5, F$185:F$192, 0)), "-")</f>
        <v>-</v>
      </c>
      <c r="J213" s="36" t="str">
        <f>IFERROR(INDEX(C$185:C$192, MATCH(5, F$185:F$192, 0)), "-")</f>
        <v>-</v>
      </c>
      <c r="Y213" s="54"/>
      <c r="Z213" s="54"/>
      <c r="AA213" s="54"/>
      <c r="AB213" s="54"/>
      <c r="AC213" s="54"/>
      <c r="AD213" s="54"/>
    </row>
    <row r="214" spans="1:30" ht="16.95" customHeight="1" x14ac:dyDescent="0.3">
      <c r="Y214" s="54"/>
      <c r="Z214" s="54"/>
      <c r="AA214" s="54"/>
      <c r="AB214" s="54"/>
      <c r="AC214" s="54"/>
      <c r="AD214" s="54"/>
    </row>
    <row r="215" spans="1:30" ht="16.95" customHeight="1" x14ac:dyDescent="0.3">
      <c r="C215" s="61" t="s">
        <v>108</v>
      </c>
      <c r="D215" s="61"/>
      <c r="E215" s="61"/>
      <c r="F215" s="61"/>
      <c r="G215" s="61"/>
      <c r="Y215" s="54"/>
      <c r="Z215" s="54"/>
      <c r="AA215" s="54"/>
      <c r="AB215" s="54"/>
      <c r="AC215" s="54"/>
      <c r="AD215" s="54"/>
    </row>
    <row r="216" spans="1:30" ht="16.95" customHeight="1" x14ac:dyDescent="0.3">
      <c r="A216" s="39" t="s">
        <v>94</v>
      </c>
      <c r="C216" s="55" t="s">
        <v>109</v>
      </c>
      <c r="D216" s="51"/>
      <c r="E216" s="51"/>
      <c r="F216" s="51"/>
      <c r="G216" s="51"/>
      <c r="I216" s="39" t="s">
        <v>92</v>
      </c>
      <c r="Y216" s="54"/>
      <c r="Z216" s="54"/>
      <c r="AA216" s="54"/>
      <c r="AB216" s="54"/>
      <c r="AC216" s="54"/>
      <c r="AD216" s="54"/>
    </row>
    <row r="217" spans="1:30" ht="16.95" customHeight="1" x14ac:dyDescent="0.3">
      <c r="A217" s="33" t="str">
        <f>I209</f>
        <v>D1X</v>
      </c>
      <c r="C217" s="42">
        <f t="array" ref="C217:G221">MINVERSE(C209:G213)</f>
        <v>3.3333333333333328E-5</v>
      </c>
      <c r="D217" s="42">
        <v>1.9047619047619043E-5</v>
      </c>
      <c r="E217" s="42">
        <v>-1.1428571428571427E-5</v>
      </c>
      <c r="F217" s="42">
        <v>0</v>
      </c>
      <c r="G217" s="42">
        <v>0</v>
      </c>
      <c r="I217" s="40">
        <f>A209</f>
        <v>0</v>
      </c>
      <c r="Y217" s="54"/>
      <c r="Z217" s="54"/>
      <c r="AA217" s="54"/>
      <c r="AB217" s="54"/>
      <c r="AC217" s="54"/>
      <c r="AD217" s="54"/>
    </row>
    <row r="218" spans="1:30" ht="16.95" customHeight="1" x14ac:dyDescent="0.3">
      <c r="A218" s="33" t="str">
        <f>I210</f>
        <v>D3X</v>
      </c>
      <c r="C218" s="42">
        <v>1.9047619047619046E-5</v>
      </c>
      <c r="D218" s="42">
        <v>5.5663795739503097E-5</v>
      </c>
      <c r="E218" s="42">
        <v>-6.4251666376147612E-6</v>
      </c>
      <c r="F218" s="42">
        <v>0</v>
      </c>
      <c r="G218" s="42">
        <v>0</v>
      </c>
      <c r="I218" s="40">
        <f>A210</f>
        <v>4000</v>
      </c>
      <c r="Y218" s="54"/>
      <c r="Z218" s="54"/>
      <c r="AA218" s="54"/>
      <c r="AB218" s="54"/>
      <c r="AC218" s="54"/>
      <c r="AD218" s="54"/>
    </row>
    <row r="219" spans="1:30" ht="16.95" customHeight="1" x14ac:dyDescent="0.3">
      <c r="A219" s="33" t="str">
        <f>I211</f>
        <v>D3Y</v>
      </c>
      <c r="B219" s="35" t="s">
        <v>69</v>
      </c>
      <c r="C219" s="42">
        <v>-1.1428571428571427E-5</v>
      </c>
      <c r="D219" s="42">
        <v>-6.4251666376147612E-6</v>
      </c>
      <c r="E219" s="42">
        <v>2.5433588627438535E-5</v>
      </c>
      <c r="F219" s="42">
        <v>0</v>
      </c>
      <c r="G219" s="42">
        <v>0</v>
      </c>
      <c r="I219" s="40">
        <f>A211</f>
        <v>-5000</v>
      </c>
      <c r="Y219" s="54"/>
      <c r="Z219" s="54"/>
      <c r="AA219" s="54"/>
      <c r="AB219" s="54"/>
      <c r="AC219" s="54"/>
      <c r="AD219" s="54"/>
    </row>
    <row r="220" spans="1:30" ht="16.95" customHeight="1" x14ac:dyDescent="0.3">
      <c r="A220" s="33" t="str">
        <f>I212</f>
        <v>-</v>
      </c>
      <c r="C220" s="42">
        <v>0</v>
      </c>
      <c r="D220" s="42">
        <v>0</v>
      </c>
      <c r="E220" s="42">
        <v>0</v>
      </c>
      <c r="F220" s="42">
        <v>1</v>
      </c>
      <c r="G220" s="42">
        <v>0</v>
      </c>
      <c r="I220" s="40">
        <f>A212</f>
        <v>0</v>
      </c>
      <c r="Y220" s="54"/>
      <c r="Z220" s="54"/>
      <c r="AA220" s="54"/>
      <c r="AB220" s="54"/>
      <c r="AC220" s="54"/>
      <c r="AD220" s="54"/>
    </row>
    <row r="221" spans="1:30" ht="16.95" customHeight="1" x14ac:dyDescent="0.3">
      <c r="A221" s="33" t="str">
        <f>I213</f>
        <v>-</v>
      </c>
      <c r="C221" s="42">
        <v>0</v>
      </c>
      <c r="D221" s="42">
        <v>0</v>
      </c>
      <c r="E221" s="42">
        <v>0</v>
      </c>
      <c r="F221" s="42">
        <v>0</v>
      </c>
      <c r="G221" s="42">
        <v>1</v>
      </c>
      <c r="I221" s="40">
        <f>A213</f>
        <v>0</v>
      </c>
      <c r="Y221" s="54"/>
      <c r="Z221" s="54"/>
      <c r="AA221" s="54"/>
      <c r="AB221" s="54"/>
      <c r="AC221" s="54"/>
      <c r="AD221" s="54"/>
    </row>
    <row r="222" spans="1:30" ht="16.95" customHeight="1" x14ac:dyDescent="0.3">
      <c r="Y222" s="54"/>
      <c r="Z222" s="54"/>
      <c r="AA222" s="54"/>
      <c r="AB222" s="54"/>
      <c r="AC222" s="54"/>
      <c r="AD222" s="54"/>
    </row>
    <row r="223" spans="1:30" ht="16.95" customHeight="1" x14ac:dyDescent="0.3">
      <c r="C223" s="61" t="s">
        <v>110</v>
      </c>
      <c r="D223" s="61"/>
      <c r="Y223" s="54"/>
      <c r="Z223" s="54"/>
      <c r="AA223" s="54"/>
      <c r="AB223" s="54"/>
      <c r="AC223" s="54"/>
      <c r="AD223" s="54"/>
    </row>
    <row r="224" spans="1:30" ht="16.95" customHeight="1" x14ac:dyDescent="0.3">
      <c r="A224" s="39" t="s">
        <v>94</v>
      </c>
      <c r="C224" s="39" t="s">
        <v>111</v>
      </c>
      <c r="Y224" s="54"/>
      <c r="Z224" s="54"/>
      <c r="AA224" s="54"/>
      <c r="AB224" s="54"/>
      <c r="AC224" s="54"/>
      <c r="AD224" s="54"/>
    </row>
    <row r="225" spans="1:30" ht="16.95" customHeight="1" x14ac:dyDescent="0.3">
      <c r="A225" s="33" t="str">
        <f>A217</f>
        <v>D1X</v>
      </c>
      <c r="C225" s="43">
        <f t="array" ref="C225:C229">MMULT(C217:G221, I217:I221)</f>
        <v>0.1333333333333333</v>
      </c>
      <c r="D225" s="33" t="s">
        <v>112</v>
      </c>
      <c r="Y225" s="54"/>
      <c r="Z225" s="54"/>
      <c r="AA225" s="54"/>
      <c r="AB225" s="54"/>
      <c r="AC225" s="54"/>
      <c r="AD225" s="54"/>
    </row>
    <row r="226" spans="1:30" ht="16.95" customHeight="1" x14ac:dyDescent="0.3">
      <c r="A226" s="33" t="str">
        <f>A218</f>
        <v>D3X</v>
      </c>
      <c r="C226" s="43">
        <v>0.25478101614608623</v>
      </c>
      <c r="D226" s="33" t="s">
        <v>112</v>
      </c>
      <c r="Y226" s="54"/>
      <c r="Z226" s="54"/>
      <c r="AA226" s="54"/>
      <c r="AB226" s="54"/>
      <c r="AC226" s="54"/>
      <c r="AD226" s="54"/>
    </row>
    <row r="227" spans="1:30" ht="16.95" customHeight="1" x14ac:dyDescent="0.3">
      <c r="A227" s="33" t="str">
        <f>A219</f>
        <v>D3Y</v>
      </c>
      <c r="B227" s="35" t="s">
        <v>69</v>
      </c>
      <c r="C227" s="43">
        <v>-0.15286860968765173</v>
      </c>
      <c r="D227" s="33" t="s">
        <v>112</v>
      </c>
      <c r="Y227" s="54"/>
      <c r="Z227" s="54"/>
      <c r="AA227" s="54"/>
      <c r="AB227" s="54"/>
      <c r="AC227" s="54"/>
      <c r="AD227" s="54"/>
    </row>
    <row r="228" spans="1:30" ht="16.95" customHeight="1" x14ac:dyDescent="0.3">
      <c r="A228" s="33" t="str">
        <f>A220</f>
        <v>-</v>
      </c>
      <c r="C228" s="43">
        <v>0</v>
      </c>
      <c r="D228" s="33" t="s">
        <v>112</v>
      </c>
      <c r="Y228" s="54"/>
      <c r="Z228" s="54"/>
      <c r="AA228" s="54"/>
      <c r="AB228" s="54"/>
      <c r="AC228" s="54"/>
      <c r="AD228" s="54"/>
    </row>
    <row r="229" spans="1:30" ht="16.95" customHeight="1" x14ac:dyDescent="0.3">
      <c r="A229" s="33" t="str">
        <f>A221</f>
        <v>-</v>
      </c>
      <c r="C229" s="43">
        <v>0</v>
      </c>
      <c r="D229" s="33" t="s">
        <v>112</v>
      </c>
      <c r="Y229" s="54"/>
      <c r="Z229" s="54"/>
      <c r="AA229" s="54"/>
      <c r="AB229" s="54"/>
      <c r="AC229" s="54"/>
      <c r="AD229" s="54"/>
    </row>
    <row r="232" spans="1:30" ht="19.95" customHeight="1" x14ac:dyDescent="0.35">
      <c r="A232" s="32" t="s">
        <v>113</v>
      </c>
      <c r="Y232" s="52" t="s">
        <v>114</v>
      </c>
      <c r="Z232" s="52"/>
      <c r="AA232" s="52"/>
      <c r="AB232" s="52"/>
      <c r="AC232" s="52"/>
      <c r="AD232" s="52"/>
    </row>
    <row r="233" spans="1:30" ht="16.95" customHeight="1" x14ac:dyDescent="0.3">
      <c r="A233" s="39" t="s">
        <v>92</v>
      </c>
      <c r="I233" s="39" t="s">
        <v>94</v>
      </c>
      <c r="Y233" s="54" t="s">
        <v>115</v>
      </c>
      <c r="Z233" s="54"/>
      <c r="AA233" s="54"/>
      <c r="AB233" s="54"/>
      <c r="AC233" s="54"/>
      <c r="AD233" s="54"/>
    </row>
    <row r="234" spans="1:30" ht="16.95" customHeight="1" x14ac:dyDescent="0.3">
      <c r="A234" s="44" t="str">
        <f>IF($J234="-", "-", IFERROR(INDEX(B$175:B$182, MATCH($J234, C$175:C$182, 0)), "-"))</f>
        <v>C1Y</v>
      </c>
      <c r="C234" s="21">
        <f t="shared" ref="C234:G236" si="27">IF(OR($J234="-", C$208="-"), 0, IFERROR(INDEX($B$164:$I$171, MATCH($J234, $J$164:$J$171, 0), MATCH(C$208, $B$163:$I$163, 0)), 0))</f>
        <v>-15998.287803223064</v>
      </c>
      <c r="D234" s="21">
        <f t="shared" si="27"/>
        <v>15998.287803223064</v>
      </c>
      <c r="E234" s="21">
        <f t="shared" si="27"/>
        <v>-19997.859754028832</v>
      </c>
      <c r="F234" s="21">
        <f t="shared" si="27"/>
        <v>0</v>
      </c>
      <c r="G234" s="21">
        <f t="shared" si="27"/>
        <v>0</v>
      </c>
      <c r="I234" s="45">
        <f>C225</f>
        <v>0.1333333333333333</v>
      </c>
      <c r="J234" s="36" t="str">
        <f>IFERROR(INDEX(C$185:C$192, MATCH(1, G$185:G$192, 0)), "-")</f>
        <v>U1Y</v>
      </c>
      <c r="Y234" s="54" t="s">
        <v>116</v>
      </c>
      <c r="Z234" s="54"/>
      <c r="AA234" s="54"/>
      <c r="AB234" s="54"/>
      <c r="AC234" s="54"/>
      <c r="AD234" s="54"/>
    </row>
    <row r="235" spans="1:30" ht="16.95" customHeight="1" x14ac:dyDescent="0.3">
      <c r="A235" s="44" t="str">
        <f>IF($J235="-", "-", IFERROR(INDEX(B$175:B$182, MATCH($J235, C$175:C$182, 0)), "-"))</f>
        <v>C2X</v>
      </c>
      <c r="B235" s="35" t="s">
        <v>69</v>
      </c>
      <c r="C235" s="21">
        <f t="shared" si="27"/>
        <v>-30000</v>
      </c>
      <c r="D235" s="21">
        <f t="shared" si="27"/>
        <v>-9533.3037035100515</v>
      </c>
      <c r="E235" s="21">
        <f t="shared" si="27"/>
        <v>-15888.839505850086</v>
      </c>
      <c r="F235" s="21">
        <f t="shared" si="27"/>
        <v>0</v>
      </c>
      <c r="G235" s="21">
        <f t="shared" si="27"/>
        <v>0</v>
      </c>
      <c r="I235" s="45">
        <f>C226</f>
        <v>0.25478101614608623</v>
      </c>
      <c r="J235" s="36" t="str">
        <f>IFERROR(INDEX(C$185:C$192, MATCH(2, G$185:G$192, 0)), "-")</f>
        <v>U2X</v>
      </c>
      <c r="Y235" s="54" t="s">
        <v>117</v>
      </c>
      <c r="Z235" s="54"/>
      <c r="AA235" s="54"/>
      <c r="AB235" s="54"/>
      <c r="AC235" s="54"/>
      <c r="AD235" s="54"/>
    </row>
    <row r="236" spans="1:30" ht="16.95" customHeight="1" x14ac:dyDescent="0.3">
      <c r="A236" s="44" t="str">
        <f>IF($J236="-", "-", IFERROR(INDEX(B$175:B$182, MATCH($J236, C$175:C$182, 0)), "-"))</f>
        <v>C2Y</v>
      </c>
      <c r="C236" s="21">
        <f t="shared" si="27"/>
        <v>0</v>
      </c>
      <c r="D236" s="21">
        <f t="shared" si="27"/>
        <v>-15888.839505850086</v>
      </c>
      <c r="E236" s="21">
        <f t="shared" si="27"/>
        <v>-26481.399176416809</v>
      </c>
      <c r="F236" s="21">
        <f t="shared" si="27"/>
        <v>0</v>
      </c>
      <c r="G236" s="21">
        <f t="shared" si="27"/>
        <v>0</v>
      </c>
      <c r="I236" s="45">
        <f>C227</f>
        <v>-0.15286860968765173</v>
      </c>
      <c r="J236" s="36" t="str">
        <f>IFERROR(INDEX(C$185:C$192, MATCH(3, G$185:G$192, 0)), "-")</f>
        <v>U2Y</v>
      </c>
      <c r="Y236" s="54"/>
      <c r="Z236" s="54"/>
      <c r="AA236" s="54"/>
      <c r="AB236" s="54"/>
      <c r="AC236" s="54"/>
      <c r="AD236" s="54"/>
    </row>
    <row r="237" spans="1:30" ht="16.95" customHeight="1" x14ac:dyDescent="0.3">
      <c r="I237" s="45">
        <f>C228</f>
        <v>0</v>
      </c>
      <c r="Y237" s="54"/>
      <c r="Z237" s="54"/>
      <c r="AA237" s="54"/>
      <c r="AB237" s="54"/>
      <c r="AC237" s="54"/>
      <c r="AD237" s="54"/>
    </row>
    <row r="238" spans="1:30" ht="16.95" customHeight="1" x14ac:dyDescent="0.3">
      <c r="I238" s="45">
        <f>C229</f>
        <v>0</v>
      </c>
      <c r="Y238" s="54"/>
      <c r="Z238" s="54"/>
      <c r="AA238" s="54"/>
      <c r="AB238" s="54"/>
      <c r="AC238" s="54"/>
      <c r="AD238" s="54"/>
    </row>
    <row r="239" spans="1:30" ht="16.95" customHeight="1" x14ac:dyDescent="0.3">
      <c r="Y239" s="54"/>
      <c r="Z239" s="54"/>
      <c r="AA239" s="54"/>
      <c r="AB239" s="54"/>
      <c r="AC239" s="54"/>
      <c r="AD239" s="54"/>
    </row>
    <row r="240" spans="1:30" ht="16.95" customHeight="1" x14ac:dyDescent="0.3">
      <c r="A240" s="33" t="str">
        <f>A234</f>
        <v>C1Y</v>
      </c>
      <c r="C240" s="40">
        <f t="array" ref="C240:C242">MMULT(C234:G236, I234:I238)</f>
        <v>5000.0000000000009</v>
      </c>
      <c r="D240" s="33" t="s">
        <v>118</v>
      </c>
      <c r="Y240" s="54"/>
      <c r="Z240" s="54"/>
      <c r="AA240" s="54"/>
      <c r="AB240" s="54"/>
      <c r="AC240" s="54"/>
      <c r="AD240" s="54"/>
    </row>
    <row r="241" spans="1:30" ht="16.95" customHeight="1" x14ac:dyDescent="0.3">
      <c r="A241" s="33" t="str">
        <f>A235</f>
        <v>C2X</v>
      </c>
      <c r="B241" s="35" t="s">
        <v>69</v>
      </c>
      <c r="C241" s="40">
        <v>-3999.9999999999995</v>
      </c>
      <c r="D241" s="33" t="s">
        <v>118</v>
      </c>
      <c r="Y241" s="54"/>
      <c r="Z241" s="54"/>
      <c r="AA241" s="54"/>
      <c r="AB241" s="54"/>
      <c r="AC241" s="54"/>
      <c r="AD241" s="54"/>
    </row>
    <row r="242" spans="1:30" ht="16.95" customHeight="1" x14ac:dyDescent="0.3">
      <c r="A242" s="33" t="str">
        <f>A236</f>
        <v>C2Y</v>
      </c>
      <c r="C242" s="40">
        <v>0</v>
      </c>
      <c r="D242" s="33" t="s">
        <v>118</v>
      </c>
      <c r="Y242" s="54"/>
      <c r="Z242" s="54"/>
      <c r="AA242" s="54"/>
      <c r="AB242" s="54"/>
      <c r="AC242" s="54"/>
      <c r="AD242" s="54"/>
    </row>
    <row r="245" spans="1:30" ht="19.95" customHeight="1" x14ac:dyDescent="0.35">
      <c r="A245" s="32" t="s">
        <v>119</v>
      </c>
    </row>
    <row r="247" spans="1:30" ht="19.05" customHeight="1" x14ac:dyDescent="0.3">
      <c r="A247" s="33" t="s">
        <v>77</v>
      </c>
      <c r="B247" s="33" t="s">
        <v>35</v>
      </c>
      <c r="D247" s="43">
        <f t="shared" ref="D247:D254" si="28">IFERROR(INDEX(C$225:C$229, MATCH(A247, A$225:A$229, 0)), 0)</f>
        <v>0.1333333333333333</v>
      </c>
    </row>
    <row r="248" spans="1:30" ht="19.05" customHeight="1" x14ac:dyDescent="0.3">
      <c r="A248" s="33" t="s">
        <v>78</v>
      </c>
      <c r="B248" s="33" t="s">
        <v>36</v>
      </c>
      <c r="D248" s="43">
        <f t="shared" si="28"/>
        <v>0</v>
      </c>
    </row>
    <row r="249" spans="1:30" ht="19.05" customHeight="1" x14ac:dyDescent="0.3">
      <c r="A249" s="33" t="s">
        <v>79</v>
      </c>
      <c r="B249" s="33" t="s">
        <v>37</v>
      </c>
      <c r="D249" s="43">
        <f t="shared" si="28"/>
        <v>0</v>
      </c>
    </row>
    <row r="250" spans="1:30" ht="19.05" customHeight="1" x14ac:dyDescent="0.3">
      <c r="A250" s="33" t="s">
        <v>81</v>
      </c>
      <c r="B250" s="33" t="s">
        <v>38</v>
      </c>
      <c r="D250" s="43">
        <f t="shared" si="28"/>
        <v>0</v>
      </c>
    </row>
    <row r="251" spans="1:30" ht="19.05" customHeight="1" x14ac:dyDescent="0.3">
      <c r="A251" s="33" t="s">
        <v>82</v>
      </c>
      <c r="B251" s="33" t="s">
        <v>39</v>
      </c>
      <c r="D251" s="43">
        <f t="shared" si="28"/>
        <v>0.25478101614608623</v>
      </c>
    </row>
    <row r="252" spans="1:30" ht="19.05" customHeight="1" x14ac:dyDescent="0.3">
      <c r="A252" s="33" t="s">
        <v>83</v>
      </c>
      <c r="B252" s="33" t="s">
        <v>40</v>
      </c>
      <c r="D252" s="43">
        <f t="shared" si="28"/>
        <v>-0.15286860968765173</v>
      </c>
    </row>
    <row r="253" spans="1:30" ht="19.05" customHeight="1" x14ac:dyDescent="0.3">
      <c r="A253" s="33" t="s">
        <v>84</v>
      </c>
      <c r="B253" s="33" t="s">
        <v>41</v>
      </c>
      <c r="D253" s="43">
        <f t="shared" si="28"/>
        <v>0</v>
      </c>
    </row>
    <row r="254" spans="1:30" ht="19.05" customHeight="1" x14ac:dyDescent="0.3">
      <c r="A254" s="33" t="s">
        <v>85</v>
      </c>
      <c r="B254" s="33" t="s">
        <v>42</v>
      </c>
      <c r="D254" s="43">
        <f t="shared" si="28"/>
        <v>0</v>
      </c>
    </row>
    <row r="257" spans="1:30" ht="19.95" customHeight="1" x14ac:dyDescent="0.35">
      <c r="A257" s="32" t="s">
        <v>120</v>
      </c>
      <c r="Y257" s="52" t="s">
        <v>121</v>
      </c>
      <c r="Z257" s="52"/>
      <c r="AA257" s="52"/>
      <c r="AB257" s="52"/>
      <c r="AC257" s="52"/>
      <c r="AD257" s="52"/>
    </row>
    <row r="258" spans="1:30" ht="16.95" customHeight="1" x14ac:dyDescent="0.3">
      <c r="Y258" s="54" t="s">
        <v>122</v>
      </c>
      <c r="Z258" s="54"/>
      <c r="AA258" s="54"/>
      <c r="AB258" s="54"/>
      <c r="AC258" s="54"/>
      <c r="AD258" s="54"/>
    </row>
    <row r="259" spans="1:30" ht="16.95" customHeight="1" x14ac:dyDescent="0.3">
      <c r="A259" s="46" t="s">
        <v>123</v>
      </c>
      <c r="C259" s="46" t="s">
        <v>124</v>
      </c>
      <c r="D259" s="46" t="s">
        <v>125</v>
      </c>
      <c r="E259" s="46" t="s">
        <v>124</v>
      </c>
      <c r="F259" s="46" t="s">
        <v>125</v>
      </c>
      <c r="G259" s="46" t="s">
        <v>94</v>
      </c>
      <c r="Y259" s="54" t="s">
        <v>126</v>
      </c>
      <c r="Z259" s="54"/>
      <c r="AA259" s="54"/>
      <c r="AB259" s="54"/>
      <c r="AC259" s="54"/>
      <c r="AD259" s="54"/>
    </row>
    <row r="260" spans="1:30" ht="16.95" customHeight="1" x14ac:dyDescent="0.3">
      <c r="C260" s="46" t="s">
        <v>127</v>
      </c>
      <c r="D260" s="46" t="s">
        <v>127</v>
      </c>
      <c r="E260" s="46" t="s">
        <v>128</v>
      </c>
      <c r="F260" s="46" t="s">
        <v>128</v>
      </c>
      <c r="Y260" s="54" t="s">
        <v>129</v>
      </c>
      <c r="Z260" s="54"/>
      <c r="AA260" s="54"/>
      <c r="AB260" s="54"/>
      <c r="AC260" s="54"/>
      <c r="AD260" s="54"/>
    </row>
    <row r="261" spans="1:30" ht="16.95" customHeight="1" x14ac:dyDescent="0.3">
      <c r="A261" s="40">
        <f>N6</f>
        <v>32796.489996607277</v>
      </c>
      <c r="C261" s="47">
        <f>IF(J6="","", -J6)</f>
        <v>0.62469504755442429</v>
      </c>
      <c r="D261" s="47">
        <f>IF(K6="","", -K6)</f>
        <v>-0.78086880944303039</v>
      </c>
      <c r="E261" s="47">
        <f>IF(J6="","", J6)</f>
        <v>-0.62469504755442429</v>
      </c>
      <c r="F261" s="47">
        <f>IF(K6="","", K6)</f>
        <v>0.78086880944303039</v>
      </c>
      <c r="G261" s="48">
        <f>IF(H261="","", IFERROR(VLOOKUP(H261, A$247:D$254, 4, FALSE), 0))</f>
        <v>0.1333333333333333</v>
      </c>
      <c r="H261" s="33" t="str">
        <f>IF(C17="","", "D" &amp; C17 &amp; "X")</f>
        <v>D1X</v>
      </c>
      <c r="Y261" s="54"/>
      <c r="Z261" s="54"/>
      <c r="AA261" s="54"/>
      <c r="AB261" s="54"/>
      <c r="AC261" s="54"/>
      <c r="AD261" s="54"/>
    </row>
    <row r="262" spans="1:30" ht="16.95" customHeight="1" x14ac:dyDescent="0.3">
      <c r="A262" s="39" t="s">
        <v>130</v>
      </c>
      <c r="B262" s="49">
        <f>IF(OR(A261=0, C17=""), 0, (MMULT(C261:F261, G261:G264)*A261))</f>
        <v>-6403.1242374328494</v>
      </c>
      <c r="G262" s="48">
        <f>IF(H262="","", IFERROR(VLOOKUP(H262, A$247:D$254, 4, FALSE), 0))</f>
        <v>0</v>
      </c>
      <c r="H262" s="33" t="str">
        <f>IF(C17="","", "D" &amp; C17 &amp; "Y")</f>
        <v>D1Y</v>
      </c>
      <c r="Y262" s="54"/>
      <c r="Z262" s="54"/>
      <c r="AA262" s="54"/>
      <c r="AB262" s="54"/>
      <c r="AC262" s="54"/>
      <c r="AD262" s="54"/>
    </row>
    <row r="263" spans="1:30" ht="16.95" customHeight="1" x14ac:dyDescent="0.3">
      <c r="G263" s="48">
        <f>IF(H263="","", IFERROR(VLOOKUP(H263, A$247:D$254, 4, FALSE), 0))</f>
        <v>0.25478101614608623</v>
      </c>
      <c r="H263" s="33" t="str">
        <f>IF(F17="","", "D" &amp; F17 &amp; "X")</f>
        <v>D3X</v>
      </c>
      <c r="Y263" s="54"/>
      <c r="Z263" s="54"/>
      <c r="AA263" s="54"/>
      <c r="AB263" s="54"/>
      <c r="AC263" s="54"/>
      <c r="AD263" s="54"/>
    </row>
    <row r="264" spans="1:30" ht="16.95" customHeight="1" x14ac:dyDescent="0.3">
      <c r="G264" s="48">
        <f>IF(H264="","", IFERROR(VLOOKUP(H264, A$247:D$254, 4, FALSE), 0))</f>
        <v>-0.15286860968765173</v>
      </c>
      <c r="H264" s="33" t="str">
        <f>IF(F17="","", "D" &amp; F17 &amp; "Y")</f>
        <v>D3Y</v>
      </c>
      <c r="Y264" s="54"/>
      <c r="Z264" s="54"/>
      <c r="AA264" s="54"/>
      <c r="AB264" s="54"/>
      <c r="AC264" s="54"/>
      <c r="AD264" s="54"/>
    </row>
    <row r="265" spans="1:30" ht="16.95" customHeight="1" x14ac:dyDescent="0.3">
      <c r="B265" s="39" t="s">
        <v>118</v>
      </c>
      <c r="C265" s="53" t="str">
        <f>IF(C17="","", IF(B262&gt;0.001,"BARRA A TRACCIÓN (+)",IF(B262&lt;-0.001,"BARRA A COMPRESIÓN (-)","BARRA DE FUERZA NULA")))</f>
        <v>BARRA A COMPRESIÓN (-)</v>
      </c>
      <c r="D265" s="53"/>
      <c r="E265" s="53"/>
      <c r="F265" s="53"/>
      <c r="Y265" s="54"/>
      <c r="Z265" s="54"/>
      <c r="AA265" s="54"/>
      <c r="AB265" s="54"/>
      <c r="AC265" s="54"/>
      <c r="AD265" s="54"/>
    </row>
    <row r="266" spans="1:30" ht="16.95" customHeight="1" x14ac:dyDescent="0.3">
      <c r="Y266" s="54"/>
      <c r="Z266" s="54"/>
      <c r="AA266" s="54"/>
      <c r="AB266" s="54"/>
      <c r="AC266" s="54"/>
      <c r="AD266" s="54"/>
    </row>
    <row r="267" spans="1:30" ht="16.95" customHeight="1" x14ac:dyDescent="0.3">
      <c r="A267" s="46" t="s">
        <v>123</v>
      </c>
      <c r="C267" s="46" t="s">
        <v>124</v>
      </c>
      <c r="D267" s="46" t="s">
        <v>125</v>
      </c>
      <c r="E267" s="46" t="s">
        <v>124</v>
      </c>
      <c r="F267" s="46" t="s">
        <v>125</v>
      </c>
      <c r="G267" s="46" t="s">
        <v>94</v>
      </c>
      <c r="Y267" s="54"/>
      <c r="Z267" s="54"/>
      <c r="AA267" s="54"/>
      <c r="AB267" s="54"/>
      <c r="AC267" s="54"/>
      <c r="AD267" s="54"/>
    </row>
    <row r="268" spans="1:30" ht="16.95" customHeight="1" x14ac:dyDescent="0.3">
      <c r="C268" s="46" t="s">
        <v>127</v>
      </c>
      <c r="D268" s="46" t="s">
        <v>127</v>
      </c>
      <c r="E268" s="46" t="s">
        <v>128</v>
      </c>
      <c r="F268" s="46" t="s">
        <v>128</v>
      </c>
      <c r="Y268" s="54"/>
      <c r="Z268" s="54"/>
      <c r="AA268" s="54"/>
      <c r="AB268" s="54"/>
      <c r="AC268" s="54"/>
      <c r="AD268" s="54"/>
    </row>
    <row r="269" spans="1:30" ht="16.95" customHeight="1" x14ac:dyDescent="0.3">
      <c r="A269" s="40">
        <f>N7</f>
        <v>36014.702879926859</v>
      </c>
      <c r="C269" s="47">
        <f>IF(J7="","", -J7)</f>
        <v>-0.51449575542752657</v>
      </c>
      <c r="D269" s="47">
        <f>IF(K7="","", -K7)</f>
        <v>-0.85749292571254421</v>
      </c>
      <c r="E269" s="47">
        <f>IF(J7="","", J7)</f>
        <v>0.51449575542752657</v>
      </c>
      <c r="F269" s="47">
        <f>IF(K7="","", K7)</f>
        <v>0.85749292571254421</v>
      </c>
      <c r="G269" s="48">
        <f>IF(H269="","", IFERROR(VLOOKUP(H269, A$247:D$254, 4, FALSE), 0))</f>
        <v>0</v>
      </c>
      <c r="H269" s="33" t="str">
        <f>IF(C18="","", "D" &amp; C18 &amp; "X")</f>
        <v>D2X</v>
      </c>
      <c r="Y269" s="54"/>
      <c r="Z269" s="54"/>
      <c r="AA269" s="54"/>
      <c r="AB269" s="54"/>
      <c r="AC269" s="54"/>
      <c r="AD269" s="54"/>
    </row>
    <row r="270" spans="1:30" ht="16.95" customHeight="1" x14ac:dyDescent="0.3">
      <c r="A270" s="39" t="s">
        <v>131</v>
      </c>
      <c r="B270" s="49">
        <f>IF(OR(A269=0, C18=""), 0, (MMULT(C269:F269, G269:G272)*A269))</f>
        <v>9.9960880905821834E-13</v>
      </c>
      <c r="G270" s="48">
        <f>IF(H270="","", IFERROR(VLOOKUP(H270, A$247:D$254, 4, FALSE), 0))</f>
        <v>0</v>
      </c>
      <c r="H270" s="33" t="str">
        <f>IF(C18="","", "D" &amp; C18 &amp; "Y")</f>
        <v>D2Y</v>
      </c>
      <c r="Y270" s="54"/>
      <c r="Z270" s="54"/>
      <c r="AA270" s="54"/>
      <c r="AB270" s="54"/>
      <c r="AC270" s="54"/>
      <c r="AD270" s="54"/>
    </row>
    <row r="271" spans="1:30" ht="16.95" customHeight="1" x14ac:dyDescent="0.3">
      <c r="G271" s="48">
        <f>IF(H271="","", IFERROR(VLOOKUP(H271, A$247:D$254, 4, FALSE), 0))</f>
        <v>0.25478101614608623</v>
      </c>
      <c r="H271" s="33" t="str">
        <f>IF(F18="","", "D" &amp; F18 &amp; "X")</f>
        <v>D3X</v>
      </c>
      <c r="Y271" s="54"/>
      <c r="Z271" s="54"/>
      <c r="AA271" s="54"/>
      <c r="AB271" s="54"/>
      <c r="AC271" s="54"/>
      <c r="AD271" s="54"/>
    </row>
    <row r="272" spans="1:30" ht="16.95" customHeight="1" x14ac:dyDescent="0.3">
      <c r="G272" s="48">
        <f>IF(H272="","", IFERROR(VLOOKUP(H272, A$247:D$254, 4, FALSE), 0))</f>
        <v>-0.15286860968765173</v>
      </c>
      <c r="H272" s="33" t="str">
        <f>IF(F18="","", "D" &amp; F18 &amp; "Y")</f>
        <v>D3Y</v>
      </c>
      <c r="Y272" s="54"/>
      <c r="Z272" s="54"/>
      <c r="AA272" s="54"/>
      <c r="AB272" s="54"/>
      <c r="AC272" s="54"/>
      <c r="AD272" s="54"/>
    </row>
    <row r="273" spans="1:30" ht="16.95" customHeight="1" x14ac:dyDescent="0.3">
      <c r="B273" s="39" t="s">
        <v>118</v>
      </c>
      <c r="C273" s="53" t="str">
        <f>IF(C18="","", IF(B270&gt;0.001,"BARRA A TRACCIÓN (+)",IF(B270&lt;-0.001,"BARRA A COMPRESIÓN (-)","BARRA DE FUERZA NULA")))</f>
        <v>BARRA DE FUERZA NULA</v>
      </c>
      <c r="D273" s="53"/>
      <c r="E273" s="53"/>
      <c r="F273" s="53"/>
      <c r="Y273" s="54"/>
      <c r="Z273" s="54"/>
      <c r="AA273" s="54"/>
      <c r="AB273" s="54"/>
      <c r="AC273" s="54"/>
      <c r="AD273" s="54"/>
    </row>
    <row r="274" spans="1:30" ht="16.95" customHeight="1" x14ac:dyDescent="0.3">
      <c r="Y274" s="54"/>
      <c r="Z274" s="54"/>
      <c r="AA274" s="54"/>
      <c r="AB274" s="54"/>
      <c r="AC274" s="54"/>
      <c r="AD274" s="54"/>
    </row>
    <row r="275" spans="1:30" ht="16.95" customHeight="1" x14ac:dyDescent="0.3">
      <c r="A275" s="46" t="s">
        <v>123</v>
      </c>
      <c r="C275" s="46" t="s">
        <v>124</v>
      </c>
      <c r="D275" s="46" t="s">
        <v>125</v>
      </c>
      <c r="E275" s="46" t="s">
        <v>124</v>
      </c>
      <c r="F275" s="46" t="s">
        <v>125</v>
      </c>
      <c r="G275" s="46" t="s">
        <v>94</v>
      </c>
      <c r="Y275" s="54"/>
      <c r="Z275" s="54"/>
      <c r="AA275" s="54"/>
      <c r="AB275" s="54"/>
      <c r="AC275" s="54"/>
      <c r="AD275" s="54"/>
    </row>
    <row r="276" spans="1:30" ht="16.95" customHeight="1" x14ac:dyDescent="0.3">
      <c r="C276" s="46" t="s">
        <v>127</v>
      </c>
      <c r="D276" s="46" t="s">
        <v>127</v>
      </c>
      <c r="E276" s="46" t="s">
        <v>128</v>
      </c>
      <c r="F276" s="46" t="s">
        <v>128</v>
      </c>
      <c r="Y276" s="54"/>
      <c r="Z276" s="54"/>
      <c r="AA276" s="54"/>
      <c r="AB276" s="54"/>
      <c r="AC276" s="54"/>
      <c r="AD276" s="54"/>
    </row>
    <row r="277" spans="1:30" ht="16.95" customHeight="1" x14ac:dyDescent="0.3">
      <c r="A277" s="40">
        <f>N8</f>
        <v>30000</v>
      </c>
      <c r="C277" s="47">
        <f>IF(J8="","", -J8)</f>
        <v>-1</v>
      </c>
      <c r="D277" s="47">
        <f>IF(K8="","", -K8)</f>
        <v>0</v>
      </c>
      <c r="E277" s="47">
        <f>IF(J8="","", J8)</f>
        <v>1</v>
      </c>
      <c r="F277" s="47">
        <f>IF(K8="","", K8)</f>
        <v>0</v>
      </c>
      <c r="G277" s="48">
        <f>IF(H277="","", IFERROR(VLOOKUP(H277, A$247:D$254, 4, FALSE), 0))</f>
        <v>0</v>
      </c>
      <c r="H277" s="33" t="str">
        <f>IF(C19="","", "D" &amp; C19 &amp; "X")</f>
        <v>D2X</v>
      </c>
      <c r="Y277" s="54"/>
      <c r="Z277" s="54"/>
      <c r="AA277" s="54"/>
      <c r="AB277" s="54"/>
      <c r="AC277" s="54"/>
      <c r="AD277" s="54"/>
    </row>
    <row r="278" spans="1:30" ht="16.95" customHeight="1" x14ac:dyDescent="0.3">
      <c r="A278" s="39" t="s">
        <v>132</v>
      </c>
      <c r="B278" s="49">
        <f>IF(OR(A277=0, C19=""), 0, (MMULT(C277:F277, G277:G280)*A277))</f>
        <v>3999.9999999999991</v>
      </c>
      <c r="G278" s="48">
        <f>IF(H278="","", IFERROR(VLOOKUP(H278, A$247:D$254, 4, FALSE), 0))</f>
        <v>0</v>
      </c>
      <c r="H278" s="33" t="str">
        <f>IF(C19="","", "D" &amp; C19 &amp; "Y")</f>
        <v>D2Y</v>
      </c>
      <c r="Y278" s="54"/>
      <c r="Z278" s="54"/>
      <c r="AA278" s="54"/>
      <c r="AB278" s="54"/>
      <c r="AC278" s="54"/>
      <c r="AD278" s="54"/>
    </row>
    <row r="279" spans="1:30" ht="16.95" customHeight="1" x14ac:dyDescent="0.3">
      <c r="G279" s="48">
        <f>IF(H279="","", IFERROR(VLOOKUP(H279, A$247:D$254, 4, FALSE), 0))</f>
        <v>0.1333333333333333</v>
      </c>
      <c r="H279" s="33" t="str">
        <f>IF(F19="","", "D" &amp; F19 &amp; "X")</f>
        <v>D1X</v>
      </c>
      <c r="Y279" s="54"/>
      <c r="Z279" s="54"/>
      <c r="AA279" s="54"/>
      <c r="AB279" s="54"/>
      <c r="AC279" s="54"/>
      <c r="AD279" s="54"/>
    </row>
    <row r="280" spans="1:30" ht="16.95" customHeight="1" x14ac:dyDescent="0.3">
      <c r="G280" s="48">
        <f>IF(H280="","", IFERROR(VLOOKUP(H280, A$247:D$254, 4, FALSE), 0))</f>
        <v>0</v>
      </c>
      <c r="H280" s="33" t="str">
        <f>IF(F19="","", "D" &amp; F19 &amp; "Y")</f>
        <v>D1Y</v>
      </c>
      <c r="Y280" s="54"/>
      <c r="Z280" s="54"/>
      <c r="AA280" s="54"/>
      <c r="AB280" s="54"/>
      <c r="AC280" s="54"/>
      <c r="AD280" s="54"/>
    </row>
    <row r="281" spans="1:30" ht="16.95" customHeight="1" x14ac:dyDescent="0.3">
      <c r="B281" s="39" t="s">
        <v>118</v>
      </c>
      <c r="C281" s="53" t="str">
        <f>IF(C19="","", IF(B278&gt;0.001,"BARRA A TRACCIÓN (+)",IF(B278&lt;-0.001,"BARRA A COMPRESIÓN (-)","BARRA DE FUERZA NULA")))</f>
        <v>BARRA A TRACCIÓN (+)</v>
      </c>
      <c r="D281" s="53"/>
      <c r="E281" s="53"/>
      <c r="F281" s="53"/>
      <c r="Y281" s="54"/>
      <c r="Z281" s="54"/>
      <c r="AA281" s="54"/>
      <c r="AB281" s="54"/>
      <c r="AC281" s="54"/>
      <c r="AD281" s="54"/>
    </row>
    <row r="282" spans="1:30" ht="16.95" customHeight="1" x14ac:dyDescent="0.3">
      <c r="Y282" s="54"/>
      <c r="Z282" s="54"/>
      <c r="AA282" s="54"/>
      <c r="AB282" s="54"/>
      <c r="AC282" s="54"/>
      <c r="AD282" s="54"/>
    </row>
    <row r="283" spans="1:30" ht="18" customHeight="1" x14ac:dyDescent="0.3">
      <c r="A283" s="46" t="s">
        <v>123</v>
      </c>
      <c r="C283" s="46" t="s">
        <v>124</v>
      </c>
      <c r="D283" s="46" t="s">
        <v>125</v>
      </c>
      <c r="E283" s="46" t="s">
        <v>124</v>
      </c>
      <c r="F283" s="46" t="s">
        <v>125</v>
      </c>
      <c r="G283" s="46" t="s">
        <v>94</v>
      </c>
    </row>
    <row r="284" spans="1:30" ht="16.05" customHeight="1" x14ac:dyDescent="0.3">
      <c r="C284" s="46" t="s">
        <v>127</v>
      </c>
      <c r="D284" s="46" t="s">
        <v>127</v>
      </c>
      <c r="E284" s="46" t="s">
        <v>128</v>
      </c>
      <c r="F284" s="46" t="s">
        <v>128</v>
      </c>
    </row>
    <row r="285" spans="1:30" ht="19.95" customHeight="1" x14ac:dyDescent="0.3">
      <c r="A285" s="40">
        <f>N9</f>
        <v>0</v>
      </c>
      <c r="C285" s="47" t="str">
        <f>IF(J9="","", -J9)</f>
        <v/>
      </c>
      <c r="D285" s="47" t="str">
        <f>IF(K9="","", -K9)</f>
        <v/>
      </c>
      <c r="E285" s="47" t="str">
        <f>IF(J9="","", J9)</f>
        <v/>
      </c>
      <c r="F285" s="47" t="str">
        <f>IF(K9="","", K9)</f>
        <v/>
      </c>
      <c r="G285" s="48" t="str">
        <f>IF(H285="","", IFERROR(VLOOKUP(H285, A$247:D$254, 4, FALSE), 0))</f>
        <v/>
      </c>
      <c r="H285" s="33" t="str">
        <f>IF(C20="","", "D" &amp; C20 &amp; "X")</f>
        <v/>
      </c>
    </row>
    <row r="286" spans="1:30" ht="19.95" customHeight="1" x14ac:dyDescent="0.3">
      <c r="A286" s="39" t="s">
        <v>133</v>
      </c>
      <c r="B286" s="49">
        <f>IF(OR(A285=0, C20=""), 0, (MMULT(C285:F285, G285:G288)*A285))</f>
        <v>0</v>
      </c>
      <c r="G286" s="48" t="str">
        <f>IF(H286="","", IFERROR(VLOOKUP(H286, A$247:D$254, 4, FALSE), 0))</f>
        <v/>
      </c>
      <c r="H286" s="33" t="str">
        <f>IF(C20="","", "D" &amp; C20 &amp; "Y")</f>
        <v/>
      </c>
    </row>
    <row r="287" spans="1:30" ht="19.95" customHeight="1" x14ac:dyDescent="0.3">
      <c r="G287" s="48" t="str">
        <f>IF(H287="","", IFERROR(VLOOKUP(H287, A$247:D$254, 4, FALSE), 0))</f>
        <v/>
      </c>
      <c r="H287" s="33" t="str">
        <f>IF(F20="","", "D" &amp; F20 &amp; "X")</f>
        <v/>
      </c>
    </row>
    <row r="288" spans="1:30" ht="19.95" customHeight="1" x14ac:dyDescent="0.3">
      <c r="G288" s="48" t="str">
        <f>IF(H288="","", IFERROR(VLOOKUP(H288, A$247:D$254, 4, FALSE), 0))</f>
        <v/>
      </c>
      <c r="H288" s="33" t="str">
        <f>IF(F20="","", "D" &amp; F20 &amp; "Y")</f>
        <v/>
      </c>
    </row>
    <row r="289" spans="1:8" ht="19.95" customHeight="1" x14ac:dyDescent="0.3">
      <c r="B289" s="39" t="s">
        <v>118</v>
      </c>
      <c r="C289" s="53" t="str">
        <f>IF(C20="","", IF(B286&gt;0.001,"BARRA A TRACCIÓN (+)",IF(B286&lt;-0.001,"BARRA A COMPRESIÓN (-)","BARRA DE FUERZA NULA")))</f>
        <v/>
      </c>
      <c r="D289" s="53"/>
      <c r="E289" s="53"/>
      <c r="F289" s="53"/>
    </row>
    <row r="291" spans="1:8" ht="18" customHeight="1" x14ac:dyDescent="0.3">
      <c r="A291" s="46" t="s">
        <v>123</v>
      </c>
      <c r="C291" s="46" t="s">
        <v>124</v>
      </c>
      <c r="D291" s="46" t="s">
        <v>125</v>
      </c>
      <c r="E291" s="46" t="s">
        <v>124</v>
      </c>
      <c r="F291" s="46" t="s">
        <v>125</v>
      </c>
      <c r="G291" s="46" t="s">
        <v>94</v>
      </c>
    </row>
    <row r="292" spans="1:8" ht="16.05" customHeight="1" x14ac:dyDescent="0.3">
      <c r="C292" s="46" t="s">
        <v>127</v>
      </c>
      <c r="D292" s="46" t="s">
        <v>127</v>
      </c>
      <c r="E292" s="46" t="s">
        <v>128</v>
      </c>
      <c r="F292" s="46" t="s">
        <v>128</v>
      </c>
    </row>
    <row r="293" spans="1:8" ht="19.95" customHeight="1" x14ac:dyDescent="0.3">
      <c r="A293" s="40">
        <f>N10</f>
        <v>0</v>
      </c>
      <c r="C293" s="47" t="str">
        <f>IF(J10="","", -J10)</f>
        <v/>
      </c>
      <c r="D293" s="47" t="str">
        <f>IF(K10="","", -K10)</f>
        <v/>
      </c>
      <c r="E293" s="47" t="str">
        <f>IF(J10="","", J10)</f>
        <v/>
      </c>
      <c r="F293" s="47" t="str">
        <f>IF(K10="","", K10)</f>
        <v/>
      </c>
      <c r="G293" s="48" t="str">
        <f>IF(H293="","", IFERROR(VLOOKUP(H293, A$247:D$254, 4, FALSE), 0))</f>
        <v/>
      </c>
      <c r="H293" s="33" t="str">
        <f>IF(C21="","", "D" &amp; C21 &amp; "X")</f>
        <v/>
      </c>
    </row>
    <row r="294" spans="1:8" ht="19.95" customHeight="1" x14ac:dyDescent="0.3">
      <c r="A294" s="39" t="s">
        <v>134</v>
      </c>
      <c r="B294" s="49">
        <f>IF(OR(A293=0, C21=""), 0, (MMULT(C293:F293, G293:G296)*A293))</f>
        <v>0</v>
      </c>
      <c r="G294" s="48" t="str">
        <f>IF(H294="","", IFERROR(VLOOKUP(H294, A$247:D$254, 4, FALSE), 0))</f>
        <v/>
      </c>
      <c r="H294" s="33" t="str">
        <f>IF(C21="","", "D" &amp; C21 &amp; "Y")</f>
        <v/>
      </c>
    </row>
    <row r="295" spans="1:8" ht="19.95" customHeight="1" x14ac:dyDescent="0.3">
      <c r="G295" s="48" t="str">
        <f>IF(H295="","", IFERROR(VLOOKUP(H295, A$247:D$254, 4, FALSE), 0))</f>
        <v/>
      </c>
      <c r="H295" s="33" t="str">
        <f>IF(F21="","", "D" &amp; F21 &amp; "X")</f>
        <v/>
      </c>
    </row>
    <row r="296" spans="1:8" ht="19.95" customHeight="1" x14ac:dyDescent="0.3">
      <c r="G296" s="48" t="str">
        <f>IF(H296="","", IFERROR(VLOOKUP(H296, A$247:D$254, 4, FALSE), 0))</f>
        <v/>
      </c>
      <c r="H296" s="33" t="str">
        <f>IF(F21="","", "D" &amp; F21 &amp; "Y")</f>
        <v/>
      </c>
    </row>
    <row r="297" spans="1:8" ht="19.95" customHeight="1" x14ac:dyDescent="0.3">
      <c r="B297" s="39" t="s">
        <v>118</v>
      </c>
      <c r="C297" s="53" t="str">
        <f>IF(C21="","", IF(B294&gt;0.001,"BARRA A TRACCIÓN (+)",IF(B294&lt;-0.001,"BARRA A COMPRESIÓN (-)","BARRA DE FUERZA NULA")))</f>
        <v/>
      </c>
      <c r="D297" s="53"/>
      <c r="E297" s="53"/>
      <c r="F297" s="53"/>
    </row>
    <row r="299" spans="1:8" ht="18" customHeight="1" x14ac:dyDescent="0.3">
      <c r="A299" s="46" t="s">
        <v>123</v>
      </c>
      <c r="C299" s="46" t="s">
        <v>124</v>
      </c>
      <c r="D299" s="46" t="s">
        <v>125</v>
      </c>
      <c r="E299" s="46" t="s">
        <v>124</v>
      </c>
      <c r="F299" s="46" t="s">
        <v>125</v>
      </c>
      <c r="G299" s="46" t="s">
        <v>94</v>
      </c>
    </row>
    <row r="300" spans="1:8" ht="16.05" customHeight="1" x14ac:dyDescent="0.3">
      <c r="C300" s="46" t="s">
        <v>127</v>
      </c>
      <c r="D300" s="46" t="s">
        <v>127</v>
      </c>
      <c r="E300" s="46" t="s">
        <v>128</v>
      </c>
      <c r="F300" s="46" t="s">
        <v>128</v>
      </c>
    </row>
    <row r="301" spans="1:8" ht="19.95" customHeight="1" x14ac:dyDescent="0.3">
      <c r="A301" s="40">
        <f>N11</f>
        <v>0</v>
      </c>
      <c r="C301" s="47" t="str">
        <f>IF(J11="","", -J11)</f>
        <v/>
      </c>
      <c r="D301" s="47" t="str">
        <f>IF(K11="","", -K11)</f>
        <v/>
      </c>
      <c r="E301" s="47" t="str">
        <f>IF(J11="","", J11)</f>
        <v/>
      </c>
      <c r="F301" s="47" t="str">
        <f>IF(K11="","", K11)</f>
        <v/>
      </c>
      <c r="G301" s="48" t="str">
        <f>IF(H301="","", IFERROR(VLOOKUP(H301, A$247:D$254, 4, FALSE), 0))</f>
        <v/>
      </c>
      <c r="H301" s="33" t="str">
        <f>IF(C22="","", "D" &amp; C22 &amp; "X")</f>
        <v/>
      </c>
    </row>
    <row r="302" spans="1:8" ht="19.95" customHeight="1" x14ac:dyDescent="0.3">
      <c r="A302" s="39" t="s">
        <v>135</v>
      </c>
      <c r="B302" s="49">
        <f>IF(OR(A301=0, C22=""), 0, (MMULT(C301:F301, G301:G304)*A301))</f>
        <v>0</v>
      </c>
      <c r="G302" s="48" t="str">
        <f>IF(H302="","", IFERROR(VLOOKUP(H302, A$247:D$254, 4, FALSE), 0))</f>
        <v/>
      </c>
      <c r="H302" s="33" t="str">
        <f>IF(C22="","", "D" &amp; C22 &amp; "Y")</f>
        <v/>
      </c>
    </row>
    <row r="303" spans="1:8" ht="19.95" customHeight="1" x14ac:dyDescent="0.3">
      <c r="G303" s="48" t="str">
        <f>IF(H303="","", IFERROR(VLOOKUP(H303, A$247:D$254, 4, FALSE), 0))</f>
        <v/>
      </c>
      <c r="H303" s="33" t="str">
        <f>IF(F22="","", "D" &amp; F22 &amp; "X")</f>
        <v/>
      </c>
    </row>
    <row r="304" spans="1:8" ht="19.95" customHeight="1" x14ac:dyDescent="0.3">
      <c r="G304" s="48" t="str">
        <f>IF(H304="","", IFERROR(VLOOKUP(H304, A$247:D$254, 4, FALSE), 0))</f>
        <v/>
      </c>
      <c r="H304" s="33" t="str">
        <f>IF(F22="","", "D" &amp; F22 &amp; "Y")</f>
        <v/>
      </c>
    </row>
    <row r="305" spans="1:8" ht="19.95" customHeight="1" x14ac:dyDescent="0.3">
      <c r="B305" s="39" t="s">
        <v>118</v>
      </c>
      <c r="C305" s="53" t="str">
        <f>IF(C22="","", IF(B302&gt;0.001,"BARRA A TRACCIÓN (+)",IF(B302&lt;-0.001,"BARRA A COMPRESIÓN (-)","BARRA DE FUERZA NULA")))</f>
        <v/>
      </c>
      <c r="D305" s="53"/>
      <c r="E305" s="53"/>
      <c r="F305" s="53"/>
    </row>
    <row r="307" spans="1:8" ht="18" customHeight="1" x14ac:dyDescent="0.3">
      <c r="A307" s="46" t="s">
        <v>123</v>
      </c>
      <c r="C307" s="46" t="s">
        <v>124</v>
      </c>
      <c r="D307" s="46" t="s">
        <v>125</v>
      </c>
      <c r="E307" s="46" t="s">
        <v>124</v>
      </c>
      <c r="F307" s="46" t="s">
        <v>125</v>
      </c>
      <c r="G307" s="46" t="s">
        <v>94</v>
      </c>
    </row>
    <row r="308" spans="1:8" ht="16.05" customHeight="1" x14ac:dyDescent="0.3">
      <c r="C308" s="46" t="s">
        <v>127</v>
      </c>
      <c r="D308" s="46" t="s">
        <v>127</v>
      </c>
      <c r="E308" s="46" t="s">
        <v>128</v>
      </c>
      <c r="F308" s="46" t="s">
        <v>128</v>
      </c>
    </row>
    <row r="309" spans="1:8" ht="19.95" customHeight="1" x14ac:dyDescent="0.3">
      <c r="A309" s="40">
        <f>N12</f>
        <v>0</v>
      </c>
      <c r="C309" s="47" t="str">
        <f>IF(J12="","", -J12)</f>
        <v/>
      </c>
      <c r="D309" s="47" t="str">
        <f>IF(K12="","", -K12)</f>
        <v/>
      </c>
      <c r="E309" s="47" t="str">
        <f>IF(J12="","", J12)</f>
        <v/>
      </c>
      <c r="F309" s="47" t="str">
        <f>IF(K12="","", K12)</f>
        <v/>
      </c>
      <c r="G309" s="48" t="str">
        <f>IF(H309="","", IFERROR(VLOOKUP(H309, A$247:D$254, 4, FALSE), 0))</f>
        <v/>
      </c>
      <c r="H309" s="33" t="str">
        <f>IF(C23="","", "D" &amp; C23 &amp; "X")</f>
        <v/>
      </c>
    </row>
    <row r="310" spans="1:8" ht="19.95" customHeight="1" x14ac:dyDescent="0.3">
      <c r="A310" s="39" t="s">
        <v>136</v>
      </c>
      <c r="B310" s="49">
        <f>IF(OR(A309=0, C23=""), 0, (MMULT(C309:F309, G309:G312)*A309))</f>
        <v>0</v>
      </c>
      <c r="G310" s="48" t="str">
        <f>IF(H310="","", IFERROR(VLOOKUP(H310, A$247:D$254, 4, FALSE), 0))</f>
        <v/>
      </c>
      <c r="H310" s="33" t="str">
        <f>IF(C23="","", "D" &amp; C23 &amp; "Y")</f>
        <v/>
      </c>
    </row>
    <row r="311" spans="1:8" ht="19.95" customHeight="1" x14ac:dyDescent="0.3">
      <c r="G311" s="48" t="str">
        <f>IF(H311="","", IFERROR(VLOOKUP(H311, A$247:D$254, 4, FALSE), 0))</f>
        <v/>
      </c>
      <c r="H311" s="33" t="str">
        <f>IF(F23="","", "D" &amp; F23 &amp; "X")</f>
        <v/>
      </c>
    </row>
    <row r="312" spans="1:8" ht="19.95" customHeight="1" x14ac:dyDescent="0.3">
      <c r="G312" s="48" t="str">
        <f>IF(H312="","", IFERROR(VLOOKUP(H312, A$247:D$254, 4, FALSE), 0))</f>
        <v/>
      </c>
      <c r="H312" s="33" t="str">
        <f>IF(F23="","", "D" &amp; F23 &amp; "Y")</f>
        <v/>
      </c>
    </row>
    <row r="313" spans="1:8" ht="19.95" customHeight="1" x14ac:dyDescent="0.3">
      <c r="B313" s="39" t="s">
        <v>118</v>
      </c>
      <c r="C313" s="53" t="str">
        <f>IF(C23="","", IF(B310&gt;0.001,"BARRA A TRACCIÓN (+)",IF(B310&lt;-0.001,"BARRA A COMPRESIÓN (-)","BARRA DE FUERZA NULA")))</f>
        <v/>
      </c>
      <c r="D313" s="53"/>
      <c r="E313" s="53"/>
      <c r="F313" s="53"/>
    </row>
    <row r="315" spans="1:8" ht="18" customHeight="1" x14ac:dyDescent="0.3">
      <c r="A315" s="46" t="s">
        <v>123</v>
      </c>
      <c r="C315" s="46" t="s">
        <v>124</v>
      </c>
      <c r="D315" s="46" t="s">
        <v>125</v>
      </c>
      <c r="E315" s="46" t="s">
        <v>124</v>
      </c>
      <c r="F315" s="46" t="s">
        <v>125</v>
      </c>
      <c r="G315" s="46" t="s">
        <v>94</v>
      </c>
    </row>
    <row r="316" spans="1:8" ht="16.05" customHeight="1" x14ac:dyDescent="0.3">
      <c r="C316" s="46" t="s">
        <v>127</v>
      </c>
      <c r="D316" s="46" t="s">
        <v>127</v>
      </c>
      <c r="E316" s="46" t="s">
        <v>128</v>
      </c>
      <c r="F316" s="46" t="s">
        <v>128</v>
      </c>
    </row>
    <row r="317" spans="1:8" ht="19.95" customHeight="1" x14ac:dyDescent="0.3">
      <c r="A317" s="40">
        <f>N13</f>
        <v>0</v>
      </c>
      <c r="C317" s="47" t="str">
        <f>IF(J13="","", -J13)</f>
        <v/>
      </c>
      <c r="D317" s="47" t="str">
        <f>IF(K13="","", -K13)</f>
        <v/>
      </c>
      <c r="E317" s="47" t="str">
        <f>IF(J13="","", J13)</f>
        <v/>
      </c>
      <c r="F317" s="47" t="str">
        <f>IF(K13="","", K13)</f>
        <v/>
      </c>
      <c r="G317" s="48" t="str">
        <f>IF(H317="","", IFERROR(VLOOKUP(H317, A$247:D$254, 4, FALSE), 0))</f>
        <v/>
      </c>
      <c r="H317" s="33" t="str">
        <f>IF(C24="","", "D" &amp; C24 &amp; "X")</f>
        <v/>
      </c>
    </row>
    <row r="318" spans="1:8" ht="19.95" customHeight="1" x14ac:dyDescent="0.3">
      <c r="A318" s="39" t="s">
        <v>137</v>
      </c>
      <c r="B318" s="49">
        <f>IF(OR(A317=0, C24=""), 0, (MMULT(C317:F317, G317:G320)*A317))</f>
        <v>0</v>
      </c>
      <c r="G318" s="48" t="str">
        <f>IF(H318="","", IFERROR(VLOOKUP(H318, A$247:D$254, 4, FALSE), 0))</f>
        <v/>
      </c>
      <c r="H318" s="33" t="str">
        <f>IF(C24="","", "D" &amp; C24 &amp; "Y")</f>
        <v/>
      </c>
    </row>
    <row r="319" spans="1:8" ht="19.95" customHeight="1" x14ac:dyDescent="0.3">
      <c r="G319" s="48" t="str">
        <f>IF(H319="","", IFERROR(VLOOKUP(H319, A$247:D$254, 4, FALSE), 0))</f>
        <v/>
      </c>
      <c r="H319" s="33" t="str">
        <f>IF(F24="","", "D" &amp; F24 &amp; "X")</f>
        <v/>
      </c>
    </row>
    <row r="320" spans="1:8" ht="19.95" customHeight="1" x14ac:dyDescent="0.3">
      <c r="G320" s="48" t="str">
        <f>IF(H320="","", IFERROR(VLOOKUP(H320, A$247:D$254, 4, FALSE), 0))</f>
        <v/>
      </c>
      <c r="H320" s="33" t="str">
        <f>IF(F24="","", "D" &amp; F24 &amp; "Y")</f>
        <v/>
      </c>
    </row>
    <row r="321" spans="2:8" ht="19.95" customHeight="1" x14ac:dyDescent="0.3">
      <c r="B321" s="39" t="s">
        <v>118</v>
      </c>
      <c r="C321" s="53" t="str">
        <f>IF(C24="","", IF(B318&gt;0.001,"BARRA A TRACCIÓN (+)",IF(B318&lt;-0.001,"BARRA A COMPRESIÓN (-)","BARRA DE FUERZA NULA")))</f>
        <v/>
      </c>
      <c r="D321" s="53"/>
      <c r="E321" s="53"/>
      <c r="F321" s="53"/>
    </row>
    <row r="324" spans="2:8" ht="22.05" customHeight="1" x14ac:dyDescent="0.3">
      <c r="B324" s="57" t="s">
        <v>138</v>
      </c>
      <c r="C324" s="51"/>
      <c r="D324" s="51"/>
      <c r="E324" s="51"/>
      <c r="F324" s="51"/>
      <c r="G324" s="51"/>
      <c r="H324" s="51"/>
    </row>
    <row r="325" spans="2:8" ht="24" customHeight="1" x14ac:dyDescent="0.3">
      <c r="B325" s="1" t="s">
        <v>139</v>
      </c>
      <c r="C325" s="1" t="s">
        <v>140</v>
      </c>
      <c r="D325" s="1" t="s">
        <v>141</v>
      </c>
      <c r="E325" s="1" t="s">
        <v>142</v>
      </c>
      <c r="F325" s="1" t="s">
        <v>143</v>
      </c>
      <c r="G325" s="1" t="s">
        <v>144</v>
      </c>
      <c r="H325" s="1" t="s">
        <v>145</v>
      </c>
    </row>
    <row r="326" spans="2:8" ht="19.95" customHeight="1" x14ac:dyDescent="0.3">
      <c r="B326" s="3">
        <f>IF(C17="","", 1)</f>
        <v>1</v>
      </c>
      <c r="C326" s="9">
        <f t="shared" ref="C326:C333" si="29">IF(C17="","", C17)</f>
        <v>1</v>
      </c>
      <c r="D326" s="9">
        <f t="shared" ref="D326:D333" si="30">IF(F17="","", F17)</f>
        <v>3</v>
      </c>
      <c r="E326" s="21">
        <f t="shared" ref="E326:E333" si="31">IF(I6="","", I6)</f>
        <v>640.31242374328485</v>
      </c>
      <c r="F326" s="21">
        <f t="shared" ref="F326:F333" si="32">IF(C17="","", L6)</f>
        <v>10</v>
      </c>
      <c r="G326" s="49">
        <f>IF(C17="","", B262)</f>
        <v>-6403.1242374328494</v>
      </c>
      <c r="H326" s="11" t="str">
        <f>IF(C17="","", C265)</f>
        <v>BARRA A COMPRESIÓN (-)</v>
      </c>
    </row>
    <row r="327" spans="2:8" ht="19.95" customHeight="1" x14ac:dyDescent="0.3">
      <c r="B327" s="11">
        <f>IF(C18="","", 2)</f>
        <v>2</v>
      </c>
      <c r="C327" s="9">
        <f t="shared" si="29"/>
        <v>2</v>
      </c>
      <c r="D327" s="9">
        <f t="shared" si="30"/>
        <v>3</v>
      </c>
      <c r="E327" s="21">
        <f t="shared" si="31"/>
        <v>583.09518948453001</v>
      </c>
      <c r="F327" s="21">
        <f t="shared" si="32"/>
        <v>10</v>
      </c>
      <c r="G327" s="49">
        <f>IF(C18="","", B270)</f>
        <v>9.9960880905821834E-13</v>
      </c>
      <c r="H327" s="11" t="str">
        <f>IF(C18="","", C273)</f>
        <v>BARRA DE FUERZA NULA</v>
      </c>
    </row>
    <row r="328" spans="2:8" ht="19.95" customHeight="1" x14ac:dyDescent="0.3">
      <c r="B328" s="12">
        <f>IF(C19="","", 3)</f>
        <v>3</v>
      </c>
      <c r="C328" s="9">
        <f t="shared" si="29"/>
        <v>2</v>
      </c>
      <c r="D328" s="9">
        <f t="shared" si="30"/>
        <v>1</v>
      </c>
      <c r="E328" s="21">
        <f t="shared" si="31"/>
        <v>700</v>
      </c>
      <c r="F328" s="21">
        <f t="shared" si="32"/>
        <v>10</v>
      </c>
      <c r="G328" s="49">
        <f>IF(C19="","", B278)</f>
        <v>3999.9999999999991</v>
      </c>
      <c r="H328" s="11" t="str">
        <f>IF(C19="","", C281)</f>
        <v>BARRA A TRACCIÓN (+)</v>
      </c>
    </row>
    <row r="329" spans="2:8" ht="19.95" customHeight="1" x14ac:dyDescent="0.3">
      <c r="B329" s="13" t="str">
        <f>IF(C20="","", 4)</f>
        <v/>
      </c>
      <c r="C329" s="9" t="str">
        <f t="shared" si="29"/>
        <v/>
      </c>
      <c r="D329" s="9" t="str">
        <f t="shared" si="30"/>
        <v/>
      </c>
      <c r="E329" s="21" t="str">
        <f t="shared" si="31"/>
        <v/>
      </c>
      <c r="F329" s="21" t="str">
        <f t="shared" si="32"/>
        <v/>
      </c>
      <c r="G329" s="49" t="str">
        <f>IF(C20="","", B286)</f>
        <v/>
      </c>
      <c r="H329" s="11" t="str">
        <f>IF(C20="","", C289)</f>
        <v/>
      </c>
    </row>
    <row r="330" spans="2:8" ht="19.95" customHeight="1" x14ac:dyDescent="0.3">
      <c r="B330" s="14" t="str">
        <f>IF(C21="","", 5)</f>
        <v/>
      </c>
      <c r="C330" s="9" t="str">
        <f t="shared" si="29"/>
        <v/>
      </c>
      <c r="D330" s="9" t="str">
        <f t="shared" si="30"/>
        <v/>
      </c>
      <c r="E330" s="21" t="str">
        <f t="shared" si="31"/>
        <v/>
      </c>
      <c r="F330" s="21" t="str">
        <f t="shared" si="32"/>
        <v/>
      </c>
      <c r="G330" s="49" t="str">
        <f>IF(C21="","", B294)</f>
        <v/>
      </c>
      <c r="H330" s="11" t="str">
        <f>IF(C21="","", C297)</f>
        <v/>
      </c>
    </row>
    <row r="331" spans="2:8" ht="19.95" customHeight="1" x14ac:dyDescent="0.3">
      <c r="B331" s="15" t="str">
        <f>IF(C22="","", 6)</f>
        <v/>
      </c>
      <c r="C331" s="9" t="str">
        <f t="shared" si="29"/>
        <v/>
      </c>
      <c r="D331" s="9" t="str">
        <f t="shared" si="30"/>
        <v/>
      </c>
      <c r="E331" s="21" t="str">
        <f t="shared" si="31"/>
        <v/>
      </c>
      <c r="F331" s="21" t="str">
        <f t="shared" si="32"/>
        <v/>
      </c>
      <c r="G331" s="49" t="str">
        <f>IF(C22="","", B302)</f>
        <v/>
      </c>
      <c r="H331" s="11" t="str">
        <f>IF(C22="","", C305)</f>
        <v/>
      </c>
    </row>
    <row r="332" spans="2:8" ht="19.95" customHeight="1" x14ac:dyDescent="0.3">
      <c r="B332" s="16" t="str">
        <f>IF(C23="","", 7)</f>
        <v/>
      </c>
      <c r="C332" s="9" t="str">
        <f t="shared" si="29"/>
        <v/>
      </c>
      <c r="D332" s="9" t="str">
        <f t="shared" si="30"/>
        <v/>
      </c>
      <c r="E332" s="21" t="str">
        <f t="shared" si="31"/>
        <v/>
      </c>
      <c r="F332" s="21" t="str">
        <f t="shared" si="32"/>
        <v/>
      </c>
      <c r="G332" s="49" t="str">
        <f>IF(C23="","", B310)</f>
        <v/>
      </c>
      <c r="H332" s="11" t="str">
        <f>IF(C23="","", C313)</f>
        <v/>
      </c>
    </row>
    <row r="333" spans="2:8" ht="19.95" customHeight="1" x14ac:dyDescent="0.3">
      <c r="B333" s="17" t="str">
        <f>IF(C24="","", 8)</f>
        <v/>
      </c>
      <c r="C333" s="9" t="str">
        <f t="shared" si="29"/>
        <v/>
      </c>
      <c r="D333" s="9" t="str">
        <f t="shared" si="30"/>
        <v/>
      </c>
      <c r="E333" s="21" t="str">
        <f t="shared" si="31"/>
        <v/>
      </c>
      <c r="F333" s="21" t="str">
        <f t="shared" si="32"/>
        <v/>
      </c>
      <c r="G333" s="49" t="str">
        <f>IF(C24="","", B318)</f>
        <v/>
      </c>
      <c r="H333" s="11" t="str">
        <f>IF(C24="","", C321)</f>
        <v/>
      </c>
    </row>
  </sheetData>
  <mergeCells count="118">
    <mergeCell ref="C297:F297"/>
    <mergeCell ref="Y223:AD223"/>
    <mergeCell ref="Y232:AD232"/>
    <mergeCell ref="Y182:AD182"/>
    <mergeCell ref="Y216:AD216"/>
    <mergeCell ref="Y218:AD218"/>
    <mergeCell ref="Y233:AD233"/>
    <mergeCell ref="Y199:AD199"/>
    <mergeCell ref="Y281:AD281"/>
    <mergeCell ref="Y208:AD208"/>
    <mergeCell ref="Y217:AD217"/>
    <mergeCell ref="Y263:AD263"/>
    <mergeCell ref="Y272:AD272"/>
    <mergeCell ref="C223:D223"/>
    <mergeCell ref="Y210:AD210"/>
    <mergeCell ref="Y186:AD186"/>
    <mergeCell ref="Y194:AD194"/>
    <mergeCell ref="Y278:AD278"/>
    <mergeCell ref="Y235:AD235"/>
    <mergeCell ref="Y184:AD184"/>
    <mergeCell ref="Y234:AD234"/>
    <mergeCell ref="Y212:AD212"/>
    <mergeCell ref="Y226:AD226"/>
    <mergeCell ref="Y264:AD264"/>
    <mergeCell ref="C321:F321"/>
    <mergeCell ref="Y271:AD271"/>
    <mergeCell ref="Y265:AD265"/>
    <mergeCell ref="Y279:AD279"/>
    <mergeCell ref="H4:H5"/>
    <mergeCell ref="Y176:AD176"/>
    <mergeCell ref="Y257:AD257"/>
    <mergeCell ref="Y191:AD191"/>
    <mergeCell ref="Y241:AD241"/>
    <mergeCell ref="Y219:AD219"/>
    <mergeCell ref="Y228:AD228"/>
    <mergeCell ref="Y258:AD258"/>
    <mergeCell ref="Y267:AD267"/>
    <mergeCell ref="Y214:AD214"/>
    <mergeCell ref="Y195:AD195"/>
    <mergeCell ref="Y204:AD204"/>
    <mergeCell ref="Y260:AD260"/>
    <mergeCell ref="C281:F281"/>
    <mergeCell ref="Y269:AD269"/>
    <mergeCell ref="K4:K5"/>
    <mergeCell ref="Y259:AD259"/>
    <mergeCell ref="Y197:AD197"/>
    <mergeCell ref="C265:F265"/>
    <mergeCell ref="Y181:AD181"/>
    <mergeCell ref="A1:N1"/>
    <mergeCell ref="C4:D4"/>
    <mergeCell ref="C215:G215"/>
    <mergeCell ref="E4:F4"/>
    <mergeCell ref="Y174:AD174"/>
    <mergeCell ref="Y242:AD242"/>
    <mergeCell ref="Y189:AD189"/>
    <mergeCell ref="Y198:AD198"/>
    <mergeCell ref="Y229:AD229"/>
    <mergeCell ref="Y179:AD179"/>
    <mergeCell ref="Y213:AD213"/>
    <mergeCell ref="C194:D194"/>
    <mergeCell ref="Y215:AD215"/>
    <mergeCell ref="A2:N2"/>
    <mergeCell ref="Y221:AD221"/>
    <mergeCell ref="B4:B5"/>
    <mergeCell ref="Y196:AD196"/>
    <mergeCell ref="N4:N5"/>
    <mergeCell ref="Y180:AD180"/>
    <mergeCell ref="G4:G5"/>
    <mergeCell ref="I4:I5"/>
    <mergeCell ref="M4:M5"/>
    <mergeCell ref="Y220:AD220"/>
    <mergeCell ref="Y236:AD236"/>
    <mergeCell ref="B324:H324"/>
    <mergeCell ref="J4:J5"/>
    <mergeCell ref="L4:L5"/>
    <mergeCell ref="C313:F313"/>
    <mergeCell ref="Y183:AD183"/>
    <mergeCell ref="Y239:AD239"/>
    <mergeCell ref="Y175:AD175"/>
    <mergeCell ref="Y238:AD238"/>
    <mergeCell ref="Y185:AD185"/>
    <mergeCell ref="Y268:AD268"/>
    <mergeCell ref="Y225:AD225"/>
    <mergeCell ref="C305:F305"/>
    <mergeCell ref="Y200:AD200"/>
    <mergeCell ref="Y240:AD240"/>
    <mergeCell ref="Y209:AD209"/>
    <mergeCell ref="Y280:AD280"/>
    <mergeCell ref="Y274:AD274"/>
    <mergeCell ref="Y227:AD227"/>
    <mergeCell ref="Y224:AD224"/>
    <mergeCell ref="Y202:AD202"/>
    <mergeCell ref="Y177:AD177"/>
    <mergeCell ref="Y211:AD211"/>
    <mergeCell ref="Y282:AD282"/>
    <mergeCell ref="Y192:AD192"/>
    <mergeCell ref="P4:W4"/>
    <mergeCell ref="Y207:AD207"/>
    <mergeCell ref="C289:F289"/>
    <mergeCell ref="Y188:AD188"/>
    <mergeCell ref="C216:G216"/>
    <mergeCell ref="Y222:AD222"/>
    <mergeCell ref="Y262:AD262"/>
    <mergeCell ref="Y237:AD237"/>
    <mergeCell ref="Y190:AD190"/>
    <mergeCell ref="Y201:AD201"/>
    <mergeCell ref="Y266:AD266"/>
    <mergeCell ref="Y275:AD275"/>
    <mergeCell ref="Y203:AD203"/>
    <mergeCell ref="Y276:AD276"/>
    <mergeCell ref="B15:H15"/>
    <mergeCell ref="Y277:AD277"/>
    <mergeCell ref="Y178:AD178"/>
    <mergeCell ref="Y187:AD187"/>
    <mergeCell ref="Y261:AD261"/>
    <mergeCell ref="Y273:AD273"/>
    <mergeCell ref="Y270:AD270"/>
    <mergeCell ref="C273:F2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30"/>
  <sheetViews>
    <sheetView workbookViewId="0"/>
  </sheetViews>
  <sheetFormatPr baseColWidth="10" defaultColWidth="8.88671875" defaultRowHeight="14.4" x14ac:dyDescent="0.3"/>
  <cols>
    <col min="1" max="1" width="11" customWidth="1"/>
    <col min="2" max="14" width="13" customWidth="1"/>
    <col min="15" max="15" width="3" customWidth="1"/>
    <col min="16" max="16" width="7" customWidth="1"/>
    <col min="17" max="18" width="11" customWidth="1"/>
    <col min="19" max="19" width="14" customWidth="1"/>
    <col min="20" max="21" width="6" customWidth="1"/>
    <col min="22" max="23" width="12" customWidth="1"/>
    <col min="24" max="24" width="3" customWidth="1"/>
    <col min="25" max="30" width="18" customWidth="1"/>
  </cols>
  <sheetData>
    <row r="1" spans="1:23" ht="25.95" customHeight="1" x14ac:dyDescent="0.3">
      <c r="A1" s="60" t="s">
        <v>146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23" ht="18" customHeight="1" x14ac:dyDescent="0.3">
      <c r="A2" s="62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4" spans="1:23" ht="18" customHeight="1" x14ac:dyDescent="0.3">
      <c r="B4" s="58" t="s">
        <v>2</v>
      </c>
      <c r="C4" s="58" t="s">
        <v>3</v>
      </c>
      <c r="D4" s="58"/>
      <c r="E4" s="58" t="s">
        <v>4</v>
      </c>
      <c r="F4" s="58"/>
      <c r="G4" s="58" t="s">
        <v>5</v>
      </c>
      <c r="H4" s="58" t="s">
        <v>6</v>
      </c>
      <c r="I4" s="58" t="s">
        <v>7</v>
      </c>
      <c r="J4" s="58" t="s">
        <v>8</v>
      </c>
      <c r="K4" s="58" t="s">
        <v>9</v>
      </c>
      <c r="L4" s="58" t="s">
        <v>10</v>
      </c>
      <c r="M4" s="58" t="s">
        <v>11</v>
      </c>
      <c r="N4" s="58" t="s">
        <v>12</v>
      </c>
      <c r="P4" s="50" t="s">
        <v>13</v>
      </c>
      <c r="Q4" s="51"/>
      <c r="R4" s="51"/>
      <c r="S4" s="51"/>
      <c r="T4" s="51"/>
      <c r="U4" s="51"/>
      <c r="V4" s="51"/>
      <c r="W4" s="51"/>
    </row>
    <row r="5" spans="1:23" ht="18" customHeight="1" x14ac:dyDescent="0.3">
      <c r="B5" s="59"/>
      <c r="C5" s="2" t="s">
        <v>14</v>
      </c>
      <c r="D5" s="2" t="s">
        <v>15</v>
      </c>
      <c r="E5" s="2" t="s">
        <v>14</v>
      </c>
      <c r="F5" s="2" t="s">
        <v>15</v>
      </c>
      <c r="G5" s="59"/>
      <c r="H5" s="59"/>
      <c r="I5" s="59"/>
      <c r="J5" s="59"/>
      <c r="K5" s="59"/>
      <c r="L5" s="59"/>
      <c r="M5" s="59"/>
      <c r="N5" s="59"/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</row>
    <row r="6" spans="1:23" ht="19.05" customHeight="1" x14ac:dyDescent="0.3">
      <c r="B6" s="3">
        <v>1</v>
      </c>
      <c r="C6" s="4">
        <f t="shared" ref="C6:C13" si="0">IF(C17="","", IFERROR(VLOOKUP(C17, $P$6:$W$9, 2, FALSE), ""))</f>
        <v>0</v>
      </c>
      <c r="D6" s="4">
        <f t="shared" ref="D6:D13" si="1">IF(C17="","", IFERROR(VLOOKUP(C17, $P$6:$W$9, 3, FALSE), ""))</f>
        <v>0</v>
      </c>
      <c r="E6" s="4">
        <f t="shared" ref="E6:E13" si="2">IF(F17="","", IFERROR(VLOOKUP(F17, $P$6:$W$9, 2, FALSE), ""))</f>
        <v>400</v>
      </c>
      <c r="F6" s="4">
        <f t="shared" ref="F6:F13" si="3">IF(F17="","", IFERROR(VLOOKUP(F17, $P$6:$W$9, 3, FALSE), ""))</f>
        <v>0</v>
      </c>
      <c r="G6" s="5">
        <f t="shared" ref="G6:H13" si="4">IF(OR(C6="",E6=""), "", E6-C6)</f>
        <v>400</v>
      </c>
      <c r="H6" s="5">
        <f t="shared" si="4"/>
        <v>0</v>
      </c>
      <c r="I6" s="6">
        <f t="shared" ref="I6:I13" si="5">IF(OR(G6="",H6=""), "", SQRT(G6^2+H6^2))</f>
        <v>400</v>
      </c>
      <c r="J6" s="7">
        <f t="shared" ref="J6:J13" si="6">IF(OR(I6="",I6=0), "", G6/I6)</f>
        <v>1</v>
      </c>
      <c r="K6" s="7">
        <f t="shared" ref="K6:K13" si="7">IF(OR(I6="",I6=0), "", H6/I6)</f>
        <v>0</v>
      </c>
      <c r="L6" s="4">
        <f t="shared" ref="L6:L13" si="8">IF(C17="","", 12)</f>
        <v>12</v>
      </c>
      <c r="M6" s="8">
        <f t="shared" ref="M6:M13" si="9">IF(C17="","", 2100000)</f>
        <v>2100000</v>
      </c>
      <c r="N6" s="6">
        <f t="shared" ref="N6:N13" si="10">IF(OR(I6="",I6=0,L6="",M6=""), 0, (L6*M6)/I6)</f>
        <v>63000</v>
      </c>
      <c r="P6" s="9">
        <v>1</v>
      </c>
      <c r="Q6" s="4">
        <v>0</v>
      </c>
      <c r="R6" s="4">
        <v>0</v>
      </c>
      <c r="S6" s="10" t="s">
        <v>25</v>
      </c>
      <c r="T6" s="9">
        <f>IF(Q6="","", IF(LEFT(UPPER(TRIM(S6)),4)="FIJO", 1, IF(OR(UPPER(TRIM(S6))="MOVIL X", UPPER(TRIM(S6))="MÓVIL X", UPPER(TRIM(S6))="RODILLO X"), 1, 0)))</f>
        <v>1</v>
      </c>
      <c r="U6" s="9">
        <f>IF(Q6="","", IF(LEFT(UPPER(TRIM(S6)),4)="FIJO", 1, IF(OR(UPPER(TRIM(S6))="MOVIL Y", UPPER(TRIM(S6))="MÓVIL Y", UPPER(TRIM(S6))="RODILLO Y", UPPER(TRIM(S6))="MOVIL", UPPER(TRIM(S6))="MÓVIL"), 1, 0)))</f>
        <v>1</v>
      </c>
      <c r="V6" s="4">
        <v>0</v>
      </c>
      <c r="W6" s="4">
        <v>0</v>
      </c>
    </row>
    <row r="7" spans="1:23" ht="19.05" customHeight="1" x14ac:dyDescent="0.3">
      <c r="B7" s="11">
        <v>2</v>
      </c>
      <c r="C7" s="4">
        <f t="shared" si="0"/>
        <v>400</v>
      </c>
      <c r="D7" s="4">
        <f t="shared" si="1"/>
        <v>0</v>
      </c>
      <c r="E7" s="4">
        <f t="shared" si="2"/>
        <v>400</v>
      </c>
      <c r="F7" s="4">
        <f t="shared" si="3"/>
        <v>300</v>
      </c>
      <c r="G7" s="5">
        <f t="shared" si="4"/>
        <v>0</v>
      </c>
      <c r="H7" s="5">
        <f t="shared" si="4"/>
        <v>300</v>
      </c>
      <c r="I7" s="6">
        <f t="shared" si="5"/>
        <v>300</v>
      </c>
      <c r="J7" s="7">
        <f t="shared" si="6"/>
        <v>0</v>
      </c>
      <c r="K7" s="7">
        <f t="shared" si="7"/>
        <v>1</v>
      </c>
      <c r="L7" s="4">
        <f t="shared" si="8"/>
        <v>12</v>
      </c>
      <c r="M7" s="8">
        <f t="shared" si="9"/>
        <v>2100000</v>
      </c>
      <c r="N7" s="6">
        <f t="shared" si="10"/>
        <v>84000</v>
      </c>
      <c r="P7" s="9">
        <v>2</v>
      </c>
      <c r="Q7" s="4">
        <v>400</v>
      </c>
      <c r="R7" s="4">
        <v>0</v>
      </c>
      <c r="S7" s="10" t="s">
        <v>25</v>
      </c>
      <c r="T7" s="9">
        <f>IF(Q7="","", IF(LEFT(UPPER(TRIM(S7)),4)="FIJO", 1, IF(OR(UPPER(TRIM(S7))="MOVIL X", UPPER(TRIM(S7))="MÓVIL X", UPPER(TRIM(S7))="RODILLO X"), 1, 0)))</f>
        <v>1</v>
      </c>
      <c r="U7" s="9">
        <f>IF(Q7="","", IF(LEFT(UPPER(TRIM(S7)),4)="FIJO", 1, IF(OR(UPPER(TRIM(S7))="MOVIL Y", UPPER(TRIM(S7))="MÓVIL Y", UPPER(TRIM(S7))="RODILLO Y", UPPER(TRIM(S7))="MOVIL", UPPER(TRIM(S7))="MÓVIL"), 1, 0)))</f>
        <v>1</v>
      </c>
      <c r="V7" s="4">
        <v>0</v>
      </c>
      <c r="W7" s="4">
        <v>0</v>
      </c>
    </row>
    <row r="8" spans="1:23" ht="19.05" customHeight="1" x14ac:dyDescent="0.3">
      <c r="B8" s="12">
        <v>3</v>
      </c>
      <c r="C8" s="4">
        <f t="shared" si="0"/>
        <v>400</v>
      </c>
      <c r="D8" s="4">
        <f t="shared" si="1"/>
        <v>300</v>
      </c>
      <c r="E8" s="4">
        <f t="shared" si="2"/>
        <v>0</v>
      </c>
      <c r="F8" s="4">
        <f t="shared" si="3"/>
        <v>300</v>
      </c>
      <c r="G8" s="5">
        <f t="shared" si="4"/>
        <v>-400</v>
      </c>
      <c r="H8" s="5">
        <f t="shared" si="4"/>
        <v>0</v>
      </c>
      <c r="I8" s="6">
        <f t="shared" si="5"/>
        <v>400</v>
      </c>
      <c r="J8" s="7">
        <f t="shared" si="6"/>
        <v>-1</v>
      </c>
      <c r="K8" s="7">
        <f t="shared" si="7"/>
        <v>0</v>
      </c>
      <c r="L8" s="4">
        <f t="shared" si="8"/>
        <v>12</v>
      </c>
      <c r="M8" s="8">
        <f t="shared" si="9"/>
        <v>2100000</v>
      </c>
      <c r="N8" s="6">
        <f t="shared" si="10"/>
        <v>63000</v>
      </c>
      <c r="P8" s="9">
        <v>3</v>
      </c>
      <c r="Q8" s="4">
        <v>400</v>
      </c>
      <c r="R8" s="4">
        <v>300</v>
      </c>
      <c r="S8" s="10" t="s">
        <v>26</v>
      </c>
      <c r="T8" s="9">
        <f>IF(Q8="","", IF(LEFT(UPPER(TRIM(S8)),4)="FIJO", 1, IF(OR(UPPER(TRIM(S8))="MOVIL X", UPPER(TRIM(S8))="MÓVIL X", UPPER(TRIM(S8))="RODILLO X"), 1, 0)))</f>
        <v>0</v>
      </c>
      <c r="U8" s="9">
        <f>IF(Q8="","", IF(LEFT(UPPER(TRIM(S8)),4)="FIJO", 1, IF(OR(UPPER(TRIM(S8))="MOVIL Y", UPPER(TRIM(S8))="MÓVIL Y", UPPER(TRIM(S8))="RODILLO Y", UPPER(TRIM(S8))="MOVIL", UPPER(TRIM(S8))="MÓVIL"), 1, 0)))</f>
        <v>0</v>
      </c>
      <c r="V8" s="4">
        <v>3500</v>
      </c>
      <c r="W8" s="4">
        <v>-5000</v>
      </c>
    </row>
    <row r="9" spans="1:23" ht="19.05" customHeight="1" x14ac:dyDescent="0.3">
      <c r="B9" s="13">
        <v>4</v>
      </c>
      <c r="C9" s="4">
        <f t="shared" si="0"/>
        <v>0</v>
      </c>
      <c r="D9" s="4">
        <f t="shared" si="1"/>
        <v>300</v>
      </c>
      <c r="E9" s="4">
        <f t="shared" si="2"/>
        <v>0</v>
      </c>
      <c r="F9" s="4">
        <f t="shared" si="3"/>
        <v>0</v>
      </c>
      <c r="G9" s="5">
        <f t="shared" si="4"/>
        <v>0</v>
      </c>
      <c r="H9" s="5">
        <f t="shared" si="4"/>
        <v>-300</v>
      </c>
      <c r="I9" s="6">
        <f t="shared" si="5"/>
        <v>300</v>
      </c>
      <c r="J9" s="7">
        <f t="shared" si="6"/>
        <v>0</v>
      </c>
      <c r="K9" s="7">
        <f t="shared" si="7"/>
        <v>-1</v>
      </c>
      <c r="L9" s="4">
        <f t="shared" si="8"/>
        <v>12</v>
      </c>
      <c r="M9" s="8">
        <f t="shared" si="9"/>
        <v>2100000</v>
      </c>
      <c r="N9" s="6">
        <f t="shared" si="10"/>
        <v>84000</v>
      </c>
      <c r="P9" s="9">
        <v>4</v>
      </c>
      <c r="Q9" s="4">
        <v>0</v>
      </c>
      <c r="R9" s="4">
        <v>300</v>
      </c>
      <c r="S9" s="10" t="s">
        <v>26</v>
      </c>
      <c r="T9" s="9">
        <f>IF(Q9="","", IF(LEFT(UPPER(TRIM(S9)),4)="FIJO", 1, IF(OR(UPPER(TRIM(S9))="MOVIL X", UPPER(TRIM(S9))="MÓVIL X", UPPER(TRIM(S9))="RODILLO X"), 1, 0)))</f>
        <v>0</v>
      </c>
      <c r="U9" s="9">
        <f>IF(Q9="","", IF(LEFT(UPPER(TRIM(S9)),4)="FIJO", 1, IF(OR(UPPER(TRIM(S9))="MOVIL Y", UPPER(TRIM(S9))="MÓVIL Y", UPPER(TRIM(S9))="RODILLO Y", UPPER(TRIM(S9))="MOVIL", UPPER(TRIM(S9))="MÓVIL"), 1, 0)))</f>
        <v>0</v>
      </c>
      <c r="V9" s="4">
        <v>3500</v>
      </c>
      <c r="W9" s="4">
        <v>0</v>
      </c>
    </row>
    <row r="10" spans="1:23" ht="19.05" customHeight="1" x14ac:dyDescent="0.3">
      <c r="B10" s="14">
        <v>5</v>
      </c>
      <c r="C10" s="4">
        <f t="shared" si="0"/>
        <v>0</v>
      </c>
      <c r="D10" s="4">
        <f t="shared" si="1"/>
        <v>0</v>
      </c>
      <c r="E10" s="4">
        <f t="shared" si="2"/>
        <v>400</v>
      </c>
      <c r="F10" s="4">
        <f t="shared" si="3"/>
        <v>300</v>
      </c>
      <c r="G10" s="5">
        <f t="shared" si="4"/>
        <v>400</v>
      </c>
      <c r="H10" s="5">
        <f t="shared" si="4"/>
        <v>300</v>
      </c>
      <c r="I10" s="6">
        <f t="shared" si="5"/>
        <v>500</v>
      </c>
      <c r="J10" s="7">
        <f t="shared" si="6"/>
        <v>0.8</v>
      </c>
      <c r="K10" s="7">
        <f t="shared" si="7"/>
        <v>0.6</v>
      </c>
      <c r="L10" s="4">
        <f t="shared" si="8"/>
        <v>12</v>
      </c>
      <c r="M10" s="8">
        <f t="shared" si="9"/>
        <v>2100000</v>
      </c>
      <c r="N10" s="6">
        <f t="shared" si="10"/>
        <v>50400</v>
      </c>
    </row>
    <row r="11" spans="1:23" ht="19.05" customHeight="1" x14ac:dyDescent="0.3">
      <c r="B11" s="15">
        <v>6</v>
      </c>
      <c r="C11" s="4">
        <f t="shared" si="0"/>
        <v>400</v>
      </c>
      <c r="D11" s="4">
        <f t="shared" si="1"/>
        <v>0</v>
      </c>
      <c r="E11" s="4">
        <f t="shared" si="2"/>
        <v>0</v>
      </c>
      <c r="F11" s="4">
        <f t="shared" si="3"/>
        <v>300</v>
      </c>
      <c r="G11" s="5">
        <f t="shared" si="4"/>
        <v>-400</v>
      </c>
      <c r="H11" s="5">
        <f t="shared" si="4"/>
        <v>300</v>
      </c>
      <c r="I11" s="6">
        <f t="shared" si="5"/>
        <v>500</v>
      </c>
      <c r="J11" s="7">
        <f t="shared" si="6"/>
        <v>-0.8</v>
      </c>
      <c r="K11" s="7">
        <f t="shared" si="7"/>
        <v>0.6</v>
      </c>
      <c r="L11" s="4">
        <f t="shared" si="8"/>
        <v>12</v>
      </c>
      <c r="M11" s="8">
        <f t="shared" si="9"/>
        <v>2100000</v>
      </c>
      <c r="N11" s="6">
        <f t="shared" si="10"/>
        <v>50400</v>
      </c>
    </row>
    <row r="12" spans="1:23" ht="19.05" customHeight="1" x14ac:dyDescent="0.3">
      <c r="B12" s="16">
        <v>7</v>
      </c>
      <c r="C12" s="4" t="str">
        <f t="shared" si="0"/>
        <v/>
      </c>
      <c r="D12" s="4" t="str">
        <f t="shared" si="1"/>
        <v/>
      </c>
      <c r="E12" s="4" t="str">
        <f t="shared" si="2"/>
        <v/>
      </c>
      <c r="F12" s="4" t="str">
        <f t="shared" si="3"/>
        <v/>
      </c>
      <c r="G12" s="5" t="str">
        <f t="shared" si="4"/>
        <v/>
      </c>
      <c r="H12" s="5" t="str">
        <f t="shared" si="4"/>
        <v/>
      </c>
      <c r="I12" s="6" t="str">
        <f t="shared" si="5"/>
        <v/>
      </c>
      <c r="J12" s="7" t="str">
        <f t="shared" si="6"/>
        <v/>
      </c>
      <c r="K12" s="7" t="str">
        <f t="shared" si="7"/>
        <v/>
      </c>
      <c r="L12" s="4" t="str">
        <f t="shared" si="8"/>
        <v/>
      </c>
      <c r="M12" s="8" t="str">
        <f t="shared" si="9"/>
        <v/>
      </c>
      <c r="N12" s="6">
        <f t="shared" si="10"/>
        <v>0</v>
      </c>
    </row>
    <row r="13" spans="1:23" ht="19.05" customHeight="1" x14ac:dyDescent="0.3">
      <c r="B13" s="17">
        <v>8</v>
      </c>
      <c r="C13" s="4" t="str">
        <f t="shared" si="0"/>
        <v/>
      </c>
      <c r="D13" s="4" t="str">
        <f t="shared" si="1"/>
        <v/>
      </c>
      <c r="E13" s="4" t="str">
        <f t="shared" si="2"/>
        <v/>
      </c>
      <c r="F13" s="4" t="str">
        <f t="shared" si="3"/>
        <v/>
      </c>
      <c r="G13" s="5" t="str">
        <f t="shared" si="4"/>
        <v/>
      </c>
      <c r="H13" s="5" t="str">
        <f t="shared" si="4"/>
        <v/>
      </c>
      <c r="I13" s="6" t="str">
        <f t="shared" si="5"/>
        <v/>
      </c>
      <c r="J13" s="7" t="str">
        <f t="shared" si="6"/>
        <v/>
      </c>
      <c r="K13" s="7" t="str">
        <f t="shared" si="7"/>
        <v/>
      </c>
      <c r="L13" s="4" t="str">
        <f t="shared" si="8"/>
        <v/>
      </c>
      <c r="M13" s="8" t="str">
        <f t="shared" si="9"/>
        <v/>
      </c>
      <c r="N13" s="6">
        <f t="shared" si="10"/>
        <v>0</v>
      </c>
    </row>
    <row r="15" spans="1:23" ht="19.95" customHeight="1" x14ac:dyDescent="0.35">
      <c r="B15" s="56" t="s">
        <v>27</v>
      </c>
      <c r="C15" s="51"/>
      <c r="D15" s="51"/>
      <c r="E15" s="51"/>
      <c r="F15" s="51"/>
      <c r="G15" s="51"/>
      <c r="H15" s="51"/>
    </row>
    <row r="16" spans="1:23" ht="18" customHeight="1" x14ac:dyDescent="0.3">
      <c r="B16" s="1" t="s">
        <v>2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33</v>
      </c>
    </row>
    <row r="17" spans="1:8" ht="19.05" customHeight="1" x14ac:dyDescent="0.3">
      <c r="B17" s="3">
        <v>1</v>
      </c>
      <c r="C17" s="18">
        <v>1</v>
      </c>
      <c r="D17" s="9" t="str">
        <f t="shared" ref="D17:D24" si="11">IF(C17="","", "U" &amp; C17 &amp; "X")</f>
        <v>U1X</v>
      </c>
      <c r="E17" s="9" t="str">
        <f t="shared" ref="E17:E24" si="12">IF(C17="","", "U" &amp; C17 &amp; "Y")</f>
        <v>U1Y</v>
      </c>
      <c r="F17" s="18">
        <v>2</v>
      </c>
      <c r="G17" s="9" t="str">
        <f t="shared" ref="G17:G24" si="13">IF(F17="","", "U" &amp; F17 &amp; "X")</f>
        <v>U2X</v>
      </c>
      <c r="H17" s="9" t="str">
        <f t="shared" ref="H17:H24" si="14">IF(F17="","", "U" &amp; F17 &amp; "Y")</f>
        <v>U2Y</v>
      </c>
    </row>
    <row r="18" spans="1:8" ht="19.05" customHeight="1" x14ac:dyDescent="0.3">
      <c r="B18" s="11">
        <v>2</v>
      </c>
      <c r="C18" s="18">
        <v>2</v>
      </c>
      <c r="D18" s="9" t="str">
        <f t="shared" si="11"/>
        <v>U2X</v>
      </c>
      <c r="E18" s="9" t="str">
        <f t="shared" si="12"/>
        <v>U2Y</v>
      </c>
      <c r="F18" s="18">
        <v>3</v>
      </c>
      <c r="G18" s="9" t="str">
        <f t="shared" si="13"/>
        <v>U3X</v>
      </c>
      <c r="H18" s="9" t="str">
        <f t="shared" si="14"/>
        <v>U3Y</v>
      </c>
    </row>
    <row r="19" spans="1:8" ht="19.05" customHeight="1" x14ac:dyDescent="0.3">
      <c r="B19" s="12">
        <v>3</v>
      </c>
      <c r="C19" s="18">
        <v>3</v>
      </c>
      <c r="D19" s="9" t="str">
        <f t="shared" si="11"/>
        <v>U3X</v>
      </c>
      <c r="E19" s="9" t="str">
        <f t="shared" si="12"/>
        <v>U3Y</v>
      </c>
      <c r="F19" s="18">
        <v>4</v>
      </c>
      <c r="G19" s="9" t="str">
        <f t="shared" si="13"/>
        <v>U4X</v>
      </c>
      <c r="H19" s="9" t="str">
        <f t="shared" si="14"/>
        <v>U4Y</v>
      </c>
    </row>
    <row r="20" spans="1:8" ht="19.05" customHeight="1" x14ac:dyDescent="0.3">
      <c r="B20" s="13">
        <v>4</v>
      </c>
      <c r="C20" s="18">
        <v>4</v>
      </c>
      <c r="D20" s="9" t="str">
        <f t="shared" si="11"/>
        <v>U4X</v>
      </c>
      <c r="E20" s="9" t="str">
        <f t="shared" si="12"/>
        <v>U4Y</v>
      </c>
      <c r="F20" s="18">
        <v>1</v>
      </c>
      <c r="G20" s="9" t="str">
        <f t="shared" si="13"/>
        <v>U1X</v>
      </c>
      <c r="H20" s="9" t="str">
        <f t="shared" si="14"/>
        <v>U1Y</v>
      </c>
    </row>
    <row r="21" spans="1:8" ht="19.05" customHeight="1" x14ac:dyDescent="0.3">
      <c r="B21" s="14">
        <v>5</v>
      </c>
      <c r="C21" s="18">
        <v>1</v>
      </c>
      <c r="D21" s="9" t="str">
        <f t="shared" si="11"/>
        <v>U1X</v>
      </c>
      <c r="E21" s="9" t="str">
        <f t="shared" si="12"/>
        <v>U1Y</v>
      </c>
      <c r="F21" s="18">
        <v>3</v>
      </c>
      <c r="G21" s="9" t="str">
        <f t="shared" si="13"/>
        <v>U3X</v>
      </c>
      <c r="H21" s="9" t="str">
        <f t="shared" si="14"/>
        <v>U3Y</v>
      </c>
    </row>
    <row r="22" spans="1:8" ht="19.05" customHeight="1" x14ac:dyDescent="0.3">
      <c r="B22" s="15">
        <v>6</v>
      </c>
      <c r="C22" s="18">
        <v>2</v>
      </c>
      <c r="D22" s="9" t="str">
        <f t="shared" si="11"/>
        <v>U2X</v>
      </c>
      <c r="E22" s="9" t="str">
        <f t="shared" si="12"/>
        <v>U2Y</v>
      </c>
      <c r="F22" s="18">
        <v>4</v>
      </c>
      <c r="G22" s="9" t="str">
        <f t="shared" si="13"/>
        <v>U4X</v>
      </c>
      <c r="H22" s="9" t="str">
        <f t="shared" si="14"/>
        <v>U4Y</v>
      </c>
    </row>
    <row r="23" spans="1:8" ht="19.05" customHeight="1" x14ac:dyDescent="0.3">
      <c r="B23" s="16">
        <v>7</v>
      </c>
      <c r="C23" s="18"/>
      <c r="D23" s="9" t="str">
        <f t="shared" si="11"/>
        <v/>
      </c>
      <c r="E23" s="9" t="str">
        <f t="shared" si="12"/>
        <v/>
      </c>
      <c r="F23" s="18"/>
      <c r="G23" s="9" t="str">
        <f t="shared" si="13"/>
        <v/>
      </c>
      <c r="H23" s="9" t="str">
        <f t="shared" si="14"/>
        <v/>
      </c>
    </row>
    <row r="24" spans="1:8" ht="19.05" customHeight="1" x14ac:dyDescent="0.3">
      <c r="B24" s="17">
        <v>8</v>
      </c>
      <c r="C24" s="18"/>
      <c r="D24" s="9" t="str">
        <f t="shared" si="11"/>
        <v/>
      </c>
      <c r="E24" s="9" t="str">
        <f t="shared" si="12"/>
        <v/>
      </c>
      <c r="F24" s="18"/>
      <c r="G24" s="9" t="str">
        <f t="shared" si="13"/>
        <v/>
      </c>
      <c r="H24" s="9" t="str">
        <f t="shared" si="14"/>
        <v/>
      </c>
    </row>
    <row r="27" spans="1:8" ht="19.05" customHeight="1" x14ac:dyDescent="0.3">
      <c r="A27" s="19" t="s">
        <v>34</v>
      </c>
      <c r="B27" s="3" t="str">
        <f>IF(D17="","-",D17)</f>
        <v>U1X</v>
      </c>
      <c r="C27" s="3" t="str">
        <f>IF(E17="","-",E17)</f>
        <v>U1Y</v>
      </c>
      <c r="D27" s="3" t="str">
        <f>IF(G17="","-",G17)</f>
        <v>U2X</v>
      </c>
      <c r="E27" s="3" t="str">
        <f>IF(H17="","-",H17)</f>
        <v>U2Y</v>
      </c>
    </row>
    <row r="28" spans="1:8" ht="18" customHeight="1" x14ac:dyDescent="0.3">
      <c r="B28" s="20">
        <f>IF(N6=0, 0, N6*J6*J6)</f>
        <v>63000</v>
      </c>
      <c r="C28" s="20">
        <f>IF(N6=0, 0, N6*J6*K6)</f>
        <v>0</v>
      </c>
      <c r="D28" s="20">
        <f>IF(N6=0, 0, -N6*J6*J6)</f>
        <v>-63000</v>
      </c>
      <c r="E28" s="20">
        <f>IF(N6=0, 0, -N6*J6*K6)</f>
        <v>0</v>
      </c>
      <c r="F28" s="3" t="str">
        <f>IF(D17="","-",D17)</f>
        <v>U1X</v>
      </c>
    </row>
    <row r="29" spans="1:8" ht="18" customHeight="1" x14ac:dyDescent="0.3">
      <c r="B29" s="20">
        <f>IF(N6=0, 0, N6*J6*K6)</f>
        <v>0</v>
      </c>
      <c r="C29" s="20">
        <f>IF(N6=0, 0, N6*K6*K6)</f>
        <v>0</v>
      </c>
      <c r="D29" s="20">
        <f>IF(N6=0, 0, -N6*J6*K6)</f>
        <v>0</v>
      </c>
      <c r="E29" s="20">
        <f>IF(N6=0, 0, -N6*K6*K6)</f>
        <v>0</v>
      </c>
      <c r="F29" s="3" t="str">
        <f>IF(E17="","-",E17)</f>
        <v>U1Y</v>
      </c>
    </row>
    <row r="30" spans="1:8" ht="18" customHeight="1" x14ac:dyDescent="0.3">
      <c r="B30" s="20">
        <f>IF(N6=0, 0, -N6*J6*J6)</f>
        <v>-63000</v>
      </c>
      <c r="C30" s="20">
        <f>IF(N6=0, 0, -N6*J6*K6)</f>
        <v>0</v>
      </c>
      <c r="D30" s="20">
        <f>IF(N6=0, 0, N6*J6*J6)</f>
        <v>63000</v>
      </c>
      <c r="E30" s="20">
        <f>IF(N6=0, 0, N6*J6*K6)</f>
        <v>0</v>
      </c>
      <c r="F30" s="3" t="str">
        <f>IF(G17="","-",G17)</f>
        <v>U2X</v>
      </c>
    </row>
    <row r="31" spans="1:8" ht="18" customHeight="1" x14ac:dyDescent="0.3">
      <c r="B31" s="20">
        <f>IF(N6=0, 0, -N6*J6*K6)</f>
        <v>0</v>
      </c>
      <c r="C31" s="20">
        <f>IF(N6=0, 0, -N6*K6*K6)</f>
        <v>0</v>
      </c>
      <c r="D31" s="20">
        <f>IF(N6=0, 0, N6*J6*K6)</f>
        <v>0</v>
      </c>
      <c r="E31" s="20">
        <f>IF(N6=0, 0, N6*K6*K6)</f>
        <v>0</v>
      </c>
      <c r="F31" s="3" t="str">
        <f>IF(H17="","-",H17)</f>
        <v>U2Y</v>
      </c>
    </row>
    <row r="33" spans="1:10" ht="19.05" customHeight="1" x14ac:dyDescent="0.3"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</row>
    <row r="34" spans="1:10" ht="19.05" customHeight="1" x14ac:dyDescent="0.3">
      <c r="B34" s="21">
        <f t="shared" ref="B34:I41" si="15">IFERROR(INDEX($B$28:$E$31, MATCH($J34, $B$27:$E$27, 0), MATCH(B$33, $B$27:$E$27, 0)), 0)</f>
        <v>63000</v>
      </c>
      <c r="C34" s="21">
        <f t="shared" si="15"/>
        <v>0</v>
      </c>
      <c r="D34" s="21">
        <f t="shared" si="15"/>
        <v>-63000</v>
      </c>
      <c r="E34" s="21">
        <f t="shared" si="15"/>
        <v>0</v>
      </c>
      <c r="F34" s="21">
        <f t="shared" si="15"/>
        <v>0</v>
      </c>
      <c r="G34" s="21">
        <f t="shared" si="15"/>
        <v>0</v>
      </c>
      <c r="H34" s="21">
        <f t="shared" si="15"/>
        <v>0</v>
      </c>
      <c r="I34" s="21">
        <f t="shared" si="15"/>
        <v>0</v>
      </c>
      <c r="J34" s="3" t="s">
        <v>35</v>
      </c>
    </row>
    <row r="35" spans="1:10" ht="19.05" customHeight="1" x14ac:dyDescent="0.3">
      <c r="B35" s="21">
        <f t="shared" si="15"/>
        <v>0</v>
      </c>
      <c r="C35" s="21">
        <f t="shared" si="15"/>
        <v>0</v>
      </c>
      <c r="D35" s="21">
        <f t="shared" si="15"/>
        <v>0</v>
      </c>
      <c r="E35" s="21">
        <f t="shared" si="15"/>
        <v>0</v>
      </c>
      <c r="F35" s="21">
        <f t="shared" si="15"/>
        <v>0</v>
      </c>
      <c r="G35" s="21">
        <f t="shared" si="15"/>
        <v>0</v>
      </c>
      <c r="H35" s="21">
        <f t="shared" si="15"/>
        <v>0</v>
      </c>
      <c r="I35" s="21">
        <f t="shared" si="15"/>
        <v>0</v>
      </c>
      <c r="J35" s="3" t="s">
        <v>36</v>
      </c>
    </row>
    <row r="36" spans="1:10" ht="19.05" customHeight="1" x14ac:dyDescent="0.3">
      <c r="B36" s="21">
        <f t="shared" si="15"/>
        <v>-63000</v>
      </c>
      <c r="C36" s="21">
        <f t="shared" si="15"/>
        <v>0</v>
      </c>
      <c r="D36" s="21">
        <f t="shared" si="15"/>
        <v>63000</v>
      </c>
      <c r="E36" s="21">
        <f t="shared" si="15"/>
        <v>0</v>
      </c>
      <c r="F36" s="21">
        <f t="shared" si="15"/>
        <v>0</v>
      </c>
      <c r="G36" s="21">
        <f t="shared" si="15"/>
        <v>0</v>
      </c>
      <c r="H36" s="21">
        <f t="shared" si="15"/>
        <v>0</v>
      </c>
      <c r="I36" s="21">
        <f t="shared" si="15"/>
        <v>0</v>
      </c>
      <c r="J36" s="3" t="s">
        <v>37</v>
      </c>
    </row>
    <row r="37" spans="1:10" ht="19.05" customHeight="1" x14ac:dyDescent="0.3">
      <c r="A37" s="19" t="s">
        <v>43</v>
      </c>
      <c r="B37" s="21">
        <f t="shared" si="15"/>
        <v>0</v>
      </c>
      <c r="C37" s="21">
        <f t="shared" si="15"/>
        <v>0</v>
      </c>
      <c r="D37" s="21">
        <f t="shared" si="15"/>
        <v>0</v>
      </c>
      <c r="E37" s="21">
        <f t="shared" si="15"/>
        <v>0</v>
      </c>
      <c r="F37" s="21">
        <f t="shared" si="15"/>
        <v>0</v>
      </c>
      <c r="G37" s="21">
        <f t="shared" si="15"/>
        <v>0</v>
      </c>
      <c r="H37" s="21">
        <f t="shared" si="15"/>
        <v>0</v>
      </c>
      <c r="I37" s="21">
        <f t="shared" si="15"/>
        <v>0</v>
      </c>
      <c r="J37" s="3" t="s">
        <v>38</v>
      </c>
    </row>
    <row r="38" spans="1:10" ht="19.05" customHeight="1" x14ac:dyDescent="0.3">
      <c r="B38" s="21">
        <f t="shared" si="15"/>
        <v>0</v>
      </c>
      <c r="C38" s="21">
        <f t="shared" si="15"/>
        <v>0</v>
      </c>
      <c r="D38" s="21">
        <f t="shared" si="15"/>
        <v>0</v>
      </c>
      <c r="E38" s="21">
        <f t="shared" si="15"/>
        <v>0</v>
      </c>
      <c r="F38" s="21">
        <f t="shared" si="15"/>
        <v>0</v>
      </c>
      <c r="G38" s="21">
        <f t="shared" si="15"/>
        <v>0</v>
      </c>
      <c r="H38" s="21">
        <f t="shared" si="15"/>
        <v>0</v>
      </c>
      <c r="I38" s="21">
        <f t="shared" si="15"/>
        <v>0</v>
      </c>
      <c r="J38" s="3" t="s">
        <v>39</v>
      </c>
    </row>
    <row r="39" spans="1:10" ht="19.05" customHeight="1" x14ac:dyDescent="0.3">
      <c r="B39" s="21">
        <f t="shared" si="15"/>
        <v>0</v>
      </c>
      <c r="C39" s="21">
        <f t="shared" si="15"/>
        <v>0</v>
      </c>
      <c r="D39" s="21">
        <f t="shared" si="15"/>
        <v>0</v>
      </c>
      <c r="E39" s="21">
        <f t="shared" si="15"/>
        <v>0</v>
      </c>
      <c r="F39" s="21">
        <f t="shared" si="15"/>
        <v>0</v>
      </c>
      <c r="G39" s="21">
        <f t="shared" si="15"/>
        <v>0</v>
      </c>
      <c r="H39" s="21">
        <f t="shared" si="15"/>
        <v>0</v>
      </c>
      <c r="I39" s="21">
        <f t="shared" si="15"/>
        <v>0</v>
      </c>
      <c r="J39" s="3" t="s">
        <v>40</v>
      </c>
    </row>
    <row r="40" spans="1:10" ht="19.05" customHeight="1" x14ac:dyDescent="0.3">
      <c r="B40" s="21">
        <f t="shared" si="15"/>
        <v>0</v>
      </c>
      <c r="C40" s="21">
        <f t="shared" si="15"/>
        <v>0</v>
      </c>
      <c r="D40" s="21">
        <f t="shared" si="15"/>
        <v>0</v>
      </c>
      <c r="E40" s="21">
        <f t="shared" si="15"/>
        <v>0</v>
      </c>
      <c r="F40" s="21">
        <f t="shared" si="15"/>
        <v>0</v>
      </c>
      <c r="G40" s="21">
        <f t="shared" si="15"/>
        <v>0</v>
      </c>
      <c r="H40" s="21">
        <f t="shared" si="15"/>
        <v>0</v>
      </c>
      <c r="I40" s="21">
        <f t="shared" si="15"/>
        <v>0</v>
      </c>
      <c r="J40" s="3" t="s">
        <v>41</v>
      </c>
    </row>
    <row r="41" spans="1:10" ht="19.05" customHeight="1" x14ac:dyDescent="0.3">
      <c r="B41" s="21">
        <f t="shared" si="15"/>
        <v>0</v>
      </c>
      <c r="C41" s="21">
        <f t="shared" si="15"/>
        <v>0</v>
      </c>
      <c r="D41" s="21">
        <f t="shared" si="15"/>
        <v>0</v>
      </c>
      <c r="E41" s="21">
        <f t="shared" si="15"/>
        <v>0</v>
      </c>
      <c r="F41" s="21">
        <f t="shared" si="15"/>
        <v>0</v>
      </c>
      <c r="G41" s="21">
        <f t="shared" si="15"/>
        <v>0</v>
      </c>
      <c r="H41" s="21">
        <f t="shared" si="15"/>
        <v>0</v>
      </c>
      <c r="I41" s="21">
        <f t="shared" si="15"/>
        <v>0</v>
      </c>
      <c r="J41" s="3" t="s">
        <v>42</v>
      </c>
    </row>
    <row r="44" spans="1:10" ht="19.05" customHeight="1" x14ac:dyDescent="0.3">
      <c r="A44" s="19" t="s">
        <v>44</v>
      </c>
      <c r="B44" s="11" t="str">
        <f>IF(D18="","-",D18)</f>
        <v>U2X</v>
      </c>
      <c r="C44" s="11" t="str">
        <f>IF(E18="","-",E18)</f>
        <v>U2Y</v>
      </c>
      <c r="D44" s="11" t="str">
        <f>IF(G18="","-",G18)</f>
        <v>U3X</v>
      </c>
      <c r="E44" s="11" t="str">
        <f>IF(H18="","-",H18)</f>
        <v>U3Y</v>
      </c>
    </row>
    <row r="45" spans="1:10" ht="18" customHeight="1" x14ac:dyDescent="0.3">
      <c r="B45" s="22">
        <f>IF(N7=0, 0, N7*J7*J7)</f>
        <v>0</v>
      </c>
      <c r="C45" s="22">
        <f>IF(N7=0, 0, N7*J7*K7)</f>
        <v>0</v>
      </c>
      <c r="D45" s="22">
        <f>IF(N7=0, 0, -N7*J7*J7)</f>
        <v>0</v>
      </c>
      <c r="E45" s="22">
        <f>IF(N7=0, 0, -N7*J7*K7)</f>
        <v>0</v>
      </c>
      <c r="F45" s="11" t="str">
        <f>IF(D18="","-",D18)</f>
        <v>U2X</v>
      </c>
    </row>
    <row r="46" spans="1:10" ht="18" customHeight="1" x14ac:dyDescent="0.3">
      <c r="B46" s="22">
        <f>IF(N7=0, 0, N7*J7*K7)</f>
        <v>0</v>
      </c>
      <c r="C46" s="22">
        <f>IF(N7=0, 0, N7*K7*K7)</f>
        <v>84000</v>
      </c>
      <c r="D46" s="22">
        <f>IF(N7=0, 0, -N7*J7*K7)</f>
        <v>0</v>
      </c>
      <c r="E46" s="22">
        <f>IF(N7=0, 0, -N7*K7*K7)</f>
        <v>-84000</v>
      </c>
      <c r="F46" s="11" t="str">
        <f>IF(E18="","-",E18)</f>
        <v>U2Y</v>
      </c>
    </row>
    <row r="47" spans="1:10" ht="18" customHeight="1" x14ac:dyDescent="0.3">
      <c r="B47" s="22">
        <f>IF(N7=0, 0, -N7*J7*J7)</f>
        <v>0</v>
      </c>
      <c r="C47" s="22">
        <f>IF(N7=0, 0, -N7*J7*K7)</f>
        <v>0</v>
      </c>
      <c r="D47" s="22">
        <f>IF(N7=0, 0, N7*J7*J7)</f>
        <v>0</v>
      </c>
      <c r="E47" s="22">
        <f>IF(N7=0, 0, N7*J7*K7)</f>
        <v>0</v>
      </c>
      <c r="F47" s="11" t="str">
        <f>IF(G18="","-",G18)</f>
        <v>U3X</v>
      </c>
    </row>
    <row r="48" spans="1:10" ht="18" customHeight="1" x14ac:dyDescent="0.3">
      <c r="B48" s="22">
        <f>IF(N7=0, 0, -N7*J7*K7)</f>
        <v>0</v>
      </c>
      <c r="C48" s="22">
        <f>IF(N7=0, 0, -N7*K7*K7)</f>
        <v>-84000</v>
      </c>
      <c r="D48" s="22">
        <f>IF(N7=0, 0, N7*J7*K7)</f>
        <v>0</v>
      </c>
      <c r="E48" s="22">
        <f>IF(N7=0, 0, N7*K7*K7)</f>
        <v>84000</v>
      </c>
      <c r="F48" s="11" t="str">
        <f>IF(H18="","-",H18)</f>
        <v>U3Y</v>
      </c>
    </row>
    <row r="50" spans="1:10" ht="19.05" customHeight="1" x14ac:dyDescent="0.3">
      <c r="B50" s="1" t="s">
        <v>35</v>
      </c>
      <c r="C50" s="1" t="s">
        <v>36</v>
      </c>
      <c r="D50" s="1" t="s">
        <v>37</v>
      </c>
      <c r="E50" s="1" t="s">
        <v>38</v>
      </c>
      <c r="F50" s="1" t="s">
        <v>39</v>
      </c>
      <c r="G50" s="1" t="s">
        <v>40</v>
      </c>
      <c r="H50" s="1" t="s">
        <v>41</v>
      </c>
      <c r="I50" s="1" t="s">
        <v>42</v>
      </c>
    </row>
    <row r="51" spans="1:10" ht="19.05" customHeight="1" x14ac:dyDescent="0.3">
      <c r="B51" s="21">
        <f t="shared" ref="B51:I58" si="16">IFERROR(INDEX($B$45:$E$48, MATCH($J51, $B$44:$E$44, 0), MATCH(B$50, $B$44:$E$44, 0)), 0)</f>
        <v>0</v>
      </c>
      <c r="C51" s="21">
        <f t="shared" si="16"/>
        <v>0</v>
      </c>
      <c r="D51" s="21">
        <f t="shared" si="16"/>
        <v>0</v>
      </c>
      <c r="E51" s="21">
        <f t="shared" si="16"/>
        <v>0</v>
      </c>
      <c r="F51" s="21">
        <f t="shared" si="16"/>
        <v>0</v>
      </c>
      <c r="G51" s="21">
        <f t="shared" si="16"/>
        <v>0</v>
      </c>
      <c r="H51" s="21">
        <f t="shared" si="16"/>
        <v>0</v>
      </c>
      <c r="I51" s="21">
        <f t="shared" si="16"/>
        <v>0</v>
      </c>
      <c r="J51" s="11" t="s">
        <v>35</v>
      </c>
    </row>
    <row r="52" spans="1:10" ht="19.05" customHeight="1" x14ac:dyDescent="0.3">
      <c r="B52" s="21">
        <f t="shared" si="16"/>
        <v>0</v>
      </c>
      <c r="C52" s="21">
        <f t="shared" si="16"/>
        <v>0</v>
      </c>
      <c r="D52" s="21">
        <f t="shared" si="16"/>
        <v>0</v>
      </c>
      <c r="E52" s="21">
        <f t="shared" si="16"/>
        <v>0</v>
      </c>
      <c r="F52" s="21">
        <f t="shared" si="16"/>
        <v>0</v>
      </c>
      <c r="G52" s="21">
        <f t="shared" si="16"/>
        <v>0</v>
      </c>
      <c r="H52" s="21">
        <f t="shared" si="16"/>
        <v>0</v>
      </c>
      <c r="I52" s="21">
        <f t="shared" si="16"/>
        <v>0</v>
      </c>
      <c r="J52" s="11" t="s">
        <v>36</v>
      </c>
    </row>
    <row r="53" spans="1:10" ht="19.05" customHeight="1" x14ac:dyDescent="0.3">
      <c r="B53" s="21">
        <f t="shared" si="16"/>
        <v>0</v>
      </c>
      <c r="C53" s="21">
        <f t="shared" si="16"/>
        <v>0</v>
      </c>
      <c r="D53" s="21">
        <f t="shared" si="16"/>
        <v>0</v>
      </c>
      <c r="E53" s="21">
        <f t="shared" si="16"/>
        <v>0</v>
      </c>
      <c r="F53" s="21">
        <f t="shared" si="16"/>
        <v>0</v>
      </c>
      <c r="G53" s="21">
        <f t="shared" si="16"/>
        <v>0</v>
      </c>
      <c r="H53" s="21">
        <f t="shared" si="16"/>
        <v>0</v>
      </c>
      <c r="I53" s="21">
        <f t="shared" si="16"/>
        <v>0</v>
      </c>
      <c r="J53" s="11" t="s">
        <v>37</v>
      </c>
    </row>
    <row r="54" spans="1:10" ht="19.05" customHeight="1" x14ac:dyDescent="0.3">
      <c r="A54" s="19" t="s">
        <v>45</v>
      </c>
      <c r="B54" s="21">
        <f t="shared" si="16"/>
        <v>0</v>
      </c>
      <c r="C54" s="21">
        <f t="shared" si="16"/>
        <v>0</v>
      </c>
      <c r="D54" s="21">
        <f t="shared" si="16"/>
        <v>0</v>
      </c>
      <c r="E54" s="21">
        <f t="shared" si="16"/>
        <v>84000</v>
      </c>
      <c r="F54" s="21">
        <f t="shared" si="16"/>
        <v>0</v>
      </c>
      <c r="G54" s="21">
        <f t="shared" si="16"/>
        <v>-84000</v>
      </c>
      <c r="H54" s="21">
        <f t="shared" si="16"/>
        <v>0</v>
      </c>
      <c r="I54" s="21">
        <f t="shared" si="16"/>
        <v>0</v>
      </c>
      <c r="J54" s="11" t="s">
        <v>38</v>
      </c>
    </row>
    <row r="55" spans="1:10" ht="19.05" customHeight="1" x14ac:dyDescent="0.3">
      <c r="B55" s="21">
        <f t="shared" si="16"/>
        <v>0</v>
      </c>
      <c r="C55" s="21">
        <f t="shared" si="16"/>
        <v>0</v>
      </c>
      <c r="D55" s="21">
        <f t="shared" si="16"/>
        <v>0</v>
      </c>
      <c r="E55" s="21">
        <f t="shared" si="16"/>
        <v>0</v>
      </c>
      <c r="F55" s="21">
        <f t="shared" si="16"/>
        <v>0</v>
      </c>
      <c r="G55" s="21">
        <f t="shared" si="16"/>
        <v>0</v>
      </c>
      <c r="H55" s="21">
        <f t="shared" si="16"/>
        <v>0</v>
      </c>
      <c r="I55" s="21">
        <f t="shared" si="16"/>
        <v>0</v>
      </c>
      <c r="J55" s="11" t="s">
        <v>39</v>
      </c>
    </row>
    <row r="56" spans="1:10" ht="19.05" customHeight="1" x14ac:dyDescent="0.3">
      <c r="B56" s="21">
        <f t="shared" si="16"/>
        <v>0</v>
      </c>
      <c r="C56" s="21">
        <f t="shared" si="16"/>
        <v>0</v>
      </c>
      <c r="D56" s="21">
        <f t="shared" si="16"/>
        <v>0</v>
      </c>
      <c r="E56" s="21">
        <f t="shared" si="16"/>
        <v>-84000</v>
      </c>
      <c r="F56" s="21">
        <f t="shared" si="16"/>
        <v>0</v>
      </c>
      <c r="G56" s="21">
        <f t="shared" si="16"/>
        <v>84000</v>
      </c>
      <c r="H56" s="21">
        <f t="shared" si="16"/>
        <v>0</v>
      </c>
      <c r="I56" s="21">
        <f t="shared" si="16"/>
        <v>0</v>
      </c>
      <c r="J56" s="11" t="s">
        <v>40</v>
      </c>
    </row>
    <row r="57" spans="1:10" ht="19.05" customHeight="1" x14ac:dyDescent="0.3">
      <c r="B57" s="21">
        <f t="shared" si="16"/>
        <v>0</v>
      </c>
      <c r="C57" s="21">
        <f t="shared" si="16"/>
        <v>0</v>
      </c>
      <c r="D57" s="21">
        <f t="shared" si="16"/>
        <v>0</v>
      </c>
      <c r="E57" s="21">
        <f t="shared" si="16"/>
        <v>0</v>
      </c>
      <c r="F57" s="21">
        <f t="shared" si="16"/>
        <v>0</v>
      </c>
      <c r="G57" s="21">
        <f t="shared" si="16"/>
        <v>0</v>
      </c>
      <c r="H57" s="21">
        <f t="shared" si="16"/>
        <v>0</v>
      </c>
      <c r="I57" s="21">
        <f t="shared" si="16"/>
        <v>0</v>
      </c>
      <c r="J57" s="11" t="s">
        <v>41</v>
      </c>
    </row>
    <row r="58" spans="1:10" ht="19.05" customHeight="1" x14ac:dyDescent="0.3">
      <c r="B58" s="21">
        <f t="shared" si="16"/>
        <v>0</v>
      </c>
      <c r="C58" s="21">
        <f t="shared" si="16"/>
        <v>0</v>
      </c>
      <c r="D58" s="21">
        <f t="shared" si="16"/>
        <v>0</v>
      </c>
      <c r="E58" s="21">
        <f t="shared" si="16"/>
        <v>0</v>
      </c>
      <c r="F58" s="21">
        <f t="shared" si="16"/>
        <v>0</v>
      </c>
      <c r="G58" s="21">
        <f t="shared" si="16"/>
        <v>0</v>
      </c>
      <c r="H58" s="21">
        <f t="shared" si="16"/>
        <v>0</v>
      </c>
      <c r="I58" s="21">
        <f t="shared" si="16"/>
        <v>0</v>
      </c>
      <c r="J58" s="11" t="s">
        <v>42</v>
      </c>
    </row>
    <row r="61" spans="1:10" ht="19.05" customHeight="1" x14ac:dyDescent="0.3">
      <c r="A61" s="19" t="s">
        <v>46</v>
      </c>
      <c r="B61" s="12" t="str">
        <f>IF(D19="","-",D19)</f>
        <v>U3X</v>
      </c>
      <c r="C61" s="12" t="str">
        <f>IF(E19="","-",E19)</f>
        <v>U3Y</v>
      </c>
      <c r="D61" s="12" t="str">
        <f>IF(G19="","-",G19)</f>
        <v>U4X</v>
      </c>
      <c r="E61" s="12" t="str">
        <f>IF(H19="","-",H19)</f>
        <v>U4Y</v>
      </c>
    </row>
    <row r="62" spans="1:10" ht="18" customHeight="1" x14ac:dyDescent="0.3">
      <c r="B62" s="23">
        <f>IF(N8=0, 0, N8*J8*J8)</f>
        <v>63000</v>
      </c>
      <c r="C62" s="23">
        <f>IF(N8=0, 0, N8*J8*K8)</f>
        <v>0</v>
      </c>
      <c r="D62" s="23">
        <f>IF(N8=0, 0, -N8*J8*J8)</f>
        <v>-63000</v>
      </c>
      <c r="E62" s="23">
        <f>IF(N8=0, 0, -N8*J8*K8)</f>
        <v>0</v>
      </c>
      <c r="F62" s="12" t="str">
        <f>IF(D19="","-",D19)</f>
        <v>U3X</v>
      </c>
    </row>
    <row r="63" spans="1:10" ht="18" customHeight="1" x14ac:dyDescent="0.3">
      <c r="B63" s="23">
        <f>IF(N8=0, 0, N8*J8*K8)</f>
        <v>0</v>
      </c>
      <c r="C63" s="23">
        <f>IF(N8=0, 0, N8*K8*K8)</f>
        <v>0</v>
      </c>
      <c r="D63" s="23">
        <f>IF(N8=0, 0, -N8*J8*K8)</f>
        <v>0</v>
      </c>
      <c r="E63" s="23">
        <f>IF(N8=0, 0, -N8*K8*K8)</f>
        <v>0</v>
      </c>
      <c r="F63" s="12" t="str">
        <f>IF(E19="","-",E19)</f>
        <v>U3Y</v>
      </c>
    </row>
    <row r="64" spans="1:10" ht="18" customHeight="1" x14ac:dyDescent="0.3">
      <c r="B64" s="23">
        <f>IF(N8=0, 0, -N8*J8*J8)</f>
        <v>-63000</v>
      </c>
      <c r="C64" s="23">
        <f>IF(N8=0, 0, -N8*J8*K8)</f>
        <v>0</v>
      </c>
      <c r="D64" s="23">
        <f>IF(N8=0, 0, N8*J8*J8)</f>
        <v>63000</v>
      </c>
      <c r="E64" s="23">
        <f>IF(N8=0, 0, N8*J8*K8)</f>
        <v>0</v>
      </c>
      <c r="F64" s="12" t="str">
        <f>IF(G19="","-",G19)</f>
        <v>U4X</v>
      </c>
    </row>
    <row r="65" spans="1:10" ht="18" customHeight="1" x14ac:dyDescent="0.3">
      <c r="B65" s="23">
        <f>IF(N8=0, 0, -N8*J8*K8)</f>
        <v>0</v>
      </c>
      <c r="C65" s="23">
        <f>IF(N8=0, 0, -N8*K8*K8)</f>
        <v>0</v>
      </c>
      <c r="D65" s="23">
        <f>IF(N8=0, 0, N8*J8*K8)</f>
        <v>0</v>
      </c>
      <c r="E65" s="23">
        <f>IF(N8=0, 0, N8*K8*K8)</f>
        <v>0</v>
      </c>
      <c r="F65" s="12" t="str">
        <f>IF(H19="","-",H19)</f>
        <v>U4Y</v>
      </c>
    </row>
    <row r="67" spans="1:10" ht="19.05" customHeight="1" x14ac:dyDescent="0.3">
      <c r="B67" s="1" t="s">
        <v>35</v>
      </c>
      <c r="C67" s="1" t="s">
        <v>36</v>
      </c>
      <c r="D67" s="1" t="s">
        <v>37</v>
      </c>
      <c r="E67" s="1" t="s">
        <v>38</v>
      </c>
      <c r="F67" s="1" t="s">
        <v>39</v>
      </c>
      <c r="G67" s="1" t="s">
        <v>40</v>
      </c>
      <c r="H67" s="1" t="s">
        <v>41</v>
      </c>
      <c r="I67" s="1" t="s">
        <v>42</v>
      </c>
    </row>
    <row r="68" spans="1:10" ht="19.05" customHeight="1" x14ac:dyDescent="0.3">
      <c r="B68" s="21">
        <f t="shared" ref="B68:I75" si="17">IFERROR(INDEX($B$62:$E$65, MATCH($J68, $B$61:$E$61, 0), MATCH(B$67, $B$61:$E$61, 0)), 0)</f>
        <v>0</v>
      </c>
      <c r="C68" s="21">
        <f t="shared" si="17"/>
        <v>0</v>
      </c>
      <c r="D68" s="21">
        <f t="shared" si="17"/>
        <v>0</v>
      </c>
      <c r="E68" s="21">
        <f t="shared" si="17"/>
        <v>0</v>
      </c>
      <c r="F68" s="21">
        <f t="shared" si="17"/>
        <v>0</v>
      </c>
      <c r="G68" s="21">
        <f t="shared" si="17"/>
        <v>0</v>
      </c>
      <c r="H68" s="21">
        <f t="shared" si="17"/>
        <v>0</v>
      </c>
      <c r="I68" s="21">
        <f t="shared" si="17"/>
        <v>0</v>
      </c>
      <c r="J68" s="12" t="s">
        <v>35</v>
      </c>
    </row>
    <row r="69" spans="1:10" ht="19.05" customHeight="1" x14ac:dyDescent="0.3">
      <c r="B69" s="21">
        <f t="shared" si="17"/>
        <v>0</v>
      </c>
      <c r="C69" s="21">
        <f t="shared" si="17"/>
        <v>0</v>
      </c>
      <c r="D69" s="21">
        <f t="shared" si="17"/>
        <v>0</v>
      </c>
      <c r="E69" s="21">
        <f t="shared" si="17"/>
        <v>0</v>
      </c>
      <c r="F69" s="21">
        <f t="shared" si="17"/>
        <v>0</v>
      </c>
      <c r="G69" s="21">
        <f t="shared" si="17"/>
        <v>0</v>
      </c>
      <c r="H69" s="21">
        <f t="shared" si="17"/>
        <v>0</v>
      </c>
      <c r="I69" s="21">
        <f t="shared" si="17"/>
        <v>0</v>
      </c>
      <c r="J69" s="12" t="s">
        <v>36</v>
      </c>
    </row>
    <row r="70" spans="1:10" ht="19.05" customHeight="1" x14ac:dyDescent="0.3">
      <c r="B70" s="21">
        <f t="shared" si="17"/>
        <v>0</v>
      </c>
      <c r="C70" s="21">
        <f t="shared" si="17"/>
        <v>0</v>
      </c>
      <c r="D70" s="21">
        <f t="shared" si="17"/>
        <v>0</v>
      </c>
      <c r="E70" s="21">
        <f t="shared" si="17"/>
        <v>0</v>
      </c>
      <c r="F70" s="21">
        <f t="shared" si="17"/>
        <v>0</v>
      </c>
      <c r="G70" s="21">
        <f t="shared" si="17"/>
        <v>0</v>
      </c>
      <c r="H70" s="21">
        <f t="shared" si="17"/>
        <v>0</v>
      </c>
      <c r="I70" s="21">
        <f t="shared" si="17"/>
        <v>0</v>
      </c>
      <c r="J70" s="12" t="s">
        <v>37</v>
      </c>
    </row>
    <row r="71" spans="1:10" ht="19.05" customHeight="1" x14ac:dyDescent="0.3">
      <c r="A71" s="19" t="s">
        <v>47</v>
      </c>
      <c r="B71" s="21">
        <f t="shared" si="17"/>
        <v>0</v>
      </c>
      <c r="C71" s="21">
        <f t="shared" si="17"/>
        <v>0</v>
      </c>
      <c r="D71" s="21">
        <f t="shared" si="17"/>
        <v>0</v>
      </c>
      <c r="E71" s="21">
        <f t="shared" si="17"/>
        <v>0</v>
      </c>
      <c r="F71" s="21">
        <f t="shared" si="17"/>
        <v>0</v>
      </c>
      <c r="G71" s="21">
        <f t="shared" si="17"/>
        <v>0</v>
      </c>
      <c r="H71" s="21">
        <f t="shared" si="17"/>
        <v>0</v>
      </c>
      <c r="I71" s="21">
        <f t="shared" si="17"/>
        <v>0</v>
      </c>
      <c r="J71" s="12" t="s">
        <v>38</v>
      </c>
    </row>
    <row r="72" spans="1:10" ht="19.05" customHeight="1" x14ac:dyDescent="0.3">
      <c r="B72" s="21">
        <f t="shared" si="17"/>
        <v>0</v>
      </c>
      <c r="C72" s="21">
        <f t="shared" si="17"/>
        <v>0</v>
      </c>
      <c r="D72" s="21">
        <f t="shared" si="17"/>
        <v>0</v>
      </c>
      <c r="E72" s="21">
        <f t="shared" si="17"/>
        <v>0</v>
      </c>
      <c r="F72" s="21">
        <f t="shared" si="17"/>
        <v>63000</v>
      </c>
      <c r="G72" s="21">
        <f t="shared" si="17"/>
        <v>0</v>
      </c>
      <c r="H72" s="21">
        <f t="shared" si="17"/>
        <v>-63000</v>
      </c>
      <c r="I72" s="21">
        <f t="shared" si="17"/>
        <v>0</v>
      </c>
      <c r="J72" s="12" t="s">
        <v>39</v>
      </c>
    </row>
    <row r="73" spans="1:10" ht="19.05" customHeight="1" x14ac:dyDescent="0.3">
      <c r="B73" s="21">
        <f t="shared" si="17"/>
        <v>0</v>
      </c>
      <c r="C73" s="21">
        <f t="shared" si="17"/>
        <v>0</v>
      </c>
      <c r="D73" s="21">
        <f t="shared" si="17"/>
        <v>0</v>
      </c>
      <c r="E73" s="21">
        <f t="shared" si="17"/>
        <v>0</v>
      </c>
      <c r="F73" s="21">
        <f t="shared" si="17"/>
        <v>0</v>
      </c>
      <c r="G73" s="21">
        <f t="shared" si="17"/>
        <v>0</v>
      </c>
      <c r="H73" s="21">
        <f t="shared" si="17"/>
        <v>0</v>
      </c>
      <c r="I73" s="21">
        <f t="shared" si="17"/>
        <v>0</v>
      </c>
      <c r="J73" s="12" t="s">
        <v>40</v>
      </c>
    </row>
    <row r="74" spans="1:10" ht="19.05" customHeight="1" x14ac:dyDescent="0.3">
      <c r="B74" s="21">
        <f t="shared" si="17"/>
        <v>0</v>
      </c>
      <c r="C74" s="21">
        <f t="shared" si="17"/>
        <v>0</v>
      </c>
      <c r="D74" s="21">
        <f t="shared" si="17"/>
        <v>0</v>
      </c>
      <c r="E74" s="21">
        <f t="shared" si="17"/>
        <v>0</v>
      </c>
      <c r="F74" s="21">
        <f t="shared" si="17"/>
        <v>-63000</v>
      </c>
      <c r="G74" s="21">
        <f t="shared" si="17"/>
        <v>0</v>
      </c>
      <c r="H74" s="21">
        <f t="shared" si="17"/>
        <v>63000</v>
      </c>
      <c r="I74" s="21">
        <f t="shared" si="17"/>
        <v>0</v>
      </c>
      <c r="J74" s="12" t="s">
        <v>41</v>
      </c>
    </row>
    <row r="75" spans="1:10" ht="19.05" customHeight="1" x14ac:dyDescent="0.3">
      <c r="B75" s="21">
        <f t="shared" si="17"/>
        <v>0</v>
      </c>
      <c r="C75" s="21">
        <f t="shared" si="17"/>
        <v>0</v>
      </c>
      <c r="D75" s="21">
        <f t="shared" si="17"/>
        <v>0</v>
      </c>
      <c r="E75" s="21">
        <f t="shared" si="17"/>
        <v>0</v>
      </c>
      <c r="F75" s="21">
        <f t="shared" si="17"/>
        <v>0</v>
      </c>
      <c r="G75" s="21">
        <f t="shared" si="17"/>
        <v>0</v>
      </c>
      <c r="H75" s="21">
        <f t="shared" si="17"/>
        <v>0</v>
      </c>
      <c r="I75" s="21">
        <f t="shared" si="17"/>
        <v>0</v>
      </c>
      <c r="J75" s="12" t="s">
        <v>42</v>
      </c>
    </row>
    <row r="78" spans="1:10" ht="19.05" customHeight="1" x14ac:dyDescent="0.3">
      <c r="A78" s="19" t="s">
        <v>48</v>
      </c>
      <c r="B78" s="13" t="str">
        <f>IF(D20="","-",D20)</f>
        <v>U4X</v>
      </c>
      <c r="C78" s="13" t="str">
        <f>IF(E20="","-",E20)</f>
        <v>U4Y</v>
      </c>
      <c r="D78" s="13" t="str">
        <f>IF(G20="","-",G20)</f>
        <v>U1X</v>
      </c>
      <c r="E78" s="13" t="str">
        <f>IF(H20="","-",H20)</f>
        <v>U1Y</v>
      </c>
    </row>
    <row r="79" spans="1:10" ht="18" customHeight="1" x14ac:dyDescent="0.3">
      <c r="B79" s="24">
        <f>IF(N9=0, 0, N9*J9*J9)</f>
        <v>0</v>
      </c>
      <c r="C79" s="24">
        <f>IF(N9=0, 0, N9*J9*K9)</f>
        <v>0</v>
      </c>
      <c r="D79" s="24">
        <f>IF(N9=0, 0, -N9*J9*J9)</f>
        <v>0</v>
      </c>
      <c r="E79" s="24">
        <f>IF(N9=0, 0, -N9*J9*K9)</f>
        <v>0</v>
      </c>
      <c r="F79" s="13" t="str">
        <f>IF(D20="","-",D20)</f>
        <v>U4X</v>
      </c>
    </row>
    <row r="80" spans="1:10" ht="18" customHeight="1" x14ac:dyDescent="0.3">
      <c r="B80" s="24">
        <f>IF(N9=0, 0, N9*J9*K9)</f>
        <v>0</v>
      </c>
      <c r="C80" s="24">
        <f>IF(N9=0, 0, N9*K9*K9)</f>
        <v>84000</v>
      </c>
      <c r="D80" s="24">
        <f>IF(N9=0, 0, -N9*J9*K9)</f>
        <v>0</v>
      </c>
      <c r="E80" s="24">
        <f>IF(N9=0, 0, -N9*K9*K9)</f>
        <v>-84000</v>
      </c>
      <c r="F80" s="13" t="str">
        <f>IF(E20="","-",E20)</f>
        <v>U4Y</v>
      </c>
    </row>
    <row r="81" spans="1:10" ht="18" customHeight="1" x14ac:dyDescent="0.3">
      <c r="B81" s="24">
        <f>IF(N9=0, 0, -N9*J9*J9)</f>
        <v>0</v>
      </c>
      <c r="C81" s="24">
        <f>IF(N9=0, 0, -N9*J9*K9)</f>
        <v>0</v>
      </c>
      <c r="D81" s="24">
        <f>IF(N9=0, 0, N9*J9*J9)</f>
        <v>0</v>
      </c>
      <c r="E81" s="24">
        <f>IF(N9=0, 0, N9*J9*K9)</f>
        <v>0</v>
      </c>
      <c r="F81" s="13" t="str">
        <f>IF(G20="","-",G20)</f>
        <v>U1X</v>
      </c>
    </row>
    <row r="82" spans="1:10" ht="18" customHeight="1" x14ac:dyDescent="0.3">
      <c r="B82" s="24">
        <f>IF(N9=0, 0, -N9*J9*K9)</f>
        <v>0</v>
      </c>
      <c r="C82" s="24">
        <f>IF(N9=0, 0, -N9*K9*K9)</f>
        <v>-84000</v>
      </c>
      <c r="D82" s="24">
        <f>IF(N9=0, 0, N9*J9*K9)</f>
        <v>0</v>
      </c>
      <c r="E82" s="24">
        <f>IF(N9=0, 0, N9*K9*K9)</f>
        <v>84000</v>
      </c>
      <c r="F82" s="13" t="str">
        <f>IF(H20="","-",H20)</f>
        <v>U1Y</v>
      </c>
    </row>
    <row r="84" spans="1:10" ht="19.05" customHeight="1" x14ac:dyDescent="0.3">
      <c r="B84" s="1" t="s">
        <v>35</v>
      </c>
      <c r="C84" s="1" t="s">
        <v>36</v>
      </c>
      <c r="D84" s="1" t="s">
        <v>37</v>
      </c>
      <c r="E84" s="1" t="s">
        <v>38</v>
      </c>
      <c r="F84" s="1" t="s">
        <v>39</v>
      </c>
      <c r="G84" s="1" t="s">
        <v>40</v>
      </c>
      <c r="H84" s="1" t="s">
        <v>41</v>
      </c>
      <c r="I84" s="1" t="s">
        <v>42</v>
      </c>
    </row>
    <row r="85" spans="1:10" ht="19.05" customHeight="1" x14ac:dyDescent="0.3">
      <c r="B85" s="21">
        <f t="shared" ref="B85:I92" si="18">IFERROR(INDEX($B$79:$E$82, MATCH($J85, $B$78:$E$78, 0), MATCH(B$84, $B$78:$E$78, 0)), 0)</f>
        <v>0</v>
      </c>
      <c r="C85" s="21">
        <f t="shared" si="18"/>
        <v>0</v>
      </c>
      <c r="D85" s="21">
        <f t="shared" si="18"/>
        <v>0</v>
      </c>
      <c r="E85" s="21">
        <f t="shared" si="18"/>
        <v>0</v>
      </c>
      <c r="F85" s="21">
        <f t="shared" si="18"/>
        <v>0</v>
      </c>
      <c r="G85" s="21">
        <f t="shared" si="18"/>
        <v>0</v>
      </c>
      <c r="H85" s="21">
        <f t="shared" si="18"/>
        <v>0</v>
      </c>
      <c r="I85" s="21">
        <f t="shared" si="18"/>
        <v>0</v>
      </c>
      <c r="J85" s="13" t="s">
        <v>35</v>
      </c>
    </row>
    <row r="86" spans="1:10" ht="19.05" customHeight="1" x14ac:dyDescent="0.3">
      <c r="B86" s="21">
        <f t="shared" si="18"/>
        <v>0</v>
      </c>
      <c r="C86" s="21">
        <f t="shared" si="18"/>
        <v>84000</v>
      </c>
      <c r="D86" s="21">
        <f t="shared" si="18"/>
        <v>0</v>
      </c>
      <c r="E86" s="21">
        <f t="shared" si="18"/>
        <v>0</v>
      </c>
      <c r="F86" s="21">
        <f t="shared" si="18"/>
        <v>0</v>
      </c>
      <c r="G86" s="21">
        <f t="shared" si="18"/>
        <v>0</v>
      </c>
      <c r="H86" s="21">
        <f t="shared" si="18"/>
        <v>0</v>
      </c>
      <c r="I86" s="21">
        <f t="shared" si="18"/>
        <v>-84000</v>
      </c>
      <c r="J86" s="13" t="s">
        <v>36</v>
      </c>
    </row>
    <row r="87" spans="1:10" ht="19.05" customHeight="1" x14ac:dyDescent="0.3">
      <c r="B87" s="21">
        <f t="shared" si="18"/>
        <v>0</v>
      </c>
      <c r="C87" s="21">
        <f t="shared" si="18"/>
        <v>0</v>
      </c>
      <c r="D87" s="21">
        <f t="shared" si="18"/>
        <v>0</v>
      </c>
      <c r="E87" s="21">
        <f t="shared" si="18"/>
        <v>0</v>
      </c>
      <c r="F87" s="21">
        <f t="shared" si="18"/>
        <v>0</v>
      </c>
      <c r="G87" s="21">
        <f t="shared" si="18"/>
        <v>0</v>
      </c>
      <c r="H87" s="21">
        <f t="shared" si="18"/>
        <v>0</v>
      </c>
      <c r="I87" s="21">
        <f t="shared" si="18"/>
        <v>0</v>
      </c>
      <c r="J87" s="13" t="s">
        <v>37</v>
      </c>
    </row>
    <row r="88" spans="1:10" ht="19.05" customHeight="1" x14ac:dyDescent="0.3">
      <c r="A88" s="19" t="s">
        <v>49</v>
      </c>
      <c r="B88" s="21">
        <f t="shared" si="18"/>
        <v>0</v>
      </c>
      <c r="C88" s="21">
        <f t="shared" si="18"/>
        <v>0</v>
      </c>
      <c r="D88" s="21">
        <f t="shared" si="18"/>
        <v>0</v>
      </c>
      <c r="E88" s="21">
        <f t="shared" si="18"/>
        <v>0</v>
      </c>
      <c r="F88" s="21">
        <f t="shared" si="18"/>
        <v>0</v>
      </c>
      <c r="G88" s="21">
        <f t="shared" si="18"/>
        <v>0</v>
      </c>
      <c r="H88" s="21">
        <f t="shared" si="18"/>
        <v>0</v>
      </c>
      <c r="I88" s="21">
        <f t="shared" si="18"/>
        <v>0</v>
      </c>
      <c r="J88" s="13" t="s">
        <v>38</v>
      </c>
    </row>
    <row r="89" spans="1:10" ht="19.05" customHeight="1" x14ac:dyDescent="0.3">
      <c r="B89" s="21">
        <f t="shared" si="18"/>
        <v>0</v>
      </c>
      <c r="C89" s="21">
        <f t="shared" si="18"/>
        <v>0</v>
      </c>
      <c r="D89" s="21">
        <f t="shared" si="18"/>
        <v>0</v>
      </c>
      <c r="E89" s="21">
        <f t="shared" si="18"/>
        <v>0</v>
      </c>
      <c r="F89" s="21">
        <f t="shared" si="18"/>
        <v>0</v>
      </c>
      <c r="G89" s="21">
        <f t="shared" si="18"/>
        <v>0</v>
      </c>
      <c r="H89" s="21">
        <f t="shared" si="18"/>
        <v>0</v>
      </c>
      <c r="I89" s="21">
        <f t="shared" si="18"/>
        <v>0</v>
      </c>
      <c r="J89" s="13" t="s">
        <v>39</v>
      </c>
    </row>
    <row r="90" spans="1:10" ht="19.05" customHeight="1" x14ac:dyDescent="0.3">
      <c r="B90" s="21">
        <f t="shared" si="18"/>
        <v>0</v>
      </c>
      <c r="C90" s="21">
        <f t="shared" si="18"/>
        <v>0</v>
      </c>
      <c r="D90" s="21">
        <f t="shared" si="18"/>
        <v>0</v>
      </c>
      <c r="E90" s="21">
        <f t="shared" si="18"/>
        <v>0</v>
      </c>
      <c r="F90" s="21">
        <f t="shared" si="18"/>
        <v>0</v>
      </c>
      <c r="G90" s="21">
        <f t="shared" si="18"/>
        <v>0</v>
      </c>
      <c r="H90" s="21">
        <f t="shared" si="18"/>
        <v>0</v>
      </c>
      <c r="I90" s="21">
        <f t="shared" si="18"/>
        <v>0</v>
      </c>
      <c r="J90" s="13" t="s">
        <v>40</v>
      </c>
    </row>
    <row r="91" spans="1:10" ht="19.05" customHeight="1" x14ac:dyDescent="0.3">
      <c r="B91" s="21">
        <f t="shared" si="18"/>
        <v>0</v>
      </c>
      <c r="C91" s="21">
        <f t="shared" si="18"/>
        <v>0</v>
      </c>
      <c r="D91" s="21">
        <f t="shared" si="18"/>
        <v>0</v>
      </c>
      <c r="E91" s="21">
        <f t="shared" si="18"/>
        <v>0</v>
      </c>
      <c r="F91" s="21">
        <f t="shared" si="18"/>
        <v>0</v>
      </c>
      <c r="G91" s="21">
        <f t="shared" si="18"/>
        <v>0</v>
      </c>
      <c r="H91" s="21">
        <f t="shared" si="18"/>
        <v>0</v>
      </c>
      <c r="I91" s="21">
        <f t="shared" si="18"/>
        <v>0</v>
      </c>
      <c r="J91" s="13" t="s">
        <v>41</v>
      </c>
    </row>
    <row r="92" spans="1:10" ht="19.05" customHeight="1" x14ac:dyDescent="0.3">
      <c r="B92" s="21">
        <f t="shared" si="18"/>
        <v>0</v>
      </c>
      <c r="C92" s="21">
        <f t="shared" si="18"/>
        <v>-84000</v>
      </c>
      <c r="D92" s="21">
        <f t="shared" si="18"/>
        <v>0</v>
      </c>
      <c r="E92" s="21">
        <f t="shared" si="18"/>
        <v>0</v>
      </c>
      <c r="F92" s="21">
        <f t="shared" si="18"/>
        <v>0</v>
      </c>
      <c r="G92" s="21">
        <f t="shared" si="18"/>
        <v>0</v>
      </c>
      <c r="H92" s="21">
        <f t="shared" si="18"/>
        <v>0</v>
      </c>
      <c r="I92" s="21">
        <f t="shared" si="18"/>
        <v>84000</v>
      </c>
      <c r="J92" s="13" t="s">
        <v>42</v>
      </c>
    </row>
    <row r="95" spans="1:10" ht="19.05" customHeight="1" x14ac:dyDescent="0.3">
      <c r="A95" s="19" t="s">
        <v>50</v>
      </c>
      <c r="B95" s="14" t="str">
        <f>IF(D21="","-",D21)</f>
        <v>U1X</v>
      </c>
      <c r="C95" s="14" t="str">
        <f>IF(E21="","-",E21)</f>
        <v>U1Y</v>
      </c>
      <c r="D95" s="14" t="str">
        <f>IF(G21="","-",G21)</f>
        <v>U3X</v>
      </c>
      <c r="E95" s="14" t="str">
        <f>IF(H21="","-",H21)</f>
        <v>U3Y</v>
      </c>
    </row>
    <row r="96" spans="1:10" ht="18" customHeight="1" x14ac:dyDescent="0.3">
      <c r="B96" s="25">
        <f>IF(N10=0, 0, N10*J10*J10)</f>
        <v>32256</v>
      </c>
      <c r="C96" s="25">
        <f>IF(N10=0, 0, N10*J10*K10)</f>
        <v>24192</v>
      </c>
      <c r="D96" s="25">
        <f>IF(N10=0, 0, -N10*J10*J10)</f>
        <v>-32256</v>
      </c>
      <c r="E96" s="25">
        <f>IF(N10=0, 0, -N10*J10*K10)</f>
        <v>-24192</v>
      </c>
      <c r="F96" s="14" t="str">
        <f>IF(D21="","-",D21)</f>
        <v>U1X</v>
      </c>
    </row>
    <row r="97" spans="1:10" ht="18" customHeight="1" x14ac:dyDescent="0.3">
      <c r="B97" s="25">
        <f>IF(N10=0, 0, N10*J10*K10)</f>
        <v>24192</v>
      </c>
      <c r="C97" s="25">
        <f>IF(N10=0, 0, N10*K10*K10)</f>
        <v>18144</v>
      </c>
      <c r="D97" s="25">
        <f>IF(N10=0, 0, -N10*J10*K10)</f>
        <v>-24192</v>
      </c>
      <c r="E97" s="25">
        <f>IF(N10=0, 0, -N10*K10*K10)</f>
        <v>-18144</v>
      </c>
      <c r="F97" s="14" t="str">
        <f>IF(E21="","-",E21)</f>
        <v>U1Y</v>
      </c>
    </row>
    <row r="98" spans="1:10" ht="18" customHeight="1" x14ac:dyDescent="0.3">
      <c r="B98" s="25">
        <f>IF(N10=0, 0, -N10*J10*J10)</f>
        <v>-32256</v>
      </c>
      <c r="C98" s="25">
        <f>IF(N10=0, 0, -N10*J10*K10)</f>
        <v>-24192</v>
      </c>
      <c r="D98" s="25">
        <f>IF(N10=0, 0, N10*J10*J10)</f>
        <v>32256</v>
      </c>
      <c r="E98" s="25">
        <f>IF(N10=0, 0, N10*J10*K10)</f>
        <v>24192</v>
      </c>
      <c r="F98" s="14" t="str">
        <f>IF(G21="","-",G21)</f>
        <v>U3X</v>
      </c>
    </row>
    <row r="99" spans="1:10" ht="18" customHeight="1" x14ac:dyDescent="0.3">
      <c r="B99" s="25">
        <f>IF(N10=0, 0, -N10*J10*K10)</f>
        <v>-24192</v>
      </c>
      <c r="C99" s="25">
        <f>IF(N10=0, 0, -N10*K10*K10)</f>
        <v>-18144</v>
      </c>
      <c r="D99" s="25">
        <f>IF(N10=0, 0, N10*J10*K10)</f>
        <v>24192</v>
      </c>
      <c r="E99" s="25">
        <f>IF(N10=0, 0, N10*K10*K10)</f>
        <v>18144</v>
      </c>
      <c r="F99" s="14" t="str">
        <f>IF(H21="","-",H21)</f>
        <v>U3Y</v>
      </c>
    </row>
    <row r="101" spans="1:10" ht="19.05" customHeight="1" x14ac:dyDescent="0.3">
      <c r="B101" s="1" t="s">
        <v>35</v>
      </c>
      <c r="C101" s="1" t="s">
        <v>36</v>
      </c>
      <c r="D101" s="1" t="s">
        <v>37</v>
      </c>
      <c r="E101" s="1" t="s">
        <v>38</v>
      </c>
      <c r="F101" s="1" t="s">
        <v>39</v>
      </c>
      <c r="G101" s="1" t="s">
        <v>40</v>
      </c>
      <c r="H101" s="1" t="s">
        <v>41</v>
      </c>
      <c r="I101" s="1" t="s">
        <v>42</v>
      </c>
    </row>
    <row r="102" spans="1:10" ht="19.05" customHeight="1" x14ac:dyDescent="0.3">
      <c r="B102" s="21">
        <f t="shared" ref="B102:I109" si="19">IFERROR(INDEX($B$96:$E$99, MATCH($J102, $B$95:$E$95, 0), MATCH(B$101, $B$95:$E$95, 0)), 0)</f>
        <v>32256</v>
      </c>
      <c r="C102" s="21">
        <f t="shared" si="19"/>
        <v>24192</v>
      </c>
      <c r="D102" s="21">
        <f t="shared" si="19"/>
        <v>0</v>
      </c>
      <c r="E102" s="21">
        <f t="shared" si="19"/>
        <v>0</v>
      </c>
      <c r="F102" s="21">
        <f t="shared" si="19"/>
        <v>-32256</v>
      </c>
      <c r="G102" s="21">
        <f t="shared" si="19"/>
        <v>-24192</v>
      </c>
      <c r="H102" s="21">
        <f t="shared" si="19"/>
        <v>0</v>
      </c>
      <c r="I102" s="21">
        <f t="shared" si="19"/>
        <v>0</v>
      </c>
      <c r="J102" s="14" t="s">
        <v>35</v>
      </c>
    </row>
    <row r="103" spans="1:10" ht="19.05" customHeight="1" x14ac:dyDescent="0.3">
      <c r="B103" s="21">
        <f t="shared" si="19"/>
        <v>24192</v>
      </c>
      <c r="C103" s="21">
        <f t="shared" si="19"/>
        <v>18144</v>
      </c>
      <c r="D103" s="21">
        <f t="shared" si="19"/>
        <v>0</v>
      </c>
      <c r="E103" s="21">
        <f t="shared" si="19"/>
        <v>0</v>
      </c>
      <c r="F103" s="21">
        <f t="shared" si="19"/>
        <v>-24192</v>
      </c>
      <c r="G103" s="21">
        <f t="shared" si="19"/>
        <v>-18144</v>
      </c>
      <c r="H103" s="21">
        <f t="shared" si="19"/>
        <v>0</v>
      </c>
      <c r="I103" s="21">
        <f t="shared" si="19"/>
        <v>0</v>
      </c>
      <c r="J103" s="14" t="s">
        <v>36</v>
      </c>
    </row>
    <row r="104" spans="1:10" ht="19.05" customHeight="1" x14ac:dyDescent="0.3">
      <c r="B104" s="21">
        <f t="shared" si="19"/>
        <v>0</v>
      </c>
      <c r="C104" s="21">
        <f t="shared" si="19"/>
        <v>0</v>
      </c>
      <c r="D104" s="21">
        <f t="shared" si="19"/>
        <v>0</v>
      </c>
      <c r="E104" s="21">
        <f t="shared" si="19"/>
        <v>0</v>
      </c>
      <c r="F104" s="21">
        <f t="shared" si="19"/>
        <v>0</v>
      </c>
      <c r="G104" s="21">
        <f t="shared" si="19"/>
        <v>0</v>
      </c>
      <c r="H104" s="21">
        <f t="shared" si="19"/>
        <v>0</v>
      </c>
      <c r="I104" s="21">
        <f t="shared" si="19"/>
        <v>0</v>
      </c>
      <c r="J104" s="14" t="s">
        <v>37</v>
      </c>
    </row>
    <row r="105" spans="1:10" ht="19.05" customHeight="1" x14ac:dyDescent="0.3">
      <c r="A105" s="19" t="s">
        <v>51</v>
      </c>
      <c r="B105" s="21">
        <f t="shared" si="19"/>
        <v>0</v>
      </c>
      <c r="C105" s="21">
        <f t="shared" si="19"/>
        <v>0</v>
      </c>
      <c r="D105" s="21">
        <f t="shared" si="19"/>
        <v>0</v>
      </c>
      <c r="E105" s="21">
        <f t="shared" si="19"/>
        <v>0</v>
      </c>
      <c r="F105" s="21">
        <f t="shared" si="19"/>
        <v>0</v>
      </c>
      <c r="G105" s="21">
        <f t="shared" si="19"/>
        <v>0</v>
      </c>
      <c r="H105" s="21">
        <f t="shared" si="19"/>
        <v>0</v>
      </c>
      <c r="I105" s="21">
        <f t="shared" si="19"/>
        <v>0</v>
      </c>
      <c r="J105" s="14" t="s">
        <v>38</v>
      </c>
    </row>
    <row r="106" spans="1:10" ht="19.05" customHeight="1" x14ac:dyDescent="0.3">
      <c r="B106" s="21">
        <f t="shared" si="19"/>
        <v>-32256</v>
      </c>
      <c r="C106" s="21">
        <f t="shared" si="19"/>
        <v>-24192</v>
      </c>
      <c r="D106" s="21">
        <f t="shared" si="19"/>
        <v>0</v>
      </c>
      <c r="E106" s="21">
        <f t="shared" si="19"/>
        <v>0</v>
      </c>
      <c r="F106" s="21">
        <f t="shared" si="19"/>
        <v>32256</v>
      </c>
      <c r="G106" s="21">
        <f t="shared" si="19"/>
        <v>24192</v>
      </c>
      <c r="H106" s="21">
        <f t="shared" si="19"/>
        <v>0</v>
      </c>
      <c r="I106" s="21">
        <f t="shared" si="19"/>
        <v>0</v>
      </c>
      <c r="J106" s="14" t="s">
        <v>39</v>
      </c>
    </row>
    <row r="107" spans="1:10" ht="19.05" customHeight="1" x14ac:dyDescent="0.3">
      <c r="B107" s="21">
        <f t="shared" si="19"/>
        <v>-24192</v>
      </c>
      <c r="C107" s="21">
        <f t="shared" si="19"/>
        <v>-18144</v>
      </c>
      <c r="D107" s="21">
        <f t="shared" si="19"/>
        <v>0</v>
      </c>
      <c r="E107" s="21">
        <f t="shared" si="19"/>
        <v>0</v>
      </c>
      <c r="F107" s="21">
        <f t="shared" si="19"/>
        <v>24192</v>
      </c>
      <c r="G107" s="21">
        <f t="shared" si="19"/>
        <v>18144</v>
      </c>
      <c r="H107" s="21">
        <f t="shared" si="19"/>
        <v>0</v>
      </c>
      <c r="I107" s="21">
        <f t="shared" si="19"/>
        <v>0</v>
      </c>
      <c r="J107" s="14" t="s">
        <v>40</v>
      </c>
    </row>
    <row r="108" spans="1:10" ht="19.05" customHeight="1" x14ac:dyDescent="0.3">
      <c r="B108" s="21">
        <f t="shared" si="19"/>
        <v>0</v>
      </c>
      <c r="C108" s="21">
        <f t="shared" si="19"/>
        <v>0</v>
      </c>
      <c r="D108" s="21">
        <f t="shared" si="19"/>
        <v>0</v>
      </c>
      <c r="E108" s="21">
        <f t="shared" si="19"/>
        <v>0</v>
      </c>
      <c r="F108" s="21">
        <f t="shared" si="19"/>
        <v>0</v>
      </c>
      <c r="G108" s="21">
        <f t="shared" si="19"/>
        <v>0</v>
      </c>
      <c r="H108" s="21">
        <f t="shared" si="19"/>
        <v>0</v>
      </c>
      <c r="I108" s="21">
        <f t="shared" si="19"/>
        <v>0</v>
      </c>
      <c r="J108" s="14" t="s">
        <v>41</v>
      </c>
    </row>
    <row r="109" spans="1:10" ht="19.05" customHeight="1" x14ac:dyDescent="0.3">
      <c r="B109" s="21">
        <f t="shared" si="19"/>
        <v>0</v>
      </c>
      <c r="C109" s="21">
        <f t="shared" si="19"/>
        <v>0</v>
      </c>
      <c r="D109" s="21">
        <f t="shared" si="19"/>
        <v>0</v>
      </c>
      <c r="E109" s="21">
        <f t="shared" si="19"/>
        <v>0</v>
      </c>
      <c r="F109" s="21">
        <f t="shared" si="19"/>
        <v>0</v>
      </c>
      <c r="G109" s="21">
        <f t="shared" si="19"/>
        <v>0</v>
      </c>
      <c r="H109" s="21">
        <f t="shared" si="19"/>
        <v>0</v>
      </c>
      <c r="I109" s="21">
        <f t="shared" si="19"/>
        <v>0</v>
      </c>
      <c r="J109" s="14" t="s">
        <v>42</v>
      </c>
    </row>
    <row r="112" spans="1:10" ht="19.05" customHeight="1" x14ac:dyDescent="0.3">
      <c r="A112" s="19" t="s">
        <v>52</v>
      </c>
      <c r="B112" s="15" t="str">
        <f>IF(D22="","-",D22)</f>
        <v>U2X</v>
      </c>
      <c r="C112" s="15" t="str">
        <f>IF(E22="","-",E22)</f>
        <v>U2Y</v>
      </c>
      <c r="D112" s="15" t="str">
        <f>IF(G22="","-",G22)</f>
        <v>U4X</v>
      </c>
      <c r="E112" s="15" t="str">
        <f>IF(H22="","-",H22)</f>
        <v>U4Y</v>
      </c>
    </row>
    <row r="113" spans="1:10" ht="18" customHeight="1" x14ac:dyDescent="0.3">
      <c r="B113" s="26">
        <f>IF(N11=0, 0, N11*J11*J11)</f>
        <v>32256</v>
      </c>
      <c r="C113" s="26">
        <f>IF(N11=0, 0, N11*J11*K11)</f>
        <v>-24192</v>
      </c>
      <c r="D113" s="26">
        <f>IF(N11=0, 0, -N11*J11*J11)</f>
        <v>-32256</v>
      </c>
      <c r="E113" s="26">
        <f>IF(N11=0, 0, -N11*J11*K11)</f>
        <v>24192</v>
      </c>
      <c r="F113" s="15" t="str">
        <f>IF(D22="","-",D22)</f>
        <v>U2X</v>
      </c>
    </row>
    <row r="114" spans="1:10" ht="18" customHeight="1" x14ac:dyDescent="0.3">
      <c r="B114" s="26">
        <f>IF(N11=0, 0, N11*J11*K11)</f>
        <v>-24192</v>
      </c>
      <c r="C114" s="26">
        <f>IF(N11=0, 0, N11*K11*K11)</f>
        <v>18144</v>
      </c>
      <c r="D114" s="26">
        <f>IF(N11=0, 0, -N11*J11*K11)</f>
        <v>24192</v>
      </c>
      <c r="E114" s="26">
        <f>IF(N11=0, 0, -N11*K11*K11)</f>
        <v>-18144</v>
      </c>
      <c r="F114" s="15" t="str">
        <f>IF(E22="","-",E22)</f>
        <v>U2Y</v>
      </c>
    </row>
    <row r="115" spans="1:10" ht="18" customHeight="1" x14ac:dyDescent="0.3">
      <c r="B115" s="26">
        <f>IF(N11=0, 0, -N11*J11*J11)</f>
        <v>-32256</v>
      </c>
      <c r="C115" s="26">
        <f>IF(N11=0, 0, -N11*J11*K11)</f>
        <v>24192</v>
      </c>
      <c r="D115" s="26">
        <f>IF(N11=0, 0, N11*J11*J11)</f>
        <v>32256</v>
      </c>
      <c r="E115" s="26">
        <f>IF(N11=0, 0, N11*J11*K11)</f>
        <v>-24192</v>
      </c>
      <c r="F115" s="15" t="str">
        <f>IF(G22="","-",G22)</f>
        <v>U4X</v>
      </c>
    </row>
    <row r="116" spans="1:10" ht="18" customHeight="1" x14ac:dyDescent="0.3">
      <c r="B116" s="26">
        <f>IF(N11=0, 0, -N11*J11*K11)</f>
        <v>24192</v>
      </c>
      <c r="C116" s="26">
        <f>IF(N11=0, 0, -N11*K11*K11)</f>
        <v>-18144</v>
      </c>
      <c r="D116" s="26">
        <f>IF(N11=0, 0, N11*J11*K11)</f>
        <v>-24192</v>
      </c>
      <c r="E116" s="26">
        <f>IF(N11=0, 0, N11*K11*K11)</f>
        <v>18144</v>
      </c>
      <c r="F116" s="15" t="str">
        <f>IF(H22="","-",H22)</f>
        <v>U4Y</v>
      </c>
    </row>
    <row r="118" spans="1:10" ht="19.05" customHeight="1" x14ac:dyDescent="0.3">
      <c r="B118" s="1" t="s">
        <v>35</v>
      </c>
      <c r="C118" s="1" t="s">
        <v>36</v>
      </c>
      <c r="D118" s="1" t="s">
        <v>37</v>
      </c>
      <c r="E118" s="1" t="s">
        <v>38</v>
      </c>
      <c r="F118" s="1" t="s">
        <v>39</v>
      </c>
      <c r="G118" s="1" t="s">
        <v>40</v>
      </c>
      <c r="H118" s="1" t="s">
        <v>41</v>
      </c>
      <c r="I118" s="1" t="s">
        <v>42</v>
      </c>
    </row>
    <row r="119" spans="1:10" ht="19.05" customHeight="1" x14ac:dyDescent="0.3">
      <c r="B119" s="21">
        <f t="shared" ref="B119:I126" si="20">IFERROR(INDEX($B$113:$E$116, MATCH($J119, $B$112:$E$112, 0), MATCH(B$118, $B$112:$E$112, 0)), 0)</f>
        <v>0</v>
      </c>
      <c r="C119" s="21">
        <f t="shared" si="20"/>
        <v>0</v>
      </c>
      <c r="D119" s="21">
        <f t="shared" si="20"/>
        <v>0</v>
      </c>
      <c r="E119" s="21">
        <f t="shared" si="20"/>
        <v>0</v>
      </c>
      <c r="F119" s="21">
        <f t="shared" si="20"/>
        <v>0</v>
      </c>
      <c r="G119" s="21">
        <f t="shared" si="20"/>
        <v>0</v>
      </c>
      <c r="H119" s="21">
        <f t="shared" si="20"/>
        <v>0</v>
      </c>
      <c r="I119" s="21">
        <f t="shared" si="20"/>
        <v>0</v>
      </c>
      <c r="J119" s="15" t="s">
        <v>35</v>
      </c>
    </row>
    <row r="120" spans="1:10" ht="19.05" customHeight="1" x14ac:dyDescent="0.3">
      <c r="B120" s="21">
        <f t="shared" si="20"/>
        <v>0</v>
      </c>
      <c r="C120" s="21">
        <f t="shared" si="20"/>
        <v>0</v>
      </c>
      <c r="D120" s="21">
        <f t="shared" si="20"/>
        <v>0</v>
      </c>
      <c r="E120" s="21">
        <f t="shared" si="20"/>
        <v>0</v>
      </c>
      <c r="F120" s="21">
        <f t="shared" si="20"/>
        <v>0</v>
      </c>
      <c r="G120" s="21">
        <f t="shared" si="20"/>
        <v>0</v>
      </c>
      <c r="H120" s="21">
        <f t="shared" si="20"/>
        <v>0</v>
      </c>
      <c r="I120" s="21">
        <f t="shared" si="20"/>
        <v>0</v>
      </c>
      <c r="J120" s="15" t="s">
        <v>36</v>
      </c>
    </row>
    <row r="121" spans="1:10" ht="19.05" customHeight="1" x14ac:dyDescent="0.3">
      <c r="B121" s="21">
        <f t="shared" si="20"/>
        <v>0</v>
      </c>
      <c r="C121" s="21">
        <f t="shared" si="20"/>
        <v>0</v>
      </c>
      <c r="D121" s="21">
        <f t="shared" si="20"/>
        <v>32256</v>
      </c>
      <c r="E121" s="21">
        <f t="shared" si="20"/>
        <v>-24192</v>
      </c>
      <c r="F121" s="21">
        <f t="shared" si="20"/>
        <v>0</v>
      </c>
      <c r="G121" s="21">
        <f t="shared" si="20"/>
        <v>0</v>
      </c>
      <c r="H121" s="21">
        <f t="shared" si="20"/>
        <v>-32256</v>
      </c>
      <c r="I121" s="21">
        <f t="shared" si="20"/>
        <v>24192</v>
      </c>
      <c r="J121" s="15" t="s">
        <v>37</v>
      </c>
    </row>
    <row r="122" spans="1:10" ht="19.05" customHeight="1" x14ac:dyDescent="0.3">
      <c r="A122" s="19" t="s">
        <v>53</v>
      </c>
      <c r="B122" s="21">
        <f t="shared" si="20"/>
        <v>0</v>
      </c>
      <c r="C122" s="21">
        <f t="shared" si="20"/>
        <v>0</v>
      </c>
      <c r="D122" s="21">
        <f t="shared" si="20"/>
        <v>-24192</v>
      </c>
      <c r="E122" s="21">
        <f t="shared" si="20"/>
        <v>18144</v>
      </c>
      <c r="F122" s="21">
        <f t="shared" si="20"/>
        <v>0</v>
      </c>
      <c r="G122" s="21">
        <f t="shared" si="20"/>
        <v>0</v>
      </c>
      <c r="H122" s="21">
        <f t="shared" si="20"/>
        <v>24192</v>
      </c>
      <c r="I122" s="21">
        <f t="shared" si="20"/>
        <v>-18144</v>
      </c>
      <c r="J122" s="15" t="s">
        <v>38</v>
      </c>
    </row>
    <row r="123" spans="1:10" ht="19.05" customHeight="1" x14ac:dyDescent="0.3">
      <c r="B123" s="21">
        <f t="shared" si="20"/>
        <v>0</v>
      </c>
      <c r="C123" s="21">
        <f t="shared" si="20"/>
        <v>0</v>
      </c>
      <c r="D123" s="21">
        <f t="shared" si="20"/>
        <v>0</v>
      </c>
      <c r="E123" s="21">
        <f t="shared" si="20"/>
        <v>0</v>
      </c>
      <c r="F123" s="21">
        <f t="shared" si="20"/>
        <v>0</v>
      </c>
      <c r="G123" s="21">
        <f t="shared" si="20"/>
        <v>0</v>
      </c>
      <c r="H123" s="21">
        <f t="shared" si="20"/>
        <v>0</v>
      </c>
      <c r="I123" s="21">
        <f t="shared" si="20"/>
        <v>0</v>
      </c>
      <c r="J123" s="15" t="s">
        <v>39</v>
      </c>
    </row>
    <row r="124" spans="1:10" ht="19.05" customHeight="1" x14ac:dyDescent="0.3">
      <c r="B124" s="21">
        <f t="shared" si="20"/>
        <v>0</v>
      </c>
      <c r="C124" s="21">
        <f t="shared" si="20"/>
        <v>0</v>
      </c>
      <c r="D124" s="21">
        <f t="shared" si="20"/>
        <v>0</v>
      </c>
      <c r="E124" s="21">
        <f t="shared" si="20"/>
        <v>0</v>
      </c>
      <c r="F124" s="21">
        <f t="shared" si="20"/>
        <v>0</v>
      </c>
      <c r="G124" s="21">
        <f t="shared" si="20"/>
        <v>0</v>
      </c>
      <c r="H124" s="21">
        <f t="shared" si="20"/>
        <v>0</v>
      </c>
      <c r="I124" s="21">
        <f t="shared" si="20"/>
        <v>0</v>
      </c>
      <c r="J124" s="15" t="s">
        <v>40</v>
      </c>
    </row>
    <row r="125" spans="1:10" ht="19.05" customHeight="1" x14ac:dyDescent="0.3">
      <c r="B125" s="21">
        <f t="shared" si="20"/>
        <v>0</v>
      </c>
      <c r="C125" s="21">
        <f t="shared" si="20"/>
        <v>0</v>
      </c>
      <c r="D125" s="21">
        <f t="shared" si="20"/>
        <v>-32256</v>
      </c>
      <c r="E125" s="21">
        <f t="shared" si="20"/>
        <v>24192</v>
      </c>
      <c r="F125" s="21">
        <f t="shared" si="20"/>
        <v>0</v>
      </c>
      <c r="G125" s="21">
        <f t="shared" si="20"/>
        <v>0</v>
      </c>
      <c r="H125" s="21">
        <f t="shared" si="20"/>
        <v>32256</v>
      </c>
      <c r="I125" s="21">
        <f t="shared" si="20"/>
        <v>-24192</v>
      </c>
      <c r="J125" s="15" t="s">
        <v>41</v>
      </c>
    </row>
    <row r="126" spans="1:10" ht="19.05" customHeight="1" x14ac:dyDescent="0.3">
      <c r="B126" s="21">
        <f t="shared" si="20"/>
        <v>0</v>
      </c>
      <c r="C126" s="21">
        <f t="shared" si="20"/>
        <v>0</v>
      </c>
      <c r="D126" s="21">
        <f t="shared" si="20"/>
        <v>24192</v>
      </c>
      <c r="E126" s="21">
        <f t="shared" si="20"/>
        <v>-18144</v>
      </c>
      <c r="F126" s="21">
        <f t="shared" si="20"/>
        <v>0</v>
      </c>
      <c r="G126" s="21">
        <f t="shared" si="20"/>
        <v>0</v>
      </c>
      <c r="H126" s="21">
        <f t="shared" si="20"/>
        <v>-24192</v>
      </c>
      <c r="I126" s="21">
        <f t="shared" si="20"/>
        <v>18144</v>
      </c>
      <c r="J126" s="15" t="s">
        <v>42</v>
      </c>
    </row>
    <row r="129" spans="1:10" ht="19.05" customHeight="1" x14ac:dyDescent="0.3">
      <c r="A129" s="19" t="s">
        <v>54</v>
      </c>
      <c r="B129" s="16" t="str">
        <f>IF(D23="","-",D23)</f>
        <v>-</v>
      </c>
      <c r="C129" s="16" t="str">
        <f>IF(E23="","-",E23)</f>
        <v>-</v>
      </c>
      <c r="D129" s="16" t="str">
        <f>IF(G23="","-",G23)</f>
        <v>-</v>
      </c>
      <c r="E129" s="16" t="str">
        <f>IF(H23="","-",H23)</f>
        <v>-</v>
      </c>
    </row>
    <row r="130" spans="1:10" ht="18" customHeight="1" x14ac:dyDescent="0.3">
      <c r="B130" s="27">
        <f>IF(N12=0, 0, N12*J12*J12)</f>
        <v>0</v>
      </c>
      <c r="C130" s="27">
        <f>IF(N12=0, 0, N12*J12*K12)</f>
        <v>0</v>
      </c>
      <c r="D130" s="27">
        <f>IF(N12=0, 0, -N12*J12*J12)</f>
        <v>0</v>
      </c>
      <c r="E130" s="27">
        <f>IF(N12=0, 0, -N12*J12*K12)</f>
        <v>0</v>
      </c>
      <c r="F130" s="16" t="str">
        <f>IF(D23="","-",D23)</f>
        <v>-</v>
      </c>
    </row>
    <row r="131" spans="1:10" ht="18" customHeight="1" x14ac:dyDescent="0.3">
      <c r="B131" s="27">
        <f>IF(N12=0, 0, N12*J12*K12)</f>
        <v>0</v>
      </c>
      <c r="C131" s="27">
        <f>IF(N12=0, 0, N12*K12*K12)</f>
        <v>0</v>
      </c>
      <c r="D131" s="27">
        <f>IF(N12=0, 0, -N12*J12*K12)</f>
        <v>0</v>
      </c>
      <c r="E131" s="27">
        <f>IF(N12=0, 0, -N12*K12*K12)</f>
        <v>0</v>
      </c>
      <c r="F131" s="16" t="str">
        <f>IF(E23="","-",E23)</f>
        <v>-</v>
      </c>
    </row>
    <row r="132" spans="1:10" ht="18" customHeight="1" x14ac:dyDescent="0.3">
      <c r="B132" s="27">
        <f>IF(N12=0, 0, -N12*J12*J12)</f>
        <v>0</v>
      </c>
      <c r="C132" s="27">
        <f>IF(N12=0, 0, -N12*J12*K12)</f>
        <v>0</v>
      </c>
      <c r="D132" s="27">
        <f>IF(N12=0, 0, N12*J12*J12)</f>
        <v>0</v>
      </c>
      <c r="E132" s="27">
        <f>IF(N12=0, 0, N12*J12*K12)</f>
        <v>0</v>
      </c>
      <c r="F132" s="16" t="str">
        <f>IF(G23="","-",G23)</f>
        <v>-</v>
      </c>
    </row>
    <row r="133" spans="1:10" ht="18" customHeight="1" x14ac:dyDescent="0.3">
      <c r="B133" s="27">
        <f>IF(N12=0, 0, -N12*J12*K12)</f>
        <v>0</v>
      </c>
      <c r="C133" s="27">
        <f>IF(N12=0, 0, -N12*K12*K12)</f>
        <v>0</v>
      </c>
      <c r="D133" s="27">
        <f>IF(N12=0, 0, N12*J12*K12)</f>
        <v>0</v>
      </c>
      <c r="E133" s="27">
        <f>IF(N12=0, 0, N12*K12*K12)</f>
        <v>0</v>
      </c>
      <c r="F133" s="16" t="str">
        <f>IF(H23="","-",H23)</f>
        <v>-</v>
      </c>
    </row>
    <row r="135" spans="1:10" ht="19.05" customHeight="1" x14ac:dyDescent="0.3">
      <c r="B135" s="1" t="s">
        <v>35</v>
      </c>
      <c r="C135" s="1" t="s">
        <v>36</v>
      </c>
      <c r="D135" s="1" t="s">
        <v>37</v>
      </c>
      <c r="E135" s="1" t="s">
        <v>38</v>
      </c>
      <c r="F135" s="1" t="s">
        <v>39</v>
      </c>
      <c r="G135" s="1" t="s">
        <v>40</v>
      </c>
      <c r="H135" s="1" t="s">
        <v>41</v>
      </c>
      <c r="I135" s="1" t="s">
        <v>42</v>
      </c>
    </row>
    <row r="136" spans="1:10" ht="19.05" customHeight="1" x14ac:dyDescent="0.3">
      <c r="B136" s="21">
        <f t="shared" ref="B136:I143" si="21">IFERROR(INDEX($B$130:$E$133, MATCH($J136, $B$129:$E$129, 0), MATCH(B$135, $B$129:$E$129, 0)), 0)</f>
        <v>0</v>
      </c>
      <c r="C136" s="21">
        <f t="shared" si="21"/>
        <v>0</v>
      </c>
      <c r="D136" s="21">
        <f t="shared" si="21"/>
        <v>0</v>
      </c>
      <c r="E136" s="21">
        <f t="shared" si="21"/>
        <v>0</v>
      </c>
      <c r="F136" s="21">
        <f t="shared" si="21"/>
        <v>0</v>
      </c>
      <c r="G136" s="21">
        <f t="shared" si="21"/>
        <v>0</v>
      </c>
      <c r="H136" s="21">
        <f t="shared" si="21"/>
        <v>0</v>
      </c>
      <c r="I136" s="21">
        <f t="shared" si="21"/>
        <v>0</v>
      </c>
      <c r="J136" s="16" t="s">
        <v>35</v>
      </c>
    </row>
    <row r="137" spans="1:10" ht="19.05" customHeight="1" x14ac:dyDescent="0.3">
      <c r="B137" s="21">
        <f t="shared" si="21"/>
        <v>0</v>
      </c>
      <c r="C137" s="21">
        <f t="shared" si="21"/>
        <v>0</v>
      </c>
      <c r="D137" s="21">
        <f t="shared" si="21"/>
        <v>0</v>
      </c>
      <c r="E137" s="21">
        <f t="shared" si="21"/>
        <v>0</v>
      </c>
      <c r="F137" s="21">
        <f t="shared" si="21"/>
        <v>0</v>
      </c>
      <c r="G137" s="21">
        <f t="shared" si="21"/>
        <v>0</v>
      </c>
      <c r="H137" s="21">
        <f t="shared" si="21"/>
        <v>0</v>
      </c>
      <c r="I137" s="21">
        <f t="shared" si="21"/>
        <v>0</v>
      </c>
      <c r="J137" s="16" t="s">
        <v>36</v>
      </c>
    </row>
    <row r="138" spans="1:10" ht="19.05" customHeight="1" x14ac:dyDescent="0.3">
      <c r="B138" s="21">
        <f t="shared" si="21"/>
        <v>0</v>
      </c>
      <c r="C138" s="21">
        <f t="shared" si="21"/>
        <v>0</v>
      </c>
      <c r="D138" s="21">
        <f t="shared" si="21"/>
        <v>0</v>
      </c>
      <c r="E138" s="21">
        <f t="shared" si="21"/>
        <v>0</v>
      </c>
      <c r="F138" s="21">
        <f t="shared" si="21"/>
        <v>0</v>
      </c>
      <c r="G138" s="21">
        <f t="shared" si="21"/>
        <v>0</v>
      </c>
      <c r="H138" s="21">
        <f t="shared" si="21"/>
        <v>0</v>
      </c>
      <c r="I138" s="21">
        <f t="shared" si="21"/>
        <v>0</v>
      </c>
      <c r="J138" s="16" t="s">
        <v>37</v>
      </c>
    </row>
    <row r="139" spans="1:10" ht="19.05" customHeight="1" x14ac:dyDescent="0.3">
      <c r="A139" s="19" t="s">
        <v>55</v>
      </c>
      <c r="B139" s="21">
        <f t="shared" si="21"/>
        <v>0</v>
      </c>
      <c r="C139" s="21">
        <f t="shared" si="21"/>
        <v>0</v>
      </c>
      <c r="D139" s="21">
        <f t="shared" si="21"/>
        <v>0</v>
      </c>
      <c r="E139" s="21">
        <f t="shared" si="21"/>
        <v>0</v>
      </c>
      <c r="F139" s="21">
        <f t="shared" si="21"/>
        <v>0</v>
      </c>
      <c r="G139" s="21">
        <f t="shared" si="21"/>
        <v>0</v>
      </c>
      <c r="H139" s="21">
        <f t="shared" si="21"/>
        <v>0</v>
      </c>
      <c r="I139" s="21">
        <f t="shared" si="21"/>
        <v>0</v>
      </c>
      <c r="J139" s="16" t="s">
        <v>38</v>
      </c>
    </row>
    <row r="140" spans="1:10" ht="19.05" customHeight="1" x14ac:dyDescent="0.3">
      <c r="B140" s="21">
        <f t="shared" si="21"/>
        <v>0</v>
      </c>
      <c r="C140" s="21">
        <f t="shared" si="21"/>
        <v>0</v>
      </c>
      <c r="D140" s="21">
        <f t="shared" si="21"/>
        <v>0</v>
      </c>
      <c r="E140" s="21">
        <f t="shared" si="21"/>
        <v>0</v>
      </c>
      <c r="F140" s="21">
        <f t="shared" si="21"/>
        <v>0</v>
      </c>
      <c r="G140" s="21">
        <f t="shared" si="21"/>
        <v>0</v>
      </c>
      <c r="H140" s="21">
        <f t="shared" si="21"/>
        <v>0</v>
      </c>
      <c r="I140" s="21">
        <f t="shared" si="21"/>
        <v>0</v>
      </c>
      <c r="J140" s="16" t="s">
        <v>39</v>
      </c>
    </row>
    <row r="141" spans="1:10" ht="19.05" customHeight="1" x14ac:dyDescent="0.3">
      <c r="B141" s="21">
        <f t="shared" si="21"/>
        <v>0</v>
      </c>
      <c r="C141" s="21">
        <f t="shared" si="21"/>
        <v>0</v>
      </c>
      <c r="D141" s="21">
        <f t="shared" si="21"/>
        <v>0</v>
      </c>
      <c r="E141" s="21">
        <f t="shared" si="21"/>
        <v>0</v>
      </c>
      <c r="F141" s="21">
        <f t="shared" si="21"/>
        <v>0</v>
      </c>
      <c r="G141" s="21">
        <f t="shared" si="21"/>
        <v>0</v>
      </c>
      <c r="H141" s="21">
        <f t="shared" si="21"/>
        <v>0</v>
      </c>
      <c r="I141" s="21">
        <f t="shared" si="21"/>
        <v>0</v>
      </c>
      <c r="J141" s="16" t="s">
        <v>40</v>
      </c>
    </row>
    <row r="142" spans="1:10" ht="19.05" customHeight="1" x14ac:dyDescent="0.3">
      <c r="B142" s="21">
        <f t="shared" si="21"/>
        <v>0</v>
      </c>
      <c r="C142" s="21">
        <f t="shared" si="21"/>
        <v>0</v>
      </c>
      <c r="D142" s="21">
        <f t="shared" si="21"/>
        <v>0</v>
      </c>
      <c r="E142" s="21">
        <f t="shared" si="21"/>
        <v>0</v>
      </c>
      <c r="F142" s="21">
        <f t="shared" si="21"/>
        <v>0</v>
      </c>
      <c r="G142" s="21">
        <f t="shared" si="21"/>
        <v>0</v>
      </c>
      <c r="H142" s="21">
        <f t="shared" si="21"/>
        <v>0</v>
      </c>
      <c r="I142" s="21">
        <f t="shared" si="21"/>
        <v>0</v>
      </c>
      <c r="J142" s="16" t="s">
        <v>41</v>
      </c>
    </row>
    <row r="143" spans="1:10" ht="19.05" customHeight="1" x14ac:dyDescent="0.3">
      <c r="B143" s="21">
        <f t="shared" si="21"/>
        <v>0</v>
      </c>
      <c r="C143" s="21">
        <f t="shared" si="21"/>
        <v>0</v>
      </c>
      <c r="D143" s="21">
        <f t="shared" si="21"/>
        <v>0</v>
      </c>
      <c r="E143" s="21">
        <f t="shared" si="21"/>
        <v>0</v>
      </c>
      <c r="F143" s="21">
        <f t="shared" si="21"/>
        <v>0</v>
      </c>
      <c r="G143" s="21">
        <f t="shared" si="21"/>
        <v>0</v>
      </c>
      <c r="H143" s="21">
        <f t="shared" si="21"/>
        <v>0</v>
      </c>
      <c r="I143" s="21">
        <f t="shared" si="21"/>
        <v>0</v>
      </c>
      <c r="J143" s="16" t="s">
        <v>42</v>
      </c>
    </row>
    <row r="146" spans="1:10" ht="19.05" customHeight="1" x14ac:dyDescent="0.3">
      <c r="A146" s="19" t="s">
        <v>56</v>
      </c>
      <c r="B146" s="17" t="str">
        <f>IF(D24="","-",D24)</f>
        <v>-</v>
      </c>
      <c r="C146" s="17" t="str">
        <f>IF(E24="","-",E24)</f>
        <v>-</v>
      </c>
      <c r="D146" s="17" t="str">
        <f>IF(G24="","-",G24)</f>
        <v>-</v>
      </c>
      <c r="E146" s="17" t="str">
        <f>IF(H24="","-",H24)</f>
        <v>-</v>
      </c>
    </row>
    <row r="147" spans="1:10" ht="18" customHeight="1" x14ac:dyDescent="0.3">
      <c r="B147" s="28">
        <f>IF(N13=0, 0, N13*J13*J13)</f>
        <v>0</v>
      </c>
      <c r="C147" s="28">
        <f>IF(N13=0, 0, N13*J13*K13)</f>
        <v>0</v>
      </c>
      <c r="D147" s="28">
        <f>IF(N13=0, 0, -N13*J13*J13)</f>
        <v>0</v>
      </c>
      <c r="E147" s="28">
        <f>IF(N13=0, 0, -N13*J13*K13)</f>
        <v>0</v>
      </c>
      <c r="F147" s="17" t="str">
        <f>IF(D24="","-",D24)</f>
        <v>-</v>
      </c>
    </row>
    <row r="148" spans="1:10" ht="18" customHeight="1" x14ac:dyDescent="0.3">
      <c r="B148" s="28">
        <f>IF(N13=0, 0, N13*J13*K13)</f>
        <v>0</v>
      </c>
      <c r="C148" s="28">
        <f>IF(N13=0, 0, N13*K13*K13)</f>
        <v>0</v>
      </c>
      <c r="D148" s="28">
        <f>IF(N13=0, 0, -N13*J13*K13)</f>
        <v>0</v>
      </c>
      <c r="E148" s="28">
        <f>IF(N13=0, 0, -N13*K13*K13)</f>
        <v>0</v>
      </c>
      <c r="F148" s="17" t="str">
        <f>IF(E24="","-",E24)</f>
        <v>-</v>
      </c>
    </row>
    <row r="149" spans="1:10" ht="18" customHeight="1" x14ac:dyDescent="0.3">
      <c r="B149" s="28">
        <f>IF(N13=0, 0, -N13*J13*J13)</f>
        <v>0</v>
      </c>
      <c r="C149" s="28">
        <f>IF(N13=0, 0, -N13*J13*K13)</f>
        <v>0</v>
      </c>
      <c r="D149" s="28">
        <f>IF(N13=0, 0, N13*J13*J13)</f>
        <v>0</v>
      </c>
      <c r="E149" s="28">
        <f>IF(N13=0, 0, N13*J13*K13)</f>
        <v>0</v>
      </c>
      <c r="F149" s="17" t="str">
        <f>IF(G24="","-",G24)</f>
        <v>-</v>
      </c>
    </row>
    <row r="150" spans="1:10" ht="18" customHeight="1" x14ac:dyDescent="0.3">
      <c r="B150" s="28">
        <f>IF(N13=0, 0, -N13*J13*K13)</f>
        <v>0</v>
      </c>
      <c r="C150" s="28">
        <f>IF(N13=0, 0, -N13*K13*K13)</f>
        <v>0</v>
      </c>
      <c r="D150" s="28">
        <f>IF(N13=0, 0, N13*J13*K13)</f>
        <v>0</v>
      </c>
      <c r="E150" s="28">
        <f>IF(N13=0, 0, N13*K13*K13)</f>
        <v>0</v>
      </c>
      <c r="F150" s="17" t="str">
        <f>IF(H24="","-",H24)</f>
        <v>-</v>
      </c>
    </row>
    <row r="152" spans="1:10" ht="19.05" customHeight="1" x14ac:dyDescent="0.3">
      <c r="B152" s="1" t="s">
        <v>35</v>
      </c>
      <c r="C152" s="1" t="s">
        <v>36</v>
      </c>
      <c r="D152" s="1" t="s">
        <v>37</v>
      </c>
      <c r="E152" s="1" t="s">
        <v>38</v>
      </c>
      <c r="F152" s="1" t="s">
        <v>39</v>
      </c>
      <c r="G152" s="1" t="s">
        <v>40</v>
      </c>
      <c r="H152" s="1" t="s">
        <v>41</v>
      </c>
      <c r="I152" s="1" t="s">
        <v>42</v>
      </c>
    </row>
    <row r="153" spans="1:10" ht="19.05" customHeight="1" x14ac:dyDescent="0.3">
      <c r="B153" s="21">
        <f t="shared" ref="B153:I160" si="22">IFERROR(INDEX($B$147:$E$150, MATCH($J153, $B$146:$E$146, 0), MATCH(B$152, $B$146:$E$146, 0)), 0)</f>
        <v>0</v>
      </c>
      <c r="C153" s="21">
        <f t="shared" si="22"/>
        <v>0</v>
      </c>
      <c r="D153" s="21">
        <f t="shared" si="22"/>
        <v>0</v>
      </c>
      <c r="E153" s="21">
        <f t="shared" si="22"/>
        <v>0</v>
      </c>
      <c r="F153" s="21">
        <f t="shared" si="22"/>
        <v>0</v>
      </c>
      <c r="G153" s="21">
        <f t="shared" si="22"/>
        <v>0</v>
      </c>
      <c r="H153" s="21">
        <f t="shared" si="22"/>
        <v>0</v>
      </c>
      <c r="I153" s="21">
        <f t="shared" si="22"/>
        <v>0</v>
      </c>
      <c r="J153" s="17" t="s">
        <v>35</v>
      </c>
    </row>
    <row r="154" spans="1:10" ht="19.05" customHeight="1" x14ac:dyDescent="0.3">
      <c r="B154" s="21">
        <f t="shared" si="22"/>
        <v>0</v>
      </c>
      <c r="C154" s="21">
        <f t="shared" si="22"/>
        <v>0</v>
      </c>
      <c r="D154" s="21">
        <f t="shared" si="22"/>
        <v>0</v>
      </c>
      <c r="E154" s="21">
        <f t="shared" si="22"/>
        <v>0</v>
      </c>
      <c r="F154" s="21">
        <f t="shared" si="22"/>
        <v>0</v>
      </c>
      <c r="G154" s="21">
        <f t="shared" si="22"/>
        <v>0</v>
      </c>
      <c r="H154" s="21">
        <f t="shared" si="22"/>
        <v>0</v>
      </c>
      <c r="I154" s="21">
        <f t="shared" si="22"/>
        <v>0</v>
      </c>
      <c r="J154" s="17" t="s">
        <v>36</v>
      </c>
    </row>
    <row r="155" spans="1:10" ht="19.05" customHeight="1" x14ac:dyDescent="0.3">
      <c r="B155" s="21">
        <f t="shared" si="22"/>
        <v>0</v>
      </c>
      <c r="C155" s="21">
        <f t="shared" si="22"/>
        <v>0</v>
      </c>
      <c r="D155" s="21">
        <f t="shared" si="22"/>
        <v>0</v>
      </c>
      <c r="E155" s="21">
        <f t="shared" si="22"/>
        <v>0</v>
      </c>
      <c r="F155" s="21">
        <f t="shared" si="22"/>
        <v>0</v>
      </c>
      <c r="G155" s="21">
        <f t="shared" si="22"/>
        <v>0</v>
      </c>
      <c r="H155" s="21">
        <f t="shared" si="22"/>
        <v>0</v>
      </c>
      <c r="I155" s="21">
        <f t="shared" si="22"/>
        <v>0</v>
      </c>
      <c r="J155" s="17" t="s">
        <v>37</v>
      </c>
    </row>
    <row r="156" spans="1:10" ht="19.05" customHeight="1" x14ac:dyDescent="0.3">
      <c r="A156" s="19" t="s">
        <v>57</v>
      </c>
      <c r="B156" s="21">
        <f t="shared" si="22"/>
        <v>0</v>
      </c>
      <c r="C156" s="21">
        <f t="shared" si="22"/>
        <v>0</v>
      </c>
      <c r="D156" s="21">
        <f t="shared" si="22"/>
        <v>0</v>
      </c>
      <c r="E156" s="21">
        <f t="shared" si="22"/>
        <v>0</v>
      </c>
      <c r="F156" s="21">
        <f t="shared" si="22"/>
        <v>0</v>
      </c>
      <c r="G156" s="21">
        <f t="shared" si="22"/>
        <v>0</v>
      </c>
      <c r="H156" s="21">
        <f t="shared" si="22"/>
        <v>0</v>
      </c>
      <c r="I156" s="21">
        <f t="shared" si="22"/>
        <v>0</v>
      </c>
      <c r="J156" s="17" t="s">
        <v>38</v>
      </c>
    </row>
    <row r="157" spans="1:10" ht="19.05" customHeight="1" x14ac:dyDescent="0.3">
      <c r="B157" s="21">
        <f t="shared" si="22"/>
        <v>0</v>
      </c>
      <c r="C157" s="21">
        <f t="shared" si="22"/>
        <v>0</v>
      </c>
      <c r="D157" s="21">
        <f t="shared" si="22"/>
        <v>0</v>
      </c>
      <c r="E157" s="21">
        <f t="shared" si="22"/>
        <v>0</v>
      </c>
      <c r="F157" s="21">
        <f t="shared" si="22"/>
        <v>0</v>
      </c>
      <c r="G157" s="21">
        <f t="shared" si="22"/>
        <v>0</v>
      </c>
      <c r="H157" s="21">
        <f t="shared" si="22"/>
        <v>0</v>
      </c>
      <c r="I157" s="21">
        <f t="shared" si="22"/>
        <v>0</v>
      </c>
      <c r="J157" s="17" t="s">
        <v>39</v>
      </c>
    </row>
    <row r="158" spans="1:10" ht="19.05" customHeight="1" x14ac:dyDescent="0.3">
      <c r="B158" s="21">
        <f t="shared" si="22"/>
        <v>0</v>
      </c>
      <c r="C158" s="21">
        <f t="shared" si="22"/>
        <v>0</v>
      </c>
      <c r="D158" s="21">
        <f t="shared" si="22"/>
        <v>0</v>
      </c>
      <c r="E158" s="21">
        <f t="shared" si="22"/>
        <v>0</v>
      </c>
      <c r="F158" s="21">
        <f t="shared" si="22"/>
        <v>0</v>
      </c>
      <c r="G158" s="21">
        <f t="shared" si="22"/>
        <v>0</v>
      </c>
      <c r="H158" s="21">
        <f t="shared" si="22"/>
        <v>0</v>
      </c>
      <c r="I158" s="21">
        <f t="shared" si="22"/>
        <v>0</v>
      </c>
      <c r="J158" s="17" t="s">
        <v>40</v>
      </c>
    </row>
    <row r="159" spans="1:10" ht="19.05" customHeight="1" x14ac:dyDescent="0.3">
      <c r="B159" s="21">
        <f t="shared" si="22"/>
        <v>0</v>
      </c>
      <c r="C159" s="21">
        <f t="shared" si="22"/>
        <v>0</v>
      </c>
      <c r="D159" s="21">
        <f t="shared" si="22"/>
        <v>0</v>
      </c>
      <c r="E159" s="21">
        <f t="shared" si="22"/>
        <v>0</v>
      </c>
      <c r="F159" s="21">
        <f t="shared" si="22"/>
        <v>0</v>
      </c>
      <c r="G159" s="21">
        <f t="shared" si="22"/>
        <v>0</v>
      </c>
      <c r="H159" s="21">
        <f t="shared" si="22"/>
        <v>0</v>
      </c>
      <c r="I159" s="21">
        <f t="shared" si="22"/>
        <v>0</v>
      </c>
      <c r="J159" s="17" t="s">
        <v>41</v>
      </c>
    </row>
    <row r="160" spans="1:10" ht="19.05" customHeight="1" x14ac:dyDescent="0.3">
      <c r="B160" s="21">
        <f t="shared" si="22"/>
        <v>0</v>
      </c>
      <c r="C160" s="21">
        <f t="shared" si="22"/>
        <v>0</v>
      </c>
      <c r="D160" s="21">
        <f t="shared" si="22"/>
        <v>0</v>
      </c>
      <c r="E160" s="21">
        <f t="shared" si="22"/>
        <v>0</v>
      </c>
      <c r="F160" s="21">
        <f t="shared" si="22"/>
        <v>0</v>
      </c>
      <c r="G160" s="21">
        <f t="shared" si="22"/>
        <v>0</v>
      </c>
      <c r="H160" s="21">
        <f t="shared" si="22"/>
        <v>0</v>
      </c>
      <c r="I160" s="21">
        <f t="shared" si="22"/>
        <v>0</v>
      </c>
      <c r="J160" s="17" t="s">
        <v>42</v>
      </c>
    </row>
    <row r="163" spans="1:30" ht="19.95" customHeight="1" x14ac:dyDescent="0.3">
      <c r="B163" s="1" t="s">
        <v>35</v>
      </c>
      <c r="C163" s="1" t="s">
        <v>36</v>
      </c>
      <c r="D163" s="1" t="s">
        <v>37</v>
      </c>
      <c r="E163" s="1" t="s">
        <v>38</v>
      </c>
      <c r="F163" s="1" t="s">
        <v>39</v>
      </c>
      <c r="G163" s="1" t="s">
        <v>40</v>
      </c>
      <c r="H163" s="1" t="s">
        <v>41</v>
      </c>
      <c r="I163" s="1" t="s">
        <v>42</v>
      </c>
    </row>
    <row r="164" spans="1:30" ht="19.95" customHeight="1" x14ac:dyDescent="0.3">
      <c r="B164" s="29">
        <f t="shared" ref="B164:I171" si="23">B34+B51+B68+B85+B102+B119+B136+B153</f>
        <v>95256</v>
      </c>
      <c r="C164" s="30">
        <f t="shared" si="23"/>
        <v>24192</v>
      </c>
      <c r="D164" s="21">
        <f t="shared" si="23"/>
        <v>-63000</v>
      </c>
      <c r="E164" s="21">
        <f t="shared" si="23"/>
        <v>0</v>
      </c>
      <c r="F164" s="21">
        <f t="shared" si="23"/>
        <v>-32256</v>
      </c>
      <c r="G164" s="21">
        <f t="shared" si="23"/>
        <v>-24192</v>
      </c>
      <c r="H164" s="21">
        <f t="shared" si="23"/>
        <v>0</v>
      </c>
      <c r="I164" s="21">
        <f t="shared" si="23"/>
        <v>0</v>
      </c>
      <c r="J164" s="31" t="s">
        <v>35</v>
      </c>
    </row>
    <row r="165" spans="1:30" ht="19.95" customHeight="1" x14ac:dyDescent="0.3">
      <c r="B165" s="30">
        <f t="shared" si="23"/>
        <v>24192</v>
      </c>
      <c r="C165" s="29">
        <f t="shared" si="23"/>
        <v>102144</v>
      </c>
      <c r="D165" s="21">
        <f t="shared" si="23"/>
        <v>0</v>
      </c>
      <c r="E165" s="21">
        <f t="shared" si="23"/>
        <v>0</v>
      </c>
      <c r="F165" s="21">
        <f t="shared" si="23"/>
        <v>-24192</v>
      </c>
      <c r="G165" s="21">
        <f t="shared" si="23"/>
        <v>-18144</v>
      </c>
      <c r="H165" s="21">
        <f t="shared" si="23"/>
        <v>0</v>
      </c>
      <c r="I165" s="21">
        <f t="shared" si="23"/>
        <v>-84000</v>
      </c>
      <c r="J165" s="31" t="s">
        <v>36</v>
      </c>
    </row>
    <row r="166" spans="1:30" ht="19.95" customHeight="1" x14ac:dyDescent="0.3">
      <c r="B166" s="21">
        <f t="shared" si="23"/>
        <v>-63000</v>
      </c>
      <c r="C166" s="21">
        <f t="shared" si="23"/>
        <v>0</v>
      </c>
      <c r="D166" s="29">
        <f t="shared" si="23"/>
        <v>95256</v>
      </c>
      <c r="E166" s="30">
        <f t="shared" si="23"/>
        <v>-24192</v>
      </c>
      <c r="F166" s="21">
        <f t="shared" si="23"/>
        <v>0</v>
      </c>
      <c r="G166" s="21">
        <f t="shared" si="23"/>
        <v>0</v>
      </c>
      <c r="H166" s="21">
        <f t="shared" si="23"/>
        <v>-32256</v>
      </c>
      <c r="I166" s="21">
        <f t="shared" si="23"/>
        <v>24192</v>
      </c>
      <c r="J166" s="31" t="s">
        <v>37</v>
      </c>
    </row>
    <row r="167" spans="1:30" ht="19.95" customHeight="1" x14ac:dyDescent="0.3">
      <c r="A167" s="19" t="s">
        <v>58</v>
      </c>
      <c r="B167" s="21">
        <f t="shared" si="23"/>
        <v>0</v>
      </c>
      <c r="C167" s="21">
        <f t="shared" si="23"/>
        <v>0</v>
      </c>
      <c r="D167" s="30">
        <f t="shared" si="23"/>
        <v>-24192</v>
      </c>
      <c r="E167" s="29">
        <f t="shared" si="23"/>
        <v>102144</v>
      </c>
      <c r="F167" s="21">
        <f t="shared" si="23"/>
        <v>0</v>
      </c>
      <c r="G167" s="21">
        <f t="shared" si="23"/>
        <v>-84000</v>
      </c>
      <c r="H167" s="21">
        <f t="shared" si="23"/>
        <v>24192</v>
      </c>
      <c r="I167" s="21">
        <f t="shared" si="23"/>
        <v>-18144</v>
      </c>
      <c r="J167" s="31" t="s">
        <v>38</v>
      </c>
    </row>
    <row r="168" spans="1:30" ht="19.95" customHeight="1" x14ac:dyDescent="0.3">
      <c r="B168" s="21">
        <f t="shared" si="23"/>
        <v>-32256</v>
      </c>
      <c r="C168" s="21">
        <f t="shared" si="23"/>
        <v>-24192</v>
      </c>
      <c r="D168" s="21">
        <f t="shared" si="23"/>
        <v>0</v>
      </c>
      <c r="E168" s="21">
        <f t="shared" si="23"/>
        <v>0</v>
      </c>
      <c r="F168" s="29">
        <f t="shared" si="23"/>
        <v>95256</v>
      </c>
      <c r="G168" s="30">
        <f t="shared" si="23"/>
        <v>24192</v>
      </c>
      <c r="H168" s="21">
        <f t="shared" si="23"/>
        <v>-63000</v>
      </c>
      <c r="I168" s="21">
        <f t="shared" si="23"/>
        <v>0</v>
      </c>
      <c r="J168" s="31" t="s">
        <v>39</v>
      </c>
    </row>
    <row r="169" spans="1:30" ht="19.95" customHeight="1" x14ac:dyDescent="0.3">
      <c r="B169" s="21">
        <f t="shared" si="23"/>
        <v>-24192</v>
      </c>
      <c r="C169" s="21">
        <f t="shared" si="23"/>
        <v>-18144</v>
      </c>
      <c r="D169" s="21">
        <f t="shared" si="23"/>
        <v>0</v>
      </c>
      <c r="E169" s="21">
        <f t="shared" si="23"/>
        <v>-84000</v>
      </c>
      <c r="F169" s="30">
        <f t="shared" si="23"/>
        <v>24192</v>
      </c>
      <c r="G169" s="29">
        <f t="shared" si="23"/>
        <v>102144</v>
      </c>
      <c r="H169" s="21">
        <f t="shared" si="23"/>
        <v>0</v>
      </c>
      <c r="I169" s="21">
        <f t="shared" si="23"/>
        <v>0</v>
      </c>
      <c r="J169" s="31" t="s">
        <v>40</v>
      </c>
    </row>
    <row r="170" spans="1:30" ht="19.95" customHeight="1" x14ac:dyDescent="0.3">
      <c r="B170" s="21">
        <f t="shared" si="23"/>
        <v>0</v>
      </c>
      <c r="C170" s="21">
        <f t="shared" si="23"/>
        <v>0</v>
      </c>
      <c r="D170" s="21">
        <f t="shared" si="23"/>
        <v>-32256</v>
      </c>
      <c r="E170" s="21">
        <f t="shared" si="23"/>
        <v>24192</v>
      </c>
      <c r="F170" s="21">
        <f t="shared" si="23"/>
        <v>-63000</v>
      </c>
      <c r="G170" s="21">
        <f t="shared" si="23"/>
        <v>0</v>
      </c>
      <c r="H170" s="29">
        <f t="shared" si="23"/>
        <v>95256</v>
      </c>
      <c r="I170" s="30">
        <f t="shared" si="23"/>
        <v>-24192</v>
      </c>
      <c r="J170" s="31" t="s">
        <v>41</v>
      </c>
    </row>
    <row r="171" spans="1:30" ht="19.95" customHeight="1" x14ac:dyDescent="0.3">
      <c r="B171" s="21">
        <f t="shared" si="23"/>
        <v>0</v>
      </c>
      <c r="C171" s="21">
        <f t="shared" si="23"/>
        <v>-84000</v>
      </c>
      <c r="D171" s="21">
        <f t="shared" si="23"/>
        <v>24192</v>
      </c>
      <c r="E171" s="21">
        <f t="shared" si="23"/>
        <v>-18144</v>
      </c>
      <c r="F171" s="21">
        <f t="shared" si="23"/>
        <v>0</v>
      </c>
      <c r="G171" s="21">
        <f t="shared" si="23"/>
        <v>0</v>
      </c>
      <c r="H171" s="30">
        <f t="shared" si="23"/>
        <v>-24192</v>
      </c>
      <c r="I171" s="29">
        <f t="shared" si="23"/>
        <v>102144</v>
      </c>
      <c r="J171" s="31" t="s">
        <v>42</v>
      </c>
    </row>
    <row r="174" spans="1:30" ht="19.95" customHeight="1" x14ac:dyDescent="0.35">
      <c r="A174" s="32" t="s">
        <v>59</v>
      </c>
      <c r="Y174" s="52" t="s">
        <v>60</v>
      </c>
      <c r="Z174" s="52"/>
      <c r="AA174" s="52"/>
      <c r="AB174" s="52"/>
      <c r="AC174" s="52"/>
      <c r="AD174" s="52"/>
    </row>
    <row r="175" spans="1:30" ht="16.95" customHeight="1" x14ac:dyDescent="0.3">
      <c r="B175" s="33" t="s">
        <v>61</v>
      </c>
      <c r="C175" s="33" t="s">
        <v>35</v>
      </c>
      <c r="E175" s="34" t="str">
        <f>IF(IFERROR(VLOOKUP(1, $P$6:$W$9, 2, FALSE), "")="", 0, IF(VLOOKUP(1, $P$6:$W$9, 5, FALSE)=1, B175, VLOOKUP(1, $P$6:$W$9, 7, FALSE)))</f>
        <v>C1X</v>
      </c>
      <c r="Y175" s="54" t="s">
        <v>62</v>
      </c>
      <c r="Z175" s="54"/>
      <c r="AA175" s="54"/>
      <c r="AB175" s="54"/>
      <c r="AC175" s="54"/>
      <c r="AD175" s="54"/>
    </row>
    <row r="176" spans="1:30" ht="16.95" customHeight="1" x14ac:dyDescent="0.3">
      <c r="B176" s="33" t="s">
        <v>63</v>
      </c>
      <c r="C176" s="33" t="s">
        <v>36</v>
      </c>
      <c r="E176" s="34" t="str">
        <f>IF(IFERROR(VLOOKUP(1, $P$6:$W$9, 2, FALSE), "")="", 0, IF(VLOOKUP(1, $P$6:$W$9, 6, FALSE)=1, B176, VLOOKUP(1, $P$6:$W$9, 8, FALSE)))</f>
        <v>C1Y</v>
      </c>
      <c r="Y176" s="54" t="s">
        <v>64</v>
      </c>
      <c r="Z176" s="54"/>
      <c r="AA176" s="54"/>
      <c r="AB176" s="54"/>
      <c r="AC176" s="54"/>
      <c r="AD176" s="54"/>
    </row>
    <row r="177" spans="1:30" ht="16.95" customHeight="1" x14ac:dyDescent="0.3">
      <c r="B177" s="33" t="s">
        <v>65</v>
      </c>
      <c r="C177" s="33" t="s">
        <v>37</v>
      </c>
      <c r="E177" s="34" t="str">
        <f>IF(IFERROR(VLOOKUP(2, $P$6:$W$9, 2, FALSE), "")="", 0, IF(VLOOKUP(2, $P$6:$W$9, 5, FALSE)=1, B177, VLOOKUP(2, $P$6:$W$9, 7, FALSE)))</f>
        <v>C2X</v>
      </c>
      <c r="Y177" s="54" t="s">
        <v>66</v>
      </c>
      <c r="Z177" s="54"/>
      <c r="AA177" s="54"/>
      <c r="AB177" s="54"/>
      <c r="AC177" s="54"/>
      <c r="AD177" s="54"/>
    </row>
    <row r="178" spans="1:30" ht="16.95" customHeight="1" x14ac:dyDescent="0.3">
      <c r="A178" s="11" t="s">
        <v>67</v>
      </c>
      <c r="B178" s="33" t="s">
        <v>68</v>
      </c>
      <c r="C178" s="33" t="s">
        <v>38</v>
      </c>
      <c r="D178" s="35" t="s">
        <v>69</v>
      </c>
      <c r="E178" s="34" t="str">
        <f>IF(IFERROR(VLOOKUP(2, $P$6:$W$9, 2, FALSE), "")="", 0, IF(VLOOKUP(2, $P$6:$W$9, 6, FALSE)=1, B178, VLOOKUP(2, $P$6:$W$9, 8, FALSE)))</f>
        <v>C2Y</v>
      </c>
      <c r="Y178" s="54" t="s">
        <v>70</v>
      </c>
      <c r="Z178" s="54"/>
      <c r="AA178" s="54"/>
      <c r="AB178" s="54"/>
      <c r="AC178" s="54"/>
      <c r="AD178" s="54"/>
    </row>
    <row r="179" spans="1:30" ht="16.95" customHeight="1" x14ac:dyDescent="0.3">
      <c r="B179" s="33" t="s">
        <v>71</v>
      </c>
      <c r="C179" s="33" t="s">
        <v>39</v>
      </c>
      <c r="E179" s="34">
        <f>IF(IFERROR(VLOOKUP(3, $P$6:$W$9, 2, FALSE), "")="", 0, IF(VLOOKUP(3, $P$6:$W$9, 5, FALSE)=1, B179, VLOOKUP(3, $P$6:$W$9, 7, FALSE)))</f>
        <v>3500</v>
      </c>
      <c r="Y179" s="54" t="s">
        <v>72</v>
      </c>
      <c r="Z179" s="54"/>
      <c r="AA179" s="54"/>
      <c r="AB179" s="54"/>
      <c r="AC179" s="54"/>
      <c r="AD179" s="54"/>
    </row>
    <row r="180" spans="1:30" ht="16.95" customHeight="1" x14ac:dyDescent="0.3">
      <c r="B180" s="33" t="s">
        <v>73</v>
      </c>
      <c r="C180" s="33" t="s">
        <v>40</v>
      </c>
      <c r="E180" s="34">
        <f>IF(IFERROR(VLOOKUP(3, $P$6:$W$9, 2, FALSE), "")="", 0, IF(VLOOKUP(3, $P$6:$W$9, 6, FALSE)=1, B180, VLOOKUP(3, $P$6:$W$9, 8, FALSE)))</f>
        <v>-5000</v>
      </c>
      <c r="Y180" s="54"/>
      <c r="Z180" s="54"/>
      <c r="AA180" s="54"/>
      <c r="AB180" s="54"/>
      <c r="AC180" s="54"/>
      <c r="AD180" s="54"/>
    </row>
    <row r="181" spans="1:30" ht="16.95" customHeight="1" x14ac:dyDescent="0.3">
      <c r="B181" s="33" t="s">
        <v>74</v>
      </c>
      <c r="C181" s="33" t="s">
        <v>41</v>
      </c>
      <c r="E181" s="34">
        <f>IF(IFERROR(VLOOKUP(4, $P$6:$W$9, 2, FALSE), "")="", 0, IF(VLOOKUP(4, $P$6:$W$9, 5, FALSE)=1, B181, VLOOKUP(4, $P$6:$W$9, 7, FALSE)))</f>
        <v>3500</v>
      </c>
      <c r="Y181" s="54"/>
      <c r="Z181" s="54"/>
      <c r="AA181" s="54"/>
      <c r="AB181" s="54"/>
      <c r="AC181" s="54"/>
      <c r="AD181" s="54"/>
    </row>
    <row r="182" spans="1:30" ht="16.95" customHeight="1" x14ac:dyDescent="0.3">
      <c r="B182" s="33" t="s">
        <v>75</v>
      </c>
      <c r="C182" s="33" t="s">
        <v>42</v>
      </c>
      <c r="E182" s="34">
        <f>IF(IFERROR(VLOOKUP(4, $P$6:$W$9, 2, FALSE), "")="", 0, IF(VLOOKUP(4, $P$6:$W$9, 6, FALSE)=1, B182, VLOOKUP(4, $P$6:$W$9, 8, FALSE)))</f>
        <v>0</v>
      </c>
      <c r="Y182" s="54"/>
      <c r="Z182" s="54"/>
      <c r="AA182" s="54"/>
      <c r="AB182" s="54"/>
      <c r="AC182" s="54"/>
      <c r="AD182" s="54"/>
    </row>
    <row r="183" spans="1:30" ht="16.95" customHeight="1" x14ac:dyDescent="0.3">
      <c r="Y183" s="54"/>
      <c r="Z183" s="54"/>
      <c r="AA183" s="54"/>
      <c r="AB183" s="54"/>
      <c r="AC183" s="54"/>
      <c r="AD183" s="54"/>
    </row>
    <row r="184" spans="1:30" ht="16.95" customHeight="1" x14ac:dyDescent="0.35">
      <c r="A184" s="32" t="s">
        <v>76</v>
      </c>
      <c r="Y184" s="54"/>
      <c r="Z184" s="54"/>
      <c r="AA184" s="54"/>
      <c r="AB184" s="54"/>
      <c r="AC184" s="54"/>
      <c r="AD184" s="54"/>
    </row>
    <row r="185" spans="1:30" ht="16.95" customHeight="1" x14ac:dyDescent="0.3">
      <c r="B185" s="33" t="s">
        <v>77</v>
      </c>
      <c r="C185" s="33" t="s">
        <v>35</v>
      </c>
      <c r="E185" s="12">
        <f>IF(IFERROR(VLOOKUP(1, $P$6:$W$9, 2, FALSE), "")="", 0, IF(VLOOKUP(1, $P$6:$W$9, 5, FALSE)=1, 0, B185))</f>
        <v>0</v>
      </c>
      <c r="F185" s="36" t="str">
        <f>IF(ISTEXT(E185), 1, "")</f>
        <v/>
      </c>
      <c r="G185" s="36">
        <f>IF(ISTEXT(E175), 1, "")</f>
        <v>1</v>
      </c>
      <c r="Y185" s="54"/>
      <c r="Z185" s="54"/>
      <c r="AA185" s="54"/>
      <c r="AB185" s="54"/>
      <c r="AC185" s="54"/>
      <c r="AD185" s="54"/>
    </row>
    <row r="186" spans="1:30" ht="16.95" customHeight="1" x14ac:dyDescent="0.3">
      <c r="B186" s="33" t="s">
        <v>78</v>
      </c>
      <c r="C186" s="33" t="s">
        <v>36</v>
      </c>
      <c r="E186" s="12">
        <f>IF(IFERROR(VLOOKUP(1, $P$6:$W$9, 2, FALSE), "")="", 0, IF(VLOOKUP(1, $P$6:$W$9, 6, FALSE)=1, 0, B186))</f>
        <v>0</v>
      </c>
      <c r="F186" s="36" t="str">
        <f>IF(ISTEXT(E186), MAX(F$185:F185) + 1, "")</f>
        <v/>
      </c>
      <c r="G186" s="36">
        <f>IF(ISTEXT(E176), MAX(G$185:G185) + 1, "")</f>
        <v>2</v>
      </c>
      <c r="Y186" s="54"/>
      <c r="Z186" s="54"/>
      <c r="AA186" s="54"/>
      <c r="AB186" s="54"/>
      <c r="AC186" s="54"/>
      <c r="AD186" s="54"/>
    </row>
    <row r="187" spans="1:30" ht="16.95" customHeight="1" x14ac:dyDescent="0.3">
      <c r="B187" s="33" t="s">
        <v>79</v>
      </c>
      <c r="C187" s="33" t="s">
        <v>37</v>
      </c>
      <c r="E187" s="12">
        <f>IF(IFERROR(VLOOKUP(2, $P$6:$W$9, 2, FALSE), "")="", 0, IF(VLOOKUP(2, $P$6:$W$9, 5, FALSE)=1, 0, B187))</f>
        <v>0</v>
      </c>
      <c r="F187" s="36" t="str">
        <f>IF(ISTEXT(E187), MAX(F$185:F186) + 1, "")</f>
        <v/>
      </c>
      <c r="G187" s="36">
        <f>IF(ISTEXT(E177), MAX(G$185:G186) + 1, "")</f>
        <v>3</v>
      </c>
      <c r="Y187" s="54"/>
      <c r="Z187" s="54"/>
      <c r="AA187" s="54"/>
      <c r="AB187" s="54"/>
      <c r="AC187" s="54"/>
      <c r="AD187" s="54"/>
    </row>
    <row r="188" spans="1:30" ht="16.95" customHeight="1" x14ac:dyDescent="0.3">
      <c r="A188" s="11" t="s">
        <v>80</v>
      </c>
      <c r="B188" s="33" t="s">
        <v>81</v>
      </c>
      <c r="C188" s="33" t="s">
        <v>38</v>
      </c>
      <c r="D188" s="35" t="s">
        <v>69</v>
      </c>
      <c r="E188" s="12">
        <f>IF(IFERROR(VLOOKUP(2, $P$6:$W$9, 2, FALSE), "")="", 0, IF(VLOOKUP(2, $P$6:$W$9, 6, FALSE)=1, 0, B188))</f>
        <v>0</v>
      </c>
      <c r="F188" s="36" t="str">
        <f>IF(ISTEXT(E188), MAX(F$185:F187) + 1, "")</f>
        <v/>
      </c>
      <c r="G188" s="36">
        <f>IF(ISTEXT(E178), MAX(G$185:G187) + 1, "")</f>
        <v>4</v>
      </c>
      <c r="Y188" s="54"/>
      <c r="Z188" s="54"/>
      <c r="AA188" s="54"/>
      <c r="AB188" s="54"/>
      <c r="AC188" s="54"/>
      <c r="AD188" s="54"/>
    </row>
    <row r="189" spans="1:30" ht="16.95" customHeight="1" x14ac:dyDescent="0.3">
      <c r="B189" s="33" t="s">
        <v>82</v>
      </c>
      <c r="C189" s="33" t="s">
        <v>39</v>
      </c>
      <c r="E189" s="12" t="str">
        <f>IF(IFERROR(VLOOKUP(3, $P$6:$W$9, 2, FALSE), "")="", 0, IF(VLOOKUP(3, $P$6:$W$9, 5, FALSE)=1, 0, B189))</f>
        <v>D3X</v>
      </c>
      <c r="F189" s="36">
        <f>IF(ISTEXT(E189), MAX(F$185:F188) + 1, "")</f>
        <v>1</v>
      </c>
      <c r="G189" s="36" t="str">
        <f>IF(ISTEXT(E179), MAX(G$185:G188) + 1, "")</f>
        <v/>
      </c>
      <c r="Y189" s="54"/>
      <c r="Z189" s="54"/>
      <c r="AA189" s="54"/>
      <c r="AB189" s="54"/>
      <c r="AC189" s="54"/>
      <c r="AD189" s="54"/>
    </row>
    <row r="190" spans="1:30" ht="16.95" customHeight="1" x14ac:dyDescent="0.3">
      <c r="B190" s="33" t="s">
        <v>83</v>
      </c>
      <c r="C190" s="33" t="s">
        <v>40</v>
      </c>
      <c r="E190" s="12" t="str">
        <f>IF(IFERROR(VLOOKUP(3, $P$6:$W$9, 2, FALSE), "")="", 0, IF(VLOOKUP(3, $P$6:$W$9, 6, FALSE)=1, 0, B190))</f>
        <v>D3Y</v>
      </c>
      <c r="F190" s="36">
        <f>IF(ISTEXT(E190), MAX(F$185:F189) + 1, "")</f>
        <v>2</v>
      </c>
      <c r="G190" s="36" t="str">
        <f>IF(ISTEXT(E180), MAX(G$185:G189) + 1, "")</f>
        <v/>
      </c>
      <c r="Y190" s="54"/>
      <c r="Z190" s="54"/>
      <c r="AA190" s="54"/>
      <c r="AB190" s="54"/>
      <c r="AC190" s="54"/>
      <c r="AD190" s="54"/>
    </row>
    <row r="191" spans="1:30" ht="16.95" customHeight="1" x14ac:dyDescent="0.3">
      <c r="B191" s="33" t="s">
        <v>84</v>
      </c>
      <c r="C191" s="33" t="s">
        <v>41</v>
      </c>
      <c r="E191" s="12" t="str">
        <f>IF(IFERROR(VLOOKUP(4, $P$6:$W$9, 2, FALSE), "")="", 0, IF(VLOOKUP(4, $P$6:$W$9, 5, FALSE)=1, 0, B191))</f>
        <v>D4X</v>
      </c>
      <c r="F191" s="36">
        <f>IF(ISTEXT(E191), MAX(F$185:F190) + 1, "")</f>
        <v>3</v>
      </c>
      <c r="G191" s="36" t="str">
        <f>IF(ISTEXT(E181), MAX(G$185:G190) + 1, "")</f>
        <v/>
      </c>
      <c r="Y191" s="54"/>
      <c r="Z191" s="54"/>
      <c r="AA191" s="54"/>
      <c r="AB191" s="54"/>
      <c r="AC191" s="54"/>
      <c r="AD191" s="54"/>
    </row>
    <row r="192" spans="1:30" ht="16.95" customHeight="1" x14ac:dyDescent="0.3">
      <c r="B192" s="33" t="s">
        <v>85</v>
      </c>
      <c r="C192" s="33" t="s">
        <v>42</v>
      </c>
      <c r="E192" s="12" t="str">
        <f>IF(IFERROR(VLOOKUP(4, $P$6:$W$9, 2, FALSE), "")="", 0, IF(VLOOKUP(4, $P$6:$W$9, 6, FALSE)=1, 0, B192))</f>
        <v>D4Y</v>
      </c>
      <c r="F192" s="36">
        <f>IF(ISTEXT(E192), MAX(F$185:F191) + 1, "")</f>
        <v>4</v>
      </c>
      <c r="G192" s="36" t="str">
        <f>IF(ISTEXT(E182), MAX(G$185:G191) + 1, "")</f>
        <v/>
      </c>
      <c r="Y192" s="54"/>
      <c r="Z192" s="54"/>
      <c r="AA192" s="54"/>
      <c r="AB192" s="54"/>
      <c r="AC192" s="54"/>
      <c r="AD192" s="54"/>
    </row>
    <row r="194" spans="1:30" ht="19.95" customHeight="1" x14ac:dyDescent="0.35">
      <c r="A194" s="37" t="s">
        <v>86</v>
      </c>
      <c r="C194" s="61" t="s">
        <v>87</v>
      </c>
      <c r="D194" s="61"/>
      <c r="E194" s="38" t="s">
        <v>88</v>
      </c>
      <c r="Y194" s="52" t="s">
        <v>89</v>
      </c>
      <c r="Z194" s="52"/>
      <c r="AA194" s="52"/>
      <c r="AB194" s="52"/>
      <c r="AC194" s="52"/>
      <c r="AD194" s="52"/>
    </row>
    <row r="195" spans="1:30" ht="16.95" customHeight="1" x14ac:dyDescent="0.3">
      <c r="E195" s="38" t="s">
        <v>90</v>
      </c>
      <c r="Y195" s="54" t="s">
        <v>91</v>
      </c>
      <c r="Z195" s="54"/>
      <c r="AA195" s="54"/>
      <c r="AB195" s="54"/>
      <c r="AC195" s="54"/>
      <c r="AD195" s="54"/>
    </row>
    <row r="196" spans="1:30" ht="16.95" customHeight="1" x14ac:dyDescent="0.3">
      <c r="A196" s="39" t="s">
        <v>92</v>
      </c>
      <c r="C196" s="39" t="s">
        <v>93</v>
      </c>
      <c r="L196" s="39" t="s">
        <v>94</v>
      </c>
      <c r="Y196" s="54" t="s">
        <v>95</v>
      </c>
      <c r="Z196" s="54"/>
      <c r="AA196" s="54"/>
      <c r="AB196" s="54"/>
      <c r="AC196" s="54"/>
      <c r="AD196" s="54"/>
    </row>
    <row r="197" spans="1:30" ht="16.95" customHeight="1" x14ac:dyDescent="0.3">
      <c r="A197" s="40" t="str">
        <f t="shared" ref="A197:A204" si="24">E175</f>
        <v>C1X</v>
      </c>
      <c r="C197" s="21">
        <f t="shared" ref="C197:J204" si="25">B164</f>
        <v>95256</v>
      </c>
      <c r="D197" s="21">
        <f t="shared" si="25"/>
        <v>24192</v>
      </c>
      <c r="E197" s="21">
        <f t="shared" si="25"/>
        <v>-63000</v>
      </c>
      <c r="F197" s="21">
        <f t="shared" si="25"/>
        <v>0</v>
      </c>
      <c r="G197" s="21">
        <f t="shared" si="25"/>
        <v>-32256</v>
      </c>
      <c r="H197" s="21">
        <f t="shared" si="25"/>
        <v>-24192</v>
      </c>
      <c r="I197" s="21">
        <f t="shared" si="25"/>
        <v>0</v>
      </c>
      <c r="J197" s="21">
        <f t="shared" si="25"/>
        <v>0</v>
      </c>
      <c r="K197" s="35" t="s">
        <v>96</v>
      </c>
      <c r="L197" s="33">
        <f t="shared" ref="L197:L204" si="26">E185</f>
        <v>0</v>
      </c>
      <c r="Y197" s="54" t="s">
        <v>97</v>
      </c>
      <c r="Z197" s="54"/>
      <c r="AA197" s="54"/>
      <c r="AB197" s="54"/>
      <c r="AC197" s="54"/>
      <c r="AD197" s="54"/>
    </row>
    <row r="198" spans="1:30" ht="16.95" customHeight="1" x14ac:dyDescent="0.3">
      <c r="A198" s="40" t="str">
        <f t="shared" si="24"/>
        <v>C1Y</v>
      </c>
      <c r="C198" s="21">
        <f t="shared" si="25"/>
        <v>24192</v>
      </c>
      <c r="D198" s="21">
        <f t="shared" si="25"/>
        <v>102144</v>
      </c>
      <c r="E198" s="21">
        <f t="shared" si="25"/>
        <v>0</v>
      </c>
      <c r="F198" s="21">
        <f t="shared" si="25"/>
        <v>0</v>
      </c>
      <c r="G198" s="21">
        <f t="shared" si="25"/>
        <v>-24192</v>
      </c>
      <c r="H198" s="21">
        <f t="shared" si="25"/>
        <v>-18144</v>
      </c>
      <c r="I198" s="21">
        <f t="shared" si="25"/>
        <v>0</v>
      </c>
      <c r="J198" s="21">
        <f t="shared" si="25"/>
        <v>-84000</v>
      </c>
      <c r="K198" s="35" t="s">
        <v>96</v>
      </c>
      <c r="L198" s="33">
        <f t="shared" si="26"/>
        <v>0</v>
      </c>
      <c r="Y198" s="54" t="s">
        <v>98</v>
      </c>
      <c r="Z198" s="54"/>
      <c r="AA198" s="54"/>
      <c r="AB198" s="54"/>
      <c r="AC198" s="54"/>
      <c r="AD198" s="54"/>
    </row>
    <row r="199" spans="1:30" ht="16.95" customHeight="1" x14ac:dyDescent="0.3">
      <c r="A199" s="40" t="str">
        <f t="shared" si="24"/>
        <v>C2X</v>
      </c>
      <c r="C199" s="21">
        <f t="shared" si="25"/>
        <v>-63000</v>
      </c>
      <c r="D199" s="21">
        <f t="shared" si="25"/>
        <v>0</v>
      </c>
      <c r="E199" s="21">
        <f t="shared" si="25"/>
        <v>95256</v>
      </c>
      <c r="F199" s="21">
        <f t="shared" si="25"/>
        <v>-24192</v>
      </c>
      <c r="G199" s="21">
        <f t="shared" si="25"/>
        <v>0</v>
      </c>
      <c r="H199" s="21">
        <f t="shared" si="25"/>
        <v>0</v>
      </c>
      <c r="I199" s="21">
        <f t="shared" si="25"/>
        <v>-32256</v>
      </c>
      <c r="J199" s="21">
        <f t="shared" si="25"/>
        <v>24192</v>
      </c>
      <c r="K199" s="35" t="s">
        <v>96</v>
      </c>
      <c r="L199" s="33">
        <f t="shared" si="26"/>
        <v>0</v>
      </c>
      <c r="Y199" s="54" t="s">
        <v>99</v>
      </c>
      <c r="Z199" s="54"/>
      <c r="AA199" s="54"/>
      <c r="AB199" s="54"/>
      <c r="AC199" s="54"/>
      <c r="AD199" s="54"/>
    </row>
    <row r="200" spans="1:30" ht="16.95" customHeight="1" x14ac:dyDescent="0.3">
      <c r="A200" s="40" t="str">
        <f t="shared" si="24"/>
        <v>C2Y</v>
      </c>
      <c r="C200" s="21">
        <f t="shared" si="25"/>
        <v>0</v>
      </c>
      <c r="D200" s="21">
        <f t="shared" si="25"/>
        <v>0</v>
      </c>
      <c r="E200" s="21">
        <f t="shared" si="25"/>
        <v>-24192</v>
      </c>
      <c r="F200" s="21">
        <f t="shared" si="25"/>
        <v>102144</v>
      </c>
      <c r="G200" s="21">
        <f t="shared" si="25"/>
        <v>0</v>
      </c>
      <c r="H200" s="21">
        <f t="shared" si="25"/>
        <v>-84000</v>
      </c>
      <c r="I200" s="21">
        <f t="shared" si="25"/>
        <v>24192</v>
      </c>
      <c r="J200" s="21">
        <f t="shared" si="25"/>
        <v>-18144</v>
      </c>
      <c r="K200" s="35" t="s">
        <v>96</v>
      </c>
      <c r="L200" s="33">
        <f t="shared" si="26"/>
        <v>0</v>
      </c>
      <c r="Y200" s="54" t="s">
        <v>100</v>
      </c>
      <c r="Z200" s="54"/>
      <c r="AA200" s="54"/>
      <c r="AB200" s="54"/>
      <c r="AC200" s="54"/>
      <c r="AD200" s="54"/>
    </row>
    <row r="201" spans="1:30" ht="16.95" customHeight="1" x14ac:dyDescent="0.3">
      <c r="A201" s="40">
        <f t="shared" si="24"/>
        <v>3500</v>
      </c>
      <c r="B201" s="35" t="s">
        <v>69</v>
      </c>
      <c r="C201" s="21">
        <f t="shared" si="25"/>
        <v>-32256</v>
      </c>
      <c r="D201" s="21">
        <f t="shared" si="25"/>
        <v>-24192</v>
      </c>
      <c r="E201" s="21">
        <f t="shared" si="25"/>
        <v>0</v>
      </c>
      <c r="F201" s="21">
        <f t="shared" si="25"/>
        <v>0</v>
      </c>
      <c r="G201" s="21">
        <f t="shared" si="25"/>
        <v>95256</v>
      </c>
      <c r="H201" s="21">
        <f t="shared" si="25"/>
        <v>24192</v>
      </c>
      <c r="I201" s="21">
        <f t="shared" si="25"/>
        <v>-63000</v>
      </c>
      <c r="J201" s="21">
        <f t="shared" si="25"/>
        <v>0</v>
      </c>
      <c r="K201" s="35" t="s">
        <v>96</v>
      </c>
      <c r="L201" s="33" t="str">
        <f t="shared" si="26"/>
        <v>D3X</v>
      </c>
      <c r="Y201" s="54" t="s">
        <v>101</v>
      </c>
      <c r="Z201" s="54"/>
      <c r="AA201" s="54"/>
      <c r="AB201" s="54"/>
      <c r="AC201" s="54"/>
      <c r="AD201" s="54"/>
    </row>
    <row r="202" spans="1:30" ht="16.95" customHeight="1" x14ac:dyDescent="0.3">
      <c r="A202" s="40">
        <f t="shared" si="24"/>
        <v>-5000</v>
      </c>
      <c r="C202" s="21">
        <f t="shared" si="25"/>
        <v>-24192</v>
      </c>
      <c r="D202" s="21">
        <f t="shared" si="25"/>
        <v>-18144</v>
      </c>
      <c r="E202" s="21">
        <f t="shared" si="25"/>
        <v>0</v>
      </c>
      <c r="F202" s="21">
        <f t="shared" si="25"/>
        <v>-84000</v>
      </c>
      <c r="G202" s="21">
        <f t="shared" si="25"/>
        <v>24192</v>
      </c>
      <c r="H202" s="21">
        <f t="shared" si="25"/>
        <v>102144</v>
      </c>
      <c r="I202" s="21">
        <f t="shared" si="25"/>
        <v>0</v>
      </c>
      <c r="J202" s="21">
        <f t="shared" si="25"/>
        <v>0</v>
      </c>
      <c r="K202" s="35" t="s">
        <v>96</v>
      </c>
      <c r="L202" s="33" t="str">
        <f t="shared" si="26"/>
        <v>D3Y</v>
      </c>
      <c r="Y202" s="54"/>
      <c r="Z202" s="54"/>
      <c r="AA202" s="54"/>
      <c r="AB202" s="54"/>
      <c r="AC202" s="54"/>
      <c r="AD202" s="54"/>
    </row>
    <row r="203" spans="1:30" ht="16.95" customHeight="1" x14ac:dyDescent="0.3">
      <c r="A203" s="40">
        <f t="shared" si="24"/>
        <v>3500</v>
      </c>
      <c r="C203" s="21">
        <f t="shared" si="25"/>
        <v>0</v>
      </c>
      <c r="D203" s="21">
        <f t="shared" si="25"/>
        <v>0</v>
      </c>
      <c r="E203" s="21">
        <f t="shared" si="25"/>
        <v>-32256</v>
      </c>
      <c r="F203" s="21">
        <f t="shared" si="25"/>
        <v>24192</v>
      </c>
      <c r="G203" s="21">
        <f t="shared" si="25"/>
        <v>-63000</v>
      </c>
      <c r="H203" s="21">
        <f t="shared" si="25"/>
        <v>0</v>
      </c>
      <c r="I203" s="21">
        <f t="shared" si="25"/>
        <v>95256</v>
      </c>
      <c r="J203" s="21">
        <f t="shared" si="25"/>
        <v>-24192</v>
      </c>
      <c r="K203" s="35" t="s">
        <v>96</v>
      </c>
      <c r="L203" s="33" t="str">
        <f t="shared" si="26"/>
        <v>D4X</v>
      </c>
      <c r="Y203" s="54"/>
      <c r="Z203" s="54"/>
      <c r="AA203" s="54"/>
      <c r="AB203" s="54"/>
      <c r="AC203" s="54"/>
      <c r="AD203" s="54"/>
    </row>
    <row r="204" spans="1:30" ht="16.95" customHeight="1" x14ac:dyDescent="0.3">
      <c r="A204" s="40">
        <f t="shared" si="24"/>
        <v>0</v>
      </c>
      <c r="C204" s="21">
        <f t="shared" si="25"/>
        <v>0</v>
      </c>
      <c r="D204" s="21">
        <f t="shared" si="25"/>
        <v>-84000</v>
      </c>
      <c r="E204" s="21">
        <f t="shared" si="25"/>
        <v>24192</v>
      </c>
      <c r="F204" s="21">
        <f t="shared" si="25"/>
        <v>-18144</v>
      </c>
      <c r="G204" s="21">
        <f t="shared" si="25"/>
        <v>0</v>
      </c>
      <c r="H204" s="21">
        <f t="shared" si="25"/>
        <v>0</v>
      </c>
      <c r="I204" s="21">
        <f t="shared" si="25"/>
        <v>-24192</v>
      </c>
      <c r="J204" s="21">
        <f t="shared" si="25"/>
        <v>102144</v>
      </c>
      <c r="K204" s="35" t="s">
        <v>96</v>
      </c>
      <c r="L204" s="33" t="str">
        <f t="shared" si="26"/>
        <v>D4Y</v>
      </c>
      <c r="Y204" s="54"/>
      <c r="Z204" s="54"/>
      <c r="AA204" s="54"/>
      <c r="AB204" s="54"/>
      <c r="AC204" s="54"/>
      <c r="AD204" s="54"/>
    </row>
    <row r="207" spans="1:30" ht="19.95" customHeight="1" x14ac:dyDescent="0.35">
      <c r="A207" s="37" t="s">
        <v>102</v>
      </c>
      <c r="Y207" s="52" t="s">
        <v>103</v>
      </c>
      <c r="Z207" s="52"/>
      <c r="AA207" s="52"/>
      <c r="AB207" s="52"/>
      <c r="AC207" s="52"/>
      <c r="AD207" s="52"/>
    </row>
    <row r="208" spans="1:30" ht="16.95" customHeight="1" x14ac:dyDescent="0.3">
      <c r="C208" s="11" t="str">
        <f>IFERROR(INDEX(C$185:C$192, MATCH(1, F$185:F$192, 0)), "-")</f>
        <v>U3X</v>
      </c>
      <c r="D208" s="11" t="str">
        <f>IFERROR(INDEX(C$185:C$192, MATCH(2, F$185:F$192, 0)), "-")</f>
        <v>U3Y</v>
      </c>
      <c r="E208" s="11" t="str">
        <f>IFERROR(INDEX(C$185:C$192, MATCH(3, F$185:F$192, 0)), "-")</f>
        <v>U4X</v>
      </c>
      <c r="F208" s="11" t="str">
        <f>IFERROR(INDEX(C$185:C$192, MATCH(4, F$185:F$192, 0)), "-")</f>
        <v>U4Y</v>
      </c>
      <c r="Y208" s="54" t="s">
        <v>104</v>
      </c>
      <c r="Z208" s="54"/>
      <c r="AA208" s="54"/>
      <c r="AB208" s="54"/>
      <c r="AC208" s="54"/>
      <c r="AD208" s="54"/>
    </row>
    <row r="209" spans="1:30" ht="16.95" customHeight="1" x14ac:dyDescent="0.3">
      <c r="A209" s="41">
        <f>IF($I209="-", 0, IFERROR(INDEX(E$175:E$182, MATCH($I209, C$175:C$182, 0)), 0))</f>
        <v>3500</v>
      </c>
      <c r="C209" s="41">
        <f>IF(OR($I209="-", C$208="-"), 1, IF(OR(IFERROR(INDEX($B$164:$I$171, MATCH($I209, $J$164:$J$171, 0), MATCH($I209, $B$163:$I$163, 0)), 0)=0, IFERROR(INDEX($B$164:$I$171, MATCH(C$208, $J$164:$J$171, 0), MATCH(C$208, $B$163:$I$163, 0)), 0)=0), 1, IFERROR(INDEX($B$164:$I$171, MATCH($I209, $J$164:$J$171, 0), MATCH(C$208, $B$163:$I$163, 0)), 0)))</f>
        <v>95256</v>
      </c>
      <c r="D209" s="41">
        <f>IF(OR($I209="-", D$208="-"), 0, IF(OR(IFERROR(INDEX($B$164:$I$171, MATCH($I209, $J$164:$J$171, 0), MATCH($I209, $B$163:$I$163, 0)), 0)=0, IFERROR(INDEX($B$164:$I$171, MATCH(D$208, $J$164:$J$171, 0), MATCH(D$208, $B$163:$I$163, 0)), 0)=0), 0, IFERROR(INDEX($B$164:$I$171, MATCH($I209, $J$164:$J$171, 0), MATCH(D$208, $B$163:$I$163, 0)), 0)))</f>
        <v>24192</v>
      </c>
      <c r="E209" s="41">
        <f>IF(OR($I209="-", E$208="-"), 0, IF(OR(IFERROR(INDEX($B$164:$I$171, MATCH($I209, $J$164:$J$171, 0), MATCH($I209, $B$163:$I$163, 0)), 0)=0, IFERROR(INDEX($B$164:$I$171, MATCH(E$208, $J$164:$J$171, 0), MATCH(E$208, $B$163:$I$163, 0)), 0)=0), 0, IFERROR(INDEX($B$164:$I$171, MATCH($I209, $J$164:$J$171, 0), MATCH(E$208, $B$163:$I$163, 0)), 0)))</f>
        <v>-63000</v>
      </c>
      <c r="F209" s="41">
        <f>IF(OR($I209="-", F$208="-"), 0, IF(OR(IFERROR(INDEX($B$164:$I$171, MATCH($I209, $J$164:$J$171, 0), MATCH($I209, $B$163:$I$163, 0)), 0)=0, IFERROR(INDEX($B$164:$I$171, MATCH(F$208, $J$164:$J$171, 0), MATCH(F$208, $B$163:$I$163, 0)), 0)=0), 0, IFERROR(INDEX($B$164:$I$171, MATCH($I209, $J$164:$J$171, 0), MATCH(F$208, $B$163:$I$163, 0)), 0)))</f>
        <v>0</v>
      </c>
      <c r="G209" s="35" t="s">
        <v>96</v>
      </c>
      <c r="H209" s="11" t="str">
        <f>IFERROR(INDEX(B$185:B$192, MATCH(1, F$185:F$192, 0)), "-")</f>
        <v>D3X</v>
      </c>
      <c r="I209" s="36" t="str">
        <f>IFERROR(INDEX(C$185:C$192, MATCH(1, F$185:F$192, 0)), "-")</f>
        <v>U3X</v>
      </c>
      <c r="Y209" s="54" t="s">
        <v>105</v>
      </c>
      <c r="Z209" s="54"/>
      <c r="AA209" s="54"/>
      <c r="AB209" s="54"/>
      <c r="AC209" s="54"/>
      <c r="AD209" s="54"/>
    </row>
    <row r="210" spans="1:30" ht="16.95" customHeight="1" x14ac:dyDescent="0.3">
      <c r="A210" s="41">
        <f>IF($I210="-", 0, IFERROR(INDEX(E$175:E$182, MATCH($I210, C$175:C$182, 0)), 0))</f>
        <v>-5000</v>
      </c>
      <c r="C210" s="41">
        <f>IF(OR($I210="-", C$208="-"), 0, IF(OR(IFERROR(INDEX($B$164:$I$171, MATCH($I210, $J$164:$J$171, 0), MATCH($I210, $B$163:$I$163, 0)), 0)=0, IFERROR(INDEX($B$164:$I$171, MATCH(C$208, $J$164:$J$171, 0), MATCH(C$208, $B$163:$I$163, 0)), 0)=0), 0, IFERROR(INDEX($B$164:$I$171, MATCH($I210, $J$164:$J$171, 0), MATCH(C$208, $B$163:$I$163, 0)), 0)))</f>
        <v>24192</v>
      </c>
      <c r="D210" s="41">
        <f>IF(OR($I210="-", D$208="-"), 1, IF(OR(IFERROR(INDEX($B$164:$I$171, MATCH($I210, $J$164:$J$171, 0), MATCH($I210, $B$163:$I$163, 0)), 0)=0, IFERROR(INDEX($B$164:$I$171, MATCH(D$208, $J$164:$J$171, 0), MATCH(D$208, $B$163:$I$163, 0)), 0)=0), 1, IFERROR(INDEX($B$164:$I$171, MATCH($I210, $J$164:$J$171, 0), MATCH(D$208, $B$163:$I$163, 0)), 0)))</f>
        <v>102144</v>
      </c>
      <c r="E210" s="41">
        <f>IF(OR($I210="-", E$208="-"), 0, IF(OR(IFERROR(INDEX($B$164:$I$171, MATCH($I210, $J$164:$J$171, 0), MATCH($I210, $B$163:$I$163, 0)), 0)=0, IFERROR(INDEX($B$164:$I$171, MATCH(E$208, $J$164:$J$171, 0), MATCH(E$208, $B$163:$I$163, 0)), 0)=0), 0, IFERROR(INDEX($B$164:$I$171, MATCH($I210, $J$164:$J$171, 0), MATCH(E$208, $B$163:$I$163, 0)), 0)))</f>
        <v>0</v>
      </c>
      <c r="F210" s="41">
        <f>IF(OR($I210="-", F$208="-"), 0, IF(OR(IFERROR(INDEX($B$164:$I$171, MATCH($I210, $J$164:$J$171, 0), MATCH($I210, $B$163:$I$163, 0)), 0)=0, IFERROR(INDEX($B$164:$I$171, MATCH(F$208, $J$164:$J$171, 0), MATCH(F$208, $B$163:$I$163, 0)), 0)=0), 0, IFERROR(INDEX($B$164:$I$171, MATCH($I210, $J$164:$J$171, 0), MATCH(F$208, $B$163:$I$163, 0)), 0)))</f>
        <v>0</v>
      </c>
      <c r="G210" s="35" t="s">
        <v>96</v>
      </c>
      <c r="H210" s="11" t="str">
        <f>IFERROR(INDEX(B$185:B$192, MATCH(2, F$185:F$192, 0)), "-")</f>
        <v>D3Y</v>
      </c>
      <c r="I210" s="36" t="str">
        <f>IFERROR(INDEX(C$185:C$192, MATCH(2, F$185:F$192, 0)), "-")</f>
        <v>U3Y</v>
      </c>
      <c r="Y210" s="54" t="s">
        <v>106</v>
      </c>
      <c r="Z210" s="54"/>
      <c r="AA210" s="54"/>
      <c r="AB210" s="54"/>
      <c r="AC210" s="54"/>
      <c r="AD210" s="54"/>
    </row>
    <row r="211" spans="1:30" ht="16.95" customHeight="1" x14ac:dyDescent="0.3">
      <c r="A211" s="41">
        <f>IF($I211="-", 0, IFERROR(INDEX(E$175:E$182, MATCH($I211, C$175:C$182, 0)), 0))</f>
        <v>3500</v>
      </c>
      <c r="B211" s="35" t="s">
        <v>69</v>
      </c>
      <c r="C211" s="41">
        <f>IF(OR($I211="-", C$208="-"), 0, IF(OR(IFERROR(INDEX($B$164:$I$171, MATCH($I211, $J$164:$J$171, 0), MATCH($I211, $B$163:$I$163, 0)), 0)=0, IFERROR(INDEX($B$164:$I$171, MATCH(C$208, $J$164:$J$171, 0), MATCH(C$208, $B$163:$I$163, 0)), 0)=0), 0, IFERROR(INDEX($B$164:$I$171, MATCH($I211, $J$164:$J$171, 0), MATCH(C$208, $B$163:$I$163, 0)), 0)))</f>
        <v>-63000</v>
      </c>
      <c r="D211" s="41">
        <f>IF(OR($I211="-", D$208="-"), 0, IF(OR(IFERROR(INDEX($B$164:$I$171, MATCH($I211, $J$164:$J$171, 0), MATCH($I211, $B$163:$I$163, 0)), 0)=0, IFERROR(INDEX($B$164:$I$171, MATCH(D$208, $J$164:$J$171, 0), MATCH(D$208, $B$163:$I$163, 0)), 0)=0), 0, IFERROR(INDEX($B$164:$I$171, MATCH($I211, $J$164:$J$171, 0), MATCH(D$208, $B$163:$I$163, 0)), 0)))</f>
        <v>0</v>
      </c>
      <c r="E211" s="41">
        <f>IF(OR($I211="-", E$208="-"), 1, IF(OR(IFERROR(INDEX($B$164:$I$171, MATCH($I211, $J$164:$J$171, 0), MATCH($I211, $B$163:$I$163, 0)), 0)=0, IFERROR(INDEX($B$164:$I$171, MATCH(E$208, $J$164:$J$171, 0), MATCH(E$208, $B$163:$I$163, 0)), 0)=0), 1, IFERROR(INDEX($B$164:$I$171, MATCH($I211, $J$164:$J$171, 0), MATCH(E$208, $B$163:$I$163, 0)), 0)))</f>
        <v>95256</v>
      </c>
      <c r="F211" s="41">
        <f>IF(OR($I211="-", F$208="-"), 0, IF(OR(IFERROR(INDEX($B$164:$I$171, MATCH($I211, $J$164:$J$171, 0), MATCH($I211, $B$163:$I$163, 0)), 0)=0, IFERROR(INDEX($B$164:$I$171, MATCH(F$208, $J$164:$J$171, 0), MATCH(F$208, $B$163:$I$163, 0)), 0)=0), 0, IFERROR(INDEX($B$164:$I$171, MATCH($I211, $J$164:$J$171, 0), MATCH(F$208, $B$163:$I$163, 0)), 0)))</f>
        <v>-24192</v>
      </c>
      <c r="G211" s="35" t="s">
        <v>96</v>
      </c>
      <c r="H211" s="11" t="str">
        <f>IFERROR(INDEX(B$185:B$192, MATCH(3, F$185:F$192, 0)), "-")</f>
        <v>D4X</v>
      </c>
      <c r="I211" s="36" t="str">
        <f>IFERROR(INDEX(C$185:C$192, MATCH(3, F$185:F$192, 0)), "-")</f>
        <v>U4X</v>
      </c>
      <c r="Y211" s="54" t="s">
        <v>107</v>
      </c>
      <c r="Z211" s="54"/>
      <c r="AA211" s="54"/>
      <c r="AB211" s="54"/>
      <c r="AC211" s="54"/>
      <c r="AD211" s="54"/>
    </row>
    <row r="212" spans="1:30" ht="16.95" customHeight="1" x14ac:dyDescent="0.3">
      <c r="A212" s="41">
        <f>IF($I212="-", 0, IFERROR(INDEX(E$175:E$182, MATCH($I212, C$175:C$182, 0)), 0))</f>
        <v>0</v>
      </c>
      <c r="C212" s="41">
        <f>IF(OR($I212="-", C$208="-"), 0, IF(OR(IFERROR(INDEX($B$164:$I$171, MATCH($I212, $J$164:$J$171, 0), MATCH($I212, $B$163:$I$163, 0)), 0)=0, IFERROR(INDEX($B$164:$I$171, MATCH(C$208, $J$164:$J$171, 0), MATCH(C$208, $B$163:$I$163, 0)), 0)=0), 0, IFERROR(INDEX($B$164:$I$171, MATCH($I212, $J$164:$J$171, 0), MATCH(C$208, $B$163:$I$163, 0)), 0)))</f>
        <v>0</v>
      </c>
      <c r="D212" s="41">
        <f>IF(OR($I212="-", D$208="-"), 0, IF(OR(IFERROR(INDEX($B$164:$I$171, MATCH($I212, $J$164:$J$171, 0), MATCH($I212, $B$163:$I$163, 0)), 0)=0, IFERROR(INDEX($B$164:$I$171, MATCH(D$208, $J$164:$J$171, 0), MATCH(D$208, $B$163:$I$163, 0)), 0)=0), 0, IFERROR(INDEX($B$164:$I$171, MATCH($I212, $J$164:$J$171, 0), MATCH(D$208, $B$163:$I$163, 0)), 0)))</f>
        <v>0</v>
      </c>
      <c r="E212" s="41">
        <f>IF(OR($I212="-", E$208="-"), 0, IF(OR(IFERROR(INDEX($B$164:$I$171, MATCH($I212, $J$164:$J$171, 0), MATCH($I212, $B$163:$I$163, 0)), 0)=0, IFERROR(INDEX($B$164:$I$171, MATCH(E$208, $J$164:$J$171, 0), MATCH(E$208, $B$163:$I$163, 0)), 0)=0), 0, IFERROR(INDEX($B$164:$I$171, MATCH($I212, $J$164:$J$171, 0), MATCH(E$208, $B$163:$I$163, 0)), 0)))</f>
        <v>-24192</v>
      </c>
      <c r="F212" s="41">
        <f>IF(OR($I212="-", F$208="-"), 1, IF(OR(IFERROR(INDEX($B$164:$I$171, MATCH($I212, $J$164:$J$171, 0), MATCH($I212, $B$163:$I$163, 0)), 0)=0, IFERROR(INDEX($B$164:$I$171, MATCH(F$208, $J$164:$J$171, 0), MATCH(F$208, $B$163:$I$163, 0)), 0)=0), 1, IFERROR(INDEX($B$164:$I$171, MATCH($I212, $J$164:$J$171, 0), MATCH(F$208, $B$163:$I$163, 0)), 0)))</f>
        <v>102144</v>
      </c>
      <c r="G212" s="35" t="s">
        <v>96</v>
      </c>
      <c r="H212" s="11" t="str">
        <f>IFERROR(INDEX(B$185:B$192, MATCH(4, F$185:F$192, 0)), "-")</f>
        <v>D4Y</v>
      </c>
      <c r="I212" s="36" t="str">
        <f>IFERROR(INDEX(C$185:C$192, MATCH(4, F$185:F$192, 0)), "-")</f>
        <v>U4Y</v>
      </c>
      <c r="Y212" s="54"/>
      <c r="Z212" s="54"/>
      <c r="AA212" s="54"/>
      <c r="AB212" s="54"/>
      <c r="AC212" s="54"/>
      <c r="AD212" s="54"/>
    </row>
    <row r="213" spans="1:30" ht="16.95" customHeight="1" x14ac:dyDescent="0.3">
      <c r="Y213" s="54"/>
      <c r="Z213" s="54"/>
      <c r="AA213" s="54"/>
      <c r="AB213" s="54"/>
      <c r="AC213" s="54"/>
      <c r="AD213" s="54"/>
    </row>
    <row r="214" spans="1:30" ht="16.95" customHeight="1" x14ac:dyDescent="0.3">
      <c r="C214" s="61" t="s">
        <v>108</v>
      </c>
      <c r="D214" s="61"/>
      <c r="E214" s="61"/>
      <c r="F214" s="61"/>
      <c r="Y214" s="54"/>
      <c r="Z214" s="54"/>
      <c r="AA214" s="54"/>
      <c r="AB214" s="54"/>
      <c r="AC214" s="54"/>
      <c r="AD214" s="54"/>
    </row>
    <row r="215" spans="1:30" ht="16.95" customHeight="1" x14ac:dyDescent="0.3">
      <c r="A215" s="39" t="s">
        <v>94</v>
      </c>
      <c r="C215" s="55" t="s">
        <v>109</v>
      </c>
      <c r="D215" s="51"/>
      <c r="E215" s="51"/>
      <c r="F215" s="51"/>
      <c r="H215" s="39" t="s">
        <v>92</v>
      </c>
      <c r="Y215" s="54"/>
      <c r="Z215" s="54"/>
      <c r="AA215" s="54"/>
      <c r="AB215" s="54"/>
      <c r="AC215" s="54"/>
      <c r="AD215" s="54"/>
    </row>
    <row r="216" spans="1:30" ht="16.95" customHeight="1" x14ac:dyDescent="0.3">
      <c r="A216" s="33" t="str">
        <f>H209</f>
        <v>D3X</v>
      </c>
      <c r="C216" s="42">
        <f t="array" ref="C216:F219">MINVERSE(C209:F212)</f>
        <v>2.2127329192546581E-5</v>
      </c>
      <c r="D216" s="42">
        <v>-5.2406832298136638E-6</v>
      </c>
      <c r="E216" s="42">
        <v>1.5571083505866112E-5</v>
      </c>
      <c r="F216" s="42">
        <v>3.6878881987577629E-6</v>
      </c>
      <c r="H216" s="40">
        <f>A209</f>
        <v>3500</v>
      </c>
      <c r="Y216" s="54"/>
      <c r="Z216" s="54"/>
      <c r="AA216" s="54"/>
      <c r="AB216" s="54"/>
      <c r="AC216" s="54"/>
      <c r="AD216" s="54"/>
    </row>
    <row r="217" spans="1:30" ht="16.95" customHeight="1" x14ac:dyDescent="0.3">
      <c r="A217" s="33" t="str">
        <f>H210</f>
        <v>D3Y</v>
      </c>
      <c r="C217" s="42">
        <v>-5.2406832298136638E-6</v>
      </c>
      <c r="D217" s="42">
        <v>1.103131469979296E-5</v>
      </c>
      <c r="E217" s="42">
        <v>-3.6878881987577633E-6</v>
      </c>
      <c r="F217" s="42">
        <v>-8.7344720496894396E-7</v>
      </c>
      <c r="H217" s="40">
        <f>A210</f>
        <v>-5000</v>
      </c>
      <c r="Y217" s="54"/>
      <c r="Z217" s="54"/>
      <c r="AA217" s="54"/>
      <c r="AB217" s="54"/>
      <c r="AC217" s="54"/>
      <c r="AD217" s="54"/>
    </row>
    <row r="218" spans="1:30" ht="16.95" customHeight="1" x14ac:dyDescent="0.3">
      <c r="A218" s="33" t="str">
        <f>H211</f>
        <v>D4X</v>
      </c>
      <c r="B218" s="35" t="s">
        <v>69</v>
      </c>
      <c r="C218" s="42">
        <v>1.5571083505866112E-5</v>
      </c>
      <c r="D218" s="42">
        <v>-3.6878881987577638E-6</v>
      </c>
      <c r="E218" s="42">
        <v>2.2127329192546581E-5</v>
      </c>
      <c r="F218" s="42">
        <v>5.2406832298136638E-6</v>
      </c>
      <c r="H218" s="40">
        <f>A211</f>
        <v>3500</v>
      </c>
      <c r="Y218" s="54"/>
      <c r="Z218" s="54"/>
      <c r="AA218" s="54"/>
      <c r="AB218" s="54"/>
      <c r="AC218" s="54"/>
      <c r="AD218" s="54"/>
    </row>
    <row r="219" spans="1:30" ht="16.95" customHeight="1" x14ac:dyDescent="0.3">
      <c r="A219" s="33" t="str">
        <f>H212</f>
        <v>D4Y</v>
      </c>
      <c r="C219" s="42">
        <v>3.6878881987577638E-6</v>
      </c>
      <c r="D219" s="42">
        <v>-8.7344720496894386E-7</v>
      </c>
      <c r="E219" s="42">
        <v>5.2406832298136638E-6</v>
      </c>
      <c r="F219" s="42">
        <v>1.103131469979296E-5</v>
      </c>
      <c r="H219" s="40">
        <f>A212</f>
        <v>0</v>
      </c>
      <c r="Y219" s="54"/>
      <c r="Z219" s="54"/>
      <c r="AA219" s="54"/>
      <c r="AB219" s="54"/>
      <c r="AC219" s="54"/>
      <c r="AD219" s="54"/>
    </row>
    <row r="220" spans="1:30" ht="16.95" customHeight="1" x14ac:dyDescent="0.3">
      <c r="Y220" s="54"/>
      <c r="Z220" s="54"/>
      <c r="AA220" s="54"/>
      <c r="AB220" s="54"/>
      <c r="AC220" s="54"/>
      <c r="AD220" s="54"/>
    </row>
    <row r="221" spans="1:30" ht="16.95" customHeight="1" x14ac:dyDescent="0.3">
      <c r="C221" s="61" t="s">
        <v>110</v>
      </c>
      <c r="D221" s="61"/>
      <c r="Y221" s="54"/>
      <c r="Z221" s="54"/>
      <c r="AA221" s="54"/>
      <c r="AB221" s="54"/>
      <c r="AC221" s="54"/>
      <c r="AD221" s="54"/>
    </row>
    <row r="222" spans="1:30" ht="16.95" customHeight="1" x14ac:dyDescent="0.3">
      <c r="A222" s="39" t="s">
        <v>94</v>
      </c>
      <c r="C222" s="39" t="s">
        <v>111</v>
      </c>
      <c r="Y222" s="54"/>
      <c r="Z222" s="54"/>
      <c r="AA222" s="54"/>
      <c r="AB222" s="54"/>
      <c r="AC222" s="54"/>
      <c r="AD222" s="54"/>
    </row>
    <row r="223" spans="1:30" ht="16.95" customHeight="1" x14ac:dyDescent="0.3">
      <c r="A223" s="33" t="str">
        <f>A216</f>
        <v>D3X</v>
      </c>
      <c r="C223" s="43">
        <f t="array" ref="C223:C226">MMULT(C216:F219, H216:H219)</f>
        <v>0.15814786059351274</v>
      </c>
      <c r="D223" s="33" t="s">
        <v>112</v>
      </c>
      <c r="Y223" s="54"/>
      <c r="Z223" s="54"/>
      <c r="AA223" s="54"/>
      <c r="AB223" s="54"/>
      <c r="AC223" s="54"/>
      <c r="AD223" s="54"/>
    </row>
    <row r="224" spans="1:30" ht="16.95" customHeight="1" x14ac:dyDescent="0.3">
      <c r="A224" s="33" t="str">
        <f>A217</f>
        <v>D3Y</v>
      </c>
      <c r="C224" s="43">
        <v>-8.64065734989648E-2</v>
      </c>
      <c r="D224" s="33" t="s">
        <v>112</v>
      </c>
      <c r="Y224" s="54"/>
      <c r="Z224" s="54"/>
      <c r="AA224" s="54"/>
      <c r="AB224" s="54"/>
      <c r="AC224" s="54"/>
      <c r="AD224" s="54"/>
    </row>
    <row r="225" spans="1:30" ht="16.95" customHeight="1" x14ac:dyDescent="0.3">
      <c r="A225" s="33" t="str">
        <f>A218</f>
        <v>D4X</v>
      </c>
      <c r="B225" s="35" t="s">
        <v>69</v>
      </c>
      <c r="C225" s="43">
        <v>0.15038388543823322</v>
      </c>
      <c r="D225" s="33" t="s">
        <v>112</v>
      </c>
      <c r="Y225" s="54"/>
      <c r="Z225" s="54"/>
      <c r="AA225" s="54"/>
      <c r="AB225" s="54"/>
      <c r="AC225" s="54"/>
      <c r="AD225" s="54"/>
    </row>
    <row r="226" spans="1:30" ht="16.95" customHeight="1" x14ac:dyDescent="0.3">
      <c r="A226" s="33" t="str">
        <f>A219</f>
        <v>D4Y</v>
      </c>
      <c r="C226" s="43">
        <v>3.561723602484472E-2</v>
      </c>
      <c r="D226" s="33" t="s">
        <v>112</v>
      </c>
      <c r="Y226" s="54"/>
      <c r="Z226" s="54"/>
      <c r="AA226" s="54"/>
      <c r="AB226" s="54"/>
      <c r="AC226" s="54"/>
      <c r="AD226" s="54"/>
    </row>
    <row r="229" spans="1:30" ht="19.95" customHeight="1" x14ac:dyDescent="0.35">
      <c r="A229" s="32" t="s">
        <v>113</v>
      </c>
      <c r="Y229" s="52" t="s">
        <v>114</v>
      </c>
      <c r="Z229" s="52"/>
      <c r="AA229" s="52"/>
      <c r="AB229" s="52"/>
      <c r="AC229" s="52"/>
      <c r="AD229" s="52"/>
    </row>
    <row r="230" spans="1:30" ht="16.95" customHeight="1" x14ac:dyDescent="0.3">
      <c r="A230" s="39" t="s">
        <v>92</v>
      </c>
      <c r="H230" s="39" t="s">
        <v>94</v>
      </c>
      <c r="Y230" s="54" t="s">
        <v>115</v>
      </c>
      <c r="Z230" s="54"/>
      <c r="AA230" s="54"/>
      <c r="AB230" s="54"/>
      <c r="AC230" s="54"/>
      <c r="AD230" s="54"/>
    </row>
    <row r="231" spans="1:30" ht="16.95" customHeight="1" x14ac:dyDescent="0.3">
      <c r="A231" s="44" t="str">
        <f>IF($I231="-", "-", IFERROR(INDEX(B$175:B$182, MATCH($I231, C$175:C$182, 0)), "-"))</f>
        <v>C1X</v>
      </c>
      <c r="C231" s="21">
        <f t="shared" ref="C231:F234" si="27">IF(OR($I231="-", C$208="-"), 0, IFERROR(INDEX($B$164:$I$171, MATCH($I231, $J$164:$J$171, 0), MATCH(C$208, $B$163:$I$163, 0)), 0))</f>
        <v>-32256</v>
      </c>
      <c r="D231" s="21">
        <f t="shared" si="27"/>
        <v>-24192</v>
      </c>
      <c r="E231" s="21">
        <f t="shared" si="27"/>
        <v>0</v>
      </c>
      <c r="F231" s="21">
        <f t="shared" si="27"/>
        <v>0</v>
      </c>
      <c r="H231" s="45">
        <f>C223</f>
        <v>0.15814786059351274</v>
      </c>
      <c r="I231" s="36" t="str">
        <f>IFERROR(INDEX(C$185:C$192, MATCH(1, G$185:G$192, 0)), "-")</f>
        <v>U1X</v>
      </c>
      <c r="Y231" s="54" t="s">
        <v>116</v>
      </c>
      <c r="Z231" s="54"/>
      <c r="AA231" s="54"/>
      <c r="AB231" s="54"/>
      <c r="AC231" s="54"/>
      <c r="AD231" s="54"/>
    </row>
    <row r="232" spans="1:30" ht="16.95" customHeight="1" x14ac:dyDescent="0.3">
      <c r="A232" s="44" t="str">
        <f>IF($I232="-", "-", IFERROR(INDEX(B$175:B$182, MATCH($I232, C$175:C$182, 0)), "-"))</f>
        <v>C1Y</v>
      </c>
      <c r="C232" s="21">
        <f t="shared" si="27"/>
        <v>-24192</v>
      </c>
      <c r="D232" s="21">
        <f t="shared" si="27"/>
        <v>-18144</v>
      </c>
      <c r="E232" s="21">
        <f t="shared" si="27"/>
        <v>0</v>
      </c>
      <c r="F232" s="21">
        <f t="shared" si="27"/>
        <v>-84000</v>
      </c>
      <c r="H232" s="45">
        <f>C224</f>
        <v>-8.64065734989648E-2</v>
      </c>
      <c r="I232" s="36" t="str">
        <f>IFERROR(INDEX(C$185:C$192, MATCH(2, G$185:G$192, 0)), "-")</f>
        <v>U1Y</v>
      </c>
      <c r="Y232" s="54" t="s">
        <v>117</v>
      </c>
      <c r="Z232" s="54"/>
      <c r="AA232" s="54"/>
      <c r="AB232" s="54"/>
      <c r="AC232" s="54"/>
      <c r="AD232" s="54"/>
    </row>
    <row r="233" spans="1:30" ht="16.95" customHeight="1" x14ac:dyDescent="0.3">
      <c r="A233" s="44" t="str">
        <f>IF($I233="-", "-", IFERROR(INDEX(B$175:B$182, MATCH($I233, C$175:C$182, 0)), "-"))</f>
        <v>C2X</v>
      </c>
      <c r="B233" s="35" t="s">
        <v>69</v>
      </c>
      <c r="C233" s="21">
        <f t="shared" si="27"/>
        <v>0</v>
      </c>
      <c r="D233" s="21">
        <f t="shared" si="27"/>
        <v>0</v>
      </c>
      <c r="E233" s="21">
        <f t="shared" si="27"/>
        <v>-32256</v>
      </c>
      <c r="F233" s="21">
        <f t="shared" si="27"/>
        <v>24192</v>
      </c>
      <c r="H233" s="45">
        <f>C225</f>
        <v>0.15038388543823322</v>
      </c>
      <c r="I233" s="36" t="str">
        <f>IFERROR(INDEX(C$185:C$192, MATCH(3, G$185:G$192, 0)), "-")</f>
        <v>U2X</v>
      </c>
      <c r="Y233" s="54"/>
      <c r="Z233" s="54"/>
      <c r="AA233" s="54"/>
      <c r="AB233" s="54"/>
      <c r="AC233" s="54"/>
      <c r="AD233" s="54"/>
    </row>
    <row r="234" spans="1:30" ht="16.95" customHeight="1" x14ac:dyDescent="0.3">
      <c r="A234" s="44" t="str">
        <f>IF($I234="-", "-", IFERROR(INDEX(B$175:B$182, MATCH($I234, C$175:C$182, 0)), "-"))</f>
        <v>C2Y</v>
      </c>
      <c r="C234" s="21">
        <f t="shared" si="27"/>
        <v>0</v>
      </c>
      <c r="D234" s="21">
        <f t="shared" si="27"/>
        <v>-84000</v>
      </c>
      <c r="E234" s="21">
        <f t="shared" si="27"/>
        <v>24192</v>
      </c>
      <c r="F234" s="21">
        <f t="shared" si="27"/>
        <v>-18144</v>
      </c>
      <c r="H234" s="45">
        <f>C226</f>
        <v>3.561723602484472E-2</v>
      </c>
      <c r="I234" s="36" t="str">
        <f>IFERROR(INDEX(C$185:C$192, MATCH(4, G$185:G$192, 0)), "-")</f>
        <v>U2Y</v>
      </c>
      <c r="Y234" s="54"/>
      <c r="Z234" s="54"/>
      <c r="AA234" s="54"/>
      <c r="AB234" s="54"/>
      <c r="AC234" s="54"/>
      <c r="AD234" s="54"/>
    </row>
    <row r="235" spans="1:30" ht="16.95" customHeight="1" x14ac:dyDescent="0.3">
      <c r="Y235" s="54"/>
      <c r="Z235" s="54"/>
      <c r="AA235" s="54"/>
      <c r="AB235" s="54"/>
      <c r="AC235" s="54"/>
      <c r="AD235" s="54"/>
    </row>
    <row r="236" spans="1:30" ht="16.95" customHeight="1" x14ac:dyDescent="0.3">
      <c r="A236" s="33" t="str">
        <f>A231</f>
        <v>C1X</v>
      </c>
      <c r="C236" s="40">
        <f t="array" ref="C236:C239">MMULT(C231:F234, H231:H234)</f>
        <v>-3010.8695652173906</v>
      </c>
      <c r="D236" s="33" t="s">
        <v>118</v>
      </c>
      <c r="Y236" s="54"/>
      <c r="Z236" s="54"/>
      <c r="AA236" s="54"/>
      <c r="AB236" s="54"/>
      <c r="AC236" s="54"/>
      <c r="AD236" s="54"/>
    </row>
    <row r="237" spans="1:30" ht="16.95" customHeight="1" x14ac:dyDescent="0.3">
      <c r="A237" s="33" t="str">
        <f>A232</f>
        <v>C1Y</v>
      </c>
      <c r="C237" s="40">
        <v>-5250</v>
      </c>
      <c r="D237" s="33" t="s">
        <v>118</v>
      </c>
      <c r="Y237" s="54"/>
      <c r="Z237" s="54"/>
      <c r="AA237" s="54"/>
      <c r="AB237" s="54"/>
      <c r="AC237" s="54"/>
      <c r="AD237" s="54"/>
    </row>
    <row r="238" spans="1:30" ht="16.95" customHeight="1" x14ac:dyDescent="0.3">
      <c r="A238" s="33" t="str">
        <f>A233</f>
        <v>C2X</v>
      </c>
      <c r="B238" s="35" t="s">
        <v>69</v>
      </c>
      <c r="C238" s="40">
        <v>-3989.1304347826076</v>
      </c>
      <c r="D238" s="33" t="s">
        <v>118</v>
      </c>
      <c r="Y238" s="54"/>
      <c r="Z238" s="54"/>
      <c r="AA238" s="54"/>
      <c r="AB238" s="54"/>
      <c r="AC238" s="54"/>
      <c r="AD238" s="54"/>
    </row>
    <row r="239" spans="1:30" ht="16.95" customHeight="1" x14ac:dyDescent="0.3">
      <c r="A239" s="33" t="str">
        <f>A234</f>
        <v>C2Y</v>
      </c>
      <c r="C239" s="40">
        <v>10249.999999999998</v>
      </c>
      <c r="D239" s="33" t="s">
        <v>118</v>
      </c>
      <c r="Y239" s="54"/>
      <c r="Z239" s="54"/>
      <c r="AA239" s="54"/>
      <c r="AB239" s="54"/>
      <c r="AC239" s="54"/>
      <c r="AD239" s="54"/>
    </row>
    <row r="242" spans="1:30" ht="19.95" customHeight="1" x14ac:dyDescent="0.35">
      <c r="A242" s="32" t="s">
        <v>119</v>
      </c>
    </row>
    <row r="244" spans="1:30" ht="19.05" customHeight="1" x14ac:dyDescent="0.3">
      <c r="A244" s="33" t="s">
        <v>77</v>
      </c>
      <c r="B244" s="33" t="s">
        <v>35</v>
      </c>
      <c r="D244" s="43">
        <f t="shared" ref="D244:D251" si="28">IFERROR(INDEX(C$223:C$226, MATCH(A244, A$223:A$226, 0)), 0)</f>
        <v>0</v>
      </c>
    </row>
    <row r="245" spans="1:30" ht="19.05" customHeight="1" x14ac:dyDescent="0.3">
      <c r="A245" s="33" t="s">
        <v>78</v>
      </c>
      <c r="B245" s="33" t="s">
        <v>36</v>
      </c>
      <c r="D245" s="43">
        <f t="shared" si="28"/>
        <v>0</v>
      </c>
    </row>
    <row r="246" spans="1:30" ht="19.05" customHeight="1" x14ac:dyDescent="0.3">
      <c r="A246" s="33" t="s">
        <v>79</v>
      </c>
      <c r="B246" s="33" t="s">
        <v>37</v>
      </c>
      <c r="D246" s="43">
        <f t="shared" si="28"/>
        <v>0</v>
      </c>
    </row>
    <row r="247" spans="1:30" ht="19.05" customHeight="1" x14ac:dyDescent="0.3">
      <c r="A247" s="33" t="s">
        <v>81</v>
      </c>
      <c r="B247" s="33" t="s">
        <v>38</v>
      </c>
      <c r="D247" s="43">
        <f t="shared" si="28"/>
        <v>0</v>
      </c>
    </row>
    <row r="248" spans="1:30" ht="19.05" customHeight="1" x14ac:dyDescent="0.3">
      <c r="A248" s="33" t="s">
        <v>82</v>
      </c>
      <c r="B248" s="33" t="s">
        <v>39</v>
      </c>
      <c r="D248" s="43">
        <f t="shared" si="28"/>
        <v>0.15814786059351274</v>
      </c>
    </row>
    <row r="249" spans="1:30" ht="19.05" customHeight="1" x14ac:dyDescent="0.3">
      <c r="A249" s="33" t="s">
        <v>83</v>
      </c>
      <c r="B249" s="33" t="s">
        <v>40</v>
      </c>
      <c r="D249" s="43">
        <f t="shared" si="28"/>
        <v>-8.64065734989648E-2</v>
      </c>
    </row>
    <row r="250" spans="1:30" ht="19.05" customHeight="1" x14ac:dyDescent="0.3">
      <c r="A250" s="33" t="s">
        <v>84</v>
      </c>
      <c r="B250" s="33" t="s">
        <v>41</v>
      </c>
      <c r="D250" s="43">
        <f t="shared" si="28"/>
        <v>0.15038388543823322</v>
      </c>
    </row>
    <row r="251" spans="1:30" ht="19.05" customHeight="1" x14ac:dyDescent="0.3">
      <c r="A251" s="33" t="s">
        <v>85</v>
      </c>
      <c r="B251" s="33" t="s">
        <v>42</v>
      </c>
      <c r="D251" s="43">
        <f t="shared" si="28"/>
        <v>3.561723602484472E-2</v>
      </c>
    </row>
    <row r="254" spans="1:30" ht="19.95" customHeight="1" x14ac:dyDescent="0.35">
      <c r="A254" s="32" t="s">
        <v>120</v>
      </c>
      <c r="Y254" s="52" t="s">
        <v>121</v>
      </c>
      <c r="Z254" s="52"/>
      <c r="AA254" s="52"/>
      <c r="AB254" s="52"/>
      <c r="AC254" s="52"/>
      <c r="AD254" s="52"/>
    </row>
    <row r="255" spans="1:30" ht="16.95" customHeight="1" x14ac:dyDescent="0.3">
      <c r="Y255" s="54" t="s">
        <v>122</v>
      </c>
      <c r="Z255" s="54"/>
      <c r="AA255" s="54"/>
      <c r="AB255" s="54"/>
      <c r="AC255" s="54"/>
      <c r="AD255" s="54"/>
    </row>
    <row r="256" spans="1:30" ht="16.95" customHeight="1" x14ac:dyDescent="0.3">
      <c r="A256" s="46" t="s">
        <v>123</v>
      </c>
      <c r="C256" s="46" t="s">
        <v>124</v>
      </c>
      <c r="D256" s="46" t="s">
        <v>125</v>
      </c>
      <c r="E256" s="46" t="s">
        <v>124</v>
      </c>
      <c r="F256" s="46" t="s">
        <v>125</v>
      </c>
      <c r="G256" s="46" t="s">
        <v>94</v>
      </c>
      <c r="Y256" s="54" t="s">
        <v>126</v>
      </c>
      <c r="Z256" s="54"/>
      <c r="AA256" s="54"/>
      <c r="AB256" s="54"/>
      <c r="AC256" s="54"/>
      <c r="AD256" s="54"/>
    </row>
    <row r="257" spans="1:30" ht="16.95" customHeight="1" x14ac:dyDescent="0.3">
      <c r="C257" s="46" t="s">
        <v>127</v>
      </c>
      <c r="D257" s="46" t="s">
        <v>127</v>
      </c>
      <c r="E257" s="46" t="s">
        <v>128</v>
      </c>
      <c r="F257" s="46" t="s">
        <v>128</v>
      </c>
      <c r="Y257" s="54" t="s">
        <v>129</v>
      </c>
      <c r="Z257" s="54"/>
      <c r="AA257" s="54"/>
      <c r="AB257" s="54"/>
      <c r="AC257" s="54"/>
      <c r="AD257" s="54"/>
    </row>
    <row r="258" spans="1:30" ht="16.95" customHeight="1" x14ac:dyDescent="0.3">
      <c r="A258" s="40">
        <f>N6</f>
        <v>63000</v>
      </c>
      <c r="C258" s="47">
        <f>IF(J6="","", -J6)</f>
        <v>-1</v>
      </c>
      <c r="D258" s="47">
        <f>IF(K6="","", -K6)</f>
        <v>0</v>
      </c>
      <c r="E258" s="47">
        <f>IF(J6="","", J6)</f>
        <v>1</v>
      </c>
      <c r="F258" s="47">
        <f>IF(K6="","", K6)</f>
        <v>0</v>
      </c>
      <c r="G258" s="48">
        <f>IF(H258="","", IFERROR(VLOOKUP(H258, A$244:D$251, 4, FALSE), 0))</f>
        <v>0</v>
      </c>
      <c r="H258" s="33" t="str">
        <f>IF(C17="","", "D" &amp; C17 &amp; "X")</f>
        <v>D1X</v>
      </c>
      <c r="Y258" s="54"/>
      <c r="Z258" s="54"/>
      <c r="AA258" s="54"/>
      <c r="AB258" s="54"/>
      <c r="AC258" s="54"/>
      <c r="AD258" s="54"/>
    </row>
    <row r="259" spans="1:30" ht="16.95" customHeight="1" x14ac:dyDescent="0.3">
      <c r="A259" s="39" t="s">
        <v>130</v>
      </c>
      <c r="B259" s="49">
        <f>IF(OR(A258=0, C17=""), 0, (MMULT(C258:F258, G258:G261)*A258))</f>
        <v>0</v>
      </c>
      <c r="G259" s="48">
        <f>IF(H259="","", IFERROR(VLOOKUP(H259, A$244:D$251, 4, FALSE), 0))</f>
        <v>0</v>
      </c>
      <c r="H259" s="33" t="str">
        <f>IF(C17="","", "D" &amp; C17 &amp; "Y")</f>
        <v>D1Y</v>
      </c>
      <c r="Y259" s="54"/>
      <c r="Z259" s="54"/>
      <c r="AA259" s="54"/>
      <c r="AB259" s="54"/>
      <c r="AC259" s="54"/>
      <c r="AD259" s="54"/>
    </row>
    <row r="260" spans="1:30" ht="16.95" customHeight="1" x14ac:dyDescent="0.3">
      <c r="G260" s="48">
        <f>IF(H260="","", IFERROR(VLOOKUP(H260, A$244:D$251, 4, FALSE), 0))</f>
        <v>0</v>
      </c>
      <c r="H260" s="33" t="str">
        <f>IF(F17="","", "D" &amp; F17 &amp; "X")</f>
        <v>D2X</v>
      </c>
      <c r="Y260" s="54"/>
      <c r="Z260" s="54"/>
      <c r="AA260" s="54"/>
      <c r="AB260" s="54"/>
      <c r="AC260" s="54"/>
      <c r="AD260" s="54"/>
    </row>
    <row r="261" spans="1:30" ht="16.95" customHeight="1" x14ac:dyDescent="0.3">
      <c r="G261" s="48">
        <f>IF(H261="","", IFERROR(VLOOKUP(H261, A$244:D$251, 4, FALSE), 0))</f>
        <v>0</v>
      </c>
      <c r="H261" s="33" t="str">
        <f>IF(F17="","", "D" &amp; F17 &amp; "Y")</f>
        <v>D2Y</v>
      </c>
      <c r="Y261" s="54"/>
      <c r="Z261" s="54"/>
      <c r="AA261" s="54"/>
      <c r="AB261" s="54"/>
      <c r="AC261" s="54"/>
      <c r="AD261" s="54"/>
    </row>
    <row r="262" spans="1:30" ht="16.95" customHeight="1" x14ac:dyDescent="0.3">
      <c r="B262" s="39" t="s">
        <v>118</v>
      </c>
      <c r="C262" s="53" t="str">
        <f>IF(C17="","", IF(B259&gt;0.001,"BARRA A TRACCIÓN (+)",IF(B259&lt;-0.001,"BARRA A COMPRESIÓN (-)","BARRA DE FUERZA NULA")))</f>
        <v>BARRA DE FUERZA NULA</v>
      </c>
      <c r="D262" s="53"/>
      <c r="E262" s="53"/>
      <c r="F262" s="53"/>
      <c r="Y262" s="54"/>
      <c r="Z262" s="54"/>
      <c r="AA262" s="54"/>
      <c r="AB262" s="54"/>
      <c r="AC262" s="54"/>
      <c r="AD262" s="54"/>
    </row>
    <row r="263" spans="1:30" ht="16.95" customHeight="1" x14ac:dyDescent="0.3">
      <c r="Y263" s="54"/>
      <c r="Z263" s="54"/>
      <c r="AA263" s="54"/>
      <c r="AB263" s="54"/>
      <c r="AC263" s="54"/>
      <c r="AD263" s="54"/>
    </row>
    <row r="264" spans="1:30" ht="16.95" customHeight="1" x14ac:dyDescent="0.3">
      <c r="A264" s="46" t="s">
        <v>123</v>
      </c>
      <c r="C264" s="46" t="s">
        <v>124</v>
      </c>
      <c r="D264" s="46" t="s">
        <v>125</v>
      </c>
      <c r="E264" s="46" t="s">
        <v>124</v>
      </c>
      <c r="F264" s="46" t="s">
        <v>125</v>
      </c>
      <c r="G264" s="46" t="s">
        <v>94</v>
      </c>
      <c r="Y264" s="54"/>
      <c r="Z264" s="54"/>
      <c r="AA264" s="54"/>
      <c r="AB264" s="54"/>
      <c r="AC264" s="54"/>
      <c r="AD264" s="54"/>
    </row>
    <row r="265" spans="1:30" ht="16.95" customHeight="1" x14ac:dyDescent="0.3">
      <c r="C265" s="46" t="s">
        <v>127</v>
      </c>
      <c r="D265" s="46" t="s">
        <v>127</v>
      </c>
      <c r="E265" s="46" t="s">
        <v>128</v>
      </c>
      <c r="F265" s="46" t="s">
        <v>128</v>
      </c>
      <c r="Y265" s="54"/>
      <c r="Z265" s="54"/>
      <c r="AA265" s="54"/>
      <c r="AB265" s="54"/>
      <c r="AC265" s="54"/>
      <c r="AD265" s="54"/>
    </row>
    <row r="266" spans="1:30" ht="16.95" customHeight="1" x14ac:dyDescent="0.3">
      <c r="A266" s="40">
        <f>N7</f>
        <v>84000</v>
      </c>
      <c r="C266" s="47">
        <f>IF(J7="","", -J7)</f>
        <v>0</v>
      </c>
      <c r="D266" s="47">
        <f>IF(K7="","", -K7)</f>
        <v>-1</v>
      </c>
      <c r="E266" s="47">
        <f>IF(J7="","", J7)</f>
        <v>0</v>
      </c>
      <c r="F266" s="47">
        <f>IF(K7="","", K7)</f>
        <v>1</v>
      </c>
      <c r="G266" s="48">
        <f>IF(H266="","", IFERROR(VLOOKUP(H266, A$244:D$251, 4, FALSE), 0))</f>
        <v>0</v>
      </c>
      <c r="H266" s="33" t="str">
        <f>IF(C18="","", "D" &amp; C18 &amp; "X")</f>
        <v>D2X</v>
      </c>
      <c r="Y266" s="54"/>
      <c r="Z266" s="54"/>
      <c r="AA266" s="54"/>
      <c r="AB266" s="54"/>
      <c r="AC266" s="54"/>
      <c r="AD266" s="54"/>
    </row>
    <row r="267" spans="1:30" ht="16.95" customHeight="1" x14ac:dyDescent="0.3">
      <c r="A267" s="39" t="s">
        <v>131</v>
      </c>
      <c r="B267" s="49">
        <f>IF(OR(A266=0, C18=""), 0, (MMULT(C266:F266, G266:G269)*A266))</f>
        <v>-7258.152173913043</v>
      </c>
      <c r="G267" s="48">
        <f>IF(H267="","", IFERROR(VLOOKUP(H267, A$244:D$251, 4, FALSE), 0))</f>
        <v>0</v>
      </c>
      <c r="H267" s="33" t="str">
        <f>IF(C18="","", "D" &amp; C18 &amp; "Y")</f>
        <v>D2Y</v>
      </c>
      <c r="Y267" s="54"/>
      <c r="Z267" s="54"/>
      <c r="AA267" s="54"/>
      <c r="AB267" s="54"/>
      <c r="AC267" s="54"/>
      <c r="AD267" s="54"/>
    </row>
    <row r="268" spans="1:30" ht="16.95" customHeight="1" x14ac:dyDescent="0.3">
      <c r="G268" s="48">
        <f>IF(H268="","", IFERROR(VLOOKUP(H268, A$244:D$251, 4, FALSE), 0))</f>
        <v>0.15814786059351274</v>
      </c>
      <c r="H268" s="33" t="str">
        <f>IF(F18="","", "D" &amp; F18 &amp; "X")</f>
        <v>D3X</v>
      </c>
      <c r="Y268" s="54"/>
      <c r="Z268" s="54"/>
      <c r="AA268" s="54"/>
      <c r="AB268" s="54"/>
      <c r="AC268" s="54"/>
      <c r="AD268" s="54"/>
    </row>
    <row r="269" spans="1:30" ht="16.95" customHeight="1" x14ac:dyDescent="0.3">
      <c r="G269" s="48">
        <f>IF(H269="","", IFERROR(VLOOKUP(H269, A$244:D$251, 4, FALSE), 0))</f>
        <v>-8.64065734989648E-2</v>
      </c>
      <c r="H269" s="33" t="str">
        <f>IF(F18="","", "D" &amp; F18 &amp; "Y")</f>
        <v>D3Y</v>
      </c>
      <c r="Y269" s="54"/>
      <c r="Z269" s="54"/>
      <c r="AA269" s="54"/>
      <c r="AB269" s="54"/>
      <c r="AC269" s="54"/>
      <c r="AD269" s="54"/>
    </row>
    <row r="270" spans="1:30" ht="16.95" customHeight="1" x14ac:dyDescent="0.3">
      <c r="B270" s="39" t="s">
        <v>118</v>
      </c>
      <c r="C270" s="53" t="str">
        <f>IF(C18="","", IF(B267&gt;0.001,"BARRA A TRACCIÓN (+)",IF(B267&lt;-0.001,"BARRA A COMPRESIÓN (-)","BARRA DE FUERZA NULA")))</f>
        <v>BARRA A COMPRESIÓN (-)</v>
      </c>
      <c r="D270" s="53"/>
      <c r="E270" s="53"/>
      <c r="F270" s="53"/>
      <c r="Y270" s="54"/>
      <c r="Z270" s="54"/>
      <c r="AA270" s="54"/>
      <c r="AB270" s="54"/>
      <c r="AC270" s="54"/>
      <c r="AD270" s="54"/>
    </row>
    <row r="271" spans="1:30" ht="16.95" customHeight="1" x14ac:dyDescent="0.3">
      <c r="Y271" s="54"/>
      <c r="Z271" s="54"/>
      <c r="AA271" s="54"/>
      <c r="AB271" s="54"/>
      <c r="AC271" s="54"/>
      <c r="AD271" s="54"/>
    </row>
    <row r="272" spans="1:30" ht="16.95" customHeight="1" x14ac:dyDescent="0.3">
      <c r="A272" s="46" t="s">
        <v>123</v>
      </c>
      <c r="C272" s="46" t="s">
        <v>124</v>
      </c>
      <c r="D272" s="46" t="s">
        <v>125</v>
      </c>
      <c r="E272" s="46" t="s">
        <v>124</v>
      </c>
      <c r="F272" s="46" t="s">
        <v>125</v>
      </c>
      <c r="G272" s="46" t="s">
        <v>94</v>
      </c>
      <c r="Y272" s="54"/>
      <c r="Z272" s="54"/>
      <c r="AA272" s="54"/>
      <c r="AB272" s="54"/>
      <c r="AC272" s="54"/>
      <c r="AD272" s="54"/>
    </row>
    <row r="273" spans="1:30" ht="16.95" customHeight="1" x14ac:dyDescent="0.3">
      <c r="C273" s="46" t="s">
        <v>127</v>
      </c>
      <c r="D273" s="46" t="s">
        <v>127</v>
      </c>
      <c r="E273" s="46" t="s">
        <v>128</v>
      </c>
      <c r="F273" s="46" t="s">
        <v>128</v>
      </c>
      <c r="Y273" s="54"/>
      <c r="Z273" s="54"/>
      <c r="AA273" s="54"/>
      <c r="AB273" s="54"/>
      <c r="AC273" s="54"/>
      <c r="AD273" s="54"/>
    </row>
    <row r="274" spans="1:30" ht="16.95" customHeight="1" x14ac:dyDescent="0.3">
      <c r="A274" s="40">
        <f>N8</f>
        <v>63000</v>
      </c>
      <c r="C274" s="47">
        <f>IF(J8="","", -J8)</f>
        <v>1</v>
      </c>
      <c r="D274" s="47">
        <f>IF(K8="","", -K8)</f>
        <v>0</v>
      </c>
      <c r="E274" s="47">
        <f>IF(J8="","", J8)</f>
        <v>-1</v>
      </c>
      <c r="F274" s="47">
        <f>IF(K8="","", K8)</f>
        <v>0</v>
      </c>
      <c r="G274" s="48">
        <f>IF(H274="","", IFERROR(VLOOKUP(H274, A$244:D$251, 4, FALSE), 0))</f>
        <v>0.15814786059351274</v>
      </c>
      <c r="H274" s="33" t="str">
        <f>IF(C19="","", "D" &amp; C19 &amp; "X")</f>
        <v>D3X</v>
      </c>
      <c r="Y274" s="54"/>
      <c r="Z274" s="54"/>
      <c r="AA274" s="54"/>
      <c r="AB274" s="54"/>
      <c r="AC274" s="54"/>
      <c r="AD274" s="54"/>
    </row>
    <row r="275" spans="1:30" ht="16.95" customHeight="1" x14ac:dyDescent="0.3">
      <c r="A275" s="39" t="s">
        <v>132</v>
      </c>
      <c r="B275" s="49">
        <f>IF(OR(A274=0, C19=""), 0, (MMULT(C274:F274, G274:G277)*A274))</f>
        <v>489.1304347826096</v>
      </c>
      <c r="G275" s="48">
        <f>IF(H275="","", IFERROR(VLOOKUP(H275, A$244:D$251, 4, FALSE), 0))</f>
        <v>-8.64065734989648E-2</v>
      </c>
      <c r="H275" s="33" t="str">
        <f>IF(C19="","", "D" &amp; C19 &amp; "Y")</f>
        <v>D3Y</v>
      </c>
      <c r="Y275" s="54"/>
      <c r="Z275" s="54"/>
      <c r="AA275" s="54"/>
      <c r="AB275" s="54"/>
      <c r="AC275" s="54"/>
      <c r="AD275" s="54"/>
    </row>
    <row r="276" spans="1:30" ht="16.95" customHeight="1" x14ac:dyDescent="0.3">
      <c r="G276" s="48">
        <f>IF(H276="","", IFERROR(VLOOKUP(H276, A$244:D$251, 4, FALSE), 0))</f>
        <v>0.15038388543823322</v>
      </c>
      <c r="H276" s="33" t="str">
        <f>IF(F19="","", "D" &amp; F19 &amp; "X")</f>
        <v>D4X</v>
      </c>
      <c r="Y276" s="54"/>
      <c r="Z276" s="54"/>
      <c r="AA276" s="54"/>
      <c r="AB276" s="54"/>
      <c r="AC276" s="54"/>
      <c r="AD276" s="54"/>
    </row>
    <row r="277" spans="1:30" ht="16.95" customHeight="1" x14ac:dyDescent="0.3">
      <c r="G277" s="48">
        <f>IF(H277="","", IFERROR(VLOOKUP(H277, A$244:D$251, 4, FALSE), 0))</f>
        <v>3.561723602484472E-2</v>
      </c>
      <c r="H277" s="33" t="str">
        <f>IF(F19="","", "D" &amp; F19 &amp; "Y")</f>
        <v>D4Y</v>
      </c>
      <c r="Y277" s="54"/>
      <c r="Z277" s="54"/>
      <c r="AA277" s="54"/>
      <c r="AB277" s="54"/>
      <c r="AC277" s="54"/>
      <c r="AD277" s="54"/>
    </row>
    <row r="278" spans="1:30" ht="16.95" customHeight="1" x14ac:dyDescent="0.3">
      <c r="B278" s="39" t="s">
        <v>118</v>
      </c>
      <c r="C278" s="53" t="str">
        <f>IF(C19="","", IF(B275&gt;0.001,"BARRA A TRACCIÓN (+)",IF(B275&lt;-0.001,"BARRA A COMPRESIÓN (-)","BARRA DE FUERZA NULA")))</f>
        <v>BARRA A TRACCIÓN (+)</v>
      </c>
      <c r="D278" s="53"/>
      <c r="E278" s="53"/>
      <c r="F278" s="53"/>
      <c r="Y278" s="54"/>
      <c r="Z278" s="54"/>
      <c r="AA278" s="54"/>
      <c r="AB278" s="54"/>
      <c r="AC278" s="54"/>
      <c r="AD278" s="54"/>
    </row>
    <row r="279" spans="1:30" ht="16.95" customHeight="1" x14ac:dyDescent="0.3">
      <c r="Y279" s="54"/>
      <c r="Z279" s="54"/>
      <c r="AA279" s="54"/>
      <c r="AB279" s="54"/>
      <c r="AC279" s="54"/>
      <c r="AD279" s="54"/>
    </row>
    <row r="280" spans="1:30" ht="18" customHeight="1" x14ac:dyDescent="0.3">
      <c r="A280" s="46" t="s">
        <v>123</v>
      </c>
      <c r="C280" s="46" t="s">
        <v>124</v>
      </c>
      <c r="D280" s="46" t="s">
        <v>125</v>
      </c>
      <c r="E280" s="46" t="s">
        <v>124</v>
      </c>
      <c r="F280" s="46" t="s">
        <v>125</v>
      </c>
      <c r="G280" s="46" t="s">
        <v>94</v>
      </c>
    </row>
    <row r="281" spans="1:30" ht="16.05" customHeight="1" x14ac:dyDescent="0.3">
      <c r="C281" s="46" t="s">
        <v>127</v>
      </c>
      <c r="D281" s="46" t="s">
        <v>127</v>
      </c>
      <c r="E281" s="46" t="s">
        <v>128</v>
      </c>
      <c r="F281" s="46" t="s">
        <v>128</v>
      </c>
    </row>
    <row r="282" spans="1:30" ht="19.95" customHeight="1" x14ac:dyDescent="0.3">
      <c r="A282" s="40">
        <f>N9</f>
        <v>84000</v>
      </c>
      <c r="C282" s="47">
        <f>IF(J9="","", -J9)</f>
        <v>0</v>
      </c>
      <c r="D282" s="47">
        <f>IF(K9="","", -K9)</f>
        <v>1</v>
      </c>
      <c r="E282" s="47">
        <f>IF(J9="","", J9)</f>
        <v>0</v>
      </c>
      <c r="F282" s="47">
        <f>IF(K9="","", K9)</f>
        <v>-1</v>
      </c>
      <c r="G282" s="48">
        <f>IF(H282="","", IFERROR(VLOOKUP(H282, A$244:D$251, 4, FALSE), 0))</f>
        <v>0.15038388543823322</v>
      </c>
      <c r="H282" s="33" t="str">
        <f>IF(C20="","", "D" &amp; C20 &amp; "X")</f>
        <v>D4X</v>
      </c>
    </row>
    <row r="283" spans="1:30" ht="19.95" customHeight="1" x14ac:dyDescent="0.3">
      <c r="A283" s="39" t="s">
        <v>133</v>
      </c>
      <c r="B283" s="49">
        <f>IF(OR(A282=0, C20=""), 0, (MMULT(C282:F282, G282:G285)*A282))</f>
        <v>2991.8478260869565</v>
      </c>
      <c r="G283" s="48">
        <f>IF(H283="","", IFERROR(VLOOKUP(H283, A$244:D$251, 4, FALSE), 0))</f>
        <v>3.561723602484472E-2</v>
      </c>
      <c r="H283" s="33" t="str">
        <f>IF(C20="","", "D" &amp; C20 &amp; "Y")</f>
        <v>D4Y</v>
      </c>
    </row>
    <row r="284" spans="1:30" ht="19.95" customHeight="1" x14ac:dyDescent="0.3">
      <c r="G284" s="48">
        <f>IF(H284="","", IFERROR(VLOOKUP(H284, A$244:D$251, 4, FALSE), 0))</f>
        <v>0</v>
      </c>
      <c r="H284" s="33" t="str">
        <f>IF(F20="","", "D" &amp; F20 &amp; "X")</f>
        <v>D1X</v>
      </c>
    </row>
    <row r="285" spans="1:30" ht="19.95" customHeight="1" x14ac:dyDescent="0.3">
      <c r="G285" s="48">
        <f>IF(H285="","", IFERROR(VLOOKUP(H285, A$244:D$251, 4, FALSE), 0))</f>
        <v>0</v>
      </c>
      <c r="H285" s="33" t="str">
        <f>IF(F20="","", "D" &amp; F20 &amp; "Y")</f>
        <v>D1Y</v>
      </c>
    </row>
    <row r="286" spans="1:30" ht="19.95" customHeight="1" x14ac:dyDescent="0.3">
      <c r="B286" s="39" t="s">
        <v>118</v>
      </c>
      <c r="C286" s="53" t="str">
        <f>IF(C20="","", IF(B283&gt;0.001,"BARRA A TRACCIÓN (+)",IF(B283&lt;-0.001,"BARRA A COMPRESIÓN (-)","BARRA DE FUERZA NULA")))</f>
        <v>BARRA A TRACCIÓN (+)</v>
      </c>
      <c r="D286" s="53"/>
      <c r="E286" s="53"/>
      <c r="F286" s="53"/>
    </row>
    <row r="288" spans="1:30" ht="18" customHeight="1" x14ac:dyDescent="0.3">
      <c r="A288" s="46" t="s">
        <v>123</v>
      </c>
      <c r="C288" s="46" t="s">
        <v>124</v>
      </c>
      <c r="D288" s="46" t="s">
        <v>125</v>
      </c>
      <c r="E288" s="46" t="s">
        <v>124</v>
      </c>
      <c r="F288" s="46" t="s">
        <v>125</v>
      </c>
      <c r="G288" s="46" t="s">
        <v>94</v>
      </c>
    </row>
    <row r="289" spans="1:8" ht="16.05" customHeight="1" x14ac:dyDescent="0.3">
      <c r="C289" s="46" t="s">
        <v>127</v>
      </c>
      <c r="D289" s="46" t="s">
        <v>127</v>
      </c>
      <c r="E289" s="46" t="s">
        <v>128</v>
      </c>
      <c r="F289" s="46" t="s">
        <v>128</v>
      </c>
    </row>
    <row r="290" spans="1:8" ht="19.95" customHeight="1" x14ac:dyDescent="0.3">
      <c r="A290" s="40">
        <f>N10</f>
        <v>50400</v>
      </c>
      <c r="C290" s="47">
        <f>IF(J10="","", -J10)</f>
        <v>-0.8</v>
      </c>
      <c r="D290" s="47">
        <f>IF(K10="","", -K10)</f>
        <v>-0.6</v>
      </c>
      <c r="E290" s="47">
        <f>IF(J10="","", J10)</f>
        <v>0.8</v>
      </c>
      <c r="F290" s="47">
        <f>IF(K10="","", K10)</f>
        <v>0.6</v>
      </c>
      <c r="G290" s="48">
        <f>IF(H290="","", IFERROR(VLOOKUP(H290, A$244:D$251, 4, FALSE), 0))</f>
        <v>0</v>
      </c>
      <c r="H290" s="33" t="str">
        <f>IF(C21="","", "D" &amp; C21 &amp; "X")</f>
        <v>D1X</v>
      </c>
    </row>
    <row r="291" spans="1:8" ht="19.95" customHeight="1" x14ac:dyDescent="0.3">
      <c r="A291" s="39" t="s">
        <v>134</v>
      </c>
      <c r="B291" s="49">
        <f>IF(OR(A290=0, C21=""), 0, (MMULT(C290:F290, G290:G293)*A290))</f>
        <v>3763.586956521739</v>
      </c>
      <c r="G291" s="48">
        <f>IF(H291="","", IFERROR(VLOOKUP(H291, A$244:D$251, 4, FALSE), 0))</f>
        <v>0</v>
      </c>
      <c r="H291" s="33" t="str">
        <f>IF(C21="","", "D" &amp; C21 &amp; "Y")</f>
        <v>D1Y</v>
      </c>
    </row>
    <row r="292" spans="1:8" ht="19.95" customHeight="1" x14ac:dyDescent="0.3">
      <c r="G292" s="48">
        <f>IF(H292="","", IFERROR(VLOOKUP(H292, A$244:D$251, 4, FALSE), 0))</f>
        <v>0.15814786059351274</v>
      </c>
      <c r="H292" s="33" t="str">
        <f>IF(F21="","", "D" &amp; F21 &amp; "X")</f>
        <v>D3X</v>
      </c>
    </row>
    <row r="293" spans="1:8" ht="19.95" customHeight="1" x14ac:dyDescent="0.3">
      <c r="G293" s="48">
        <f>IF(H293="","", IFERROR(VLOOKUP(H293, A$244:D$251, 4, FALSE), 0))</f>
        <v>-8.64065734989648E-2</v>
      </c>
      <c r="H293" s="33" t="str">
        <f>IF(F21="","", "D" &amp; F21 &amp; "Y")</f>
        <v>D3Y</v>
      </c>
    </row>
    <row r="294" spans="1:8" ht="19.95" customHeight="1" x14ac:dyDescent="0.3">
      <c r="B294" s="39" t="s">
        <v>118</v>
      </c>
      <c r="C294" s="53" t="str">
        <f>IF(C21="","", IF(B291&gt;0.001,"BARRA A TRACCIÓN (+)",IF(B291&lt;-0.001,"BARRA A COMPRESIÓN (-)","BARRA DE FUERZA NULA")))</f>
        <v>BARRA A TRACCIÓN (+)</v>
      </c>
      <c r="D294" s="53"/>
      <c r="E294" s="53"/>
      <c r="F294" s="53"/>
    </row>
    <row r="296" spans="1:8" ht="18" customHeight="1" x14ac:dyDescent="0.3">
      <c r="A296" s="46" t="s">
        <v>123</v>
      </c>
      <c r="C296" s="46" t="s">
        <v>124</v>
      </c>
      <c r="D296" s="46" t="s">
        <v>125</v>
      </c>
      <c r="E296" s="46" t="s">
        <v>124</v>
      </c>
      <c r="F296" s="46" t="s">
        <v>125</v>
      </c>
      <c r="G296" s="46" t="s">
        <v>94</v>
      </c>
    </row>
    <row r="297" spans="1:8" ht="16.05" customHeight="1" x14ac:dyDescent="0.3">
      <c r="C297" s="46" t="s">
        <v>127</v>
      </c>
      <c r="D297" s="46" t="s">
        <v>127</v>
      </c>
      <c r="E297" s="46" t="s">
        <v>128</v>
      </c>
      <c r="F297" s="46" t="s">
        <v>128</v>
      </c>
    </row>
    <row r="298" spans="1:8" ht="19.95" customHeight="1" x14ac:dyDescent="0.3">
      <c r="A298" s="40">
        <f>N11</f>
        <v>50400</v>
      </c>
      <c r="C298" s="47">
        <f>IF(J11="","", -J11)</f>
        <v>0.8</v>
      </c>
      <c r="D298" s="47">
        <f>IF(K11="","", -K11)</f>
        <v>-0.6</v>
      </c>
      <c r="E298" s="47">
        <f>IF(J11="","", J11)</f>
        <v>-0.8</v>
      </c>
      <c r="F298" s="47">
        <f>IF(K11="","", K11)</f>
        <v>0.6</v>
      </c>
      <c r="G298" s="48">
        <f>IF(H298="","", IFERROR(VLOOKUP(H298, A$244:D$251, 4, FALSE), 0))</f>
        <v>0</v>
      </c>
      <c r="H298" s="33" t="str">
        <f>IF(C22="","", "D" &amp; C22 &amp; "X")</f>
        <v>D2X</v>
      </c>
    </row>
    <row r="299" spans="1:8" ht="19.95" customHeight="1" x14ac:dyDescent="0.3">
      <c r="A299" s="39" t="s">
        <v>135</v>
      </c>
      <c r="B299" s="49">
        <f>IF(OR(A298=0, C22=""), 0, (MMULT(C298:F298, G298:G301)*A298))</f>
        <v>-4986.4130434782592</v>
      </c>
      <c r="G299" s="48">
        <f>IF(H299="","", IFERROR(VLOOKUP(H299, A$244:D$251, 4, FALSE), 0))</f>
        <v>0</v>
      </c>
      <c r="H299" s="33" t="str">
        <f>IF(C22="","", "D" &amp; C22 &amp; "Y")</f>
        <v>D2Y</v>
      </c>
    </row>
    <row r="300" spans="1:8" ht="19.95" customHeight="1" x14ac:dyDescent="0.3">
      <c r="G300" s="48">
        <f>IF(H300="","", IFERROR(VLOOKUP(H300, A$244:D$251, 4, FALSE), 0))</f>
        <v>0.15038388543823322</v>
      </c>
      <c r="H300" s="33" t="str">
        <f>IF(F22="","", "D" &amp; F22 &amp; "X")</f>
        <v>D4X</v>
      </c>
    </row>
    <row r="301" spans="1:8" ht="19.95" customHeight="1" x14ac:dyDescent="0.3">
      <c r="G301" s="48">
        <f>IF(H301="","", IFERROR(VLOOKUP(H301, A$244:D$251, 4, FALSE), 0))</f>
        <v>3.561723602484472E-2</v>
      </c>
      <c r="H301" s="33" t="str">
        <f>IF(F22="","", "D" &amp; F22 &amp; "Y")</f>
        <v>D4Y</v>
      </c>
    </row>
    <row r="302" spans="1:8" ht="19.95" customHeight="1" x14ac:dyDescent="0.3">
      <c r="B302" s="39" t="s">
        <v>118</v>
      </c>
      <c r="C302" s="53" t="str">
        <f>IF(C22="","", IF(B299&gt;0.001,"BARRA A TRACCIÓN (+)",IF(B299&lt;-0.001,"BARRA A COMPRESIÓN (-)","BARRA DE FUERZA NULA")))</f>
        <v>BARRA A COMPRESIÓN (-)</v>
      </c>
      <c r="D302" s="53"/>
      <c r="E302" s="53"/>
      <c r="F302" s="53"/>
    </row>
    <row r="304" spans="1:8" ht="18" customHeight="1" x14ac:dyDescent="0.3">
      <c r="A304" s="46" t="s">
        <v>123</v>
      </c>
      <c r="C304" s="46" t="s">
        <v>124</v>
      </c>
      <c r="D304" s="46" t="s">
        <v>125</v>
      </c>
      <c r="E304" s="46" t="s">
        <v>124</v>
      </c>
      <c r="F304" s="46" t="s">
        <v>125</v>
      </c>
      <c r="G304" s="46" t="s">
        <v>94</v>
      </c>
    </row>
    <row r="305" spans="1:8" ht="16.05" customHeight="1" x14ac:dyDescent="0.3">
      <c r="C305" s="46" t="s">
        <v>127</v>
      </c>
      <c r="D305" s="46" t="s">
        <v>127</v>
      </c>
      <c r="E305" s="46" t="s">
        <v>128</v>
      </c>
      <c r="F305" s="46" t="s">
        <v>128</v>
      </c>
    </row>
    <row r="306" spans="1:8" ht="19.95" customHeight="1" x14ac:dyDescent="0.3">
      <c r="A306" s="40">
        <f>N12</f>
        <v>0</v>
      </c>
      <c r="C306" s="47" t="str">
        <f>IF(J12="","", -J12)</f>
        <v/>
      </c>
      <c r="D306" s="47" t="str">
        <f>IF(K12="","", -K12)</f>
        <v/>
      </c>
      <c r="E306" s="47" t="str">
        <f>IF(J12="","", J12)</f>
        <v/>
      </c>
      <c r="F306" s="47" t="str">
        <f>IF(K12="","", K12)</f>
        <v/>
      </c>
      <c r="G306" s="48" t="str">
        <f>IF(H306="","", IFERROR(VLOOKUP(H306, A$244:D$251, 4, FALSE), 0))</f>
        <v/>
      </c>
      <c r="H306" s="33" t="str">
        <f>IF(C23="","", "D" &amp; C23 &amp; "X")</f>
        <v/>
      </c>
    </row>
    <row r="307" spans="1:8" ht="19.95" customHeight="1" x14ac:dyDescent="0.3">
      <c r="A307" s="39" t="s">
        <v>136</v>
      </c>
      <c r="B307" s="49">
        <f>IF(OR(A306=0, C23=""), 0, (MMULT(C306:F306, G306:G309)*A306))</f>
        <v>0</v>
      </c>
      <c r="G307" s="48" t="str">
        <f>IF(H307="","", IFERROR(VLOOKUP(H307, A$244:D$251, 4, FALSE), 0))</f>
        <v/>
      </c>
      <c r="H307" s="33" t="str">
        <f>IF(C23="","", "D" &amp; C23 &amp; "Y")</f>
        <v/>
      </c>
    </row>
    <row r="308" spans="1:8" ht="19.95" customHeight="1" x14ac:dyDescent="0.3">
      <c r="G308" s="48" t="str">
        <f>IF(H308="","", IFERROR(VLOOKUP(H308, A$244:D$251, 4, FALSE), 0))</f>
        <v/>
      </c>
      <c r="H308" s="33" t="str">
        <f>IF(F23="","", "D" &amp; F23 &amp; "X")</f>
        <v/>
      </c>
    </row>
    <row r="309" spans="1:8" ht="19.95" customHeight="1" x14ac:dyDescent="0.3">
      <c r="G309" s="48" t="str">
        <f>IF(H309="","", IFERROR(VLOOKUP(H309, A$244:D$251, 4, FALSE), 0))</f>
        <v/>
      </c>
      <c r="H309" s="33" t="str">
        <f>IF(F23="","", "D" &amp; F23 &amp; "Y")</f>
        <v/>
      </c>
    </row>
    <row r="310" spans="1:8" ht="19.95" customHeight="1" x14ac:dyDescent="0.3">
      <c r="B310" s="39" t="s">
        <v>118</v>
      </c>
      <c r="C310" s="53" t="str">
        <f>IF(C23="","", IF(B307&gt;0.001,"BARRA A TRACCIÓN (+)",IF(B307&lt;-0.001,"BARRA A COMPRESIÓN (-)","BARRA DE FUERZA NULA")))</f>
        <v/>
      </c>
      <c r="D310" s="53"/>
      <c r="E310" s="53"/>
      <c r="F310" s="53"/>
    </row>
    <row r="312" spans="1:8" ht="18" customHeight="1" x14ac:dyDescent="0.3">
      <c r="A312" s="46" t="s">
        <v>123</v>
      </c>
      <c r="C312" s="46" t="s">
        <v>124</v>
      </c>
      <c r="D312" s="46" t="s">
        <v>125</v>
      </c>
      <c r="E312" s="46" t="s">
        <v>124</v>
      </c>
      <c r="F312" s="46" t="s">
        <v>125</v>
      </c>
      <c r="G312" s="46" t="s">
        <v>94</v>
      </c>
    </row>
    <row r="313" spans="1:8" ht="16.05" customHeight="1" x14ac:dyDescent="0.3">
      <c r="C313" s="46" t="s">
        <v>127</v>
      </c>
      <c r="D313" s="46" t="s">
        <v>127</v>
      </c>
      <c r="E313" s="46" t="s">
        <v>128</v>
      </c>
      <c r="F313" s="46" t="s">
        <v>128</v>
      </c>
    </row>
    <row r="314" spans="1:8" ht="19.95" customHeight="1" x14ac:dyDescent="0.3">
      <c r="A314" s="40">
        <f>N13</f>
        <v>0</v>
      </c>
      <c r="C314" s="47" t="str">
        <f>IF(J13="","", -J13)</f>
        <v/>
      </c>
      <c r="D314" s="47" t="str">
        <f>IF(K13="","", -K13)</f>
        <v/>
      </c>
      <c r="E314" s="47" t="str">
        <f>IF(J13="","", J13)</f>
        <v/>
      </c>
      <c r="F314" s="47" t="str">
        <f>IF(K13="","", K13)</f>
        <v/>
      </c>
      <c r="G314" s="48" t="str">
        <f>IF(H314="","", IFERROR(VLOOKUP(H314, A$244:D$251, 4, FALSE), 0))</f>
        <v/>
      </c>
      <c r="H314" s="33" t="str">
        <f>IF(C24="","", "D" &amp; C24 &amp; "X")</f>
        <v/>
      </c>
    </row>
    <row r="315" spans="1:8" ht="19.95" customHeight="1" x14ac:dyDescent="0.3">
      <c r="A315" s="39" t="s">
        <v>137</v>
      </c>
      <c r="B315" s="49">
        <f>IF(OR(A314=0, C24=""), 0, (MMULT(C314:F314, G314:G317)*A314))</f>
        <v>0</v>
      </c>
      <c r="G315" s="48" t="str">
        <f>IF(H315="","", IFERROR(VLOOKUP(H315, A$244:D$251, 4, FALSE), 0))</f>
        <v/>
      </c>
      <c r="H315" s="33" t="str">
        <f>IF(C24="","", "D" &amp; C24 &amp; "Y")</f>
        <v/>
      </c>
    </row>
    <row r="316" spans="1:8" ht="19.95" customHeight="1" x14ac:dyDescent="0.3">
      <c r="G316" s="48" t="str">
        <f>IF(H316="","", IFERROR(VLOOKUP(H316, A$244:D$251, 4, FALSE), 0))</f>
        <v/>
      </c>
      <c r="H316" s="33" t="str">
        <f>IF(F24="","", "D" &amp; F24 &amp; "X")</f>
        <v/>
      </c>
    </row>
    <row r="317" spans="1:8" ht="19.95" customHeight="1" x14ac:dyDescent="0.3">
      <c r="G317" s="48" t="str">
        <f>IF(H317="","", IFERROR(VLOOKUP(H317, A$244:D$251, 4, FALSE), 0))</f>
        <v/>
      </c>
      <c r="H317" s="33" t="str">
        <f>IF(F24="","", "D" &amp; F24 &amp; "Y")</f>
        <v/>
      </c>
    </row>
    <row r="318" spans="1:8" ht="19.95" customHeight="1" x14ac:dyDescent="0.3">
      <c r="B318" s="39" t="s">
        <v>118</v>
      </c>
      <c r="C318" s="53" t="str">
        <f>IF(C24="","", IF(B315&gt;0.001,"BARRA A TRACCIÓN (+)",IF(B315&lt;-0.001,"BARRA A COMPRESIÓN (-)","BARRA DE FUERZA NULA")))</f>
        <v/>
      </c>
      <c r="D318" s="53"/>
      <c r="E318" s="53"/>
      <c r="F318" s="53"/>
    </row>
    <row r="321" spans="2:8" ht="22.05" customHeight="1" x14ac:dyDescent="0.3">
      <c r="B321" s="57" t="s">
        <v>138</v>
      </c>
      <c r="C321" s="51"/>
      <c r="D321" s="51"/>
      <c r="E321" s="51"/>
      <c r="F321" s="51"/>
      <c r="G321" s="51"/>
      <c r="H321" s="51"/>
    </row>
    <row r="322" spans="2:8" ht="24" customHeight="1" x14ac:dyDescent="0.3">
      <c r="B322" s="1" t="s">
        <v>139</v>
      </c>
      <c r="C322" s="1" t="s">
        <v>140</v>
      </c>
      <c r="D322" s="1" t="s">
        <v>141</v>
      </c>
      <c r="E322" s="1" t="s">
        <v>142</v>
      </c>
      <c r="F322" s="1" t="s">
        <v>143</v>
      </c>
      <c r="G322" s="1" t="s">
        <v>144</v>
      </c>
      <c r="H322" s="1" t="s">
        <v>145</v>
      </c>
    </row>
    <row r="323" spans="2:8" ht="19.95" customHeight="1" x14ac:dyDescent="0.3">
      <c r="B323" s="3">
        <f>IF(C17="","", 1)</f>
        <v>1</v>
      </c>
      <c r="C323" s="9">
        <f t="shared" ref="C323:C330" si="29">IF(C17="","", C17)</f>
        <v>1</v>
      </c>
      <c r="D323" s="9">
        <f t="shared" ref="D323:D330" si="30">IF(F17="","", F17)</f>
        <v>2</v>
      </c>
      <c r="E323" s="21">
        <f t="shared" ref="E323:E330" si="31">IF(I6="","", I6)</f>
        <v>400</v>
      </c>
      <c r="F323" s="21">
        <f t="shared" ref="F323:F330" si="32">IF(C17="","", L6)</f>
        <v>12</v>
      </c>
      <c r="G323" s="49">
        <f>IF(C17="","", B259)</f>
        <v>0</v>
      </c>
      <c r="H323" s="11" t="str">
        <f>IF(C17="","", C262)</f>
        <v>BARRA DE FUERZA NULA</v>
      </c>
    </row>
    <row r="324" spans="2:8" ht="19.95" customHeight="1" x14ac:dyDescent="0.3">
      <c r="B324" s="11">
        <f>IF(C18="","", 2)</f>
        <v>2</v>
      </c>
      <c r="C324" s="9">
        <f t="shared" si="29"/>
        <v>2</v>
      </c>
      <c r="D324" s="9">
        <f t="shared" si="30"/>
        <v>3</v>
      </c>
      <c r="E324" s="21">
        <f t="shared" si="31"/>
        <v>300</v>
      </c>
      <c r="F324" s="21">
        <f t="shared" si="32"/>
        <v>12</v>
      </c>
      <c r="G324" s="49">
        <f>IF(C18="","", B267)</f>
        <v>-7258.152173913043</v>
      </c>
      <c r="H324" s="11" t="str">
        <f>IF(C18="","", C270)</f>
        <v>BARRA A COMPRESIÓN (-)</v>
      </c>
    </row>
    <row r="325" spans="2:8" ht="19.95" customHeight="1" x14ac:dyDescent="0.3">
      <c r="B325" s="12">
        <f>IF(C19="","", 3)</f>
        <v>3</v>
      </c>
      <c r="C325" s="9">
        <f t="shared" si="29"/>
        <v>3</v>
      </c>
      <c r="D325" s="9">
        <f t="shared" si="30"/>
        <v>4</v>
      </c>
      <c r="E325" s="21">
        <f t="shared" si="31"/>
        <v>400</v>
      </c>
      <c r="F325" s="21">
        <f t="shared" si="32"/>
        <v>12</v>
      </c>
      <c r="G325" s="49">
        <f>IF(C19="","", B275)</f>
        <v>489.1304347826096</v>
      </c>
      <c r="H325" s="11" t="str">
        <f>IF(C19="","", C278)</f>
        <v>BARRA A TRACCIÓN (+)</v>
      </c>
    </row>
    <row r="326" spans="2:8" ht="19.95" customHeight="1" x14ac:dyDescent="0.3">
      <c r="B326" s="13">
        <f>IF(C20="","", 4)</f>
        <v>4</v>
      </c>
      <c r="C326" s="9">
        <f t="shared" si="29"/>
        <v>4</v>
      </c>
      <c r="D326" s="9">
        <f t="shared" si="30"/>
        <v>1</v>
      </c>
      <c r="E326" s="21">
        <f t="shared" si="31"/>
        <v>300</v>
      </c>
      <c r="F326" s="21">
        <f t="shared" si="32"/>
        <v>12</v>
      </c>
      <c r="G326" s="49">
        <f>IF(C20="","", B283)</f>
        <v>2991.8478260869565</v>
      </c>
      <c r="H326" s="11" t="str">
        <f>IF(C20="","", C286)</f>
        <v>BARRA A TRACCIÓN (+)</v>
      </c>
    </row>
    <row r="327" spans="2:8" ht="19.95" customHeight="1" x14ac:dyDescent="0.3">
      <c r="B327" s="14">
        <f>IF(C21="","", 5)</f>
        <v>5</v>
      </c>
      <c r="C327" s="9">
        <f t="shared" si="29"/>
        <v>1</v>
      </c>
      <c r="D327" s="9">
        <f t="shared" si="30"/>
        <v>3</v>
      </c>
      <c r="E327" s="21">
        <f t="shared" si="31"/>
        <v>500</v>
      </c>
      <c r="F327" s="21">
        <f t="shared" si="32"/>
        <v>12</v>
      </c>
      <c r="G327" s="49">
        <f>IF(C21="","", B291)</f>
        <v>3763.586956521739</v>
      </c>
      <c r="H327" s="11" t="str">
        <f>IF(C21="","", C294)</f>
        <v>BARRA A TRACCIÓN (+)</v>
      </c>
    </row>
    <row r="328" spans="2:8" ht="19.95" customHeight="1" x14ac:dyDescent="0.3">
      <c r="B328" s="15">
        <f>IF(C22="","", 6)</f>
        <v>6</v>
      </c>
      <c r="C328" s="9">
        <f t="shared" si="29"/>
        <v>2</v>
      </c>
      <c r="D328" s="9">
        <f t="shared" si="30"/>
        <v>4</v>
      </c>
      <c r="E328" s="21">
        <f t="shared" si="31"/>
        <v>500</v>
      </c>
      <c r="F328" s="21">
        <f t="shared" si="32"/>
        <v>12</v>
      </c>
      <c r="G328" s="49">
        <f>IF(C22="","", B299)</f>
        <v>-4986.4130434782592</v>
      </c>
      <c r="H328" s="11" t="str">
        <f>IF(C22="","", C302)</f>
        <v>BARRA A COMPRESIÓN (-)</v>
      </c>
    </row>
    <row r="329" spans="2:8" ht="19.95" customHeight="1" x14ac:dyDescent="0.3">
      <c r="B329" s="16" t="str">
        <f>IF(C23="","", 7)</f>
        <v/>
      </c>
      <c r="C329" s="9" t="str">
        <f t="shared" si="29"/>
        <v/>
      </c>
      <c r="D329" s="9" t="str">
        <f t="shared" si="30"/>
        <v/>
      </c>
      <c r="E329" s="21" t="str">
        <f t="shared" si="31"/>
        <v/>
      </c>
      <c r="F329" s="21" t="str">
        <f t="shared" si="32"/>
        <v/>
      </c>
      <c r="G329" s="49" t="str">
        <f>IF(C23="","", B307)</f>
        <v/>
      </c>
      <c r="H329" s="11" t="str">
        <f>IF(C23="","", C310)</f>
        <v/>
      </c>
    </row>
    <row r="330" spans="2:8" ht="19.95" customHeight="1" x14ac:dyDescent="0.3">
      <c r="B330" s="17" t="str">
        <f>IF(C24="","", 8)</f>
        <v/>
      </c>
      <c r="C330" s="9" t="str">
        <f t="shared" si="29"/>
        <v/>
      </c>
      <c r="D330" s="9" t="str">
        <f t="shared" si="30"/>
        <v/>
      </c>
      <c r="E330" s="21" t="str">
        <f t="shared" si="31"/>
        <v/>
      </c>
      <c r="F330" s="21" t="str">
        <f t="shared" si="32"/>
        <v/>
      </c>
      <c r="G330" s="49" t="str">
        <f>IF(C24="","", B315)</f>
        <v/>
      </c>
      <c r="H330" s="11" t="str">
        <f>IF(C24="","", C318)</f>
        <v/>
      </c>
    </row>
  </sheetData>
  <mergeCells count="115">
    <mergeCell ref="G4:G5"/>
    <mergeCell ref="Y278:AD278"/>
    <mergeCell ref="I4:I5"/>
    <mergeCell ref="Y235:AD235"/>
    <mergeCell ref="Y184:AD184"/>
    <mergeCell ref="C270:F270"/>
    <mergeCell ref="M4:M5"/>
    <mergeCell ref="Y234:AD234"/>
    <mergeCell ref="Y212:AD212"/>
    <mergeCell ref="Y226:AD226"/>
    <mergeCell ref="Y264:AD264"/>
    <mergeCell ref="Y220:AD220"/>
    <mergeCell ref="Y236:AD236"/>
    <mergeCell ref="B15:H15"/>
    <mergeCell ref="Y178:AD178"/>
    <mergeCell ref="Y187:AD187"/>
    <mergeCell ref="Y274:AD274"/>
    <mergeCell ref="C278:F278"/>
    <mergeCell ref="Y266:AD266"/>
    <mergeCell ref="Y275:AD275"/>
    <mergeCell ref="C262:F262"/>
    <mergeCell ref="Y276:AD276"/>
    <mergeCell ref="J4:J5"/>
    <mergeCell ref="L4:L5"/>
    <mergeCell ref="A2:N2"/>
    <mergeCell ref="C318:F318"/>
    <mergeCell ref="K4:K5"/>
    <mergeCell ref="Y259:AD259"/>
    <mergeCell ref="Y197:AD197"/>
    <mergeCell ref="Y231:AD231"/>
    <mergeCell ref="Y181:AD181"/>
    <mergeCell ref="Y221:AD221"/>
    <mergeCell ref="B4:B5"/>
    <mergeCell ref="Y196:AD196"/>
    <mergeCell ref="Y261:AD261"/>
    <mergeCell ref="Y230:AD230"/>
    <mergeCell ref="Y273:AD273"/>
    <mergeCell ref="Y270:AD270"/>
    <mergeCell ref="N4:N5"/>
    <mergeCell ref="Y180:AD180"/>
    <mergeCell ref="Y223:AD223"/>
    <mergeCell ref="Y232:AD232"/>
    <mergeCell ref="Y182:AD182"/>
    <mergeCell ref="Y216:AD216"/>
    <mergeCell ref="Y218:AD218"/>
    <mergeCell ref="Y233:AD233"/>
    <mergeCell ref="Y199:AD199"/>
    <mergeCell ref="C221:D221"/>
    <mergeCell ref="C310:F310"/>
    <mergeCell ref="Y267:AD267"/>
    <mergeCell ref="Y214:AD214"/>
    <mergeCell ref="B321:H321"/>
    <mergeCell ref="C294:F294"/>
    <mergeCell ref="Y195:AD195"/>
    <mergeCell ref="Y204:AD204"/>
    <mergeCell ref="C215:F215"/>
    <mergeCell ref="Y260:AD260"/>
    <mergeCell ref="Y269:AD269"/>
    <mergeCell ref="Y208:AD208"/>
    <mergeCell ref="Y217:AD217"/>
    <mergeCell ref="Y263:AD263"/>
    <mergeCell ref="Y272:AD272"/>
    <mergeCell ref="Y210:AD210"/>
    <mergeCell ref="Y277:AD277"/>
    <mergeCell ref="Y256:AD256"/>
    <mergeCell ref="Y271:AD271"/>
    <mergeCell ref="Y265:AD265"/>
    <mergeCell ref="Y255:AD255"/>
    <mergeCell ref="Y257:AD257"/>
    <mergeCell ref="Y268:AD268"/>
    <mergeCell ref="C302:F302"/>
    <mergeCell ref="C286:F286"/>
    <mergeCell ref="A1:N1"/>
    <mergeCell ref="C4:D4"/>
    <mergeCell ref="E4:F4"/>
    <mergeCell ref="Y174:AD174"/>
    <mergeCell ref="Y189:AD189"/>
    <mergeCell ref="Y198:AD198"/>
    <mergeCell ref="Y229:AD229"/>
    <mergeCell ref="Y179:AD179"/>
    <mergeCell ref="Y213:AD213"/>
    <mergeCell ref="C194:D194"/>
    <mergeCell ref="Y215:AD215"/>
    <mergeCell ref="H4:H5"/>
    <mergeCell ref="Y176:AD176"/>
    <mergeCell ref="Y191:AD191"/>
    <mergeCell ref="Y219:AD219"/>
    <mergeCell ref="Y225:AD225"/>
    <mergeCell ref="Y200:AD200"/>
    <mergeCell ref="Y209:AD209"/>
    <mergeCell ref="Y224:AD224"/>
    <mergeCell ref="C214:F214"/>
    <mergeCell ref="Y202:AD202"/>
    <mergeCell ref="Y211:AD211"/>
    <mergeCell ref="Y201:AD201"/>
    <mergeCell ref="Y203:AD203"/>
    <mergeCell ref="Y279:AD279"/>
    <mergeCell ref="Y258:AD258"/>
    <mergeCell ref="P4:W4"/>
    <mergeCell ref="Y207:AD207"/>
    <mergeCell ref="Y188:AD188"/>
    <mergeCell ref="Y222:AD222"/>
    <mergeCell ref="Y262:AD262"/>
    <mergeCell ref="Y237:AD237"/>
    <mergeCell ref="Y190:AD190"/>
    <mergeCell ref="Y183:AD183"/>
    <mergeCell ref="Y239:AD239"/>
    <mergeCell ref="Y254:AD254"/>
    <mergeCell ref="Y175:AD175"/>
    <mergeCell ref="Y238:AD238"/>
    <mergeCell ref="Y185:AD185"/>
    <mergeCell ref="Y177:AD177"/>
    <mergeCell ref="Y192:AD192"/>
    <mergeCell ref="Y186:AD186"/>
    <mergeCell ref="Y194:AD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MANUAL_ISOSTATICA_3R</vt:lpstr>
      <vt:lpstr>MANUAL_HIPERESTATICA_4R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ULIANOV SABATH CUBA VALENCIA</cp:lastModifiedBy>
  <dcterms:created xsi:type="dcterms:W3CDTF">2026-10-04T05:42:28Z</dcterms:created>
  <dcterms:modified xsi:type="dcterms:W3CDTF">2026-10-04T06:30:05Z</dcterms:modified>
</cp:coreProperties>
</file>