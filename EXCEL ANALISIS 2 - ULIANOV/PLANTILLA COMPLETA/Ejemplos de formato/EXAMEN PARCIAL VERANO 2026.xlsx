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-nb\Downloads\"/>
    </mc:Choice>
  </mc:AlternateContent>
  <xr:revisionPtr revIDLastSave="0" documentId="8_{F82E627A-68D6-4E69-BDAC-4C4A106A727E}" xr6:coauthVersionLast="47" xr6:coauthVersionMax="47" xr10:uidLastSave="{00000000-0000-0000-0000-000000000000}"/>
  <bookViews>
    <workbookView xWindow="-110" yWindow="-110" windowWidth="25820" windowHeight="13900" xr2:uid="{F77383BF-9375-4B87-A670-1EBDB2E99B65}"/>
  </bookViews>
  <sheets>
    <sheet name="PREGUNTA 1 " sheetId="1" r:id="rId1"/>
    <sheet name="PREGUNTA 2" sheetId="3" r:id="rId2"/>
    <sheet name="PREGUNTA 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3" i="5" l="1"/>
  <c r="J238" i="5"/>
  <c r="J237" i="5"/>
  <c r="J236" i="5"/>
  <c r="J235" i="5"/>
  <c r="B235" i="5"/>
  <c r="K210" i="5"/>
  <c r="K211" i="5"/>
  <c r="K207" i="5"/>
  <c r="K206" i="5"/>
  <c r="K197" i="5"/>
  <c r="K196" i="5"/>
  <c r="K193" i="5"/>
  <c r="K192" i="5"/>
  <c r="D229" i="3"/>
  <c r="G229" i="3"/>
  <c r="J229" i="3" a="1"/>
  <c r="J229" i="3" s="1"/>
  <c r="B196" i="3"/>
  <c r="B195" i="3"/>
  <c r="B194" i="3"/>
  <c r="O195" i="3"/>
  <c r="P195" i="3"/>
  <c r="Q195" i="3"/>
  <c r="R195" i="3"/>
  <c r="O196" i="3"/>
  <c r="P196" i="3"/>
  <c r="Q196" i="3"/>
  <c r="R196" i="3"/>
  <c r="P194" i="3"/>
  <c r="Q194" i="3"/>
  <c r="R194" i="3"/>
  <c r="O194" i="3"/>
  <c r="N195" i="3"/>
  <c r="N196" i="3"/>
  <c r="N194" i="3"/>
  <c r="L195" i="3"/>
  <c r="L196" i="3"/>
  <c r="L194" i="3"/>
  <c r="L176" i="3" a="1"/>
  <c r="L176" i="3" s="1"/>
  <c r="C134" i="3"/>
  <c r="C135" i="3"/>
  <c r="C136" i="3"/>
  <c r="C137" i="3"/>
  <c r="C138" i="3"/>
  <c r="C139" i="3"/>
  <c r="C140" i="3"/>
  <c r="C141" i="3"/>
  <c r="C47" i="3"/>
  <c r="C46" i="3"/>
  <c r="B46" i="3"/>
  <c r="D38" i="3"/>
  <c r="E38" i="3"/>
  <c r="E37" i="3"/>
  <c r="D37" i="3"/>
  <c r="F38" i="3"/>
  <c r="G38" i="3"/>
  <c r="G37" i="3"/>
  <c r="F37" i="3"/>
  <c r="D40" i="3"/>
  <c r="E40" i="3"/>
  <c r="E39" i="3"/>
  <c r="D39" i="3"/>
  <c r="F40" i="3"/>
  <c r="G40" i="3"/>
  <c r="G39" i="3"/>
  <c r="F39" i="3"/>
  <c r="D27" i="3"/>
  <c r="B28" i="3"/>
  <c r="C28" i="3"/>
  <c r="B27" i="3"/>
  <c r="C27" i="3"/>
  <c r="E27" i="3"/>
  <c r="D28" i="3"/>
  <c r="E28" i="3"/>
  <c r="B29" i="3"/>
  <c r="C29" i="3"/>
  <c r="D29" i="3"/>
  <c r="E29" i="3"/>
  <c r="C30" i="3"/>
  <c r="D30" i="3"/>
  <c r="E30" i="3"/>
  <c r="B26" i="3"/>
  <c r="I9" i="3"/>
  <c r="J9" i="3" s="1"/>
  <c r="H9" i="3"/>
  <c r="G9" i="3"/>
  <c r="B30" i="3" l="1"/>
  <c r="G36" i="5" l="1"/>
  <c r="H8" i="1"/>
  <c r="G8" i="1"/>
  <c r="I36" i="5" l="1"/>
  <c r="H36" i="5"/>
  <c r="G37" i="5"/>
  <c r="H37" i="5"/>
  <c r="I37" i="5"/>
  <c r="N37" i="5" s="1"/>
  <c r="J37" i="5"/>
  <c r="F303" i="5" s="1"/>
  <c r="H303" i="5" s="1"/>
  <c r="G38" i="5"/>
  <c r="I38" i="5" s="1"/>
  <c r="N38" i="5" s="1"/>
  <c r="D313" i="5" s="1"/>
  <c r="G316" i="5" s="1"/>
  <c r="H38" i="5"/>
  <c r="G39" i="5"/>
  <c r="H39" i="5"/>
  <c r="I39" i="5"/>
  <c r="N39" i="5" s="1"/>
  <c r="D322" i="5" s="1"/>
  <c r="G325" i="5" s="1"/>
  <c r="G40" i="5"/>
  <c r="H40" i="5"/>
  <c r="I40" i="5"/>
  <c r="N40" i="5" s="1"/>
  <c r="D333" i="5" s="1"/>
  <c r="G336" i="5" s="1"/>
  <c r="J40" i="5"/>
  <c r="F333" i="5" s="1"/>
  <c r="H333" i="5" s="1"/>
  <c r="B58" i="5"/>
  <c r="F59" i="5" s="1"/>
  <c r="C58" i="5"/>
  <c r="F60" i="5" s="1"/>
  <c r="D58" i="5"/>
  <c r="F61" i="5" s="1"/>
  <c r="E58" i="5"/>
  <c r="F62" i="5" s="1"/>
  <c r="J67" i="5"/>
  <c r="J68" i="5"/>
  <c r="J69" i="5"/>
  <c r="J70" i="5"/>
  <c r="J71" i="5"/>
  <c r="J72" i="5"/>
  <c r="J73" i="5"/>
  <c r="J74" i="5"/>
  <c r="B83" i="5"/>
  <c r="F84" i="5" s="1"/>
  <c r="C83" i="5"/>
  <c r="F85" i="5" s="1"/>
  <c r="D83" i="5"/>
  <c r="F86" i="5" s="1"/>
  <c r="E83" i="5"/>
  <c r="F87" i="5" s="1"/>
  <c r="J92" i="5"/>
  <c r="J93" i="5"/>
  <c r="J94" i="5"/>
  <c r="J95" i="5"/>
  <c r="J96" i="5"/>
  <c r="J97" i="5"/>
  <c r="J98" i="5"/>
  <c r="J99" i="5"/>
  <c r="B108" i="5"/>
  <c r="F109" i="5" s="1"/>
  <c r="C108" i="5"/>
  <c r="F110" i="5" s="1"/>
  <c r="D108" i="5"/>
  <c r="F111" i="5" s="1"/>
  <c r="E108" i="5"/>
  <c r="F112" i="5" s="1"/>
  <c r="J117" i="5"/>
  <c r="J118" i="5"/>
  <c r="J119" i="5"/>
  <c r="J120" i="5"/>
  <c r="J121" i="5"/>
  <c r="J122" i="5"/>
  <c r="J123" i="5"/>
  <c r="J124" i="5"/>
  <c r="B131" i="5"/>
  <c r="F132" i="5" s="1"/>
  <c r="C131" i="5"/>
  <c r="F133" i="5" s="1"/>
  <c r="D131" i="5"/>
  <c r="F134" i="5" s="1"/>
  <c r="E131" i="5"/>
  <c r="F135" i="5" s="1"/>
  <c r="J140" i="5"/>
  <c r="J141" i="5"/>
  <c r="J142" i="5"/>
  <c r="J143" i="5"/>
  <c r="J144" i="5"/>
  <c r="J145" i="5"/>
  <c r="J146" i="5"/>
  <c r="J147" i="5"/>
  <c r="B153" i="5"/>
  <c r="F154" i="5" s="1"/>
  <c r="C153" i="5"/>
  <c r="F155" i="5" s="1"/>
  <c r="D153" i="5"/>
  <c r="F156" i="5" s="1"/>
  <c r="E153" i="5"/>
  <c r="F157" i="5" s="1"/>
  <c r="J162" i="5"/>
  <c r="J163" i="5"/>
  <c r="J164" i="5"/>
  <c r="J165" i="5"/>
  <c r="J166" i="5"/>
  <c r="J167" i="5"/>
  <c r="J168" i="5"/>
  <c r="J169" i="5"/>
  <c r="F176" i="5"/>
  <c r="H220" i="5" s="1"/>
  <c r="F235" i="5" s="1"/>
  <c r="G176" i="5"/>
  <c r="I220" i="5" s="1"/>
  <c r="G235" i="5" s="1"/>
  <c r="J176" i="5"/>
  <c r="C190" i="5" s="1"/>
  <c r="F190" i="5" s="1"/>
  <c r="F177" i="5"/>
  <c r="H221" i="5" s="1"/>
  <c r="F236" i="5" s="1"/>
  <c r="G177" i="5"/>
  <c r="I221" i="5" s="1"/>
  <c r="G236" i="5" s="1"/>
  <c r="J177" i="5"/>
  <c r="C191" i="5" s="1"/>
  <c r="J178" i="5"/>
  <c r="C192" i="5" s="1"/>
  <c r="J179" i="5"/>
  <c r="C193" i="5" s="1"/>
  <c r="F193" i="5" s="1"/>
  <c r="B180" i="5"/>
  <c r="D224" i="5" s="1"/>
  <c r="D237" i="5" s="1"/>
  <c r="C180" i="5"/>
  <c r="E224" i="5" s="1"/>
  <c r="E237" i="5" s="1"/>
  <c r="J180" i="5"/>
  <c r="C194" i="5" s="1"/>
  <c r="B181" i="5"/>
  <c r="D225" i="5" s="1"/>
  <c r="D238" i="5" s="1"/>
  <c r="C181" i="5"/>
  <c r="E225" i="5" s="1"/>
  <c r="E238" i="5" s="1"/>
  <c r="J181" i="5"/>
  <c r="C195" i="5" s="1"/>
  <c r="F195" i="5" s="1"/>
  <c r="J182" i="5"/>
  <c r="C196" i="5" s="1"/>
  <c r="J183" i="5"/>
  <c r="C197" i="5" s="1"/>
  <c r="E210" i="5"/>
  <c r="L224" i="5" s="1"/>
  <c r="E211" i="5"/>
  <c r="L225" i="5" s="1"/>
  <c r="B220" i="5"/>
  <c r="L220" i="5"/>
  <c r="B221" i="5"/>
  <c r="B236" i="5" s="1"/>
  <c r="J244" i="5" s="1"/>
  <c r="L221" i="5"/>
  <c r="B222" i="5"/>
  <c r="B243" i="5" s="1"/>
  <c r="B251" i="5" s="1"/>
  <c r="L222" i="5"/>
  <c r="B223" i="5"/>
  <c r="B244" i="5" s="1"/>
  <c r="B252" i="5" s="1"/>
  <c r="L223" i="5"/>
  <c r="B224" i="5"/>
  <c r="B237" i="5" s="1"/>
  <c r="J245" i="5" s="1"/>
  <c r="B225" i="5"/>
  <c r="B238" i="5" s="1"/>
  <c r="J246" i="5" s="1"/>
  <c r="B226" i="5"/>
  <c r="L226" i="5"/>
  <c r="B227" i="5"/>
  <c r="B264" i="5" s="1"/>
  <c r="B271" i="5" s="1"/>
  <c r="F279" i="5" s="1"/>
  <c r="L227" i="5"/>
  <c r="B247" i="5"/>
  <c r="C283" i="5"/>
  <c r="K334" i="5" s="1"/>
  <c r="K292" i="5"/>
  <c r="K293" i="5"/>
  <c r="K294" i="5"/>
  <c r="K301" i="5"/>
  <c r="K302" i="5"/>
  <c r="K323" i="5"/>
  <c r="K331" i="5"/>
  <c r="K332" i="5"/>
  <c r="N36" i="5" l="1"/>
  <c r="J36" i="5"/>
  <c r="F293" i="5" s="1"/>
  <c r="K39" i="5"/>
  <c r="C133" i="5" s="1"/>
  <c r="J38" i="5"/>
  <c r="F313" i="5" s="1"/>
  <c r="H313" i="5" s="1"/>
  <c r="K38" i="5"/>
  <c r="J39" i="5"/>
  <c r="F322" i="5" s="1"/>
  <c r="K37" i="5"/>
  <c r="G303" i="5" s="1"/>
  <c r="I303" i="5" s="1"/>
  <c r="K36" i="5"/>
  <c r="G293" i="5" s="1"/>
  <c r="I293" i="5" s="1"/>
  <c r="K40" i="5"/>
  <c r="G333" i="5" s="1"/>
  <c r="I333" i="5" s="1"/>
  <c r="C206" i="5"/>
  <c r="F206" i="5" s="1"/>
  <c r="B154" i="5"/>
  <c r="B276" i="5"/>
  <c r="L291" i="5" s="1"/>
  <c r="B261" i="5"/>
  <c r="B268" i="5" s="1"/>
  <c r="F276" i="5" s="1"/>
  <c r="C59" i="5"/>
  <c r="E59" i="5" s="1"/>
  <c r="B132" i="5"/>
  <c r="D132" i="5" s="1"/>
  <c r="B146" i="5" s="1"/>
  <c r="B182" i="5" s="1"/>
  <c r="D226" i="5" s="1"/>
  <c r="D263" i="5" s="1"/>
  <c r="D293" i="5"/>
  <c r="G296" i="5" s="1"/>
  <c r="C211" i="5"/>
  <c r="B262" i="5"/>
  <c r="B269" i="5" s="1"/>
  <c r="F277" i="5" s="1"/>
  <c r="H293" i="5"/>
  <c r="B263" i="5"/>
  <c r="B270" i="5" s="1"/>
  <c r="F278" i="5" s="1"/>
  <c r="B245" i="5"/>
  <c r="B253" i="5" s="1"/>
  <c r="C208" i="5"/>
  <c r="F192" i="5"/>
  <c r="C213" i="5"/>
  <c r="F197" i="5"/>
  <c r="L322" i="5"/>
  <c r="K314" i="5"/>
  <c r="K321" i="5"/>
  <c r="C212" i="5"/>
  <c r="F196" i="5"/>
  <c r="H146" i="5"/>
  <c r="D303" i="5"/>
  <c r="G306" i="5" s="1"/>
  <c r="B84" i="5"/>
  <c r="B246" i="5"/>
  <c r="B254" i="5" s="1"/>
  <c r="B59" i="5"/>
  <c r="C155" i="5"/>
  <c r="G313" i="5"/>
  <c r="I313" i="5" s="1"/>
  <c r="C110" i="5"/>
  <c r="C85" i="5"/>
  <c r="D154" i="5"/>
  <c r="D156" i="5"/>
  <c r="H168" i="5" s="1"/>
  <c r="D164" i="5"/>
  <c r="D134" i="5"/>
  <c r="B140" i="5" s="1"/>
  <c r="C209" i="5"/>
  <c r="C210" i="5"/>
  <c r="F194" i="5"/>
  <c r="C207" i="5"/>
  <c r="F191" i="5"/>
  <c r="B109" i="5"/>
  <c r="H322" i="5"/>
  <c r="C109" i="5"/>
  <c r="D5" i="3"/>
  <c r="G10" i="3"/>
  <c r="H10" i="3"/>
  <c r="G11" i="3"/>
  <c r="H11" i="3"/>
  <c r="G12" i="3"/>
  <c r="H12" i="3"/>
  <c r="I12" i="3" s="1"/>
  <c r="G13" i="3"/>
  <c r="H13" i="3"/>
  <c r="F27" i="3"/>
  <c r="C26" i="3"/>
  <c r="F28" i="3" s="1"/>
  <c r="D26" i="3"/>
  <c r="F29" i="3" s="1"/>
  <c r="E26" i="3"/>
  <c r="F30" i="3" s="1"/>
  <c r="J35" i="3"/>
  <c r="J36" i="3"/>
  <c r="J37" i="3"/>
  <c r="J38" i="3"/>
  <c r="J39" i="3"/>
  <c r="J40" i="3"/>
  <c r="J41" i="3"/>
  <c r="J42" i="3"/>
  <c r="B45" i="3"/>
  <c r="F46" i="3" s="1"/>
  <c r="C45" i="3"/>
  <c r="F47" i="3" s="1"/>
  <c r="D45" i="3"/>
  <c r="F48" i="3" s="1"/>
  <c r="E45" i="3"/>
  <c r="F49" i="3" s="1"/>
  <c r="J54" i="3"/>
  <c r="J55" i="3"/>
  <c r="J56" i="3"/>
  <c r="J57" i="3"/>
  <c r="J58" i="3"/>
  <c r="J59" i="3"/>
  <c r="J60" i="3"/>
  <c r="J61" i="3"/>
  <c r="B65" i="3"/>
  <c r="F66" i="3" s="1"/>
  <c r="C65" i="3"/>
  <c r="F67" i="3" s="1"/>
  <c r="D65" i="3"/>
  <c r="F68" i="3" s="1"/>
  <c r="E65" i="3"/>
  <c r="F69" i="3" s="1"/>
  <c r="J73" i="3"/>
  <c r="J74" i="3"/>
  <c r="J75" i="3"/>
  <c r="J76" i="3"/>
  <c r="J77" i="3"/>
  <c r="J78" i="3"/>
  <c r="J79" i="3"/>
  <c r="J80" i="3"/>
  <c r="B83" i="3"/>
  <c r="F84" i="3" s="1"/>
  <c r="C83" i="3"/>
  <c r="F85" i="3" s="1"/>
  <c r="D83" i="3"/>
  <c r="F86" i="3" s="1"/>
  <c r="E83" i="3"/>
  <c r="F87" i="3" s="1"/>
  <c r="J91" i="3"/>
  <c r="J92" i="3"/>
  <c r="J93" i="3"/>
  <c r="J94" i="3"/>
  <c r="J95" i="3"/>
  <c r="J96" i="3"/>
  <c r="J97" i="3"/>
  <c r="J98" i="3"/>
  <c r="B101" i="3"/>
  <c r="F102" i="3" s="1"/>
  <c r="C101" i="3"/>
  <c r="F103" i="3" s="1"/>
  <c r="D101" i="3"/>
  <c r="F104" i="3" s="1"/>
  <c r="E101" i="3"/>
  <c r="F105" i="3" s="1"/>
  <c r="J110" i="3"/>
  <c r="J111" i="3"/>
  <c r="J112" i="3"/>
  <c r="J113" i="3"/>
  <c r="J114" i="3"/>
  <c r="J115" i="3"/>
  <c r="J116" i="3"/>
  <c r="J117" i="3"/>
  <c r="F122" i="3"/>
  <c r="H156" i="3" s="1"/>
  <c r="E168" i="3" s="1"/>
  <c r="G122" i="3"/>
  <c r="I156" i="3" s="1"/>
  <c r="F168" i="3" s="1"/>
  <c r="J122" i="3"/>
  <c r="F123" i="3"/>
  <c r="H157" i="3" s="1"/>
  <c r="E194" i="3" s="1"/>
  <c r="G123" i="3"/>
  <c r="I157" i="3" s="1"/>
  <c r="F194" i="3" s="1"/>
  <c r="J123" i="3"/>
  <c r="F135" i="3" s="1"/>
  <c r="J124" i="3"/>
  <c r="F136" i="3" s="1"/>
  <c r="J125" i="3"/>
  <c r="C148" i="3" s="1"/>
  <c r="F148" i="3" s="1"/>
  <c r="B126" i="3"/>
  <c r="D160" i="3" s="1"/>
  <c r="D169" i="3" s="1"/>
  <c r="C126" i="3"/>
  <c r="E160" i="3" s="1"/>
  <c r="J126" i="3"/>
  <c r="C149" i="3" s="1"/>
  <c r="B127" i="3"/>
  <c r="D161" i="3" s="1"/>
  <c r="D170" i="3" s="1"/>
  <c r="C127" i="3"/>
  <c r="E161" i="3" s="1"/>
  <c r="J127" i="3"/>
  <c r="F139" i="3" s="1"/>
  <c r="J128" i="3"/>
  <c r="J129" i="3"/>
  <c r="C152" i="3" s="1"/>
  <c r="B216" i="3" s="1"/>
  <c r="L267" i="3" s="1"/>
  <c r="E149" i="3"/>
  <c r="L160" i="3" s="1"/>
  <c r="J169" i="3" s="1"/>
  <c r="B177" i="3" s="1"/>
  <c r="B185" i="3" s="1"/>
  <c r="E150" i="3"/>
  <c r="L161" i="3" s="1"/>
  <c r="J170" i="3" s="1"/>
  <c r="B178" i="3" s="1"/>
  <c r="B186" i="3" s="1"/>
  <c r="E151" i="3"/>
  <c r="L162" i="3" s="1"/>
  <c r="J171" i="3" s="1"/>
  <c r="B179" i="3" s="1"/>
  <c r="B187" i="3" s="1"/>
  <c r="E152" i="3"/>
  <c r="L163" i="3" s="1"/>
  <c r="J172" i="3" s="1"/>
  <c r="B180" i="3" s="1"/>
  <c r="B188" i="3" s="1"/>
  <c r="B156" i="3"/>
  <c r="L156" i="3"/>
  <c r="J168" i="3" s="1"/>
  <c r="B176" i="3" s="1"/>
  <c r="B184" i="3" s="1"/>
  <c r="B157" i="3"/>
  <c r="L157" i="3"/>
  <c r="B158" i="3"/>
  <c r="B202" i="3" s="1"/>
  <c r="F210" i="3" s="1"/>
  <c r="L158" i="3"/>
  <c r="B159" i="3"/>
  <c r="B203" i="3" s="1"/>
  <c r="F211" i="3" s="1"/>
  <c r="L159" i="3"/>
  <c r="B160" i="3"/>
  <c r="B169" i="3" s="1"/>
  <c r="J177" i="3" s="1"/>
  <c r="B161" i="3"/>
  <c r="B170" i="3" s="1"/>
  <c r="J178" i="3" s="1"/>
  <c r="B162" i="3"/>
  <c r="B171" i="3" s="1"/>
  <c r="J179" i="3" s="1"/>
  <c r="B163" i="3"/>
  <c r="B172" i="3" s="1"/>
  <c r="J180" i="3" s="1"/>
  <c r="J176" i="3"/>
  <c r="K225" i="3"/>
  <c r="K226" i="3"/>
  <c r="K227" i="3"/>
  <c r="K234" i="3"/>
  <c r="K235" i="3"/>
  <c r="K256" i="3"/>
  <c r="K264" i="3"/>
  <c r="K265" i="3"/>
  <c r="C132" i="5" l="1"/>
  <c r="B134" i="5"/>
  <c r="H140" i="5" s="1"/>
  <c r="H176" i="5" s="1"/>
  <c r="J220" i="5" s="1"/>
  <c r="G322" i="5"/>
  <c r="I322" i="5" s="1"/>
  <c r="C84" i="5"/>
  <c r="B60" i="5"/>
  <c r="B68" i="5" s="1"/>
  <c r="C154" i="5"/>
  <c r="E154" i="5" s="1"/>
  <c r="I164" i="5" s="1"/>
  <c r="I178" i="5" s="1"/>
  <c r="K222" i="5" s="1"/>
  <c r="C60" i="5"/>
  <c r="E164" i="5"/>
  <c r="E61" i="5"/>
  <c r="E69" i="5" s="1"/>
  <c r="C67" i="5"/>
  <c r="E156" i="5"/>
  <c r="I168" i="5" s="1"/>
  <c r="B155" i="5"/>
  <c r="D157" i="5" s="1"/>
  <c r="H169" i="5" s="1"/>
  <c r="F211" i="5"/>
  <c r="B281" i="5"/>
  <c r="D60" i="5"/>
  <c r="D62" i="5"/>
  <c r="D70" i="5" s="1"/>
  <c r="F208" i="5"/>
  <c r="B278" i="5"/>
  <c r="E109" i="5"/>
  <c r="G121" i="5"/>
  <c r="B110" i="5"/>
  <c r="E111" i="5"/>
  <c r="I123" i="5" s="1"/>
  <c r="B277" i="5"/>
  <c r="F207" i="5"/>
  <c r="E132" i="5"/>
  <c r="E134" i="5"/>
  <c r="C140" i="5" s="1"/>
  <c r="I146" i="5"/>
  <c r="B133" i="5"/>
  <c r="F210" i="5"/>
  <c r="B280" i="5"/>
  <c r="B156" i="5"/>
  <c r="D168" i="5" s="1"/>
  <c r="D182" i="5" s="1"/>
  <c r="F226" i="5" s="1"/>
  <c r="H164" i="5"/>
  <c r="H178" i="5" s="1"/>
  <c r="J222" i="5" s="1"/>
  <c r="E133" i="5"/>
  <c r="E135" i="5"/>
  <c r="C141" i="5" s="1"/>
  <c r="I147" i="5"/>
  <c r="E67" i="5"/>
  <c r="E176" i="5" s="1"/>
  <c r="G220" i="5" s="1"/>
  <c r="C61" i="5"/>
  <c r="C69" i="5" s="1"/>
  <c r="C178" i="5" s="1"/>
  <c r="E222" i="5" s="1"/>
  <c r="E261" i="5" s="1"/>
  <c r="B279" i="5"/>
  <c r="F209" i="5"/>
  <c r="E85" i="5"/>
  <c r="E95" i="5"/>
  <c r="E87" i="5"/>
  <c r="G97" i="5" s="1"/>
  <c r="E155" i="5"/>
  <c r="E165" i="5"/>
  <c r="E157" i="5"/>
  <c r="I169" i="5" s="1"/>
  <c r="D84" i="5"/>
  <c r="D86" i="5"/>
  <c r="F96" i="5" s="1"/>
  <c r="D94" i="5"/>
  <c r="D109" i="5"/>
  <c r="F121" i="5"/>
  <c r="D111" i="5"/>
  <c r="H123" i="5" s="1"/>
  <c r="H182" i="5" s="1"/>
  <c r="J226" i="5" s="1"/>
  <c r="E110" i="5"/>
  <c r="E112" i="5"/>
  <c r="I124" i="5" s="1"/>
  <c r="G122" i="5"/>
  <c r="D59" i="5"/>
  <c r="B67" i="5"/>
  <c r="B176" i="5" s="1"/>
  <c r="D220" i="5" s="1"/>
  <c r="D235" i="5" s="1"/>
  <c r="D61" i="5"/>
  <c r="D69" i="5" s="1"/>
  <c r="F212" i="5"/>
  <c r="B282" i="5"/>
  <c r="B283" i="5"/>
  <c r="F213" i="5"/>
  <c r="N9" i="3"/>
  <c r="D226" i="3" s="1"/>
  <c r="B201" i="3"/>
  <c r="F209" i="3" s="1"/>
  <c r="C150" i="3"/>
  <c r="F150" i="3" s="1"/>
  <c r="F138" i="3"/>
  <c r="F140" i="3"/>
  <c r="C151" i="3"/>
  <c r="C145" i="3"/>
  <c r="F134" i="3"/>
  <c r="F141" i="3"/>
  <c r="C147" i="3"/>
  <c r="B211" i="3" s="1"/>
  <c r="I10" i="3"/>
  <c r="N10" i="3" s="1"/>
  <c r="D236" i="3" s="1"/>
  <c r="G239" i="3" s="1"/>
  <c r="C146" i="3"/>
  <c r="L254" i="3"/>
  <c r="I13" i="3"/>
  <c r="K13" i="3" s="1"/>
  <c r="F152" i="3"/>
  <c r="B213" i="3"/>
  <c r="F149" i="3"/>
  <c r="I11" i="3"/>
  <c r="K11" i="3" s="1"/>
  <c r="L247" i="3"/>
  <c r="K12" i="3"/>
  <c r="J12" i="3"/>
  <c r="N12" i="3"/>
  <c r="D255" i="3" s="1"/>
  <c r="G258" i="3" s="1"/>
  <c r="B212" i="3"/>
  <c r="F137" i="3"/>
  <c r="D4" i="1"/>
  <c r="K259" i="1"/>
  <c r="K250" i="1"/>
  <c r="K229" i="1"/>
  <c r="K221" i="1"/>
  <c r="K219" i="1"/>
  <c r="B162" i="1"/>
  <c r="B172" i="1" s="1"/>
  <c r="J179" i="1" s="1"/>
  <c r="B161" i="1"/>
  <c r="B171" i="1" s="1"/>
  <c r="J178" i="1" s="1"/>
  <c r="B160" i="1"/>
  <c r="B170" i="1" s="1"/>
  <c r="J177" i="1" s="1"/>
  <c r="B159" i="1"/>
  <c r="B169" i="1" s="1"/>
  <c r="J176" i="1" s="1"/>
  <c r="L158" i="1"/>
  <c r="B158" i="1"/>
  <c r="L157" i="1"/>
  <c r="B157" i="1"/>
  <c r="L156" i="1"/>
  <c r="B156" i="1"/>
  <c r="L155" i="1"/>
  <c r="J168" i="1" s="1"/>
  <c r="B155" i="1"/>
  <c r="B192" i="1" s="1"/>
  <c r="E149" i="1"/>
  <c r="L162" i="1" s="1"/>
  <c r="J172" i="1" s="1"/>
  <c r="B179" i="1" s="1"/>
  <c r="B186" i="1" s="1"/>
  <c r="E148" i="1"/>
  <c r="L161" i="1" s="1"/>
  <c r="J171" i="1" s="1"/>
  <c r="B178" i="1" s="1"/>
  <c r="B185" i="1" s="1"/>
  <c r="E147" i="1"/>
  <c r="L160" i="1" s="1"/>
  <c r="J170" i="1" s="1"/>
  <c r="B177" i="1" s="1"/>
  <c r="B184" i="1" s="1"/>
  <c r="E146" i="1"/>
  <c r="L159" i="1" s="1"/>
  <c r="J169" i="1" s="1"/>
  <c r="B176" i="1" s="1"/>
  <c r="B183" i="1" s="1"/>
  <c r="J127" i="1"/>
  <c r="C138" i="1" s="1"/>
  <c r="J126" i="1"/>
  <c r="C137" i="1" s="1"/>
  <c r="J125" i="1"/>
  <c r="C136" i="1" s="1"/>
  <c r="C125" i="1"/>
  <c r="E160" i="1" s="1"/>
  <c r="B125" i="1"/>
  <c r="D160" i="1" s="1"/>
  <c r="D170" i="1" s="1"/>
  <c r="J124" i="1"/>
  <c r="C135" i="1" s="1"/>
  <c r="C124" i="1"/>
  <c r="E159" i="1" s="1"/>
  <c r="B124" i="1"/>
  <c r="D159" i="1" s="1"/>
  <c r="D169" i="1" s="1"/>
  <c r="J123" i="1"/>
  <c r="C134" i="1" s="1"/>
  <c r="J122" i="1"/>
  <c r="C133" i="1" s="1"/>
  <c r="J121" i="1"/>
  <c r="C132" i="1" s="1"/>
  <c r="G121" i="1"/>
  <c r="I156" i="1" s="1"/>
  <c r="F192" i="1" s="1"/>
  <c r="F121" i="1"/>
  <c r="H156" i="1" s="1"/>
  <c r="E192" i="1" s="1"/>
  <c r="J120" i="1"/>
  <c r="C131" i="1" s="1"/>
  <c r="G120" i="1"/>
  <c r="I155" i="1" s="1"/>
  <c r="F168" i="1" s="1"/>
  <c r="F120" i="1"/>
  <c r="H155" i="1" s="1"/>
  <c r="E168" i="1" s="1"/>
  <c r="J116" i="1"/>
  <c r="J115" i="1"/>
  <c r="J114" i="1"/>
  <c r="J113" i="1"/>
  <c r="J112" i="1"/>
  <c r="J111" i="1"/>
  <c r="J110" i="1"/>
  <c r="J109" i="1"/>
  <c r="E100" i="1"/>
  <c r="F104" i="1" s="1"/>
  <c r="D100" i="1"/>
  <c r="F103" i="1" s="1"/>
  <c r="C100" i="1"/>
  <c r="F102" i="1" s="1"/>
  <c r="B100" i="1"/>
  <c r="F101" i="1" s="1"/>
  <c r="J97" i="1"/>
  <c r="J96" i="1"/>
  <c r="J95" i="1"/>
  <c r="J94" i="1"/>
  <c r="J93" i="1"/>
  <c r="J92" i="1"/>
  <c r="J91" i="1"/>
  <c r="J90" i="1"/>
  <c r="E81" i="1"/>
  <c r="F85" i="1" s="1"/>
  <c r="D81" i="1"/>
  <c r="F84" i="1" s="1"/>
  <c r="C81" i="1"/>
  <c r="F83" i="1" s="1"/>
  <c r="B81" i="1"/>
  <c r="F82" i="1" s="1"/>
  <c r="J78" i="1"/>
  <c r="J77" i="1"/>
  <c r="J76" i="1"/>
  <c r="J75" i="1"/>
  <c r="J74" i="1"/>
  <c r="J73" i="1"/>
  <c r="J72" i="1"/>
  <c r="J71" i="1"/>
  <c r="E62" i="1"/>
  <c r="F66" i="1" s="1"/>
  <c r="D62" i="1"/>
  <c r="F65" i="1" s="1"/>
  <c r="C62" i="1"/>
  <c r="F64" i="1" s="1"/>
  <c r="B62" i="1"/>
  <c r="F63" i="1" s="1"/>
  <c r="J59" i="1"/>
  <c r="J58" i="1"/>
  <c r="J57" i="1"/>
  <c r="J56" i="1"/>
  <c r="J55" i="1"/>
  <c r="J54" i="1"/>
  <c r="J53" i="1"/>
  <c r="J52" i="1"/>
  <c r="E43" i="1"/>
  <c r="F47" i="1" s="1"/>
  <c r="D43" i="1"/>
  <c r="F46" i="1" s="1"/>
  <c r="C43" i="1"/>
  <c r="F45" i="1" s="1"/>
  <c r="B43" i="1"/>
  <c r="F44" i="1" s="1"/>
  <c r="J40" i="1"/>
  <c r="J39" i="1"/>
  <c r="J38" i="1"/>
  <c r="J37" i="1"/>
  <c r="J36" i="1"/>
  <c r="J35" i="1"/>
  <c r="J34" i="1"/>
  <c r="J33" i="1"/>
  <c r="E24" i="1"/>
  <c r="F28" i="1" s="1"/>
  <c r="D24" i="1"/>
  <c r="F27" i="1" s="1"/>
  <c r="C24" i="1"/>
  <c r="F26" i="1" s="1"/>
  <c r="B24" i="1"/>
  <c r="F25" i="1" s="1"/>
  <c r="H12" i="1"/>
  <c r="G12" i="1"/>
  <c r="H11" i="1"/>
  <c r="G11" i="1"/>
  <c r="H10" i="1"/>
  <c r="G10" i="1"/>
  <c r="H9" i="1"/>
  <c r="G9" i="1"/>
  <c r="G181" i="5" l="1"/>
  <c r="I225" i="5" s="1"/>
  <c r="G238" i="5" s="1"/>
  <c r="D155" i="5"/>
  <c r="D165" i="5"/>
  <c r="C156" i="5"/>
  <c r="E168" i="5" s="1"/>
  <c r="E182" i="5" s="1"/>
  <c r="G226" i="5" s="1"/>
  <c r="E84" i="5"/>
  <c r="E94" i="5"/>
  <c r="E178" i="5" s="1"/>
  <c r="G222" i="5" s="1"/>
  <c r="B85" i="5"/>
  <c r="E86" i="5"/>
  <c r="G96" i="5" s="1"/>
  <c r="G180" i="5"/>
  <c r="I224" i="5" s="1"/>
  <c r="G237" i="5" s="1"/>
  <c r="E62" i="5"/>
  <c r="E70" i="5" s="1"/>
  <c r="E60" i="5"/>
  <c r="C68" i="5"/>
  <c r="C177" i="5" s="1"/>
  <c r="E221" i="5" s="1"/>
  <c r="E236" i="5" s="1"/>
  <c r="D178" i="5"/>
  <c r="F222" i="5" s="1"/>
  <c r="F180" i="5"/>
  <c r="H224" i="5" s="1"/>
  <c r="F237" i="5" s="1"/>
  <c r="E179" i="5"/>
  <c r="G223" i="5" s="1"/>
  <c r="I182" i="5"/>
  <c r="K226" i="5" s="1"/>
  <c r="C176" i="5"/>
  <c r="E220" i="5" s="1"/>
  <c r="E235" i="5" s="1"/>
  <c r="L312" i="5"/>
  <c r="L304" i="5"/>
  <c r="B86" i="5"/>
  <c r="D96" i="5" s="1"/>
  <c r="D180" i="5" s="1"/>
  <c r="F224" i="5" s="1"/>
  <c r="F94" i="5"/>
  <c r="F178" i="5" s="1"/>
  <c r="H222" i="5" s="1"/>
  <c r="F261" i="5" s="1"/>
  <c r="H121" i="5"/>
  <c r="H180" i="5" s="1"/>
  <c r="J224" i="5" s="1"/>
  <c r="B111" i="5"/>
  <c r="F123" i="5" s="1"/>
  <c r="F182" i="5" s="1"/>
  <c r="H226" i="5" s="1"/>
  <c r="F263" i="5" s="1"/>
  <c r="I183" i="5"/>
  <c r="K227" i="5" s="1"/>
  <c r="L302" i="5"/>
  <c r="L332" i="5"/>
  <c r="L294" i="5"/>
  <c r="C135" i="5"/>
  <c r="I141" i="5" s="1"/>
  <c r="I177" i="5" s="1"/>
  <c r="K221" i="5" s="1"/>
  <c r="C147" i="5"/>
  <c r="C183" i="5" s="1"/>
  <c r="E227" i="5" s="1"/>
  <c r="E264" i="5" s="1"/>
  <c r="L301" i="5"/>
  <c r="L293" i="5"/>
  <c r="L331" i="5"/>
  <c r="L314" i="5"/>
  <c r="L321" i="5"/>
  <c r="L334" i="5"/>
  <c r="C157" i="5"/>
  <c r="E169" i="5" s="1"/>
  <c r="E183" i="5" s="1"/>
  <c r="G227" i="5" s="1"/>
  <c r="I165" i="5"/>
  <c r="I179" i="5" s="1"/>
  <c r="K223" i="5" s="1"/>
  <c r="D133" i="5"/>
  <c r="H147" i="5"/>
  <c r="D135" i="5"/>
  <c r="B141" i="5" s="1"/>
  <c r="B177" i="5" s="1"/>
  <c r="D221" i="5" s="1"/>
  <c r="D236" i="5" s="1"/>
  <c r="L292" i="5"/>
  <c r="L323" i="5"/>
  <c r="C87" i="5"/>
  <c r="E97" i="5" s="1"/>
  <c r="E181" i="5" s="1"/>
  <c r="G225" i="5" s="1"/>
  <c r="G95" i="5"/>
  <c r="G179" i="5" s="1"/>
  <c r="I223" i="5" s="1"/>
  <c r="G262" i="5" s="1"/>
  <c r="B61" i="5"/>
  <c r="B69" i="5" s="1"/>
  <c r="B178" i="5" s="1"/>
  <c r="D222" i="5" s="1"/>
  <c r="D261" i="5" s="1"/>
  <c r="D67" i="5"/>
  <c r="D176" i="5" s="1"/>
  <c r="F220" i="5" s="1"/>
  <c r="I121" i="5"/>
  <c r="I180" i="5" s="1"/>
  <c r="K224" i="5" s="1"/>
  <c r="C111" i="5"/>
  <c r="G123" i="5" s="1"/>
  <c r="G182" i="5" s="1"/>
  <c r="I226" i="5" s="1"/>
  <c r="G263" i="5" s="1"/>
  <c r="B62" i="5"/>
  <c r="B70" i="5" s="1"/>
  <c r="B179" i="5" s="1"/>
  <c r="D223" i="5" s="1"/>
  <c r="D262" i="5" s="1"/>
  <c r="D68" i="5"/>
  <c r="D177" i="5" s="1"/>
  <c r="F221" i="5" s="1"/>
  <c r="B157" i="5"/>
  <c r="D169" i="5" s="1"/>
  <c r="D183" i="5" s="1"/>
  <c r="F227" i="5" s="1"/>
  <c r="H165" i="5"/>
  <c r="H179" i="5" s="1"/>
  <c r="J223" i="5" s="1"/>
  <c r="C134" i="5"/>
  <c r="I140" i="5" s="1"/>
  <c r="I176" i="5" s="1"/>
  <c r="K220" i="5" s="1"/>
  <c r="C146" i="5"/>
  <c r="C182" i="5" s="1"/>
  <c r="E226" i="5" s="1"/>
  <c r="E263" i="5" s="1"/>
  <c r="L320" i="5"/>
  <c r="L333" i="5"/>
  <c r="L313" i="5"/>
  <c r="I122" i="5"/>
  <c r="I181" i="5" s="1"/>
  <c r="K225" i="5" s="1"/>
  <c r="C112" i="5"/>
  <c r="G124" i="5" s="1"/>
  <c r="G183" i="5" s="1"/>
  <c r="I227" i="5" s="1"/>
  <c r="G264" i="5" s="1"/>
  <c r="L303" i="5"/>
  <c r="L311" i="5"/>
  <c r="F122" i="5"/>
  <c r="D112" i="5"/>
  <c r="H124" i="5" s="1"/>
  <c r="D110" i="5"/>
  <c r="K9" i="3"/>
  <c r="G226" i="3" s="1"/>
  <c r="F147" i="3"/>
  <c r="J10" i="3"/>
  <c r="K10" i="3"/>
  <c r="B214" i="3"/>
  <c r="L245" i="3" s="1"/>
  <c r="F146" i="3"/>
  <c r="B210" i="3"/>
  <c r="F151" i="3"/>
  <c r="B215" i="3"/>
  <c r="B209" i="3"/>
  <c r="F145" i="3"/>
  <c r="G246" i="3"/>
  <c r="I246" i="3" s="1"/>
  <c r="G266" i="3"/>
  <c r="I266" i="3" s="1"/>
  <c r="L236" i="3"/>
  <c r="L244" i="3"/>
  <c r="J11" i="3"/>
  <c r="N11" i="3"/>
  <c r="D246" i="3" s="1"/>
  <c r="G249" i="3" s="1"/>
  <c r="B84" i="3"/>
  <c r="C84" i="3"/>
  <c r="F255" i="3"/>
  <c r="L226" i="3"/>
  <c r="L234" i="3"/>
  <c r="L264" i="3"/>
  <c r="L235" i="3"/>
  <c r="L227" i="3"/>
  <c r="L265" i="3"/>
  <c r="C85" i="3"/>
  <c r="G255" i="3"/>
  <c r="I255" i="3" s="1"/>
  <c r="N13" i="3"/>
  <c r="D266" i="3" s="1"/>
  <c r="G269" i="3" s="1"/>
  <c r="J13" i="3"/>
  <c r="C143" i="1"/>
  <c r="F143" i="1" s="1"/>
  <c r="B193" i="1"/>
  <c r="B199" i="1"/>
  <c r="F207" i="1" s="1"/>
  <c r="J175" i="1"/>
  <c r="B200" i="1"/>
  <c r="B175" i="1"/>
  <c r="B182" i="1" s="1"/>
  <c r="B194" i="1"/>
  <c r="B201" i="1"/>
  <c r="C144" i="1"/>
  <c r="B209" i="1" s="1"/>
  <c r="L258" i="1" s="1"/>
  <c r="I11" i="1"/>
  <c r="N11" i="1" s="1"/>
  <c r="D249" i="1" s="1"/>
  <c r="G252" i="1" s="1"/>
  <c r="I9" i="1"/>
  <c r="K9" i="1" s="1"/>
  <c r="G230" i="1" s="1"/>
  <c r="I230" i="1" s="1"/>
  <c r="C149" i="1"/>
  <c r="I8" i="1"/>
  <c r="C146" i="1"/>
  <c r="I10" i="1"/>
  <c r="N10" i="1" s="1"/>
  <c r="D240" i="1" s="1"/>
  <c r="G243" i="1" s="1"/>
  <c r="I12" i="1"/>
  <c r="K12" i="1" s="1"/>
  <c r="C148" i="1"/>
  <c r="C142" i="1"/>
  <c r="F236" i="3" l="1"/>
  <c r="H236" i="3" s="1"/>
  <c r="C86" i="5"/>
  <c r="E96" i="5" s="1"/>
  <c r="E180" i="5" s="1"/>
  <c r="G224" i="5" s="1"/>
  <c r="G94" i="5"/>
  <c r="G178" i="5" s="1"/>
  <c r="I222" i="5" s="1"/>
  <c r="G261" i="5" s="1"/>
  <c r="C62" i="5"/>
  <c r="C70" i="5" s="1"/>
  <c r="C179" i="5" s="1"/>
  <c r="E223" i="5" s="1"/>
  <c r="E262" i="5" s="1"/>
  <c r="E68" i="5"/>
  <c r="E177" i="5" s="1"/>
  <c r="G221" i="5" s="1"/>
  <c r="D95" i="5"/>
  <c r="D179" i="5" s="1"/>
  <c r="F223" i="5" s="1"/>
  <c r="D87" i="5"/>
  <c r="F97" i="5" s="1"/>
  <c r="F181" i="5" s="1"/>
  <c r="H225" i="5" s="1"/>
  <c r="F238" i="5" s="1"/>
  <c r="D243" i="5" s="1" a="1"/>
  <c r="D85" i="5"/>
  <c r="H183" i="5"/>
  <c r="J227" i="5" s="1"/>
  <c r="B112" i="5"/>
  <c r="F124" i="5" s="1"/>
  <c r="F183" i="5" s="1"/>
  <c r="H227" i="5" s="1"/>
  <c r="F264" i="5" s="1"/>
  <c r="H122" i="5"/>
  <c r="H181" i="5" s="1"/>
  <c r="J225" i="5" s="1"/>
  <c r="B135" i="5"/>
  <c r="H141" i="5" s="1"/>
  <c r="H177" i="5" s="1"/>
  <c r="J221" i="5" s="1"/>
  <c r="B147" i="5"/>
  <c r="B183" i="5" s="1"/>
  <c r="D227" i="5" s="1"/>
  <c r="D264" i="5" s="1"/>
  <c r="G236" i="3"/>
  <c r="I236" i="3" s="1"/>
  <c r="D48" i="3"/>
  <c r="F58" i="3" s="1"/>
  <c r="F226" i="3"/>
  <c r="H226" i="3" s="1"/>
  <c r="E46" i="3"/>
  <c r="G60" i="3" s="1"/>
  <c r="G128" i="3" s="1"/>
  <c r="I162" i="3" s="1"/>
  <c r="F171" i="3" s="1"/>
  <c r="L237" i="3"/>
  <c r="L266" i="3"/>
  <c r="L253" i="3"/>
  <c r="L246" i="3"/>
  <c r="L225" i="3"/>
  <c r="L256" i="3"/>
  <c r="L255" i="3"/>
  <c r="L224" i="3"/>
  <c r="E87" i="3"/>
  <c r="I98" i="3" s="1"/>
  <c r="E85" i="3"/>
  <c r="E94" i="3"/>
  <c r="H255" i="3"/>
  <c r="E84" i="3"/>
  <c r="E86" i="3"/>
  <c r="I97" i="3" s="1"/>
  <c r="B85" i="3"/>
  <c r="E93" i="3"/>
  <c r="E47" i="3"/>
  <c r="E49" i="3"/>
  <c r="G59" i="3" s="1"/>
  <c r="I61" i="3"/>
  <c r="B102" i="3"/>
  <c r="F266" i="3"/>
  <c r="C102" i="3"/>
  <c r="D86" i="3"/>
  <c r="H97" i="3" s="1"/>
  <c r="D93" i="3"/>
  <c r="D84" i="3"/>
  <c r="I226" i="3"/>
  <c r="C103" i="3"/>
  <c r="B66" i="3"/>
  <c r="F246" i="3"/>
  <c r="C66" i="3"/>
  <c r="C67" i="3"/>
  <c r="C147" i="1"/>
  <c r="B208" i="1"/>
  <c r="L219" i="1" s="1"/>
  <c r="C145" i="1"/>
  <c r="F209" i="1"/>
  <c r="F208" i="1"/>
  <c r="J9" i="1"/>
  <c r="F230" i="1" s="1"/>
  <c r="N9" i="1"/>
  <c r="D230" i="1" s="1"/>
  <c r="G233" i="1" s="1"/>
  <c r="F144" i="1"/>
  <c r="L228" i="1"/>
  <c r="L220" i="1"/>
  <c r="J11" i="1"/>
  <c r="F249" i="1" s="1"/>
  <c r="K11" i="1"/>
  <c r="G249" i="1" s="1"/>
  <c r="I249" i="1" s="1"/>
  <c r="J10" i="1"/>
  <c r="B63" i="1" s="1"/>
  <c r="B211" i="1"/>
  <c r="F146" i="1"/>
  <c r="F148" i="1"/>
  <c r="B213" i="1"/>
  <c r="N8" i="1"/>
  <c r="D220" i="1" s="1"/>
  <c r="G223" i="1" s="1"/>
  <c r="J8" i="1"/>
  <c r="N12" i="1"/>
  <c r="D260" i="1" s="1"/>
  <c r="G263" i="1" s="1"/>
  <c r="J12" i="1"/>
  <c r="K10" i="1"/>
  <c r="G260" i="1"/>
  <c r="I260" i="1" s="1"/>
  <c r="B214" i="1"/>
  <c r="F149" i="1"/>
  <c r="F142" i="1"/>
  <c r="B207" i="1"/>
  <c r="K8" i="1"/>
  <c r="E243" i="5" l="1"/>
  <c r="B87" i="5"/>
  <c r="D97" i="5" s="1"/>
  <c r="D181" i="5" s="1"/>
  <c r="F225" i="5" s="1"/>
  <c r="F95" i="5"/>
  <c r="F179" i="5" s="1"/>
  <c r="H223" i="5" s="1"/>
  <c r="F262" i="5" s="1"/>
  <c r="L250" i="1"/>
  <c r="D243" i="5"/>
  <c r="D251" i="5" s="1" a="1"/>
  <c r="E246" i="5"/>
  <c r="F245" i="5"/>
  <c r="G243" i="5"/>
  <c r="G244" i="5"/>
  <c r="G246" i="5"/>
  <c r="G245" i="5"/>
  <c r="E245" i="5"/>
  <c r="D244" i="5"/>
  <c r="F244" i="5"/>
  <c r="F246" i="5"/>
  <c r="E244" i="5"/>
  <c r="F243" i="5"/>
  <c r="D246" i="5"/>
  <c r="D245" i="5"/>
  <c r="C48" i="3"/>
  <c r="I58" i="3" s="1"/>
  <c r="I126" i="3" s="1"/>
  <c r="K160" i="3" s="1"/>
  <c r="H169" i="3" s="1"/>
  <c r="I60" i="3"/>
  <c r="B47" i="3"/>
  <c r="D47" i="3" s="1"/>
  <c r="B49" i="3" s="1"/>
  <c r="H59" i="3" s="1"/>
  <c r="H127" i="3" s="1"/>
  <c r="J161" i="3" s="1"/>
  <c r="G170" i="3" s="1"/>
  <c r="F126" i="3"/>
  <c r="H160" i="3" s="1"/>
  <c r="E169" i="3" s="1"/>
  <c r="E48" i="3"/>
  <c r="G58" i="3" s="1"/>
  <c r="D46" i="3"/>
  <c r="H60" i="3"/>
  <c r="E66" i="3"/>
  <c r="C73" i="3"/>
  <c r="E68" i="3"/>
  <c r="I79" i="3" s="1"/>
  <c r="I128" i="3" s="1"/>
  <c r="K162" i="3" s="1"/>
  <c r="H171" i="3" s="1"/>
  <c r="B67" i="3"/>
  <c r="H246" i="3"/>
  <c r="E102" i="3"/>
  <c r="E104" i="3"/>
  <c r="C110" i="3" s="1"/>
  <c r="B103" i="3"/>
  <c r="E112" i="3"/>
  <c r="H266" i="3"/>
  <c r="G127" i="3"/>
  <c r="I161" i="3" s="1"/>
  <c r="F170" i="3" s="1"/>
  <c r="E127" i="3"/>
  <c r="G161" i="3" s="1"/>
  <c r="G125" i="3"/>
  <c r="I159" i="3" s="1"/>
  <c r="F196" i="3" s="1"/>
  <c r="D104" i="3"/>
  <c r="B110" i="3" s="1"/>
  <c r="D102" i="3"/>
  <c r="D112" i="3"/>
  <c r="C49" i="3"/>
  <c r="I59" i="3" s="1"/>
  <c r="I127" i="3" s="1"/>
  <c r="K161" i="3" s="1"/>
  <c r="H170" i="3" s="1"/>
  <c r="G61" i="3"/>
  <c r="G129" i="3" s="1"/>
  <c r="I163" i="3" s="1"/>
  <c r="F172" i="3" s="1"/>
  <c r="I94" i="3"/>
  <c r="I125" i="3" s="1"/>
  <c r="K159" i="3" s="1"/>
  <c r="H196" i="3" s="1"/>
  <c r="C87" i="3"/>
  <c r="E98" i="3" s="1"/>
  <c r="E129" i="3" s="1"/>
  <c r="G163" i="3" s="1"/>
  <c r="D87" i="3"/>
  <c r="H98" i="3" s="1"/>
  <c r="D94" i="3"/>
  <c r="D85" i="3"/>
  <c r="D66" i="3"/>
  <c r="B73" i="3"/>
  <c r="D68" i="3"/>
  <c r="H79" i="3" s="1"/>
  <c r="C86" i="3"/>
  <c r="E97" i="3" s="1"/>
  <c r="E128" i="3" s="1"/>
  <c r="G162" i="3" s="1"/>
  <c r="I93" i="3"/>
  <c r="I124" i="3" s="1"/>
  <c r="K158" i="3" s="1"/>
  <c r="H195" i="3" s="1"/>
  <c r="E67" i="3"/>
  <c r="C74" i="3"/>
  <c r="E69" i="3"/>
  <c r="I80" i="3" s="1"/>
  <c r="I129" i="3" s="1"/>
  <c r="K163" i="3" s="1"/>
  <c r="H172" i="3" s="1"/>
  <c r="E105" i="3"/>
  <c r="C111" i="3" s="1"/>
  <c r="E113" i="3"/>
  <c r="E125" i="3" s="1"/>
  <c r="G159" i="3" s="1"/>
  <c r="E103" i="3"/>
  <c r="H93" i="3"/>
  <c r="H124" i="3" s="1"/>
  <c r="J158" i="3" s="1"/>
  <c r="G195" i="3" s="1"/>
  <c r="B86" i="3"/>
  <c r="D97" i="3" s="1"/>
  <c r="D128" i="3" s="1"/>
  <c r="F162" i="3" s="1"/>
  <c r="B210" i="1"/>
  <c r="F145" i="1"/>
  <c r="F147" i="1"/>
  <c r="B212" i="1"/>
  <c r="B44" i="1"/>
  <c r="D46" i="1" s="1"/>
  <c r="F56" i="1" s="1"/>
  <c r="B82" i="1"/>
  <c r="D82" i="1" s="1"/>
  <c r="C44" i="1"/>
  <c r="E54" i="1" s="1"/>
  <c r="C83" i="1"/>
  <c r="E85" i="1" s="1"/>
  <c r="C91" i="1" s="1"/>
  <c r="F240" i="1"/>
  <c r="H240" i="1" s="1"/>
  <c r="C45" i="1"/>
  <c r="E55" i="1" s="1"/>
  <c r="C102" i="1"/>
  <c r="E104" i="1" s="1"/>
  <c r="I116" i="1" s="1"/>
  <c r="C82" i="1"/>
  <c r="B83" i="1" s="1"/>
  <c r="H249" i="1"/>
  <c r="L260" i="1"/>
  <c r="L240" i="1"/>
  <c r="L247" i="1"/>
  <c r="L249" i="1"/>
  <c r="L218" i="1"/>
  <c r="G240" i="1"/>
  <c r="I240" i="1" s="1"/>
  <c r="C64" i="1"/>
  <c r="H230" i="1"/>
  <c r="L261" i="1"/>
  <c r="L248" i="1"/>
  <c r="L241" i="1"/>
  <c r="C101" i="1"/>
  <c r="B101" i="1"/>
  <c r="F260" i="1"/>
  <c r="E46" i="1"/>
  <c r="G56" i="1" s="1"/>
  <c r="E44" i="1"/>
  <c r="C63" i="1"/>
  <c r="G220" i="1"/>
  <c r="I220" i="1" s="1"/>
  <c r="C26" i="1"/>
  <c r="F220" i="1"/>
  <c r="B25" i="1"/>
  <c r="C25" i="1"/>
  <c r="L230" i="1"/>
  <c r="L238" i="1"/>
  <c r="D65" i="1"/>
  <c r="H77" i="1" s="1"/>
  <c r="D63" i="1"/>
  <c r="F75" i="1"/>
  <c r="D252" i="5" l="1"/>
  <c r="D253" i="5"/>
  <c r="D251" i="5"/>
  <c r="D254" i="5"/>
  <c r="D124" i="3"/>
  <c r="F158" i="3" s="1"/>
  <c r="F61" i="3"/>
  <c r="F129" i="3" s="1"/>
  <c r="H163" i="3" s="1"/>
  <c r="E172" i="3" s="1"/>
  <c r="D49" i="3"/>
  <c r="F59" i="3" s="1"/>
  <c r="G126" i="3"/>
  <c r="I160" i="3" s="1"/>
  <c r="F169" i="3" s="1"/>
  <c r="E124" i="3"/>
  <c r="G158" i="3" s="1"/>
  <c r="H128" i="3"/>
  <c r="J162" i="3" s="1"/>
  <c r="G171" i="3" s="1"/>
  <c r="B48" i="3"/>
  <c r="H58" i="3" s="1"/>
  <c r="H126" i="3" s="1"/>
  <c r="J160" i="3" s="1"/>
  <c r="G169" i="3" s="1"/>
  <c r="F60" i="3"/>
  <c r="F128" i="3" s="1"/>
  <c r="H162" i="3" s="1"/>
  <c r="E171" i="3" s="1"/>
  <c r="F124" i="3"/>
  <c r="H158" i="3" s="1"/>
  <c r="E195" i="3" s="1"/>
  <c r="D126" i="3"/>
  <c r="F160" i="3" s="1"/>
  <c r="G124" i="3"/>
  <c r="I158" i="3" s="1"/>
  <c r="F195" i="3" s="1"/>
  <c r="E126" i="3"/>
  <c r="G160" i="3" s="1"/>
  <c r="H61" i="3"/>
  <c r="C123" i="3"/>
  <c r="E157" i="3" s="1"/>
  <c r="C122" i="3"/>
  <c r="E156" i="3" s="1"/>
  <c r="H73" i="3"/>
  <c r="H122" i="3" s="1"/>
  <c r="J156" i="3" s="1"/>
  <c r="G168" i="3" s="1"/>
  <c r="B68" i="3"/>
  <c r="B79" i="3" s="1"/>
  <c r="B128" i="3" s="1"/>
  <c r="D162" i="3" s="1"/>
  <c r="D171" i="3" s="1"/>
  <c r="B112" i="3"/>
  <c r="B124" i="3" s="1"/>
  <c r="D158" i="3" s="1"/>
  <c r="D195" i="3" s="1"/>
  <c r="B104" i="3"/>
  <c r="D110" i="3" s="1"/>
  <c r="D122" i="3" s="1"/>
  <c r="F156" i="3" s="1"/>
  <c r="B122" i="3"/>
  <c r="D156" i="3" s="1"/>
  <c r="D168" i="3" s="1"/>
  <c r="D105" i="3"/>
  <c r="B111" i="3" s="1"/>
  <c r="D113" i="3"/>
  <c r="D103" i="3"/>
  <c r="I74" i="3"/>
  <c r="I123" i="3" s="1"/>
  <c r="K157" i="3" s="1"/>
  <c r="H194" i="3" s="1"/>
  <c r="C69" i="3"/>
  <c r="C80" i="3" s="1"/>
  <c r="C129" i="3" s="1"/>
  <c r="E163" i="3" s="1"/>
  <c r="C113" i="3"/>
  <c r="C125" i="3" s="1"/>
  <c r="E159" i="3" s="1"/>
  <c r="C105" i="3"/>
  <c r="E111" i="3" s="1"/>
  <c r="E123" i="3" s="1"/>
  <c r="G157" i="3" s="1"/>
  <c r="B87" i="3"/>
  <c r="D98" i="3" s="1"/>
  <c r="D129" i="3" s="1"/>
  <c r="F163" i="3" s="1"/>
  <c r="H94" i="3"/>
  <c r="H125" i="3" s="1"/>
  <c r="J159" i="3" s="1"/>
  <c r="G196" i="3" s="1"/>
  <c r="D69" i="3"/>
  <c r="H80" i="3" s="1"/>
  <c r="D67" i="3"/>
  <c r="B74" i="3"/>
  <c r="C112" i="3"/>
  <c r="C124" i="3" s="1"/>
  <c r="E158" i="3" s="1"/>
  <c r="C104" i="3"/>
  <c r="E110" i="3" s="1"/>
  <c r="E122" i="3" s="1"/>
  <c r="G156" i="3" s="1"/>
  <c r="C68" i="3"/>
  <c r="C79" i="3" s="1"/>
  <c r="C128" i="3" s="1"/>
  <c r="E162" i="3" s="1"/>
  <c r="I73" i="3"/>
  <c r="I122" i="3" s="1"/>
  <c r="K156" i="3" s="1"/>
  <c r="H168" i="3" s="1"/>
  <c r="D44" i="1"/>
  <c r="B46" i="1" s="1"/>
  <c r="D56" i="1" s="1"/>
  <c r="D124" i="1" s="1"/>
  <c r="F159" i="1" s="1"/>
  <c r="L231" i="1"/>
  <c r="L239" i="1"/>
  <c r="D54" i="1"/>
  <c r="L229" i="1"/>
  <c r="L259" i="1"/>
  <c r="L221" i="1"/>
  <c r="I97" i="1"/>
  <c r="D84" i="1"/>
  <c r="B90" i="1" s="1"/>
  <c r="E45" i="1"/>
  <c r="B45" i="1"/>
  <c r="D55" i="1" s="1"/>
  <c r="H96" i="1"/>
  <c r="E83" i="1"/>
  <c r="C85" i="1" s="1"/>
  <c r="I91" i="1" s="1"/>
  <c r="I121" i="1" s="1"/>
  <c r="K156" i="1" s="1"/>
  <c r="H192" i="1" s="1"/>
  <c r="E102" i="1"/>
  <c r="I112" i="1" s="1"/>
  <c r="I123" i="1" s="1"/>
  <c r="K158" i="1" s="1"/>
  <c r="H194" i="1" s="1"/>
  <c r="E112" i="1"/>
  <c r="E84" i="1"/>
  <c r="C90" i="1" s="1"/>
  <c r="I96" i="1"/>
  <c r="E47" i="1"/>
  <c r="G57" i="1" s="1"/>
  <c r="E82" i="1"/>
  <c r="C84" i="1" s="1"/>
  <c r="I90" i="1" s="1"/>
  <c r="I120" i="1" s="1"/>
  <c r="K155" i="1" s="1"/>
  <c r="H168" i="1" s="1"/>
  <c r="D25" i="1"/>
  <c r="B33" i="1"/>
  <c r="D27" i="1"/>
  <c r="D35" i="1" s="1"/>
  <c r="H220" i="1"/>
  <c r="H260" i="1"/>
  <c r="C46" i="1"/>
  <c r="E56" i="1" s="1"/>
  <c r="E124" i="1" s="1"/>
  <c r="G159" i="1" s="1"/>
  <c r="G54" i="1"/>
  <c r="G122" i="1" s="1"/>
  <c r="I157" i="1" s="1"/>
  <c r="F193" i="1" s="1"/>
  <c r="H97" i="1"/>
  <c r="D83" i="1"/>
  <c r="D85" i="1"/>
  <c r="B91" i="1" s="1"/>
  <c r="C33" i="1"/>
  <c r="E25" i="1"/>
  <c r="E27" i="1"/>
  <c r="E35" i="1" s="1"/>
  <c r="B26" i="1"/>
  <c r="B96" i="1"/>
  <c r="B126" i="1" s="1"/>
  <c r="D161" i="1" s="1"/>
  <c r="D171" i="1" s="1"/>
  <c r="B84" i="1"/>
  <c r="H90" i="1" s="1"/>
  <c r="H120" i="1" s="1"/>
  <c r="J155" i="1" s="1"/>
  <c r="G168" i="1" s="1"/>
  <c r="F124" i="1"/>
  <c r="H159" i="1" s="1"/>
  <c r="E169" i="1" s="1"/>
  <c r="C34" i="1"/>
  <c r="C121" i="1" s="1"/>
  <c r="E156" i="1" s="1"/>
  <c r="E28" i="1"/>
  <c r="E36" i="1" s="1"/>
  <c r="E26" i="1"/>
  <c r="D103" i="1"/>
  <c r="H115" i="1" s="1"/>
  <c r="D101" i="1"/>
  <c r="D111" i="1"/>
  <c r="H75" i="1"/>
  <c r="H124" i="1" s="1"/>
  <c r="J159" i="1" s="1"/>
  <c r="G169" i="1" s="1"/>
  <c r="B65" i="1"/>
  <c r="F77" i="1" s="1"/>
  <c r="F126" i="1" s="1"/>
  <c r="H161" i="1" s="1"/>
  <c r="E171" i="1" s="1"/>
  <c r="E103" i="1"/>
  <c r="I115" i="1" s="1"/>
  <c r="B102" i="1"/>
  <c r="E101" i="1"/>
  <c r="E111" i="1"/>
  <c r="E66" i="1"/>
  <c r="I78" i="1" s="1"/>
  <c r="I127" i="1" s="1"/>
  <c r="K162" i="1" s="1"/>
  <c r="H172" i="1" s="1"/>
  <c r="G76" i="1"/>
  <c r="E64" i="1"/>
  <c r="E65" i="1"/>
  <c r="I77" i="1" s="1"/>
  <c r="B64" i="1"/>
  <c r="E63" i="1"/>
  <c r="G75" i="1"/>
  <c r="G124" i="1" s="1"/>
  <c r="I159" i="1" s="1"/>
  <c r="F169" i="1" s="1"/>
  <c r="J264" i="5" l="1"/>
  <c r="C282" i="5"/>
  <c r="D125" i="3"/>
  <c r="F159" i="3" s="1"/>
  <c r="F54" i="1"/>
  <c r="F122" i="1" s="1"/>
  <c r="H157" i="1" s="1"/>
  <c r="E193" i="1" s="1"/>
  <c r="J261" i="5"/>
  <c r="C276" i="5"/>
  <c r="C281" i="5"/>
  <c r="J263" i="5"/>
  <c r="J262" i="5"/>
  <c r="C280" i="5"/>
  <c r="H129" i="3"/>
  <c r="J163" i="3" s="1"/>
  <c r="G172" i="3" s="1"/>
  <c r="F127" i="3"/>
  <c r="H161" i="3" s="1"/>
  <c r="E170" i="3" s="1"/>
  <c r="F125" i="3"/>
  <c r="H159" i="3" s="1"/>
  <c r="E196" i="3" s="1"/>
  <c r="D127" i="3"/>
  <c r="F161" i="3" s="1"/>
  <c r="B113" i="3"/>
  <c r="B125" i="3" s="1"/>
  <c r="D159" i="3" s="1"/>
  <c r="D196" i="3" s="1"/>
  <c r="B105" i="3"/>
  <c r="D111" i="3" s="1"/>
  <c r="D123" i="3" s="1"/>
  <c r="F157" i="3" s="1"/>
  <c r="H74" i="3"/>
  <c r="H123" i="3" s="1"/>
  <c r="J157" i="3" s="1"/>
  <c r="G194" i="3" s="1"/>
  <c r="B69" i="3"/>
  <c r="B80" i="3" s="1"/>
  <c r="B129" i="3" s="1"/>
  <c r="D163" i="3" s="1"/>
  <c r="D172" i="3" s="1"/>
  <c r="B123" i="3"/>
  <c r="D157" i="3" s="1"/>
  <c r="D194" i="3" s="1"/>
  <c r="C97" i="1"/>
  <c r="C127" i="1" s="1"/>
  <c r="E162" i="1" s="1"/>
  <c r="D47" i="1"/>
  <c r="F57" i="1" s="1"/>
  <c r="D45" i="1"/>
  <c r="B120" i="1"/>
  <c r="D155" i="1" s="1"/>
  <c r="D168" i="1" s="1"/>
  <c r="C47" i="1"/>
  <c r="E57" i="1" s="1"/>
  <c r="E125" i="1" s="1"/>
  <c r="G160" i="1" s="1"/>
  <c r="G55" i="1"/>
  <c r="G123" i="1" s="1"/>
  <c r="I158" i="1" s="1"/>
  <c r="F194" i="1" s="1"/>
  <c r="E122" i="1"/>
  <c r="G157" i="1" s="1"/>
  <c r="C104" i="1"/>
  <c r="E116" i="1" s="1"/>
  <c r="E127" i="1" s="1"/>
  <c r="G162" i="1" s="1"/>
  <c r="H126" i="1"/>
  <c r="J161" i="1" s="1"/>
  <c r="G171" i="1" s="1"/>
  <c r="E123" i="1"/>
  <c r="G158" i="1" s="1"/>
  <c r="C120" i="1"/>
  <c r="E155" i="1" s="1"/>
  <c r="C96" i="1"/>
  <c r="C126" i="1" s="1"/>
  <c r="E161" i="1" s="1"/>
  <c r="G125" i="1"/>
  <c r="I160" i="1" s="1"/>
  <c r="F170" i="1" s="1"/>
  <c r="I126" i="1"/>
  <c r="K161" i="1" s="1"/>
  <c r="H171" i="1" s="1"/>
  <c r="D122" i="1"/>
  <c r="F157" i="1" s="1"/>
  <c r="E34" i="1"/>
  <c r="E121" i="1" s="1"/>
  <c r="G156" i="1" s="1"/>
  <c r="C28" i="1"/>
  <c r="C36" i="1" s="1"/>
  <c r="C123" i="1" s="1"/>
  <c r="E158" i="1" s="1"/>
  <c r="I111" i="1"/>
  <c r="I122" i="1" s="1"/>
  <c r="K157" i="1" s="1"/>
  <c r="H193" i="1" s="1"/>
  <c r="C103" i="1"/>
  <c r="E115" i="1" s="1"/>
  <c r="E126" i="1" s="1"/>
  <c r="G161" i="1" s="1"/>
  <c r="C27" i="1"/>
  <c r="C35" i="1" s="1"/>
  <c r="C122" i="1" s="1"/>
  <c r="E157" i="1" s="1"/>
  <c r="E33" i="1"/>
  <c r="E120" i="1" s="1"/>
  <c r="G155" i="1" s="1"/>
  <c r="B27" i="1"/>
  <c r="B35" i="1" s="1"/>
  <c r="B122" i="1" s="1"/>
  <c r="D157" i="1" s="1"/>
  <c r="D193" i="1" s="1"/>
  <c r="D33" i="1"/>
  <c r="D120" i="1" s="1"/>
  <c r="F155" i="1" s="1"/>
  <c r="F76" i="1"/>
  <c r="D66" i="1"/>
  <c r="H78" i="1" s="1"/>
  <c r="D64" i="1"/>
  <c r="D112" i="1"/>
  <c r="D102" i="1"/>
  <c r="D104" i="1"/>
  <c r="H116" i="1" s="1"/>
  <c r="B103" i="1"/>
  <c r="D115" i="1" s="1"/>
  <c r="D126" i="1" s="1"/>
  <c r="F161" i="1" s="1"/>
  <c r="H111" i="1"/>
  <c r="H122" i="1" s="1"/>
  <c r="J157" i="1" s="1"/>
  <c r="G193" i="1" s="1"/>
  <c r="D28" i="1"/>
  <c r="D36" i="1" s="1"/>
  <c r="D26" i="1"/>
  <c r="B34" i="1"/>
  <c r="B121" i="1" s="1"/>
  <c r="D156" i="1" s="1"/>
  <c r="D192" i="1" s="1"/>
  <c r="C65" i="1"/>
  <c r="G77" i="1" s="1"/>
  <c r="G126" i="1" s="1"/>
  <c r="I161" i="1" s="1"/>
  <c r="F171" i="1" s="1"/>
  <c r="I75" i="1"/>
  <c r="I124" i="1" s="1"/>
  <c r="K159" i="1" s="1"/>
  <c r="H169" i="1" s="1"/>
  <c r="B97" i="1"/>
  <c r="B127" i="1" s="1"/>
  <c r="D162" i="1" s="1"/>
  <c r="D172" i="1" s="1"/>
  <c r="B85" i="1"/>
  <c r="H91" i="1" s="1"/>
  <c r="H121" i="1" s="1"/>
  <c r="J156" i="1" s="1"/>
  <c r="G192" i="1" s="1"/>
  <c r="F55" i="1"/>
  <c r="F123" i="1" s="1"/>
  <c r="H158" i="1" s="1"/>
  <c r="E194" i="1" s="1"/>
  <c r="B47" i="1"/>
  <c r="D57" i="1" s="1"/>
  <c r="D125" i="1" s="1"/>
  <c r="F160" i="1" s="1"/>
  <c r="I76" i="1"/>
  <c r="I125" i="1" s="1"/>
  <c r="K160" i="1" s="1"/>
  <c r="H170" i="1" s="1"/>
  <c r="C66" i="1"/>
  <c r="G78" i="1" s="1"/>
  <c r="G127" i="1" s="1"/>
  <c r="I162" i="1" s="1"/>
  <c r="F172" i="1" s="1"/>
  <c r="D176" i="3" l="1" a="1"/>
  <c r="D180" i="3" s="1"/>
  <c r="D268" i="5" a="1"/>
  <c r="K304" i="5"/>
  <c r="K312" i="5"/>
  <c r="K333" i="5"/>
  <c r="D336" i="5" s="1"/>
  <c r="D338" i="5" s="1"/>
  <c r="K313" i="5"/>
  <c r="K320" i="5"/>
  <c r="K311" i="5"/>
  <c r="D316" i="5" s="1"/>
  <c r="D318" i="5" s="1"/>
  <c r="K303" i="5"/>
  <c r="D306" i="5" s="1"/>
  <c r="D308" i="5" s="1"/>
  <c r="K322" i="5"/>
  <c r="K291" i="5"/>
  <c r="D296" i="5" s="1"/>
  <c r="D298" i="5" s="1"/>
  <c r="F125" i="1"/>
  <c r="H160" i="1" s="1"/>
  <c r="E170" i="1" s="1"/>
  <c r="H127" i="1"/>
  <c r="J162" i="1" s="1"/>
  <c r="G172" i="1" s="1"/>
  <c r="D123" i="1"/>
  <c r="F158" i="1" s="1"/>
  <c r="H112" i="1"/>
  <c r="H123" i="1" s="1"/>
  <c r="J158" i="1" s="1"/>
  <c r="G194" i="1" s="1"/>
  <c r="B104" i="1"/>
  <c r="D116" i="1" s="1"/>
  <c r="D127" i="1" s="1"/>
  <c r="F162" i="1" s="1"/>
  <c r="D34" i="1"/>
  <c r="D121" i="1" s="1"/>
  <c r="F156" i="1" s="1"/>
  <c r="B28" i="1"/>
  <c r="B36" i="1" s="1"/>
  <c r="B123" i="1" s="1"/>
  <c r="D158" i="1" s="1"/>
  <c r="D194" i="1" s="1"/>
  <c r="H76" i="1"/>
  <c r="H125" i="1" s="1"/>
  <c r="J160" i="1" s="1"/>
  <c r="G170" i="1" s="1"/>
  <c r="B66" i="1"/>
  <c r="F78" i="1" s="1"/>
  <c r="F127" i="1" s="1"/>
  <c r="H162" i="1" s="1"/>
  <c r="E172" i="1" s="1"/>
  <c r="G177" i="3" l="1"/>
  <c r="E177" i="3"/>
  <c r="H179" i="3"/>
  <c r="H178" i="3"/>
  <c r="H176" i="3"/>
  <c r="H180" i="3"/>
  <c r="D178" i="3"/>
  <c r="F177" i="3"/>
  <c r="G176" i="3"/>
  <c r="E176" i="3"/>
  <c r="H177" i="3"/>
  <c r="G180" i="3"/>
  <c r="F178" i="3"/>
  <c r="D176" i="3"/>
  <c r="F179" i="3"/>
  <c r="D177" i="3"/>
  <c r="F176" i="3"/>
  <c r="D184" i="3" s="1" a="1"/>
  <c r="E178" i="3"/>
  <c r="G179" i="3"/>
  <c r="G178" i="3"/>
  <c r="F180" i="3"/>
  <c r="E179" i="3"/>
  <c r="E180" i="3"/>
  <c r="D179" i="3"/>
  <c r="D325" i="5"/>
  <c r="D328" i="5" s="1"/>
  <c r="D268" i="5"/>
  <c r="H276" i="5" s="1"/>
  <c r="D270" i="5"/>
  <c r="H278" i="5" s="1"/>
  <c r="D271" i="5"/>
  <c r="H279" i="5" s="1"/>
  <c r="D269" i="5"/>
  <c r="H277" i="5" s="1"/>
  <c r="D175" i="1" a="1"/>
  <c r="D185" i="3" l="1"/>
  <c r="D188" i="3"/>
  <c r="D186" i="3"/>
  <c r="D184" i="3"/>
  <c r="D187" i="3"/>
  <c r="H179" i="1"/>
  <c r="E178" i="1"/>
  <c r="G176" i="1"/>
  <c r="D175" i="1"/>
  <c r="G179" i="1"/>
  <c r="D178" i="1"/>
  <c r="F176" i="1"/>
  <c r="E179" i="1"/>
  <c r="G177" i="1"/>
  <c r="D176" i="1"/>
  <c r="D179" i="1"/>
  <c r="H176" i="1"/>
  <c r="H175" i="1"/>
  <c r="H178" i="1"/>
  <c r="E176" i="1"/>
  <c r="G178" i="1"/>
  <c r="F178" i="1"/>
  <c r="G175" i="1"/>
  <c r="F179" i="1"/>
  <c r="D177" i="1"/>
  <c r="H177" i="1"/>
  <c r="F177" i="1"/>
  <c r="E177" i="1"/>
  <c r="F175" i="1"/>
  <c r="E175" i="1"/>
  <c r="C215" i="3" l="1"/>
  <c r="J197" i="3"/>
  <c r="C216" i="3"/>
  <c r="J198" i="3"/>
  <c r="C209" i="3"/>
  <c r="J194" i="3"/>
  <c r="C214" i="3"/>
  <c r="J196" i="3"/>
  <c r="C213" i="3"/>
  <c r="J195" i="3"/>
  <c r="D182" i="1" a="1"/>
  <c r="D201" i="3" l="1" a="1"/>
  <c r="D203" i="3" s="1"/>
  <c r="H211" i="3" s="1"/>
  <c r="K224" i="3"/>
  <c r="D231" i="3" s="1"/>
  <c r="K255" i="3"/>
  <c r="K236" i="3"/>
  <c r="K244" i="3"/>
  <c r="K247" i="3"/>
  <c r="K254" i="3"/>
  <c r="K267" i="3"/>
  <c r="K245" i="3"/>
  <c r="K237" i="3"/>
  <c r="K246" i="3"/>
  <c r="K266" i="3"/>
  <c r="K253" i="3"/>
  <c r="D186" i="1"/>
  <c r="C214" i="1" s="1"/>
  <c r="D185" i="1"/>
  <c r="C213" i="1" s="1"/>
  <c r="D183" i="1"/>
  <c r="C211" i="1" s="1"/>
  <c r="D184" i="1"/>
  <c r="C212" i="1" s="1"/>
  <c r="D182" i="1"/>
  <c r="D201" i="3" l="1"/>
  <c r="H209" i="3" s="1"/>
  <c r="D202" i="3"/>
  <c r="H210" i="3" s="1"/>
  <c r="D249" i="3"/>
  <c r="D251" i="3" s="1"/>
  <c r="D258" i="3"/>
  <c r="D261" i="3" s="1"/>
  <c r="D239" i="3"/>
  <c r="D241" i="3" s="1"/>
  <c r="D269" i="3"/>
  <c r="D271" i="3" s="1"/>
  <c r="J192" i="1"/>
  <c r="C207" i="1"/>
  <c r="J194" i="1"/>
  <c r="J193" i="1"/>
  <c r="J195" i="1"/>
  <c r="J196" i="1"/>
  <c r="K218" i="1" l="1"/>
  <c r="K249" i="1"/>
  <c r="D199" i="1" a="1"/>
  <c r="D201" i="1" s="1"/>
  <c r="H209" i="1" s="1"/>
  <c r="K220" i="1"/>
  <c r="K258" i="1"/>
  <c r="K228" i="1"/>
  <c r="K260" i="1"/>
  <c r="K240" i="1"/>
  <c r="K247" i="1"/>
  <c r="K230" i="1"/>
  <c r="K238" i="1"/>
  <c r="K239" i="1"/>
  <c r="K231" i="1"/>
  <c r="K248" i="1"/>
  <c r="K261" i="1"/>
  <c r="K241" i="1"/>
  <c r="D223" i="1" l="1"/>
  <c r="D225" i="1" s="1"/>
  <c r="D199" i="1"/>
  <c r="H207" i="1" s="1"/>
  <c r="D200" i="1"/>
  <c r="H208" i="1" s="1"/>
  <c r="D243" i="1"/>
  <c r="D245" i="1" s="1"/>
  <c r="D233" i="1"/>
  <c r="D235" i="1" s="1"/>
  <c r="D263" i="1"/>
  <c r="D265" i="1" s="1"/>
  <c r="D252" i="1"/>
  <c r="D25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<sst xmlns="http://schemas.openxmlformats.org/spreadsheetml/2006/main" count="498" uniqueCount="113">
  <si>
    <t>UX4</t>
  </si>
  <si>
    <t>UX3</t>
  </si>
  <si>
    <t>UY4</t>
  </si>
  <si>
    <t>UY3</t>
  </si>
  <si>
    <t>UX1</t>
  </si>
  <si>
    <t>UY1</t>
  </si>
  <si>
    <t>UX2</t>
  </si>
  <si>
    <t>UY2</t>
  </si>
  <si>
    <t xml:space="preserve">Incio </t>
  </si>
  <si>
    <t xml:space="preserve">final </t>
  </si>
  <si>
    <t xml:space="preserve">N°Barras </t>
  </si>
  <si>
    <t>X</t>
  </si>
  <si>
    <t>Y</t>
  </si>
  <si>
    <t>DX</t>
  </si>
  <si>
    <t>DY</t>
  </si>
  <si>
    <t>L</t>
  </si>
  <si>
    <t>CX</t>
  </si>
  <si>
    <t>CY</t>
  </si>
  <si>
    <t>A</t>
  </si>
  <si>
    <t>E</t>
  </si>
  <si>
    <t>AE/L</t>
  </si>
  <si>
    <t xml:space="preserve">inicio </t>
  </si>
  <si>
    <t>final</t>
  </si>
  <si>
    <t>K1</t>
  </si>
  <si>
    <t>K2</t>
  </si>
  <si>
    <t>K3</t>
  </si>
  <si>
    <t>K4</t>
  </si>
  <si>
    <t>K5</t>
  </si>
  <si>
    <t>MATRIZ DE RIGIDEZ</t>
  </si>
  <si>
    <t xml:space="preserve">MATRIZ DE CARGAS </t>
  </si>
  <si>
    <t>C1X</t>
  </si>
  <si>
    <t>C1Y</t>
  </si>
  <si>
    <t>C2X</t>
  </si>
  <si>
    <t>=</t>
  </si>
  <si>
    <t>C2Y</t>
  </si>
  <si>
    <t>C3X</t>
  </si>
  <si>
    <t>C3Y</t>
  </si>
  <si>
    <t>C4X</t>
  </si>
  <si>
    <t>C4Y</t>
  </si>
  <si>
    <t>MATRIZ DE DEZPLAZAMIENTO</t>
  </si>
  <si>
    <t>D1X</t>
  </si>
  <si>
    <t>D1Y</t>
  </si>
  <si>
    <t>D2X</t>
  </si>
  <si>
    <t>D2Y</t>
  </si>
  <si>
    <t>D3X</t>
  </si>
  <si>
    <t>D3Y</t>
  </si>
  <si>
    <t>D4X</t>
  </si>
  <si>
    <t>D4Y</t>
  </si>
  <si>
    <t>ECUACION MATRICIAL</t>
  </si>
  <si>
    <t xml:space="preserve">ECUACION MATRICIAL REDUCIDA PARA EL CALCUÑO DE LOS DESPLAZAMIENTOS </t>
  </si>
  <si>
    <t>*</t>
  </si>
  <si>
    <t xml:space="preserve">ECUACION MATRICIAL REDUCIDA PARA EL CALCULO DE LAS REACCIONES </t>
  </si>
  <si>
    <t xml:space="preserve">RESUMEN D DESPLAZAMIENTO </t>
  </si>
  <si>
    <t xml:space="preserve">RESUMEN DE REACCIONES </t>
  </si>
  <si>
    <t>CALCULO DE FUERZA EN LAS BARRAS</t>
  </si>
  <si>
    <t>F1=</t>
  </si>
  <si>
    <t>kgf</t>
  </si>
  <si>
    <t>F2=</t>
  </si>
  <si>
    <t>F3=</t>
  </si>
  <si>
    <t>F4=</t>
  </si>
  <si>
    <t>B1</t>
  </si>
  <si>
    <t>B2</t>
  </si>
  <si>
    <t>B3</t>
  </si>
  <si>
    <t>F5=</t>
  </si>
  <si>
    <t>B4</t>
  </si>
  <si>
    <t>B5</t>
  </si>
  <si>
    <t xml:space="preserve">GRAFICA FINAL </t>
  </si>
  <si>
    <t>C1Y=800kgf</t>
  </si>
  <si>
    <t>C2Y=3800kgf</t>
  </si>
  <si>
    <t>C2X=3000kgf</t>
  </si>
  <si>
    <t>B2=2220.13 (T)</t>
  </si>
  <si>
    <t>B1=266.67(T)</t>
  </si>
  <si>
    <t>B3=486.50©</t>
  </si>
  <si>
    <t>B4=843.27©</t>
  </si>
  <si>
    <t>B5=2743.59(T)</t>
  </si>
  <si>
    <t xml:space="preserve">K1 = </t>
  </si>
  <si>
    <t xml:space="preserve">AREA </t>
  </si>
  <si>
    <t>cm2</t>
  </si>
  <si>
    <t>ELASTICIDAD</t>
  </si>
  <si>
    <t xml:space="preserve">K= 2 </t>
  </si>
  <si>
    <t>K3 =</t>
  </si>
  <si>
    <t>K5 =</t>
  </si>
  <si>
    <t>Matriz de la rigidez de la armadura</t>
  </si>
  <si>
    <t xml:space="preserve">Matriz de carga </t>
  </si>
  <si>
    <t xml:space="preserve">Matriz de desplazamiento </t>
  </si>
  <si>
    <t>ecuacion matricial  reducida para el calculo de desplazamiento</t>
  </si>
  <si>
    <t xml:space="preserve">Ecuacion de la Matriz </t>
  </si>
  <si>
    <t>Resultados de los desplazamientos</t>
  </si>
  <si>
    <t xml:space="preserve">Cuadro de resumen de los desplzamientos  </t>
  </si>
  <si>
    <t>Resumen de las reacciones</t>
  </si>
  <si>
    <t xml:space="preserve"> Ecuacion matricial reducida para el calculo de las reacciones </t>
  </si>
  <si>
    <t xml:space="preserve">calculo de las fuerzas en barras </t>
  </si>
  <si>
    <t xml:space="preserve">k1= </t>
  </si>
  <si>
    <t xml:space="preserve">K3 = </t>
  </si>
  <si>
    <t xml:space="preserve">K4= </t>
  </si>
  <si>
    <t xml:space="preserve"> Ecuacion matricial reducida para el calculo de las reacciones</t>
  </si>
  <si>
    <t>C2X=2333.33</t>
  </si>
  <si>
    <t>C2Y=2250</t>
  </si>
  <si>
    <t>800,-600</t>
  </si>
  <si>
    <t>(-200-600)</t>
  </si>
  <si>
    <t>B1=2333.33(T)</t>
  </si>
  <si>
    <t>B4=1616.67(T)</t>
  </si>
  <si>
    <t>B5=720©</t>
  </si>
  <si>
    <t>B2=2752.89(T)</t>
  </si>
  <si>
    <t>C4X=666.667</t>
  </si>
  <si>
    <t>B3=359.08(T)</t>
  </si>
  <si>
    <t>C4Y=750</t>
  </si>
  <si>
    <t>MOVIL</t>
  </si>
  <si>
    <t>FIJO</t>
  </si>
  <si>
    <t>Negativo Cx</t>
  </si>
  <si>
    <t>Negativo Cy</t>
  </si>
  <si>
    <t>Cx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</si>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</sst>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i/>
      <sz val="10"/>
      <color theme="1"/>
      <name val="Aptos Narrow"/>
      <scheme val="minor"/>
    </font>
    <font>
      <b/>
      <sz val="11"/>
      <color rgb="FFFF0000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2" fontId="0" fillId="0" borderId="1" xfId="0" applyNumberFormat="1" applyBorder="1"/>
    <xf numFmtId="0" fontId="0" fillId="7" borderId="1" xfId="0" applyFill="1" applyBorder="1"/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164" fontId="0" fillId="0" borderId="0" xfId="0" applyNumberFormat="1"/>
    <xf numFmtId="0" fontId="0" fillId="6" borderId="0" xfId="0" applyFill="1"/>
    <xf numFmtId="0" fontId="0" fillId="4" borderId="0" xfId="0" applyFill="1"/>
    <xf numFmtId="0" fontId="0" fillId="3" borderId="1" xfId="0" applyFill="1" applyBorder="1"/>
    <xf numFmtId="0" fontId="0" fillId="4" borderId="0" xfId="0" applyFill="1" applyAlignment="1">
      <alignment horizontal="left"/>
    </xf>
    <xf numFmtId="0" fontId="0" fillId="8" borderId="0" xfId="0" applyFill="1"/>
    <xf numFmtId="0" fontId="0" fillId="9" borderId="1" xfId="0" applyFill="1" applyBorder="1"/>
    <xf numFmtId="0" fontId="0" fillId="10" borderId="1" xfId="0" applyFill="1" applyBorder="1"/>
    <xf numFmtId="164" fontId="0" fillId="10" borderId="1" xfId="0" applyNumberFormat="1" applyFill="1" applyBorder="1"/>
    <xf numFmtId="1" fontId="0" fillId="10" borderId="1" xfId="0" applyNumberFormat="1" applyFill="1" applyBorder="1"/>
    <xf numFmtId="1" fontId="0" fillId="10" borderId="0" xfId="0" applyNumberFormat="1" applyFill="1"/>
    <xf numFmtId="0" fontId="0" fillId="10" borderId="0" xfId="0" applyFill="1"/>
    <xf numFmtId="164" fontId="0" fillId="3" borderId="1" xfId="0" applyNumberFormat="1" applyFill="1" applyBorder="1"/>
    <xf numFmtId="0" fontId="4" fillId="4" borderId="1" xfId="0" applyFont="1" applyFill="1" applyBorder="1"/>
    <xf numFmtId="164" fontId="0" fillId="0" borderId="1" xfId="0" applyNumberFormat="1" applyBorder="1"/>
    <xf numFmtId="0" fontId="4" fillId="0" borderId="1" xfId="0" applyFont="1" applyBorder="1"/>
    <xf numFmtId="0" fontId="0" fillId="11" borderId="1" xfId="0" applyFill="1" applyBorder="1"/>
    <xf numFmtId="0" fontId="0" fillId="13" borderId="1" xfId="0" applyFill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12" borderId="1" xfId="0" applyFill="1" applyBorder="1"/>
    <xf numFmtId="0" fontId="1" fillId="0" borderId="0" xfId="0" applyFont="1"/>
    <xf numFmtId="0" fontId="0" fillId="0" borderId="0" xfId="0" applyAlignment="1">
      <alignment horizontal="right"/>
    </xf>
    <xf numFmtId="164" fontId="0" fillId="4" borderId="1" xfId="0" applyNumberFormat="1" applyFill="1" applyBorder="1" applyAlignment="1">
      <alignment horizontal="center"/>
    </xf>
    <xf numFmtId="0" fontId="3" fillId="0" borderId="1" xfId="0" applyFont="1" applyBorder="1"/>
    <xf numFmtId="1" fontId="4" fillId="0" borderId="1" xfId="0" applyNumberFormat="1" applyFont="1" applyBorder="1"/>
    <xf numFmtId="0" fontId="4" fillId="0" borderId="0" xfId="0" applyFont="1"/>
    <xf numFmtId="0" fontId="6" fillId="4" borderId="1" xfId="0" applyFont="1" applyFill="1" applyBorder="1"/>
    <xf numFmtId="0" fontId="7" fillId="11" borderId="1" xfId="0" applyFont="1" applyFill="1" applyBorder="1"/>
    <xf numFmtId="0" fontId="7" fillId="13" borderId="1" xfId="0" applyFont="1" applyFill="1" applyBorder="1"/>
    <xf numFmtId="0" fontId="7" fillId="0" borderId="1" xfId="0" applyFont="1" applyBorder="1"/>
    <xf numFmtId="0" fontId="7" fillId="9" borderId="1" xfId="0" applyFont="1" applyFill="1" applyBorder="1"/>
    <xf numFmtId="0" fontId="7" fillId="0" borderId="0" xfId="0" applyFont="1"/>
    <xf numFmtId="2" fontId="7" fillId="0" borderId="1" xfId="0" applyNumberFormat="1" applyFont="1" applyBorder="1"/>
    <xf numFmtId="164" fontId="7" fillId="0" borderId="1" xfId="0" applyNumberFormat="1" applyFont="1" applyBorder="1"/>
    <xf numFmtId="0" fontId="7" fillId="4" borderId="1" xfId="0" applyFont="1" applyFill="1" applyBorder="1"/>
    <xf numFmtId="0" fontId="7" fillId="8" borderId="1" xfId="0" applyFont="1" applyFill="1" applyBorder="1"/>
    <xf numFmtId="0" fontId="7" fillId="14" borderId="1" xfId="0" applyFont="1" applyFill="1" applyBorder="1"/>
    <xf numFmtId="0" fontId="7" fillId="15" borderId="1" xfId="0" applyFont="1" applyFill="1" applyBorder="1"/>
    <xf numFmtId="0" fontId="7" fillId="16" borderId="1" xfId="0" applyFont="1" applyFill="1" applyBorder="1"/>
    <xf numFmtId="0" fontId="7" fillId="17" borderId="1" xfId="0" applyFont="1" applyFill="1" applyBorder="1"/>
    <xf numFmtId="0" fontId="7" fillId="12" borderId="1" xfId="0" applyFont="1" applyFill="1" applyBorder="1"/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4" fontId="7" fillId="4" borderId="7" xfId="0" applyNumberFormat="1" applyFont="1" applyFill="1" applyBorder="1" applyAlignment="1">
      <alignment horizontal="center"/>
    </xf>
    <xf numFmtId="1" fontId="6" fillId="4" borderId="7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1" fontId="6" fillId="3" borderId="7" xfId="0" applyNumberFormat="1" applyFont="1" applyFill="1" applyBorder="1" applyAlignment="1">
      <alignment horizontal="center"/>
    </xf>
    <xf numFmtId="0" fontId="7" fillId="3" borderId="0" xfId="0" applyFont="1" applyFill="1"/>
    <xf numFmtId="0" fontId="6" fillId="0" borderId="1" xfId="0" applyFont="1" applyBorder="1"/>
    <xf numFmtId="1" fontId="6" fillId="0" borderId="1" xfId="0" applyNumberFormat="1" applyFont="1" applyBorder="1"/>
    <xf numFmtId="1" fontId="7" fillId="0" borderId="1" xfId="0" applyNumberFormat="1" applyFont="1" applyBorder="1"/>
    <xf numFmtId="0" fontId="8" fillId="0" borderId="1" xfId="0" applyFont="1" applyBorder="1"/>
    <xf numFmtId="0" fontId="6" fillId="12" borderId="0" xfId="0" applyFont="1" applyFill="1"/>
    <xf numFmtId="0" fontId="7" fillId="12" borderId="0" xfId="0" applyFont="1" applyFill="1"/>
    <xf numFmtId="0" fontId="6" fillId="0" borderId="0" xfId="0" applyFont="1"/>
    <xf numFmtId="0" fontId="7" fillId="3" borderId="1" xfId="0" applyFont="1" applyFill="1" applyBorder="1"/>
    <xf numFmtId="164" fontId="7" fillId="3" borderId="1" xfId="0" applyNumberFormat="1" applyFont="1" applyFill="1" applyBorder="1"/>
    <xf numFmtId="164" fontId="7" fillId="4" borderId="1" xfId="0" applyNumberFormat="1" applyFont="1" applyFill="1" applyBorder="1"/>
    <xf numFmtId="164" fontId="7" fillId="0" borderId="0" xfId="0" applyNumberFormat="1" applyFont="1"/>
    <xf numFmtId="0" fontId="6" fillId="4" borderId="0" xfId="0" applyFont="1" applyFill="1"/>
    <xf numFmtId="0" fontId="7" fillId="4" borderId="0" xfId="0" applyFont="1" applyFill="1"/>
    <xf numFmtId="0" fontId="0" fillId="0" borderId="6" xfId="0" applyBorder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4" fillId="0" borderId="0" xfId="0" applyNumberFormat="1" applyFont="1"/>
    <xf numFmtId="0" fontId="4" fillId="3" borderId="1" xfId="0" applyFont="1" applyFill="1" applyBorder="1"/>
    <xf numFmtId="0" fontId="11" fillId="0" borderId="1" xfId="0" applyFont="1" applyBorder="1"/>
    <xf numFmtId="0" fontId="4" fillId="3" borderId="0" xfId="0" applyFont="1" applyFill="1"/>
    <xf numFmtId="0" fontId="0" fillId="13" borderId="0" xfId="0" applyFill="1"/>
    <xf numFmtId="0" fontId="0" fillId="8" borderId="0" xfId="0" applyFill="1" applyAlignment="1">
      <alignment horizontal="right"/>
    </xf>
    <xf numFmtId="3" fontId="0" fillId="13" borderId="0" xfId="0" applyNumberFormat="1" applyFill="1"/>
    <xf numFmtId="0" fontId="0" fillId="4" borderId="0" xfId="0" applyFill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4" borderId="7" xfId="0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" fontId="0" fillId="0" borderId="1" xfId="0" applyNumberFormat="1" applyBorder="1"/>
    <xf numFmtId="0" fontId="2" fillId="4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9" fillId="4" borderId="0" xfId="0" applyFont="1" applyFill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298842</xdr:colOff>
      <xdr:row>10</xdr:row>
      <xdr:rowOff>36285</xdr:rowOff>
    </xdr:from>
    <xdr:to>
      <xdr:col>26</xdr:col>
      <xdr:colOff>20417</xdr:colOff>
      <xdr:row>31</xdr:row>
      <xdr:rowOff>163358</xdr:rowOff>
    </xdr:to>
    <xdr:pic>
      <xdr:nvPicPr>
        <xdr:cNvPr id="219" name="Imagen 218">
          <a:extLst>
            <a:ext uri="{FF2B5EF4-FFF2-40B4-BE49-F238E27FC236}">
              <a16:creationId xmlns:a16="http://schemas.microsoft.com/office/drawing/2014/main" id="{D261A5BE-21A5-F555-C079-4A29AB82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9128" y="1995714"/>
          <a:ext cx="8103575" cy="4318073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275</xdr:row>
      <xdr:rowOff>171450</xdr:rowOff>
    </xdr:from>
    <xdr:to>
      <xdr:col>3</xdr:col>
      <xdr:colOff>123825</xdr:colOff>
      <xdr:row>276</xdr:row>
      <xdr:rowOff>0</xdr:rowOff>
    </xdr:to>
    <xdr:cxnSp macro="">
      <xdr:nvCxnSpPr>
        <xdr:cNvPr id="222" name="Conector recto de flecha 221">
          <a:extLst>
            <a:ext uri="{FF2B5EF4-FFF2-40B4-BE49-F238E27FC236}">
              <a16:creationId xmlns:a16="http://schemas.microsoft.com/office/drawing/2014/main" id="{90AA0D37-3195-4C6E-92E9-AD3A1576D4A2}"/>
            </a:ext>
          </a:extLst>
        </xdr:cNvPr>
        <xdr:cNvCxnSpPr/>
      </xdr:nvCxnSpPr>
      <xdr:spPr>
        <a:xfrm flipV="1">
          <a:off x="5575935" y="1268730"/>
          <a:ext cx="887730" cy="114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656327</xdr:colOff>
      <xdr:row>292</xdr:row>
      <xdr:rowOff>30147</xdr:rowOff>
    </xdr:from>
    <xdr:to>
      <xdr:col>10</xdr:col>
      <xdr:colOff>293927</xdr:colOff>
      <xdr:row>292</xdr:row>
      <xdr:rowOff>30147</xdr:rowOff>
    </xdr:to>
    <xdr:cxnSp macro="">
      <xdr:nvCxnSpPr>
        <xdr:cNvPr id="227" name="Conector recto 226">
          <a:extLst>
            <a:ext uri="{FF2B5EF4-FFF2-40B4-BE49-F238E27FC236}">
              <a16:creationId xmlns:a16="http://schemas.microsoft.com/office/drawing/2014/main" id="{64730B23-79AB-4695-85AC-970EA2A4F209}"/>
            </a:ext>
          </a:extLst>
        </xdr:cNvPr>
        <xdr:cNvCxnSpPr/>
      </xdr:nvCxnSpPr>
      <xdr:spPr>
        <a:xfrm>
          <a:off x="8581127" y="4236387"/>
          <a:ext cx="3600000" cy="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656327</xdr:colOff>
      <xdr:row>280</xdr:row>
      <xdr:rowOff>70949</xdr:rowOff>
    </xdr:from>
    <xdr:to>
      <xdr:col>6</xdr:col>
      <xdr:colOff>608022</xdr:colOff>
      <xdr:row>292</xdr:row>
      <xdr:rowOff>30150</xdr:rowOff>
    </xdr:to>
    <xdr:cxnSp macro="">
      <xdr:nvCxnSpPr>
        <xdr:cNvPr id="228" name="Conector recto 227">
          <a:extLst>
            <a:ext uri="{FF2B5EF4-FFF2-40B4-BE49-F238E27FC236}">
              <a16:creationId xmlns:a16="http://schemas.microsoft.com/office/drawing/2014/main" id="{19BD524A-F4E8-4580-A410-CBA400F5A7F0}"/>
            </a:ext>
          </a:extLst>
        </xdr:cNvPr>
        <xdr:cNvCxnSpPr>
          <a:cxnSpLocks/>
        </xdr:cNvCxnSpPr>
      </xdr:nvCxnSpPr>
      <xdr:spPr>
        <a:xfrm flipV="1">
          <a:off x="8581127" y="2082629"/>
          <a:ext cx="744175" cy="2153761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608022</xdr:colOff>
      <xdr:row>280</xdr:row>
      <xdr:rowOff>70949</xdr:rowOff>
    </xdr:from>
    <xdr:to>
      <xdr:col>10</xdr:col>
      <xdr:colOff>293928</xdr:colOff>
      <xdr:row>292</xdr:row>
      <xdr:rowOff>29372</xdr:rowOff>
    </xdr:to>
    <xdr:cxnSp macro="">
      <xdr:nvCxnSpPr>
        <xdr:cNvPr id="229" name="Conector recto 228">
          <a:extLst>
            <a:ext uri="{FF2B5EF4-FFF2-40B4-BE49-F238E27FC236}">
              <a16:creationId xmlns:a16="http://schemas.microsoft.com/office/drawing/2014/main" id="{926D8821-09F0-4083-BDBE-0169117F72B4}"/>
            </a:ext>
          </a:extLst>
        </xdr:cNvPr>
        <xdr:cNvCxnSpPr>
          <a:cxnSpLocks/>
        </xdr:cNvCxnSpPr>
      </xdr:nvCxnSpPr>
      <xdr:spPr>
        <a:xfrm flipH="1" flipV="1">
          <a:off x="9325302" y="2082629"/>
          <a:ext cx="2855826" cy="2152983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406935</xdr:colOff>
      <xdr:row>276</xdr:row>
      <xdr:rowOff>62501</xdr:rowOff>
    </xdr:from>
    <xdr:to>
      <xdr:col>10</xdr:col>
      <xdr:colOff>305016</xdr:colOff>
      <xdr:row>292</xdr:row>
      <xdr:rowOff>29370</xdr:rowOff>
    </xdr:to>
    <xdr:cxnSp macro="">
      <xdr:nvCxnSpPr>
        <xdr:cNvPr id="230" name="Conector recto 229">
          <a:extLst>
            <a:ext uri="{FF2B5EF4-FFF2-40B4-BE49-F238E27FC236}">
              <a16:creationId xmlns:a16="http://schemas.microsoft.com/office/drawing/2014/main" id="{816B4113-CD1D-4B83-9419-91B10C52F132}"/>
            </a:ext>
          </a:extLst>
        </xdr:cNvPr>
        <xdr:cNvCxnSpPr>
          <a:cxnSpLocks/>
        </xdr:cNvCxnSpPr>
      </xdr:nvCxnSpPr>
      <xdr:spPr>
        <a:xfrm flipH="1" flipV="1">
          <a:off x="11501655" y="1342661"/>
          <a:ext cx="690561" cy="2892949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636144</xdr:colOff>
      <xdr:row>276</xdr:row>
      <xdr:rowOff>81744</xdr:rowOff>
    </xdr:from>
    <xdr:to>
      <xdr:col>9</xdr:col>
      <xdr:colOff>406935</xdr:colOff>
      <xdr:row>280</xdr:row>
      <xdr:rowOff>70949</xdr:rowOff>
    </xdr:to>
    <xdr:cxnSp macro="">
      <xdr:nvCxnSpPr>
        <xdr:cNvPr id="231" name="Conector recto 230">
          <a:extLst>
            <a:ext uri="{FF2B5EF4-FFF2-40B4-BE49-F238E27FC236}">
              <a16:creationId xmlns:a16="http://schemas.microsoft.com/office/drawing/2014/main" id="{3454AEC2-9D9E-4220-8513-D6DDA28029BD}"/>
            </a:ext>
          </a:extLst>
        </xdr:cNvPr>
        <xdr:cNvCxnSpPr>
          <a:cxnSpLocks/>
        </xdr:cNvCxnSpPr>
      </xdr:nvCxnSpPr>
      <xdr:spPr>
        <a:xfrm flipV="1">
          <a:off x="9353424" y="1361904"/>
          <a:ext cx="2148231" cy="720725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429060</xdr:colOff>
      <xdr:row>298</xdr:row>
      <xdr:rowOff>119380</xdr:rowOff>
    </xdr:from>
    <xdr:to>
      <xdr:col>10</xdr:col>
      <xdr:colOff>786660</xdr:colOff>
      <xdr:row>298</xdr:row>
      <xdr:rowOff>119380</xdr:rowOff>
    </xdr:to>
    <xdr:cxnSp macro="">
      <xdr:nvCxnSpPr>
        <xdr:cNvPr id="232" name="Conector recto 231">
          <a:extLst>
            <a:ext uri="{FF2B5EF4-FFF2-40B4-BE49-F238E27FC236}">
              <a16:creationId xmlns:a16="http://schemas.microsoft.com/office/drawing/2014/main" id="{9954319F-624A-4786-A5CD-A5E4D8DC6393}"/>
            </a:ext>
          </a:extLst>
        </xdr:cNvPr>
        <xdr:cNvCxnSpPr/>
      </xdr:nvCxnSpPr>
      <xdr:spPr>
        <a:xfrm>
          <a:off x="5976420" y="68516500"/>
          <a:ext cx="43200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572238</xdr:colOff>
      <xdr:row>297</xdr:row>
      <xdr:rowOff>111622</xdr:rowOff>
    </xdr:from>
    <xdr:to>
      <xdr:col>5</xdr:col>
      <xdr:colOff>572238</xdr:colOff>
      <xdr:row>299</xdr:row>
      <xdr:rowOff>105862</xdr:rowOff>
    </xdr:to>
    <xdr:cxnSp macro="">
      <xdr:nvCxnSpPr>
        <xdr:cNvPr id="233" name="Conector recto 232">
          <a:extLst>
            <a:ext uri="{FF2B5EF4-FFF2-40B4-BE49-F238E27FC236}">
              <a16:creationId xmlns:a16="http://schemas.microsoft.com/office/drawing/2014/main" id="{31A8D82F-657E-4AA3-B077-1D68E14BF3C4}"/>
            </a:ext>
          </a:extLst>
        </xdr:cNvPr>
        <xdr:cNvCxnSpPr/>
      </xdr:nvCxnSpPr>
      <xdr:spPr>
        <a:xfrm>
          <a:off x="6119598" y="68325862"/>
          <a:ext cx="0" cy="36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621169</xdr:colOff>
      <xdr:row>297</xdr:row>
      <xdr:rowOff>120615</xdr:rowOff>
    </xdr:from>
    <xdr:to>
      <xdr:col>6</xdr:col>
      <xdr:colOff>621169</xdr:colOff>
      <xdr:row>299</xdr:row>
      <xdr:rowOff>114855</xdr:rowOff>
    </xdr:to>
    <xdr:cxnSp macro="">
      <xdr:nvCxnSpPr>
        <xdr:cNvPr id="234" name="Conector recto 233">
          <a:extLst>
            <a:ext uri="{FF2B5EF4-FFF2-40B4-BE49-F238E27FC236}">
              <a16:creationId xmlns:a16="http://schemas.microsoft.com/office/drawing/2014/main" id="{FABAEC5D-2AE2-48D0-81C3-055CB1670AF4}"/>
            </a:ext>
          </a:extLst>
        </xdr:cNvPr>
        <xdr:cNvCxnSpPr/>
      </xdr:nvCxnSpPr>
      <xdr:spPr>
        <a:xfrm>
          <a:off x="6961009" y="68334855"/>
          <a:ext cx="0" cy="36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382952</xdr:colOff>
      <xdr:row>297</xdr:row>
      <xdr:rowOff>97255</xdr:rowOff>
    </xdr:from>
    <xdr:to>
      <xdr:col>10</xdr:col>
      <xdr:colOff>382952</xdr:colOff>
      <xdr:row>299</xdr:row>
      <xdr:rowOff>91495</xdr:rowOff>
    </xdr:to>
    <xdr:cxnSp macro="">
      <xdr:nvCxnSpPr>
        <xdr:cNvPr id="235" name="Conector recto 234">
          <a:extLst>
            <a:ext uri="{FF2B5EF4-FFF2-40B4-BE49-F238E27FC236}">
              <a16:creationId xmlns:a16="http://schemas.microsoft.com/office/drawing/2014/main" id="{4781603D-8BAD-4290-B488-470FF2132116}"/>
            </a:ext>
          </a:extLst>
        </xdr:cNvPr>
        <xdr:cNvCxnSpPr/>
      </xdr:nvCxnSpPr>
      <xdr:spPr>
        <a:xfrm>
          <a:off x="9892712" y="68311495"/>
          <a:ext cx="0" cy="36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636958</xdr:colOff>
      <xdr:row>296</xdr:row>
      <xdr:rowOff>107779</xdr:rowOff>
    </xdr:from>
    <xdr:to>
      <xdr:col>8</xdr:col>
      <xdr:colOff>548639</xdr:colOff>
      <xdr:row>298</xdr:row>
      <xdr:rowOff>116096</xdr:rowOff>
    </xdr:to>
    <xdr:sp macro="" textlink="">
      <xdr:nvSpPr>
        <xdr:cNvPr id="236" name="CuadroTexto 113">
          <a:extLst>
            <a:ext uri="{FF2B5EF4-FFF2-40B4-BE49-F238E27FC236}">
              <a16:creationId xmlns:a16="http://schemas.microsoft.com/office/drawing/2014/main" id="{87D1A151-4102-4A53-BF58-916805E97C34}"/>
            </a:ext>
          </a:extLst>
        </xdr:cNvPr>
        <xdr:cNvSpPr txBox="1"/>
      </xdr:nvSpPr>
      <xdr:spPr>
        <a:xfrm>
          <a:off x="7769278" y="68139139"/>
          <a:ext cx="704161" cy="374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6 00</a:t>
          </a:r>
        </a:p>
      </xdr:txBody>
    </xdr:sp>
    <xdr:clientData/>
  </xdr:twoCellAnchor>
  <xdr:twoCellAnchor>
    <xdr:from>
      <xdr:col>9</xdr:col>
      <xdr:colOff>521010</xdr:colOff>
      <xdr:row>296</xdr:row>
      <xdr:rowOff>99658</xdr:rowOff>
    </xdr:from>
    <xdr:to>
      <xdr:col>10</xdr:col>
      <xdr:colOff>441960</xdr:colOff>
      <xdr:row>298</xdr:row>
      <xdr:rowOff>107975</xdr:rowOff>
    </xdr:to>
    <xdr:sp macro="" textlink="">
      <xdr:nvSpPr>
        <xdr:cNvPr id="237" name="CuadroTexto 114">
          <a:extLst>
            <a:ext uri="{FF2B5EF4-FFF2-40B4-BE49-F238E27FC236}">
              <a16:creationId xmlns:a16="http://schemas.microsoft.com/office/drawing/2014/main" id="{94F3F6FD-2D30-4F49-AA55-280D51B280DC}"/>
            </a:ext>
          </a:extLst>
        </xdr:cNvPr>
        <xdr:cNvSpPr txBox="1"/>
      </xdr:nvSpPr>
      <xdr:spPr>
        <a:xfrm>
          <a:off x="9238290" y="68131018"/>
          <a:ext cx="713430" cy="374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2 00</a:t>
          </a:r>
        </a:p>
      </xdr:txBody>
    </xdr:sp>
    <xdr:clientData/>
  </xdr:twoCellAnchor>
  <xdr:twoCellAnchor>
    <xdr:from>
      <xdr:col>4</xdr:col>
      <xdr:colOff>703937</xdr:colOff>
      <xdr:row>275</xdr:row>
      <xdr:rowOff>85946</xdr:rowOff>
    </xdr:from>
    <xdr:to>
      <xdr:col>4</xdr:col>
      <xdr:colOff>703937</xdr:colOff>
      <xdr:row>292</xdr:row>
      <xdr:rowOff>72986</xdr:rowOff>
    </xdr:to>
    <xdr:cxnSp macro="">
      <xdr:nvCxnSpPr>
        <xdr:cNvPr id="238" name="Conector recto 237">
          <a:extLst>
            <a:ext uri="{FF2B5EF4-FFF2-40B4-BE49-F238E27FC236}">
              <a16:creationId xmlns:a16="http://schemas.microsoft.com/office/drawing/2014/main" id="{DF9FBB2E-28B6-42C1-9F77-87F83DB90C82}"/>
            </a:ext>
          </a:extLst>
        </xdr:cNvPr>
        <xdr:cNvCxnSpPr/>
      </xdr:nvCxnSpPr>
      <xdr:spPr>
        <a:xfrm>
          <a:off x="7836257" y="1183226"/>
          <a:ext cx="0" cy="309600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549281</xdr:colOff>
      <xdr:row>292</xdr:row>
      <xdr:rowOff>16149</xdr:rowOff>
    </xdr:from>
    <xdr:to>
      <xdr:col>5</xdr:col>
      <xdr:colOff>116801</xdr:colOff>
      <xdr:row>292</xdr:row>
      <xdr:rowOff>16149</xdr:rowOff>
    </xdr:to>
    <xdr:cxnSp macro="">
      <xdr:nvCxnSpPr>
        <xdr:cNvPr id="239" name="Conector recto 238">
          <a:extLst>
            <a:ext uri="{FF2B5EF4-FFF2-40B4-BE49-F238E27FC236}">
              <a16:creationId xmlns:a16="http://schemas.microsoft.com/office/drawing/2014/main" id="{51CD2FDE-B4D7-421E-8535-C0280C8C982F}"/>
            </a:ext>
          </a:extLst>
        </xdr:cNvPr>
        <xdr:cNvCxnSpPr/>
      </xdr:nvCxnSpPr>
      <xdr:spPr>
        <a:xfrm flipH="1">
          <a:off x="7681601" y="4222389"/>
          <a:ext cx="360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508972</xdr:colOff>
      <xdr:row>276</xdr:row>
      <xdr:rowOff>55784</xdr:rowOff>
    </xdr:from>
    <xdr:to>
      <xdr:col>5</xdr:col>
      <xdr:colOff>76492</xdr:colOff>
      <xdr:row>276</xdr:row>
      <xdr:rowOff>55784</xdr:rowOff>
    </xdr:to>
    <xdr:cxnSp macro="">
      <xdr:nvCxnSpPr>
        <xdr:cNvPr id="240" name="Conector recto 239">
          <a:extLst>
            <a:ext uri="{FF2B5EF4-FFF2-40B4-BE49-F238E27FC236}">
              <a16:creationId xmlns:a16="http://schemas.microsoft.com/office/drawing/2014/main" id="{02311356-09C4-40BF-AD57-F69C8451F470}"/>
            </a:ext>
          </a:extLst>
        </xdr:cNvPr>
        <xdr:cNvCxnSpPr/>
      </xdr:nvCxnSpPr>
      <xdr:spPr>
        <a:xfrm flipH="1">
          <a:off x="7641292" y="1335944"/>
          <a:ext cx="360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</xdr:colOff>
      <xdr:row>284</xdr:row>
      <xdr:rowOff>69672</xdr:rowOff>
    </xdr:from>
    <xdr:to>
      <xdr:col>4</xdr:col>
      <xdr:colOff>672490</xdr:colOff>
      <xdr:row>286</xdr:row>
      <xdr:rowOff>77989</xdr:rowOff>
    </xdr:to>
    <xdr:sp macro="" textlink="">
      <xdr:nvSpPr>
        <xdr:cNvPr id="241" name="CuadroTexto 118">
          <a:extLst>
            <a:ext uri="{FF2B5EF4-FFF2-40B4-BE49-F238E27FC236}">
              <a16:creationId xmlns:a16="http://schemas.microsoft.com/office/drawing/2014/main" id="{5E943AD0-D7A3-4D89-AB8A-0FBB6F5941F1}"/>
            </a:ext>
          </a:extLst>
        </xdr:cNvPr>
        <xdr:cNvSpPr txBox="1"/>
      </xdr:nvSpPr>
      <xdr:spPr>
        <a:xfrm>
          <a:off x="7185660" y="2812872"/>
          <a:ext cx="619150" cy="374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6 00</a:t>
          </a:r>
        </a:p>
      </xdr:txBody>
    </xdr:sp>
    <xdr:clientData/>
  </xdr:twoCellAnchor>
  <xdr:twoCellAnchor>
    <xdr:from>
      <xdr:col>6</xdr:col>
      <xdr:colOff>1884</xdr:colOff>
      <xdr:row>296</xdr:row>
      <xdr:rowOff>112462</xdr:rowOff>
    </xdr:from>
    <xdr:to>
      <xdr:col>6</xdr:col>
      <xdr:colOff>761999</xdr:colOff>
      <xdr:row>298</xdr:row>
      <xdr:rowOff>120779</xdr:rowOff>
    </xdr:to>
    <xdr:sp macro="" textlink="">
      <xdr:nvSpPr>
        <xdr:cNvPr id="242" name="CuadroTexto 121">
          <a:extLst>
            <a:ext uri="{FF2B5EF4-FFF2-40B4-BE49-F238E27FC236}">
              <a16:creationId xmlns:a16="http://schemas.microsoft.com/office/drawing/2014/main" id="{BBE500B8-4742-4B17-9BF0-F29EA518C1C3}"/>
            </a:ext>
          </a:extLst>
        </xdr:cNvPr>
        <xdr:cNvSpPr txBox="1"/>
      </xdr:nvSpPr>
      <xdr:spPr>
        <a:xfrm>
          <a:off x="6341724" y="68143822"/>
          <a:ext cx="760115" cy="374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2 00</a:t>
          </a:r>
        </a:p>
      </xdr:txBody>
    </xdr:sp>
    <xdr:clientData/>
  </xdr:twoCellAnchor>
  <xdr:twoCellAnchor>
    <xdr:from>
      <xdr:col>4</xdr:col>
      <xdr:colOff>508972</xdr:colOff>
      <xdr:row>280</xdr:row>
      <xdr:rowOff>73503</xdr:rowOff>
    </xdr:from>
    <xdr:to>
      <xdr:col>5</xdr:col>
      <xdr:colOff>76492</xdr:colOff>
      <xdr:row>280</xdr:row>
      <xdr:rowOff>73503</xdr:rowOff>
    </xdr:to>
    <xdr:cxnSp macro="">
      <xdr:nvCxnSpPr>
        <xdr:cNvPr id="243" name="Conector recto 242">
          <a:extLst>
            <a:ext uri="{FF2B5EF4-FFF2-40B4-BE49-F238E27FC236}">
              <a16:creationId xmlns:a16="http://schemas.microsoft.com/office/drawing/2014/main" id="{58F2455F-4412-4590-B96A-2F4222807F4F}"/>
            </a:ext>
          </a:extLst>
        </xdr:cNvPr>
        <xdr:cNvCxnSpPr/>
      </xdr:nvCxnSpPr>
      <xdr:spPr>
        <a:xfrm flipH="1">
          <a:off x="7641292" y="2085183"/>
          <a:ext cx="36000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777240</xdr:colOff>
      <xdr:row>277</xdr:row>
      <xdr:rowOff>96564</xdr:rowOff>
    </xdr:from>
    <xdr:to>
      <xdr:col>4</xdr:col>
      <xdr:colOff>653339</xdr:colOff>
      <xdr:row>279</xdr:row>
      <xdr:rowOff>104881</xdr:rowOff>
    </xdr:to>
    <xdr:sp macro="" textlink="">
      <xdr:nvSpPr>
        <xdr:cNvPr id="244" name="CuadroTexto 123">
          <a:extLst>
            <a:ext uri="{FF2B5EF4-FFF2-40B4-BE49-F238E27FC236}">
              <a16:creationId xmlns:a16="http://schemas.microsoft.com/office/drawing/2014/main" id="{36AB42A7-B960-4B0C-95C8-E84C2E7F8B15}"/>
            </a:ext>
          </a:extLst>
        </xdr:cNvPr>
        <xdr:cNvSpPr txBox="1"/>
      </xdr:nvSpPr>
      <xdr:spPr>
        <a:xfrm>
          <a:off x="7117080" y="1559604"/>
          <a:ext cx="668579" cy="3740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2 00</a:t>
          </a:r>
        </a:p>
      </xdr:txBody>
    </xdr:sp>
    <xdr:clientData/>
  </xdr:twoCellAnchor>
  <xdr:twoCellAnchor>
    <xdr:from>
      <xdr:col>9</xdr:col>
      <xdr:colOff>348322</xdr:colOff>
      <xdr:row>297</xdr:row>
      <xdr:rowOff>88762</xdr:rowOff>
    </xdr:from>
    <xdr:to>
      <xdr:col>9</xdr:col>
      <xdr:colOff>348322</xdr:colOff>
      <xdr:row>299</xdr:row>
      <xdr:rowOff>83002</xdr:rowOff>
    </xdr:to>
    <xdr:cxnSp macro="">
      <xdr:nvCxnSpPr>
        <xdr:cNvPr id="245" name="Conector recto 244">
          <a:extLst>
            <a:ext uri="{FF2B5EF4-FFF2-40B4-BE49-F238E27FC236}">
              <a16:creationId xmlns:a16="http://schemas.microsoft.com/office/drawing/2014/main" id="{061ED532-2E6F-4B80-B17B-7DB62E1B746A}"/>
            </a:ext>
          </a:extLst>
        </xdr:cNvPr>
        <xdr:cNvCxnSpPr/>
      </xdr:nvCxnSpPr>
      <xdr:spPr>
        <a:xfrm>
          <a:off x="9065602" y="68303002"/>
          <a:ext cx="0" cy="3600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504786</xdr:colOff>
      <xdr:row>276</xdr:row>
      <xdr:rowOff>157125</xdr:rowOff>
    </xdr:from>
    <xdr:to>
      <xdr:col>8</xdr:col>
      <xdr:colOff>216362</xdr:colOff>
      <xdr:row>278</xdr:row>
      <xdr:rowOff>108200</xdr:rowOff>
    </xdr:to>
    <xdr:sp macro="" textlink="">
      <xdr:nvSpPr>
        <xdr:cNvPr id="246" name="Rectángulo 245">
          <a:extLst>
            <a:ext uri="{FF2B5EF4-FFF2-40B4-BE49-F238E27FC236}">
              <a16:creationId xmlns:a16="http://schemas.microsoft.com/office/drawing/2014/main" id="{37E35467-CF93-4E77-B557-029AD94489CC}"/>
            </a:ext>
          </a:extLst>
        </xdr:cNvPr>
        <xdr:cNvSpPr/>
      </xdr:nvSpPr>
      <xdr:spPr>
        <a:xfrm rot="20482398">
          <a:off x="10014546" y="1437285"/>
          <a:ext cx="504056" cy="31683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8</xdr:col>
      <xdr:colOff>104107</xdr:colOff>
      <xdr:row>283</xdr:row>
      <xdr:rowOff>135078</xdr:rowOff>
    </xdr:from>
    <xdr:to>
      <xdr:col>8</xdr:col>
      <xdr:colOff>608163</xdr:colOff>
      <xdr:row>285</xdr:row>
      <xdr:rowOff>86153</xdr:rowOff>
    </xdr:to>
    <xdr:sp macro="" textlink="">
      <xdr:nvSpPr>
        <xdr:cNvPr id="247" name="Rectángulo 246">
          <a:extLst>
            <a:ext uri="{FF2B5EF4-FFF2-40B4-BE49-F238E27FC236}">
              <a16:creationId xmlns:a16="http://schemas.microsoft.com/office/drawing/2014/main" id="{DF045ACE-CD0D-4316-BCEB-149E272164A1}"/>
            </a:ext>
          </a:extLst>
        </xdr:cNvPr>
        <xdr:cNvSpPr/>
      </xdr:nvSpPr>
      <xdr:spPr>
        <a:xfrm rot="2281648">
          <a:off x="10406347" y="2695398"/>
          <a:ext cx="504056" cy="31683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9</xdr:col>
      <xdr:colOff>717541</xdr:colOff>
      <xdr:row>281</xdr:row>
      <xdr:rowOff>624</xdr:rowOff>
    </xdr:from>
    <xdr:to>
      <xdr:col>10</xdr:col>
      <xdr:colOff>241896</xdr:colOff>
      <xdr:row>283</xdr:row>
      <xdr:rowOff>138920</xdr:rowOff>
    </xdr:to>
    <xdr:sp macro="" textlink="">
      <xdr:nvSpPr>
        <xdr:cNvPr id="248" name="Rectángulo 247">
          <a:extLst>
            <a:ext uri="{FF2B5EF4-FFF2-40B4-BE49-F238E27FC236}">
              <a16:creationId xmlns:a16="http://schemas.microsoft.com/office/drawing/2014/main" id="{3C48D4CA-D46A-4A39-A82E-582055888760}"/>
            </a:ext>
          </a:extLst>
        </xdr:cNvPr>
        <xdr:cNvSpPr/>
      </xdr:nvSpPr>
      <xdr:spPr>
        <a:xfrm rot="4516589">
          <a:off x="11718651" y="2288794"/>
          <a:ext cx="504056" cy="31683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5</xdr:col>
      <xdr:colOff>736608</xdr:colOff>
      <xdr:row>283</xdr:row>
      <xdr:rowOff>160593</xdr:rowOff>
    </xdr:from>
    <xdr:to>
      <xdr:col>6</xdr:col>
      <xdr:colOff>260963</xdr:colOff>
      <xdr:row>286</xdr:row>
      <xdr:rowOff>116009</xdr:rowOff>
    </xdr:to>
    <xdr:sp macro="" textlink="">
      <xdr:nvSpPr>
        <xdr:cNvPr id="249" name="Rectángulo 248">
          <a:extLst>
            <a:ext uri="{FF2B5EF4-FFF2-40B4-BE49-F238E27FC236}">
              <a16:creationId xmlns:a16="http://schemas.microsoft.com/office/drawing/2014/main" id="{97BD16DF-70DE-4F14-B2DA-2BF3AA9A9DCE}"/>
            </a:ext>
          </a:extLst>
        </xdr:cNvPr>
        <xdr:cNvSpPr/>
      </xdr:nvSpPr>
      <xdr:spPr>
        <a:xfrm rot="17474572">
          <a:off x="8567798" y="2814523"/>
          <a:ext cx="504056" cy="31683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7</xdr:col>
      <xdr:colOff>272649</xdr:colOff>
      <xdr:row>290</xdr:row>
      <xdr:rowOff>59559</xdr:rowOff>
    </xdr:from>
    <xdr:to>
      <xdr:col>7</xdr:col>
      <xdr:colOff>776705</xdr:colOff>
      <xdr:row>292</xdr:row>
      <xdr:rowOff>10634</xdr:rowOff>
    </xdr:to>
    <xdr:sp macro="" textlink="">
      <xdr:nvSpPr>
        <xdr:cNvPr id="250" name="Rectángulo 249">
          <a:extLst>
            <a:ext uri="{FF2B5EF4-FFF2-40B4-BE49-F238E27FC236}">
              <a16:creationId xmlns:a16="http://schemas.microsoft.com/office/drawing/2014/main" id="{65A78B27-5C39-4C2B-A7DA-513785AEA083}"/>
            </a:ext>
          </a:extLst>
        </xdr:cNvPr>
        <xdr:cNvSpPr/>
      </xdr:nvSpPr>
      <xdr:spPr>
        <a:xfrm>
          <a:off x="7404969" y="66993639"/>
          <a:ext cx="504056" cy="31683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10</xdr:col>
      <xdr:colOff>401939</xdr:colOff>
      <xdr:row>291</xdr:row>
      <xdr:rowOff>65138</xdr:rowOff>
    </xdr:from>
    <xdr:to>
      <xdr:col>10</xdr:col>
      <xdr:colOff>653939</xdr:colOff>
      <xdr:row>292</xdr:row>
      <xdr:rowOff>134258</xdr:rowOff>
    </xdr:to>
    <xdr:sp macro="" textlink="">
      <xdr:nvSpPr>
        <xdr:cNvPr id="251" name="Elipse 250">
          <a:extLst>
            <a:ext uri="{FF2B5EF4-FFF2-40B4-BE49-F238E27FC236}">
              <a16:creationId xmlns:a16="http://schemas.microsoft.com/office/drawing/2014/main" id="{44174651-3B88-4F11-9D2D-BDD03E58EE2C}"/>
            </a:ext>
          </a:extLst>
        </xdr:cNvPr>
        <xdr:cNvSpPr/>
      </xdr:nvSpPr>
      <xdr:spPr>
        <a:xfrm>
          <a:off x="12289139" y="4088498"/>
          <a:ext cx="252000" cy="252000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2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609823</xdr:colOff>
      <xdr:row>281</xdr:row>
      <xdr:rowOff>104045</xdr:rowOff>
    </xdr:from>
    <xdr:to>
      <xdr:col>7</xdr:col>
      <xdr:colOff>69343</xdr:colOff>
      <xdr:row>282</xdr:row>
      <xdr:rowOff>173165</xdr:rowOff>
    </xdr:to>
    <xdr:sp macro="" textlink="">
      <xdr:nvSpPr>
        <xdr:cNvPr id="252" name="Elipse 251">
          <a:extLst>
            <a:ext uri="{FF2B5EF4-FFF2-40B4-BE49-F238E27FC236}">
              <a16:creationId xmlns:a16="http://schemas.microsoft.com/office/drawing/2014/main" id="{B309D029-B427-4BFF-8234-D4ABA75D0987}"/>
            </a:ext>
          </a:extLst>
        </xdr:cNvPr>
        <xdr:cNvSpPr/>
      </xdr:nvSpPr>
      <xdr:spPr>
        <a:xfrm>
          <a:off x="9327103" y="2298605"/>
          <a:ext cx="252000" cy="252000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4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538502</xdr:colOff>
      <xdr:row>276</xdr:row>
      <xdr:rowOff>78693</xdr:rowOff>
    </xdr:from>
    <xdr:to>
      <xdr:col>9</xdr:col>
      <xdr:colOff>790502</xdr:colOff>
      <xdr:row>277</xdr:row>
      <xdr:rowOff>147813</xdr:rowOff>
    </xdr:to>
    <xdr:sp macro="" textlink="">
      <xdr:nvSpPr>
        <xdr:cNvPr id="253" name="Elipse 252">
          <a:extLst>
            <a:ext uri="{FF2B5EF4-FFF2-40B4-BE49-F238E27FC236}">
              <a16:creationId xmlns:a16="http://schemas.microsoft.com/office/drawing/2014/main" id="{B99680A0-6725-434C-9E4C-0D4CA5FA2FC2}"/>
            </a:ext>
          </a:extLst>
        </xdr:cNvPr>
        <xdr:cNvSpPr/>
      </xdr:nvSpPr>
      <xdr:spPr>
        <a:xfrm>
          <a:off x="11633222" y="1358853"/>
          <a:ext cx="252000" cy="252000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3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285226</xdr:colOff>
      <xdr:row>291</xdr:row>
      <xdr:rowOff>31303</xdr:rowOff>
    </xdr:from>
    <xdr:to>
      <xdr:col>5</xdr:col>
      <xdr:colOff>537226</xdr:colOff>
      <xdr:row>292</xdr:row>
      <xdr:rowOff>100423</xdr:rowOff>
    </xdr:to>
    <xdr:sp macro="" textlink="">
      <xdr:nvSpPr>
        <xdr:cNvPr id="254" name="Elipse 253">
          <a:extLst>
            <a:ext uri="{FF2B5EF4-FFF2-40B4-BE49-F238E27FC236}">
              <a16:creationId xmlns:a16="http://schemas.microsoft.com/office/drawing/2014/main" id="{7FD0A603-63D3-4D70-8EC5-6910D5088E6B}"/>
            </a:ext>
          </a:extLst>
        </xdr:cNvPr>
        <xdr:cNvSpPr/>
      </xdr:nvSpPr>
      <xdr:spPr>
        <a:xfrm>
          <a:off x="8210026" y="4054663"/>
          <a:ext cx="252000" cy="252000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1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67028</xdr:colOff>
      <xdr:row>289</xdr:row>
      <xdr:rowOff>103737</xdr:rowOff>
    </xdr:from>
    <xdr:to>
      <xdr:col>5</xdr:col>
      <xdr:colOff>703741</xdr:colOff>
      <xdr:row>291</xdr:row>
      <xdr:rowOff>45754</xdr:rowOff>
    </xdr:to>
    <xdr:sp macro="" textlink="">
      <xdr:nvSpPr>
        <xdr:cNvPr id="255" name="CuadroTexto 11">
          <a:extLst>
            <a:ext uri="{FF2B5EF4-FFF2-40B4-BE49-F238E27FC236}">
              <a16:creationId xmlns:a16="http://schemas.microsoft.com/office/drawing/2014/main" id="{389D638F-4F25-4559-9087-E62DD23B7A84}"/>
            </a:ext>
          </a:extLst>
        </xdr:cNvPr>
        <xdr:cNvSpPr txBox="1"/>
      </xdr:nvSpPr>
      <xdr:spPr>
        <a:xfrm>
          <a:off x="5614388" y="66854937"/>
          <a:ext cx="636713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(-8.-8)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461044</xdr:colOff>
      <xdr:row>292</xdr:row>
      <xdr:rowOff>123841</xdr:rowOff>
    </xdr:from>
    <xdr:to>
      <xdr:col>11</xdr:col>
      <xdr:colOff>252378</xdr:colOff>
      <xdr:row>294</xdr:row>
      <xdr:rowOff>65858</xdr:rowOff>
    </xdr:to>
    <xdr:sp macro="" textlink="">
      <xdr:nvSpPr>
        <xdr:cNvPr id="256" name="CuadroTexto 12">
          <a:extLst>
            <a:ext uri="{FF2B5EF4-FFF2-40B4-BE49-F238E27FC236}">
              <a16:creationId xmlns:a16="http://schemas.microsoft.com/office/drawing/2014/main" id="{51D8DB04-B2B0-4322-A7E8-DA318F529CCA}"/>
            </a:ext>
          </a:extLst>
        </xdr:cNvPr>
        <xdr:cNvSpPr txBox="1"/>
      </xdr:nvSpPr>
      <xdr:spPr>
        <a:xfrm>
          <a:off x="12348244" y="4330081"/>
          <a:ext cx="583814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(2;-8)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5</xdr:col>
      <xdr:colOff>483068</xdr:colOff>
      <xdr:row>281</xdr:row>
      <xdr:rowOff>22064</xdr:rowOff>
    </xdr:from>
    <xdr:to>
      <xdr:col>6</xdr:col>
      <xdr:colOff>328904</xdr:colOff>
      <xdr:row>282</xdr:row>
      <xdr:rowOff>146961</xdr:rowOff>
    </xdr:to>
    <xdr:sp macro="" textlink="">
      <xdr:nvSpPr>
        <xdr:cNvPr id="257" name="CuadroTexto 13">
          <a:extLst>
            <a:ext uri="{FF2B5EF4-FFF2-40B4-BE49-F238E27FC236}">
              <a16:creationId xmlns:a16="http://schemas.microsoft.com/office/drawing/2014/main" id="{ADD84774-1963-45B9-9D7D-EFB3376E6B4C}"/>
            </a:ext>
          </a:extLst>
        </xdr:cNvPr>
        <xdr:cNvSpPr txBox="1"/>
      </xdr:nvSpPr>
      <xdr:spPr>
        <a:xfrm>
          <a:off x="8407868" y="2216624"/>
          <a:ext cx="638316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(-6;-2)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532935</xdr:colOff>
      <xdr:row>274</xdr:row>
      <xdr:rowOff>84507</xdr:rowOff>
    </xdr:from>
    <xdr:to>
      <xdr:col>10</xdr:col>
      <xdr:colOff>269767</xdr:colOff>
      <xdr:row>276</xdr:row>
      <xdr:rowOff>26524</xdr:rowOff>
    </xdr:to>
    <xdr:sp macro="" textlink="">
      <xdr:nvSpPr>
        <xdr:cNvPr id="258" name="CuadroTexto 14">
          <a:extLst>
            <a:ext uri="{FF2B5EF4-FFF2-40B4-BE49-F238E27FC236}">
              <a16:creationId xmlns:a16="http://schemas.microsoft.com/office/drawing/2014/main" id="{21ACAA3C-5103-4DA0-A233-82266A72F2E2}"/>
            </a:ext>
          </a:extLst>
        </xdr:cNvPr>
        <xdr:cNvSpPr txBox="1"/>
      </xdr:nvSpPr>
      <xdr:spPr>
        <a:xfrm>
          <a:off x="11627655" y="998907"/>
          <a:ext cx="529312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(0;0)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701164</xdr:colOff>
      <xdr:row>287</xdr:row>
      <xdr:rowOff>75205</xdr:rowOff>
    </xdr:from>
    <xdr:to>
      <xdr:col>11</xdr:col>
      <xdr:colOff>700770</xdr:colOff>
      <xdr:row>293</xdr:row>
      <xdr:rowOff>91036</xdr:rowOff>
    </xdr:to>
    <xdr:grpSp>
      <xdr:nvGrpSpPr>
        <xdr:cNvPr id="259" name="Grupo 258">
          <a:extLst>
            <a:ext uri="{FF2B5EF4-FFF2-40B4-BE49-F238E27FC236}">
              <a16:creationId xmlns:a16="http://schemas.microsoft.com/office/drawing/2014/main" id="{00B55219-3B36-4342-B88A-700DF9B7766E}"/>
            </a:ext>
          </a:extLst>
        </xdr:cNvPr>
        <xdr:cNvGrpSpPr/>
      </xdr:nvGrpSpPr>
      <xdr:grpSpPr>
        <a:xfrm>
          <a:off x="9772593" y="56989348"/>
          <a:ext cx="788820" cy="1104402"/>
          <a:chOff x="5004048" y="2437340"/>
          <a:chExt cx="792086" cy="1113111"/>
        </a:xfrm>
      </xdr:grpSpPr>
      <xdr:sp macro="" textlink="">
        <xdr:nvSpPr>
          <xdr:cNvPr id="260" name="Flecha arriba 26">
            <a:extLst>
              <a:ext uri="{FF2B5EF4-FFF2-40B4-BE49-F238E27FC236}">
                <a16:creationId xmlns:a16="http://schemas.microsoft.com/office/drawing/2014/main" id="{09D3BE28-F02A-BDE6-C225-681DB55A3D2B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261" name="Flecha arriba 27">
            <a:extLst>
              <a:ext uri="{FF2B5EF4-FFF2-40B4-BE49-F238E27FC236}">
                <a16:creationId xmlns:a16="http://schemas.microsoft.com/office/drawing/2014/main" id="{7B557F82-4F65-3515-DD98-B354978A7AF4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262" name="CuadroTexto 18">
            <a:extLst>
              <a:ext uri="{FF2B5EF4-FFF2-40B4-BE49-F238E27FC236}">
                <a16:creationId xmlns:a16="http://schemas.microsoft.com/office/drawing/2014/main" id="{56737F5F-67C3-FA58-EB7F-18D993AB8B3A}"/>
              </a:ext>
            </a:extLst>
          </xdr:cNvPr>
          <xdr:cNvSpPr txBox="1"/>
        </xdr:nvSpPr>
        <xdr:spPr>
          <a:xfrm>
            <a:off x="5145673" y="2437340"/>
            <a:ext cx="63034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U2Y</a:t>
            </a:r>
          </a:p>
        </xdr:txBody>
      </xdr:sp>
      <xdr:sp macro="" textlink="">
        <xdr:nvSpPr>
          <xdr:cNvPr id="263" name="CuadroTexto 19">
            <a:extLst>
              <a:ext uri="{FF2B5EF4-FFF2-40B4-BE49-F238E27FC236}">
                <a16:creationId xmlns:a16="http://schemas.microsoft.com/office/drawing/2014/main" id="{EB561447-2815-7BF8-B914-E96270CE8788}"/>
              </a:ext>
            </a:extLst>
          </xdr:cNvPr>
          <xdr:cNvSpPr txBox="1"/>
        </xdr:nvSpPr>
        <xdr:spPr>
          <a:xfrm>
            <a:off x="5145673" y="3242674"/>
            <a:ext cx="583813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U2X</a:t>
            </a:r>
          </a:p>
        </xdr:txBody>
      </xdr:sp>
    </xdr:grpSp>
    <xdr:clientData/>
  </xdr:twoCellAnchor>
  <xdr:twoCellAnchor>
    <xdr:from>
      <xdr:col>5</xdr:col>
      <xdr:colOff>119577</xdr:colOff>
      <xdr:row>272</xdr:row>
      <xdr:rowOff>119394</xdr:rowOff>
    </xdr:from>
    <xdr:to>
      <xdr:col>6</xdr:col>
      <xdr:colOff>119183</xdr:colOff>
      <xdr:row>278</xdr:row>
      <xdr:rowOff>147998</xdr:rowOff>
    </xdr:to>
    <xdr:grpSp>
      <xdr:nvGrpSpPr>
        <xdr:cNvPr id="264" name="Grupo 263">
          <a:extLst>
            <a:ext uri="{FF2B5EF4-FFF2-40B4-BE49-F238E27FC236}">
              <a16:creationId xmlns:a16="http://schemas.microsoft.com/office/drawing/2014/main" id="{0AD84D72-9920-4AF4-B7F1-744B39FB60EC}"/>
            </a:ext>
          </a:extLst>
        </xdr:cNvPr>
        <xdr:cNvGrpSpPr/>
      </xdr:nvGrpSpPr>
      <xdr:grpSpPr>
        <a:xfrm>
          <a:off x="4619006" y="54185108"/>
          <a:ext cx="997463" cy="1226033"/>
          <a:chOff x="5004048" y="2437340"/>
          <a:chExt cx="792086" cy="1125884"/>
        </a:xfrm>
      </xdr:grpSpPr>
      <xdr:sp macro="" textlink="">
        <xdr:nvSpPr>
          <xdr:cNvPr id="265" name="Flecha arriba 26">
            <a:extLst>
              <a:ext uri="{FF2B5EF4-FFF2-40B4-BE49-F238E27FC236}">
                <a16:creationId xmlns:a16="http://schemas.microsoft.com/office/drawing/2014/main" id="{A18ECB8B-E29C-C43A-75B9-2A276AD1F6A1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266" name="Flecha arriba 27">
            <a:extLst>
              <a:ext uri="{FF2B5EF4-FFF2-40B4-BE49-F238E27FC236}">
                <a16:creationId xmlns:a16="http://schemas.microsoft.com/office/drawing/2014/main" id="{AC7F9205-EA89-DCA3-FEB4-8EA2081813F6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267" name="CuadroTexto 23">
            <a:extLst>
              <a:ext uri="{FF2B5EF4-FFF2-40B4-BE49-F238E27FC236}">
                <a16:creationId xmlns:a16="http://schemas.microsoft.com/office/drawing/2014/main" id="{E2B8510C-C84A-D5E0-2368-12BAB84BFD96}"/>
              </a:ext>
            </a:extLst>
          </xdr:cNvPr>
          <xdr:cNvSpPr txBox="1"/>
        </xdr:nvSpPr>
        <xdr:spPr>
          <a:xfrm>
            <a:off x="5145673" y="2437340"/>
            <a:ext cx="52253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U4Y</a:t>
            </a:r>
          </a:p>
        </xdr:txBody>
      </xdr:sp>
      <xdr:sp macro="" textlink="">
        <xdr:nvSpPr>
          <xdr:cNvPr id="268" name="CuadroTexto 24">
            <a:extLst>
              <a:ext uri="{FF2B5EF4-FFF2-40B4-BE49-F238E27FC236}">
                <a16:creationId xmlns:a16="http://schemas.microsoft.com/office/drawing/2014/main" id="{DA06B567-0081-D3BA-AA1E-2FE72F82FDFD}"/>
              </a:ext>
            </a:extLst>
          </xdr:cNvPr>
          <xdr:cNvSpPr txBox="1"/>
        </xdr:nvSpPr>
        <xdr:spPr>
          <a:xfrm>
            <a:off x="5157567" y="3255447"/>
            <a:ext cx="52417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U4X</a:t>
            </a:r>
          </a:p>
        </xdr:txBody>
      </xdr:sp>
    </xdr:grpSp>
    <xdr:clientData/>
  </xdr:twoCellAnchor>
  <xdr:twoCellAnchor>
    <xdr:from>
      <xdr:col>10</xdr:col>
      <xdr:colOff>238179</xdr:colOff>
      <xdr:row>271</xdr:row>
      <xdr:rowOff>0</xdr:rowOff>
    </xdr:from>
    <xdr:to>
      <xdr:col>11</xdr:col>
      <xdr:colOff>237785</xdr:colOff>
      <xdr:row>277</xdr:row>
      <xdr:rowOff>46193</xdr:rowOff>
    </xdr:to>
    <xdr:grpSp>
      <xdr:nvGrpSpPr>
        <xdr:cNvPr id="269" name="Grupo 268">
          <a:extLst>
            <a:ext uri="{FF2B5EF4-FFF2-40B4-BE49-F238E27FC236}">
              <a16:creationId xmlns:a16="http://schemas.microsoft.com/office/drawing/2014/main" id="{823A6727-17AA-420D-9D56-B39BF75146DF}"/>
            </a:ext>
          </a:extLst>
        </xdr:cNvPr>
        <xdr:cNvGrpSpPr/>
      </xdr:nvGrpSpPr>
      <xdr:grpSpPr>
        <a:xfrm>
          <a:off x="9309608" y="53866143"/>
          <a:ext cx="788820" cy="1243621"/>
          <a:chOff x="5004048" y="2437340"/>
          <a:chExt cx="792086" cy="1143473"/>
        </a:xfrm>
      </xdr:grpSpPr>
      <xdr:sp macro="" textlink="">
        <xdr:nvSpPr>
          <xdr:cNvPr id="270" name="Flecha arriba 26">
            <a:extLst>
              <a:ext uri="{FF2B5EF4-FFF2-40B4-BE49-F238E27FC236}">
                <a16:creationId xmlns:a16="http://schemas.microsoft.com/office/drawing/2014/main" id="{BB51D246-F903-5D6E-4EE0-A8F439A00C03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271" name="Flecha arriba 27">
            <a:extLst>
              <a:ext uri="{FF2B5EF4-FFF2-40B4-BE49-F238E27FC236}">
                <a16:creationId xmlns:a16="http://schemas.microsoft.com/office/drawing/2014/main" id="{0751FAE2-D5B1-F9EB-735D-CCC74D175B3E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272" name="CuadroTexto 28">
            <a:extLst>
              <a:ext uri="{FF2B5EF4-FFF2-40B4-BE49-F238E27FC236}">
                <a16:creationId xmlns:a16="http://schemas.microsoft.com/office/drawing/2014/main" id="{9BBECCDD-0A29-696A-9B87-C8D3A75EEC8B}"/>
              </a:ext>
            </a:extLst>
          </xdr:cNvPr>
          <xdr:cNvSpPr txBox="1"/>
        </xdr:nvSpPr>
        <xdr:spPr>
          <a:xfrm>
            <a:off x="5145674" y="2437340"/>
            <a:ext cx="58927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U3Y</a:t>
            </a:r>
          </a:p>
        </xdr:txBody>
      </xdr:sp>
      <xdr:sp macro="" textlink="">
        <xdr:nvSpPr>
          <xdr:cNvPr id="273" name="CuadroTexto 29">
            <a:extLst>
              <a:ext uri="{FF2B5EF4-FFF2-40B4-BE49-F238E27FC236}">
                <a16:creationId xmlns:a16="http://schemas.microsoft.com/office/drawing/2014/main" id="{54275FA8-E07E-42A9-F199-D727177E4FEA}"/>
              </a:ext>
            </a:extLst>
          </xdr:cNvPr>
          <xdr:cNvSpPr txBox="1"/>
        </xdr:nvSpPr>
        <xdr:spPr>
          <a:xfrm>
            <a:off x="5148404" y="3273036"/>
            <a:ext cx="58381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U3X</a:t>
            </a:r>
          </a:p>
        </xdr:txBody>
      </xdr:sp>
    </xdr:grpSp>
    <xdr:clientData/>
  </xdr:twoCellAnchor>
  <xdr:twoCellAnchor>
    <xdr:from>
      <xdr:col>4</xdr:col>
      <xdr:colOff>0</xdr:colOff>
      <xdr:row>289</xdr:row>
      <xdr:rowOff>131898</xdr:rowOff>
    </xdr:from>
    <xdr:to>
      <xdr:col>4</xdr:col>
      <xdr:colOff>792086</xdr:colOff>
      <xdr:row>295</xdr:row>
      <xdr:rowOff>165301</xdr:rowOff>
    </xdr:to>
    <xdr:grpSp>
      <xdr:nvGrpSpPr>
        <xdr:cNvPr id="274" name="Grupo 273">
          <a:extLst>
            <a:ext uri="{FF2B5EF4-FFF2-40B4-BE49-F238E27FC236}">
              <a16:creationId xmlns:a16="http://schemas.microsoft.com/office/drawing/2014/main" id="{268CFF38-FDD8-42C4-B83B-41391B393D77}"/>
            </a:ext>
          </a:extLst>
        </xdr:cNvPr>
        <xdr:cNvGrpSpPr/>
      </xdr:nvGrpSpPr>
      <xdr:grpSpPr>
        <a:xfrm>
          <a:off x="3501571" y="57408898"/>
          <a:ext cx="792086" cy="1121974"/>
          <a:chOff x="5004048" y="2437340"/>
          <a:chExt cx="792086" cy="1130683"/>
        </a:xfrm>
      </xdr:grpSpPr>
      <xdr:sp macro="" textlink="">
        <xdr:nvSpPr>
          <xdr:cNvPr id="275" name="Flecha arriba 26">
            <a:extLst>
              <a:ext uri="{FF2B5EF4-FFF2-40B4-BE49-F238E27FC236}">
                <a16:creationId xmlns:a16="http://schemas.microsoft.com/office/drawing/2014/main" id="{E9808BE2-F4A6-1C21-C177-28308747C8CE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276" name="Flecha arriba 27">
            <a:extLst>
              <a:ext uri="{FF2B5EF4-FFF2-40B4-BE49-F238E27FC236}">
                <a16:creationId xmlns:a16="http://schemas.microsoft.com/office/drawing/2014/main" id="{90309F56-378D-24A4-F287-05713D3B530F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277" name="CuadroTexto 34">
            <a:extLst>
              <a:ext uri="{FF2B5EF4-FFF2-40B4-BE49-F238E27FC236}">
                <a16:creationId xmlns:a16="http://schemas.microsoft.com/office/drawing/2014/main" id="{7A64BF1E-C4ED-2ADF-5C41-F249FEAC2F81}"/>
              </a:ext>
            </a:extLst>
          </xdr:cNvPr>
          <xdr:cNvSpPr txBox="1"/>
        </xdr:nvSpPr>
        <xdr:spPr>
          <a:xfrm>
            <a:off x="5145674" y="2437340"/>
            <a:ext cx="60082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U1Y</a:t>
            </a:r>
          </a:p>
        </xdr:txBody>
      </xdr:sp>
      <xdr:sp macro="" textlink="">
        <xdr:nvSpPr>
          <xdr:cNvPr id="278" name="CuadroTexto 35">
            <a:extLst>
              <a:ext uri="{FF2B5EF4-FFF2-40B4-BE49-F238E27FC236}">
                <a16:creationId xmlns:a16="http://schemas.microsoft.com/office/drawing/2014/main" id="{F60EBC0F-8657-5D56-CBD0-4D1CE3B531F0}"/>
              </a:ext>
            </a:extLst>
          </xdr:cNvPr>
          <xdr:cNvSpPr txBox="1"/>
        </xdr:nvSpPr>
        <xdr:spPr>
          <a:xfrm>
            <a:off x="5168904" y="3260246"/>
            <a:ext cx="601057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U1X</a:t>
            </a:r>
          </a:p>
        </xdr:txBody>
      </xdr:sp>
    </xdr:grpSp>
    <xdr:clientData/>
  </xdr:twoCellAnchor>
  <xdr:twoCellAnchor>
    <xdr:from>
      <xdr:col>7</xdr:col>
      <xdr:colOff>89547</xdr:colOff>
      <xdr:row>292</xdr:row>
      <xdr:rowOff>134258</xdr:rowOff>
    </xdr:from>
    <xdr:to>
      <xdr:col>8</xdr:col>
      <xdr:colOff>652253</xdr:colOff>
      <xdr:row>292</xdr:row>
      <xdr:rowOff>134258</xdr:rowOff>
    </xdr:to>
    <xdr:cxnSp macro="">
      <xdr:nvCxnSpPr>
        <xdr:cNvPr id="279" name="Conector recto de flecha 278">
          <a:extLst>
            <a:ext uri="{FF2B5EF4-FFF2-40B4-BE49-F238E27FC236}">
              <a16:creationId xmlns:a16="http://schemas.microsoft.com/office/drawing/2014/main" id="{B10F92A0-1353-4255-828A-46B45A2E3A55}"/>
            </a:ext>
          </a:extLst>
        </xdr:cNvPr>
        <xdr:cNvCxnSpPr>
          <a:cxnSpLocks/>
        </xdr:cNvCxnSpPr>
      </xdr:nvCxnSpPr>
      <xdr:spPr>
        <a:xfrm>
          <a:off x="9599307" y="4340498"/>
          <a:ext cx="1355186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256105</xdr:colOff>
      <xdr:row>282</xdr:row>
      <xdr:rowOff>141690</xdr:rowOff>
    </xdr:from>
    <xdr:to>
      <xdr:col>8</xdr:col>
      <xdr:colOff>584483</xdr:colOff>
      <xdr:row>287</xdr:row>
      <xdr:rowOff>26833</xdr:rowOff>
    </xdr:to>
    <xdr:cxnSp macro="">
      <xdr:nvCxnSpPr>
        <xdr:cNvPr id="280" name="Conector recto de flecha 279">
          <a:extLst>
            <a:ext uri="{FF2B5EF4-FFF2-40B4-BE49-F238E27FC236}">
              <a16:creationId xmlns:a16="http://schemas.microsoft.com/office/drawing/2014/main" id="{27963023-DC36-431C-A5AA-1A2BBBD3556D}"/>
            </a:ext>
          </a:extLst>
        </xdr:cNvPr>
        <xdr:cNvCxnSpPr>
          <a:cxnSpLocks/>
        </xdr:cNvCxnSpPr>
      </xdr:nvCxnSpPr>
      <xdr:spPr>
        <a:xfrm flipH="1" flipV="1">
          <a:off x="7388425" y="65612730"/>
          <a:ext cx="1120858" cy="79954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147554</xdr:colOff>
      <xdr:row>285</xdr:row>
      <xdr:rowOff>18804</xdr:rowOff>
    </xdr:from>
    <xdr:to>
      <xdr:col>6</xdr:col>
      <xdr:colOff>485151</xdr:colOff>
      <xdr:row>290</xdr:row>
      <xdr:rowOff>98546</xdr:rowOff>
    </xdr:to>
    <xdr:cxnSp macro="">
      <xdr:nvCxnSpPr>
        <xdr:cNvPr id="281" name="Conector recto de flecha 280">
          <a:extLst>
            <a:ext uri="{FF2B5EF4-FFF2-40B4-BE49-F238E27FC236}">
              <a16:creationId xmlns:a16="http://schemas.microsoft.com/office/drawing/2014/main" id="{BFDA24C5-FA36-425F-89E7-71F0BDEC0C10}"/>
            </a:ext>
          </a:extLst>
        </xdr:cNvPr>
        <xdr:cNvCxnSpPr>
          <a:cxnSpLocks/>
        </xdr:cNvCxnSpPr>
      </xdr:nvCxnSpPr>
      <xdr:spPr>
        <a:xfrm flipH="1">
          <a:off x="8864834" y="2944884"/>
          <a:ext cx="337597" cy="994142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309661</xdr:colOff>
      <xdr:row>277</xdr:row>
      <xdr:rowOff>50621</xdr:rowOff>
    </xdr:from>
    <xdr:to>
      <xdr:col>9</xdr:col>
      <xdr:colOff>70722</xdr:colOff>
      <xdr:row>279</xdr:row>
      <xdr:rowOff>153994</xdr:rowOff>
    </xdr:to>
    <xdr:cxnSp macro="">
      <xdr:nvCxnSpPr>
        <xdr:cNvPr id="282" name="Conector recto de flecha 281">
          <a:extLst>
            <a:ext uri="{FF2B5EF4-FFF2-40B4-BE49-F238E27FC236}">
              <a16:creationId xmlns:a16="http://schemas.microsoft.com/office/drawing/2014/main" id="{D0EAB1D4-E3AA-4709-9444-86F49CF74A8C}"/>
            </a:ext>
          </a:extLst>
        </xdr:cNvPr>
        <xdr:cNvCxnSpPr>
          <a:cxnSpLocks/>
        </xdr:cNvCxnSpPr>
      </xdr:nvCxnSpPr>
      <xdr:spPr>
        <a:xfrm flipH="1">
          <a:off x="7441981" y="64607261"/>
          <a:ext cx="1346021" cy="46913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402668</xdr:colOff>
      <xdr:row>281</xdr:row>
      <xdr:rowOff>69930</xdr:rowOff>
    </xdr:from>
    <xdr:to>
      <xdr:col>9</xdr:col>
      <xdr:colOff>728885</xdr:colOff>
      <xdr:row>288</xdr:row>
      <xdr:rowOff>46213</xdr:rowOff>
    </xdr:to>
    <xdr:cxnSp macro="">
      <xdr:nvCxnSpPr>
        <xdr:cNvPr id="283" name="Conector recto de flecha 282">
          <a:extLst>
            <a:ext uri="{FF2B5EF4-FFF2-40B4-BE49-F238E27FC236}">
              <a16:creationId xmlns:a16="http://schemas.microsoft.com/office/drawing/2014/main" id="{A1772B7E-7020-403D-BB45-8ADE2D982B8A}"/>
            </a:ext>
          </a:extLst>
        </xdr:cNvPr>
        <xdr:cNvCxnSpPr>
          <a:cxnSpLocks/>
        </xdr:cNvCxnSpPr>
      </xdr:nvCxnSpPr>
      <xdr:spPr>
        <a:xfrm flipH="1" flipV="1">
          <a:off x="11497388" y="2264490"/>
          <a:ext cx="326217" cy="125644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404912</xdr:colOff>
      <xdr:row>273</xdr:row>
      <xdr:rowOff>95376</xdr:rowOff>
    </xdr:from>
    <xdr:to>
      <xdr:col>9</xdr:col>
      <xdr:colOff>404912</xdr:colOff>
      <xdr:row>276</xdr:row>
      <xdr:rowOff>97252</xdr:rowOff>
    </xdr:to>
    <xdr:cxnSp macro="">
      <xdr:nvCxnSpPr>
        <xdr:cNvPr id="284" name="Conector recto de flecha 283">
          <a:extLst>
            <a:ext uri="{FF2B5EF4-FFF2-40B4-BE49-F238E27FC236}">
              <a16:creationId xmlns:a16="http://schemas.microsoft.com/office/drawing/2014/main" id="{FC5B9D8B-513B-4291-9B59-ABC293F8ECDB}"/>
            </a:ext>
          </a:extLst>
        </xdr:cNvPr>
        <xdr:cNvCxnSpPr>
          <a:cxnSpLocks/>
        </xdr:cNvCxnSpPr>
      </xdr:nvCxnSpPr>
      <xdr:spPr>
        <a:xfrm>
          <a:off x="11499632" y="826896"/>
          <a:ext cx="0" cy="550516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616722</xdr:colOff>
      <xdr:row>277</xdr:row>
      <xdr:rowOff>103824</xdr:rowOff>
    </xdr:from>
    <xdr:to>
      <xdr:col>6</xdr:col>
      <xdr:colOff>616722</xdr:colOff>
      <xdr:row>280</xdr:row>
      <xdr:rowOff>105700</xdr:rowOff>
    </xdr:to>
    <xdr:cxnSp macro="">
      <xdr:nvCxnSpPr>
        <xdr:cNvPr id="285" name="Conector recto de flecha 284">
          <a:extLst>
            <a:ext uri="{FF2B5EF4-FFF2-40B4-BE49-F238E27FC236}">
              <a16:creationId xmlns:a16="http://schemas.microsoft.com/office/drawing/2014/main" id="{34BE03C8-4C21-490F-B171-4C889845CCE3}"/>
            </a:ext>
          </a:extLst>
        </xdr:cNvPr>
        <xdr:cNvCxnSpPr>
          <a:cxnSpLocks/>
        </xdr:cNvCxnSpPr>
      </xdr:nvCxnSpPr>
      <xdr:spPr>
        <a:xfrm>
          <a:off x="9334002" y="1566864"/>
          <a:ext cx="0" cy="550516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72801</xdr:colOff>
      <xdr:row>280</xdr:row>
      <xdr:rowOff>117990</xdr:rowOff>
    </xdr:from>
    <xdr:to>
      <xdr:col>6</xdr:col>
      <xdr:colOff>596286</xdr:colOff>
      <xdr:row>280</xdr:row>
      <xdr:rowOff>117990</xdr:rowOff>
    </xdr:to>
    <xdr:cxnSp macro="">
      <xdr:nvCxnSpPr>
        <xdr:cNvPr id="286" name="Conector recto de flecha 285">
          <a:extLst>
            <a:ext uri="{FF2B5EF4-FFF2-40B4-BE49-F238E27FC236}">
              <a16:creationId xmlns:a16="http://schemas.microsoft.com/office/drawing/2014/main" id="{867ED8F8-23C1-4067-9B40-02152CF26632}"/>
            </a:ext>
          </a:extLst>
        </xdr:cNvPr>
        <xdr:cNvCxnSpPr>
          <a:cxnSpLocks/>
        </xdr:cNvCxnSpPr>
      </xdr:nvCxnSpPr>
      <xdr:spPr>
        <a:xfrm>
          <a:off x="8790081" y="2129670"/>
          <a:ext cx="523485" cy="0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658142</xdr:colOff>
      <xdr:row>276</xdr:row>
      <xdr:rowOff>90535</xdr:rowOff>
    </xdr:from>
    <xdr:to>
      <xdr:col>9</xdr:col>
      <xdr:colOff>389147</xdr:colOff>
      <xdr:row>276</xdr:row>
      <xdr:rowOff>90535</xdr:rowOff>
    </xdr:to>
    <xdr:cxnSp macro="">
      <xdr:nvCxnSpPr>
        <xdr:cNvPr id="287" name="Conector recto de flecha 286">
          <a:extLst>
            <a:ext uri="{FF2B5EF4-FFF2-40B4-BE49-F238E27FC236}">
              <a16:creationId xmlns:a16="http://schemas.microsoft.com/office/drawing/2014/main" id="{998025C3-F50D-482B-9BFE-537827774C29}"/>
            </a:ext>
          </a:extLst>
        </xdr:cNvPr>
        <xdr:cNvCxnSpPr>
          <a:cxnSpLocks/>
        </xdr:cNvCxnSpPr>
      </xdr:nvCxnSpPr>
      <xdr:spPr>
        <a:xfrm>
          <a:off x="10960382" y="1370695"/>
          <a:ext cx="523485" cy="0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16039</xdr:colOff>
      <xdr:row>272</xdr:row>
      <xdr:rowOff>34131</xdr:rowOff>
    </xdr:from>
    <xdr:to>
      <xdr:col>9</xdr:col>
      <xdr:colOff>785802</xdr:colOff>
      <xdr:row>273</xdr:row>
      <xdr:rowOff>128250</xdr:rowOff>
    </xdr:to>
    <xdr:sp macro="" textlink="">
      <xdr:nvSpPr>
        <xdr:cNvPr id="288" name="CuadroTexto 39">
          <a:extLst>
            <a:ext uri="{FF2B5EF4-FFF2-40B4-BE49-F238E27FC236}">
              <a16:creationId xmlns:a16="http://schemas.microsoft.com/office/drawing/2014/main" id="{E4DCF998-0B80-4EAC-AF27-F7CFD8E17486}"/>
            </a:ext>
          </a:extLst>
        </xdr:cNvPr>
        <xdr:cNvSpPr txBox="1"/>
      </xdr:nvSpPr>
      <xdr:spPr>
        <a:xfrm>
          <a:off x="11110759" y="582771"/>
          <a:ext cx="769763" cy="27699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200">
              <a:solidFill>
                <a:srgbClr val="C00000"/>
              </a:solidFill>
            </a:rPr>
            <a:t>2000 Kgf</a:t>
          </a:r>
        </a:p>
      </xdr:txBody>
    </xdr:sp>
    <xdr:clientData/>
  </xdr:twoCellAnchor>
  <xdr:twoCellAnchor>
    <xdr:from>
      <xdr:col>8</xdr:col>
      <xdr:colOff>144646</xdr:colOff>
      <xdr:row>274</xdr:row>
      <xdr:rowOff>138704</xdr:rowOff>
    </xdr:from>
    <xdr:to>
      <xdr:col>9</xdr:col>
      <xdr:colOff>222917</xdr:colOff>
      <xdr:row>276</xdr:row>
      <xdr:rowOff>80721</xdr:rowOff>
    </xdr:to>
    <xdr:sp macro="" textlink="">
      <xdr:nvSpPr>
        <xdr:cNvPr id="289" name="CuadroTexto 40">
          <a:extLst>
            <a:ext uri="{FF2B5EF4-FFF2-40B4-BE49-F238E27FC236}">
              <a16:creationId xmlns:a16="http://schemas.microsoft.com/office/drawing/2014/main" id="{FA78A8D5-FCDE-4534-A10B-832E48BF0C87}"/>
            </a:ext>
          </a:extLst>
        </xdr:cNvPr>
        <xdr:cNvSpPr txBox="1"/>
      </xdr:nvSpPr>
      <xdr:spPr>
        <a:xfrm>
          <a:off x="10446886" y="1053104"/>
          <a:ext cx="870751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400" b="1">
              <a:solidFill>
                <a:srgbClr val="C00000"/>
              </a:solidFill>
            </a:rPr>
            <a:t>1000 Kgf</a:t>
          </a:r>
        </a:p>
      </xdr:txBody>
    </xdr:sp>
    <xdr:clientData/>
  </xdr:twoCellAnchor>
  <xdr:twoCellAnchor>
    <xdr:from>
      <xdr:col>6</xdr:col>
      <xdr:colOff>171271</xdr:colOff>
      <xdr:row>275</xdr:row>
      <xdr:rowOff>157449</xdr:rowOff>
    </xdr:from>
    <xdr:to>
      <xdr:col>7</xdr:col>
      <xdr:colOff>249542</xdr:colOff>
      <xdr:row>277</xdr:row>
      <xdr:rowOff>99466</xdr:rowOff>
    </xdr:to>
    <xdr:sp macro="" textlink="">
      <xdr:nvSpPr>
        <xdr:cNvPr id="290" name="CuadroTexto 42">
          <a:extLst>
            <a:ext uri="{FF2B5EF4-FFF2-40B4-BE49-F238E27FC236}">
              <a16:creationId xmlns:a16="http://schemas.microsoft.com/office/drawing/2014/main" id="{B6F26DC5-4100-4E32-926E-7144AC78D7CD}"/>
            </a:ext>
          </a:extLst>
        </xdr:cNvPr>
        <xdr:cNvSpPr txBox="1"/>
      </xdr:nvSpPr>
      <xdr:spPr>
        <a:xfrm>
          <a:off x="8888551" y="1254729"/>
          <a:ext cx="870751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>
              <a:solidFill>
                <a:srgbClr val="C00000"/>
              </a:solidFill>
            </a:rPr>
            <a:t>1000 Kgf</a:t>
          </a:r>
        </a:p>
      </xdr:txBody>
    </xdr:sp>
    <xdr:clientData/>
  </xdr:twoCellAnchor>
  <xdr:twoCellAnchor>
    <xdr:from>
      <xdr:col>5</xdr:col>
      <xdr:colOff>392673</xdr:colOff>
      <xdr:row>279</xdr:row>
      <xdr:rowOff>23494</xdr:rowOff>
    </xdr:from>
    <xdr:to>
      <xdr:col>6</xdr:col>
      <xdr:colOff>470944</xdr:colOff>
      <xdr:row>280</xdr:row>
      <xdr:rowOff>148391</xdr:rowOff>
    </xdr:to>
    <xdr:sp macro="" textlink="">
      <xdr:nvSpPr>
        <xdr:cNvPr id="291" name="CuadroTexto 53">
          <a:extLst>
            <a:ext uri="{FF2B5EF4-FFF2-40B4-BE49-F238E27FC236}">
              <a16:creationId xmlns:a16="http://schemas.microsoft.com/office/drawing/2014/main" id="{9C8E6C8E-8B74-499E-8D94-A2858A5F8FAA}"/>
            </a:ext>
          </a:extLst>
        </xdr:cNvPr>
        <xdr:cNvSpPr txBox="1"/>
      </xdr:nvSpPr>
      <xdr:spPr>
        <a:xfrm>
          <a:off x="8317473" y="1852294"/>
          <a:ext cx="870751" cy="30777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>
              <a:solidFill>
                <a:srgbClr val="C00000"/>
              </a:solidFill>
            </a:rPr>
            <a:t>2000 Kgf</a:t>
          </a:r>
        </a:p>
      </xdr:txBody>
    </xdr:sp>
    <xdr:clientData/>
  </xdr:twoCellAnchor>
  <xdr:twoCellAnchor>
    <xdr:from>
      <xdr:col>5</xdr:col>
      <xdr:colOff>525780</xdr:colOff>
      <xdr:row>292</xdr:row>
      <xdr:rowOff>114300</xdr:rowOff>
    </xdr:from>
    <xdr:to>
      <xdr:col>6</xdr:col>
      <xdr:colOff>21332</xdr:colOff>
      <xdr:row>295</xdr:row>
      <xdr:rowOff>69715</xdr:rowOff>
    </xdr:to>
    <xdr:sp macro="" textlink="">
      <xdr:nvSpPr>
        <xdr:cNvPr id="292" name="Flecha arriba 26">
          <a:extLst>
            <a:ext uri="{FF2B5EF4-FFF2-40B4-BE49-F238E27FC236}">
              <a16:creationId xmlns:a16="http://schemas.microsoft.com/office/drawing/2014/main" id="{76AD4EE8-9B4A-4B51-82F3-3310AE9DB425}"/>
            </a:ext>
          </a:extLst>
        </xdr:cNvPr>
        <xdr:cNvSpPr/>
      </xdr:nvSpPr>
      <xdr:spPr>
        <a:xfrm rot="10800000">
          <a:off x="6073140" y="67414140"/>
          <a:ext cx="288032" cy="504055"/>
        </a:xfrm>
        <a:prstGeom prst="upArrow">
          <a:avLst/>
        </a:prstGeom>
        <a:solidFill>
          <a:schemeClr val="accent2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9</xdr:col>
      <xdr:colOff>563880</xdr:colOff>
      <xdr:row>291</xdr:row>
      <xdr:rowOff>137160</xdr:rowOff>
    </xdr:from>
    <xdr:to>
      <xdr:col>10</xdr:col>
      <xdr:colOff>59432</xdr:colOff>
      <xdr:row>294</xdr:row>
      <xdr:rowOff>92575</xdr:rowOff>
    </xdr:to>
    <xdr:sp macro="" textlink="">
      <xdr:nvSpPr>
        <xdr:cNvPr id="293" name="Flecha arriba 26">
          <a:extLst>
            <a:ext uri="{FF2B5EF4-FFF2-40B4-BE49-F238E27FC236}">
              <a16:creationId xmlns:a16="http://schemas.microsoft.com/office/drawing/2014/main" id="{2147E7B8-1A3F-40B4-8385-88697C73B7A6}"/>
            </a:ext>
          </a:extLst>
        </xdr:cNvPr>
        <xdr:cNvSpPr/>
      </xdr:nvSpPr>
      <xdr:spPr>
        <a:xfrm>
          <a:off x="9281160" y="67254120"/>
          <a:ext cx="288032" cy="504055"/>
        </a:xfrm>
        <a:prstGeom prst="upArrow">
          <a:avLst/>
        </a:prstGeom>
        <a:solidFill>
          <a:schemeClr val="accent2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10</xdr:col>
      <xdr:colOff>190501</xdr:colOff>
      <xdr:row>293</xdr:row>
      <xdr:rowOff>68582</xdr:rowOff>
    </xdr:from>
    <xdr:to>
      <xdr:col>10</xdr:col>
      <xdr:colOff>694556</xdr:colOff>
      <xdr:row>294</xdr:row>
      <xdr:rowOff>173734</xdr:rowOff>
    </xdr:to>
    <xdr:sp macro="" textlink="">
      <xdr:nvSpPr>
        <xdr:cNvPr id="294" name="Flecha arriba 27">
          <a:extLst>
            <a:ext uri="{FF2B5EF4-FFF2-40B4-BE49-F238E27FC236}">
              <a16:creationId xmlns:a16="http://schemas.microsoft.com/office/drawing/2014/main" id="{7FF9887D-2F34-437F-9081-073E0D359D58}"/>
            </a:ext>
          </a:extLst>
        </xdr:cNvPr>
        <xdr:cNvSpPr/>
      </xdr:nvSpPr>
      <xdr:spPr>
        <a:xfrm rot="16200000">
          <a:off x="9808273" y="67443290"/>
          <a:ext cx="288032" cy="504055"/>
        </a:xfrm>
        <a:prstGeom prst="upArrow">
          <a:avLst/>
        </a:prstGeom>
        <a:solidFill>
          <a:schemeClr val="accent2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 editAs="oneCell">
    <xdr:from>
      <xdr:col>15</xdr:col>
      <xdr:colOff>400844</xdr:colOff>
      <xdr:row>35</xdr:row>
      <xdr:rowOff>15154</xdr:rowOff>
    </xdr:from>
    <xdr:to>
      <xdr:col>20</xdr:col>
      <xdr:colOff>532494</xdr:colOff>
      <xdr:row>51</xdr:row>
      <xdr:rowOff>132698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20860C-76D4-4238-A1B3-A8EC075A9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43299" y="6861609"/>
          <a:ext cx="3941650" cy="3257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284</xdr:row>
      <xdr:rowOff>171450</xdr:rowOff>
    </xdr:from>
    <xdr:to>
      <xdr:col>3</xdr:col>
      <xdr:colOff>123825</xdr:colOff>
      <xdr:row>285</xdr:row>
      <xdr:rowOff>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C3FDC65-E97A-4A4E-83D6-7E58444624E4}"/>
            </a:ext>
          </a:extLst>
        </xdr:cNvPr>
        <xdr:cNvCxnSpPr/>
      </xdr:nvCxnSpPr>
      <xdr:spPr>
        <a:xfrm flipV="1">
          <a:off x="3381375" y="63693675"/>
          <a:ext cx="9334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656327</xdr:colOff>
      <xdr:row>301</xdr:row>
      <xdr:rowOff>30147</xdr:rowOff>
    </xdr:from>
    <xdr:to>
      <xdr:col>10</xdr:col>
      <xdr:colOff>293927</xdr:colOff>
      <xdr:row>301</xdr:row>
      <xdr:rowOff>30147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740FB0C-6E5E-48BF-AE5A-7F420B65248D}"/>
            </a:ext>
          </a:extLst>
        </xdr:cNvPr>
        <xdr:cNvCxnSpPr/>
      </xdr:nvCxnSpPr>
      <xdr:spPr>
        <a:xfrm>
          <a:off x="6523727" y="66628947"/>
          <a:ext cx="3828600" cy="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656327</xdr:colOff>
      <xdr:row>289</xdr:row>
      <xdr:rowOff>70949</xdr:rowOff>
    </xdr:from>
    <xdr:to>
      <xdr:col>6</xdr:col>
      <xdr:colOff>608022</xdr:colOff>
      <xdr:row>301</xdr:row>
      <xdr:rowOff>30150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B4C966E-910F-413D-A154-ACD899926CA4}"/>
            </a:ext>
          </a:extLst>
        </xdr:cNvPr>
        <xdr:cNvCxnSpPr>
          <a:cxnSpLocks/>
        </xdr:cNvCxnSpPr>
      </xdr:nvCxnSpPr>
      <xdr:spPr>
        <a:xfrm flipV="1">
          <a:off x="6523727" y="64498049"/>
          <a:ext cx="789895" cy="2130901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608022</xdr:colOff>
      <xdr:row>289</xdr:row>
      <xdr:rowOff>70949</xdr:rowOff>
    </xdr:from>
    <xdr:to>
      <xdr:col>10</xdr:col>
      <xdr:colOff>293928</xdr:colOff>
      <xdr:row>301</xdr:row>
      <xdr:rowOff>29372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E9E8EFD7-AD13-450B-9013-E9F5D35656ED}"/>
            </a:ext>
          </a:extLst>
        </xdr:cNvPr>
        <xdr:cNvCxnSpPr>
          <a:cxnSpLocks/>
        </xdr:cNvCxnSpPr>
      </xdr:nvCxnSpPr>
      <xdr:spPr>
        <a:xfrm flipH="1" flipV="1">
          <a:off x="7313622" y="64498049"/>
          <a:ext cx="3038706" cy="2130123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406935</xdr:colOff>
      <xdr:row>285</xdr:row>
      <xdr:rowOff>62501</xdr:rowOff>
    </xdr:from>
    <xdr:to>
      <xdr:col>10</xdr:col>
      <xdr:colOff>305016</xdr:colOff>
      <xdr:row>301</xdr:row>
      <xdr:rowOff>29370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5E6825AE-ACEA-4D51-ACCC-73B767DD6184}"/>
            </a:ext>
          </a:extLst>
        </xdr:cNvPr>
        <xdr:cNvCxnSpPr>
          <a:cxnSpLocks/>
        </xdr:cNvCxnSpPr>
      </xdr:nvCxnSpPr>
      <xdr:spPr>
        <a:xfrm flipH="1" flipV="1">
          <a:off x="9627135" y="63765701"/>
          <a:ext cx="736281" cy="2862469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636144</xdr:colOff>
      <xdr:row>285</xdr:row>
      <xdr:rowOff>81744</xdr:rowOff>
    </xdr:from>
    <xdr:to>
      <xdr:col>9</xdr:col>
      <xdr:colOff>406935</xdr:colOff>
      <xdr:row>289</xdr:row>
      <xdr:rowOff>70949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B73D9AF8-9F75-4BE0-B042-2F3FA902B87A}"/>
            </a:ext>
          </a:extLst>
        </xdr:cNvPr>
        <xdr:cNvCxnSpPr>
          <a:cxnSpLocks/>
        </xdr:cNvCxnSpPr>
      </xdr:nvCxnSpPr>
      <xdr:spPr>
        <a:xfrm flipV="1">
          <a:off x="7341744" y="63784944"/>
          <a:ext cx="2285391" cy="713105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429060</xdr:colOff>
      <xdr:row>307</xdr:row>
      <xdr:rowOff>119380</xdr:rowOff>
    </xdr:from>
    <xdr:to>
      <xdr:col>10</xdr:col>
      <xdr:colOff>786660</xdr:colOff>
      <xdr:row>307</xdr:row>
      <xdr:rowOff>119380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3833CAA8-F79C-4231-AF40-894ECBD4A37E}"/>
            </a:ext>
          </a:extLst>
        </xdr:cNvPr>
        <xdr:cNvCxnSpPr/>
      </xdr:nvCxnSpPr>
      <xdr:spPr>
        <a:xfrm>
          <a:off x="6296460" y="67804030"/>
          <a:ext cx="45486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572238</xdr:colOff>
      <xdr:row>306</xdr:row>
      <xdr:rowOff>111622</xdr:rowOff>
    </xdr:from>
    <xdr:to>
      <xdr:col>5</xdr:col>
      <xdr:colOff>572238</xdr:colOff>
      <xdr:row>308</xdr:row>
      <xdr:rowOff>105862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83894663-3D62-470A-982C-EBBBF295EA73}"/>
            </a:ext>
          </a:extLst>
        </xdr:cNvPr>
        <xdr:cNvCxnSpPr/>
      </xdr:nvCxnSpPr>
      <xdr:spPr>
        <a:xfrm>
          <a:off x="6439638" y="67615297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621169</xdr:colOff>
      <xdr:row>306</xdr:row>
      <xdr:rowOff>120615</xdr:rowOff>
    </xdr:from>
    <xdr:to>
      <xdr:col>6</xdr:col>
      <xdr:colOff>621169</xdr:colOff>
      <xdr:row>308</xdr:row>
      <xdr:rowOff>114855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16BAA9B1-BB2A-4AC0-BBDF-99579B37F131}"/>
            </a:ext>
          </a:extLst>
        </xdr:cNvPr>
        <xdr:cNvCxnSpPr/>
      </xdr:nvCxnSpPr>
      <xdr:spPr>
        <a:xfrm>
          <a:off x="7326769" y="67624290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382952</xdr:colOff>
      <xdr:row>306</xdr:row>
      <xdr:rowOff>97255</xdr:rowOff>
    </xdr:from>
    <xdr:to>
      <xdr:col>10</xdr:col>
      <xdr:colOff>382952</xdr:colOff>
      <xdr:row>308</xdr:row>
      <xdr:rowOff>91495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EF6EE506-00F7-49A7-B9FC-CA2F2514003D}"/>
            </a:ext>
          </a:extLst>
        </xdr:cNvPr>
        <xdr:cNvCxnSpPr/>
      </xdr:nvCxnSpPr>
      <xdr:spPr>
        <a:xfrm>
          <a:off x="10441352" y="67600930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636958</xdr:colOff>
      <xdr:row>305</xdr:row>
      <xdr:rowOff>107779</xdr:rowOff>
    </xdr:from>
    <xdr:to>
      <xdr:col>8</xdr:col>
      <xdr:colOff>548639</xdr:colOff>
      <xdr:row>307</xdr:row>
      <xdr:rowOff>116096</xdr:rowOff>
    </xdr:to>
    <xdr:sp macro="" textlink="">
      <xdr:nvSpPr>
        <xdr:cNvPr id="14" name="CuadroTexto 113">
          <a:extLst>
            <a:ext uri="{FF2B5EF4-FFF2-40B4-BE49-F238E27FC236}">
              <a16:creationId xmlns:a16="http://schemas.microsoft.com/office/drawing/2014/main" id="{EA0B4618-D408-4B64-BE7B-D74958C874E6}"/>
            </a:ext>
          </a:extLst>
        </xdr:cNvPr>
        <xdr:cNvSpPr txBox="1"/>
      </xdr:nvSpPr>
      <xdr:spPr>
        <a:xfrm>
          <a:off x="8180758" y="67430479"/>
          <a:ext cx="749881" cy="370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6 00</a:t>
          </a:r>
        </a:p>
      </xdr:txBody>
    </xdr:sp>
    <xdr:clientData/>
  </xdr:twoCellAnchor>
  <xdr:twoCellAnchor>
    <xdr:from>
      <xdr:col>9</xdr:col>
      <xdr:colOff>521010</xdr:colOff>
      <xdr:row>305</xdr:row>
      <xdr:rowOff>99658</xdr:rowOff>
    </xdr:from>
    <xdr:to>
      <xdr:col>10</xdr:col>
      <xdr:colOff>441960</xdr:colOff>
      <xdr:row>307</xdr:row>
      <xdr:rowOff>107975</xdr:rowOff>
    </xdr:to>
    <xdr:sp macro="" textlink="">
      <xdr:nvSpPr>
        <xdr:cNvPr id="15" name="CuadroTexto 114">
          <a:extLst>
            <a:ext uri="{FF2B5EF4-FFF2-40B4-BE49-F238E27FC236}">
              <a16:creationId xmlns:a16="http://schemas.microsoft.com/office/drawing/2014/main" id="{43F5457F-8AC0-4832-93CC-954CC3D94564}"/>
            </a:ext>
          </a:extLst>
        </xdr:cNvPr>
        <xdr:cNvSpPr txBox="1"/>
      </xdr:nvSpPr>
      <xdr:spPr>
        <a:xfrm>
          <a:off x="9741210" y="67422358"/>
          <a:ext cx="759150" cy="370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2 00</a:t>
          </a:r>
        </a:p>
      </xdr:txBody>
    </xdr:sp>
    <xdr:clientData/>
  </xdr:twoCellAnchor>
  <xdr:twoCellAnchor>
    <xdr:from>
      <xdr:col>4</xdr:col>
      <xdr:colOff>703937</xdr:colOff>
      <xdr:row>284</xdr:row>
      <xdr:rowOff>85946</xdr:rowOff>
    </xdr:from>
    <xdr:to>
      <xdr:col>4</xdr:col>
      <xdr:colOff>703937</xdr:colOff>
      <xdr:row>301</xdr:row>
      <xdr:rowOff>72986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2E4EC8BD-6851-453A-B712-07E9AE5A24B1}"/>
            </a:ext>
          </a:extLst>
        </xdr:cNvPr>
        <xdr:cNvCxnSpPr/>
      </xdr:nvCxnSpPr>
      <xdr:spPr>
        <a:xfrm>
          <a:off x="5733137" y="63608171"/>
          <a:ext cx="0" cy="306361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549281</xdr:colOff>
      <xdr:row>301</xdr:row>
      <xdr:rowOff>16149</xdr:rowOff>
    </xdr:from>
    <xdr:to>
      <xdr:col>5</xdr:col>
      <xdr:colOff>116801</xdr:colOff>
      <xdr:row>301</xdr:row>
      <xdr:rowOff>16149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92813363-6CB0-4ECE-854D-4771F8863073}"/>
            </a:ext>
          </a:extLst>
        </xdr:cNvPr>
        <xdr:cNvCxnSpPr/>
      </xdr:nvCxnSpPr>
      <xdr:spPr>
        <a:xfrm flipH="1">
          <a:off x="5578481" y="66614949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508972</xdr:colOff>
      <xdr:row>285</xdr:row>
      <xdr:rowOff>55784</xdr:rowOff>
    </xdr:from>
    <xdr:to>
      <xdr:col>5</xdr:col>
      <xdr:colOff>76492</xdr:colOff>
      <xdr:row>285</xdr:row>
      <xdr:rowOff>55784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2E1511B6-F0E7-473F-BC8F-371CC5FD62BE}"/>
            </a:ext>
          </a:extLst>
        </xdr:cNvPr>
        <xdr:cNvCxnSpPr/>
      </xdr:nvCxnSpPr>
      <xdr:spPr>
        <a:xfrm flipH="1">
          <a:off x="5538172" y="63758984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</xdr:colOff>
      <xdr:row>293</xdr:row>
      <xdr:rowOff>69672</xdr:rowOff>
    </xdr:from>
    <xdr:to>
      <xdr:col>4</xdr:col>
      <xdr:colOff>672490</xdr:colOff>
      <xdr:row>295</xdr:row>
      <xdr:rowOff>77989</xdr:rowOff>
    </xdr:to>
    <xdr:sp macro="" textlink="">
      <xdr:nvSpPr>
        <xdr:cNvPr id="19" name="CuadroTexto 118">
          <a:extLst>
            <a:ext uri="{FF2B5EF4-FFF2-40B4-BE49-F238E27FC236}">
              <a16:creationId xmlns:a16="http://schemas.microsoft.com/office/drawing/2014/main" id="{633C3AE2-91A7-4548-9305-6C119D108414}"/>
            </a:ext>
          </a:extLst>
        </xdr:cNvPr>
        <xdr:cNvSpPr txBox="1"/>
      </xdr:nvSpPr>
      <xdr:spPr>
        <a:xfrm>
          <a:off x="5082540" y="65220672"/>
          <a:ext cx="619150" cy="370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6 00</a:t>
          </a:r>
        </a:p>
      </xdr:txBody>
    </xdr:sp>
    <xdr:clientData/>
  </xdr:twoCellAnchor>
  <xdr:twoCellAnchor>
    <xdr:from>
      <xdr:col>6</xdr:col>
      <xdr:colOff>1884</xdr:colOff>
      <xdr:row>305</xdr:row>
      <xdr:rowOff>112462</xdr:rowOff>
    </xdr:from>
    <xdr:to>
      <xdr:col>6</xdr:col>
      <xdr:colOff>761999</xdr:colOff>
      <xdr:row>307</xdr:row>
      <xdr:rowOff>120779</xdr:rowOff>
    </xdr:to>
    <xdr:sp macro="" textlink="">
      <xdr:nvSpPr>
        <xdr:cNvPr id="20" name="CuadroTexto 121">
          <a:extLst>
            <a:ext uri="{FF2B5EF4-FFF2-40B4-BE49-F238E27FC236}">
              <a16:creationId xmlns:a16="http://schemas.microsoft.com/office/drawing/2014/main" id="{29543891-6295-4419-BE3B-13C9C0731F14}"/>
            </a:ext>
          </a:extLst>
        </xdr:cNvPr>
        <xdr:cNvSpPr txBox="1"/>
      </xdr:nvSpPr>
      <xdr:spPr>
        <a:xfrm>
          <a:off x="6707484" y="67435162"/>
          <a:ext cx="760115" cy="370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2 00</a:t>
          </a:r>
        </a:p>
      </xdr:txBody>
    </xdr:sp>
    <xdr:clientData/>
  </xdr:twoCellAnchor>
  <xdr:twoCellAnchor>
    <xdr:from>
      <xdr:col>4</xdr:col>
      <xdr:colOff>508972</xdr:colOff>
      <xdr:row>289</xdr:row>
      <xdr:rowOff>73503</xdr:rowOff>
    </xdr:from>
    <xdr:to>
      <xdr:col>5</xdr:col>
      <xdr:colOff>76492</xdr:colOff>
      <xdr:row>289</xdr:row>
      <xdr:rowOff>73503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A4144686-E4C5-4B2F-8C30-81C4FD6BA362}"/>
            </a:ext>
          </a:extLst>
        </xdr:cNvPr>
        <xdr:cNvCxnSpPr/>
      </xdr:nvCxnSpPr>
      <xdr:spPr>
        <a:xfrm flipH="1">
          <a:off x="5538172" y="64500603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777240</xdr:colOff>
      <xdr:row>286</xdr:row>
      <xdr:rowOff>96564</xdr:rowOff>
    </xdr:from>
    <xdr:to>
      <xdr:col>4</xdr:col>
      <xdr:colOff>653339</xdr:colOff>
      <xdr:row>288</xdr:row>
      <xdr:rowOff>104881</xdr:rowOff>
    </xdr:to>
    <xdr:sp macro="" textlink="">
      <xdr:nvSpPr>
        <xdr:cNvPr id="22" name="CuadroTexto 123">
          <a:extLst>
            <a:ext uri="{FF2B5EF4-FFF2-40B4-BE49-F238E27FC236}">
              <a16:creationId xmlns:a16="http://schemas.microsoft.com/office/drawing/2014/main" id="{81C5E6E1-AA95-4F3D-A24F-1DDAAE5D5C49}"/>
            </a:ext>
          </a:extLst>
        </xdr:cNvPr>
        <xdr:cNvSpPr txBox="1"/>
      </xdr:nvSpPr>
      <xdr:spPr>
        <a:xfrm>
          <a:off x="4968240" y="63980739"/>
          <a:ext cx="714299" cy="370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2 00</a:t>
          </a:r>
        </a:p>
      </xdr:txBody>
    </xdr:sp>
    <xdr:clientData/>
  </xdr:twoCellAnchor>
  <xdr:twoCellAnchor>
    <xdr:from>
      <xdr:col>9</xdr:col>
      <xdr:colOff>348322</xdr:colOff>
      <xdr:row>306</xdr:row>
      <xdr:rowOff>88762</xdr:rowOff>
    </xdr:from>
    <xdr:to>
      <xdr:col>9</xdr:col>
      <xdr:colOff>348322</xdr:colOff>
      <xdr:row>308</xdr:row>
      <xdr:rowOff>83002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E9CB4F4D-548F-420A-9A09-88391097ED02}"/>
            </a:ext>
          </a:extLst>
        </xdr:cNvPr>
        <xdr:cNvCxnSpPr/>
      </xdr:nvCxnSpPr>
      <xdr:spPr>
        <a:xfrm>
          <a:off x="9568522" y="67592437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504786</xdr:colOff>
      <xdr:row>285</xdr:row>
      <xdr:rowOff>157125</xdr:rowOff>
    </xdr:from>
    <xdr:to>
      <xdr:col>8</xdr:col>
      <xdr:colOff>216362</xdr:colOff>
      <xdr:row>287</xdr:row>
      <xdr:rowOff>108200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8D34A478-AFF2-4772-BBA9-8F70D841FABD}"/>
            </a:ext>
          </a:extLst>
        </xdr:cNvPr>
        <xdr:cNvSpPr/>
      </xdr:nvSpPr>
      <xdr:spPr>
        <a:xfrm rot="20482398">
          <a:off x="8048586" y="63860325"/>
          <a:ext cx="549776" cy="3130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8</xdr:col>
      <xdr:colOff>104107</xdr:colOff>
      <xdr:row>292</xdr:row>
      <xdr:rowOff>135078</xdr:rowOff>
    </xdr:from>
    <xdr:to>
      <xdr:col>8</xdr:col>
      <xdr:colOff>608163</xdr:colOff>
      <xdr:row>294</xdr:row>
      <xdr:rowOff>86153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63A3F97B-69E5-4EA7-A554-5C120D06199F}"/>
            </a:ext>
          </a:extLst>
        </xdr:cNvPr>
        <xdr:cNvSpPr/>
      </xdr:nvSpPr>
      <xdr:spPr>
        <a:xfrm rot="2281648">
          <a:off x="8486107" y="65105103"/>
          <a:ext cx="504056" cy="3130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9</xdr:col>
      <xdr:colOff>717541</xdr:colOff>
      <xdr:row>290</xdr:row>
      <xdr:rowOff>624</xdr:rowOff>
    </xdr:from>
    <xdr:to>
      <xdr:col>10</xdr:col>
      <xdr:colOff>241896</xdr:colOff>
      <xdr:row>292</xdr:row>
      <xdr:rowOff>138920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32688D73-8A6E-4618-9766-B704A596BDB1}"/>
            </a:ext>
          </a:extLst>
        </xdr:cNvPr>
        <xdr:cNvSpPr/>
      </xdr:nvSpPr>
      <xdr:spPr>
        <a:xfrm rot="4516589">
          <a:off x="9868896" y="64677544"/>
          <a:ext cx="500246" cy="3625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5</xdr:col>
      <xdr:colOff>736608</xdr:colOff>
      <xdr:row>292</xdr:row>
      <xdr:rowOff>160593</xdr:rowOff>
    </xdr:from>
    <xdr:to>
      <xdr:col>6</xdr:col>
      <xdr:colOff>260963</xdr:colOff>
      <xdr:row>295</xdr:row>
      <xdr:rowOff>116009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855AE5F9-BAFF-4A24-B021-3A520A4B305C}"/>
            </a:ext>
          </a:extLst>
        </xdr:cNvPr>
        <xdr:cNvSpPr/>
      </xdr:nvSpPr>
      <xdr:spPr>
        <a:xfrm rot="17474572">
          <a:off x="6536115" y="65198511"/>
          <a:ext cx="498341" cy="3625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7</xdr:col>
      <xdr:colOff>272649</xdr:colOff>
      <xdr:row>299</xdr:row>
      <xdr:rowOff>59559</xdr:rowOff>
    </xdr:from>
    <xdr:to>
      <xdr:col>7</xdr:col>
      <xdr:colOff>776705</xdr:colOff>
      <xdr:row>301</xdr:row>
      <xdr:rowOff>10634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C3C9F0F3-915C-441D-9FDD-DF7901978B32}"/>
            </a:ext>
          </a:extLst>
        </xdr:cNvPr>
        <xdr:cNvSpPr/>
      </xdr:nvSpPr>
      <xdr:spPr>
        <a:xfrm>
          <a:off x="7816449" y="66296409"/>
          <a:ext cx="504056" cy="3130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10</xdr:col>
      <xdr:colOff>401939</xdr:colOff>
      <xdr:row>300</xdr:row>
      <xdr:rowOff>65138</xdr:rowOff>
    </xdr:from>
    <xdr:to>
      <xdr:col>10</xdr:col>
      <xdr:colOff>653939</xdr:colOff>
      <xdr:row>301</xdr:row>
      <xdr:rowOff>134258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09FCB996-EE4D-44A8-9D87-DE5B38882E8D}"/>
            </a:ext>
          </a:extLst>
        </xdr:cNvPr>
        <xdr:cNvSpPr/>
      </xdr:nvSpPr>
      <xdr:spPr>
        <a:xfrm>
          <a:off x="10460339" y="66482963"/>
          <a:ext cx="25200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2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609823</xdr:colOff>
      <xdr:row>290</xdr:row>
      <xdr:rowOff>104045</xdr:rowOff>
    </xdr:from>
    <xdr:to>
      <xdr:col>7</xdr:col>
      <xdr:colOff>69343</xdr:colOff>
      <xdr:row>291</xdr:row>
      <xdr:rowOff>173165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2AC95CB7-04F2-4FF9-97C1-03B6045134A7}"/>
            </a:ext>
          </a:extLst>
        </xdr:cNvPr>
        <xdr:cNvSpPr/>
      </xdr:nvSpPr>
      <xdr:spPr>
        <a:xfrm>
          <a:off x="7315423" y="64712120"/>
          <a:ext cx="29772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4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538502</xdr:colOff>
      <xdr:row>285</xdr:row>
      <xdr:rowOff>78693</xdr:rowOff>
    </xdr:from>
    <xdr:to>
      <xdr:col>9</xdr:col>
      <xdr:colOff>790502</xdr:colOff>
      <xdr:row>286</xdr:row>
      <xdr:rowOff>147813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38BEB0FA-ABA8-4D20-BC6B-691F622D4A55}"/>
            </a:ext>
          </a:extLst>
        </xdr:cNvPr>
        <xdr:cNvSpPr/>
      </xdr:nvSpPr>
      <xdr:spPr>
        <a:xfrm>
          <a:off x="9758702" y="63781893"/>
          <a:ext cx="25200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3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285226</xdr:colOff>
      <xdr:row>300</xdr:row>
      <xdr:rowOff>31303</xdr:rowOff>
    </xdr:from>
    <xdr:to>
      <xdr:col>5</xdr:col>
      <xdr:colOff>537226</xdr:colOff>
      <xdr:row>301</xdr:row>
      <xdr:rowOff>100423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E6BEC901-7AB1-44E6-BF04-5E30E52D7CFF}"/>
            </a:ext>
          </a:extLst>
        </xdr:cNvPr>
        <xdr:cNvSpPr/>
      </xdr:nvSpPr>
      <xdr:spPr>
        <a:xfrm>
          <a:off x="6152626" y="66449128"/>
          <a:ext cx="25200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1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67028</xdr:colOff>
      <xdr:row>298</xdr:row>
      <xdr:rowOff>103737</xdr:rowOff>
    </xdr:from>
    <xdr:to>
      <xdr:col>5</xdr:col>
      <xdr:colOff>703741</xdr:colOff>
      <xdr:row>300</xdr:row>
      <xdr:rowOff>45754</xdr:rowOff>
    </xdr:to>
    <xdr:sp macro="" textlink="">
      <xdr:nvSpPr>
        <xdr:cNvPr id="33" name="CuadroTexto 11">
          <a:extLst>
            <a:ext uri="{FF2B5EF4-FFF2-40B4-BE49-F238E27FC236}">
              <a16:creationId xmlns:a16="http://schemas.microsoft.com/office/drawing/2014/main" id="{02B4AB4D-EF8D-4C1F-BE8B-72C56424D82F}"/>
            </a:ext>
          </a:extLst>
        </xdr:cNvPr>
        <xdr:cNvSpPr txBox="1"/>
      </xdr:nvSpPr>
      <xdr:spPr>
        <a:xfrm>
          <a:off x="5934428" y="66159612"/>
          <a:ext cx="636713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(-8.-8)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461044</xdr:colOff>
      <xdr:row>301</xdr:row>
      <xdr:rowOff>123841</xdr:rowOff>
    </xdr:from>
    <xdr:to>
      <xdr:col>11</xdr:col>
      <xdr:colOff>252378</xdr:colOff>
      <xdr:row>303</xdr:row>
      <xdr:rowOff>65858</xdr:rowOff>
    </xdr:to>
    <xdr:sp macro="" textlink="">
      <xdr:nvSpPr>
        <xdr:cNvPr id="34" name="CuadroTexto 12">
          <a:extLst>
            <a:ext uri="{FF2B5EF4-FFF2-40B4-BE49-F238E27FC236}">
              <a16:creationId xmlns:a16="http://schemas.microsoft.com/office/drawing/2014/main" id="{AC7FA53F-9643-40C5-BEE4-EBAA0E0E84B6}"/>
            </a:ext>
          </a:extLst>
        </xdr:cNvPr>
        <xdr:cNvSpPr txBox="1"/>
      </xdr:nvSpPr>
      <xdr:spPr>
        <a:xfrm>
          <a:off x="10519444" y="66722641"/>
          <a:ext cx="629534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(2;-8)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5</xdr:col>
      <xdr:colOff>483068</xdr:colOff>
      <xdr:row>290</xdr:row>
      <xdr:rowOff>22064</xdr:rowOff>
    </xdr:from>
    <xdr:to>
      <xdr:col>6</xdr:col>
      <xdr:colOff>328904</xdr:colOff>
      <xdr:row>291</xdr:row>
      <xdr:rowOff>146961</xdr:rowOff>
    </xdr:to>
    <xdr:sp macro="" textlink="">
      <xdr:nvSpPr>
        <xdr:cNvPr id="35" name="CuadroTexto 13">
          <a:extLst>
            <a:ext uri="{FF2B5EF4-FFF2-40B4-BE49-F238E27FC236}">
              <a16:creationId xmlns:a16="http://schemas.microsoft.com/office/drawing/2014/main" id="{65903362-B67D-4942-B61E-EC37AD937A87}"/>
            </a:ext>
          </a:extLst>
        </xdr:cNvPr>
        <xdr:cNvSpPr txBox="1"/>
      </xdr:nvSpPr>
      <xdr:spPr>
        <a:xfrm>
          <a:off x="6350468" y="64630139"/>
          <a:ext cx="684036" cy="30587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(-6;-2)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532935</xdr:colOff>
      <xdr:row>283</xdr:row>
      <xdr:rowOff>84507</xdr:rowOff>
    </xdr:from>
    <xdr:to>
      <xdr:col>10</xdr:col>
      <xdr:colOff>269767</xdr:colOff>
      <xdr:row>285</xdr:row>
      <xdr:rowOff>26524</xdr:rowOff>
    </xdr:to>
    <xdr:sp macro="" textlink="">
      <xdr:nvSpPr>
        <xdr:cNvPr id="36" name="CuadroTexto 14">
          <a:extLst>
            <a:ext uri="{FF2B5EF4-FFF2-40B4-BE49-F238E27FC236}">
              <a16:creationId xmlns:a16="http://schemas.microsoft.com/office/drawing/2014/main" id="{A48EDF91-86AE-486C-9DDE-3153BB97A1D5}"/>
            </a:ext>
          </a:extLst>
        </xdr:cNvPr>
        <xdr:cNvSpPr txBox="1"/>
      </xdr:nvSpPr>
      <xdr:spPr>
        <a:xfrm>
          <a:off x="9753135" y="63425757"/>
          <a:ext cx="575032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(0;0)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10</xdr:col>
      <xdr:colOff>701164</xdr:colOff>
      <xdr:row>296</xdr:row>
      <xdr:rowOff>75205</xdr:rowOff>
    </xdr:from>
    <xdr:to>
      <xdr:col>11</xdr:col>
      <xdr:colOff>700770</xdr:colOff>
      <xdr:row>302</xdr:row>
      <xdr:rowOff>91036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83617F76-7D8B-49A5-85A6-50A1375E2659}"/>
            </a:ext>
          </a:extLst>
        </xdr:cNvPr>
        <xdr:cNvGrpSpPr/>
      </xdr:nvGrpSpPr>
      <xdr:grpSpPr>
        <a:xfrm>
          <a:off x="8657340" y="55185734"/>
          <a:ext cx="761606" cy="1136420"/>
          <a:chOff x="5004048" y="2437340"/>
          <a:chExt cx="792086" cy="1113111"/>
        </a:xfrm>
      </xdr:grpSpPr>
      <xdr:sp macro="" textlink="">
        <xdr:nvSpPr>
          <xdr:cNvPr id="38" name="Flecha arriba 26">
            <a:extLst>
              <a:ext uri="{FF2B5EF4-FFF2-40B4-BE49-F238E27FC236}">
                <a16:creationId xmlns:a16="http://schemas.microsoft.com/office/drawing/2014/main" id="{A49135E0-7D55-4972-BDB6-A6731A9BBA6B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39" name="Flecha arriba 27">
            <a:extLst>
              <a:ext uri="{FF2B5EF4-FFF2-40B4-BE49-F238E27FC236}">
                <a16:creationId xmlns:a16="http://schemas.microsoft.com/office/drawing/2014/main" id="{B79EE983-C010-461E-A230-FB631F61A894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0" name="CuadroTexto 18">
            <a:extLst>
              <a:ext uri="{FF2B5EF4-FFF2-40B4-BE49-F238E27FC236}">
                <a16:creationId xmlns:a16="http://schemas.microsoft.com/office/drawing/2014/main" id="{B8D3D216-2867-4D19-890F-80FB36EFEABE}"/>
              </a:ext>
            </a:extLst>
          </xdr:cNvPr>
          <xdr:cNvSpPr txBox="1"/>
        </xdr:nvSpPr>
        <xdr:spPr>
          <a:xfrm>
            <a:off x="5145673" y="2437340"/>
            <a:ext cx="63034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U2Y</a:t>
            </a:r>
          </a:p>
        </xdr:txBody>
      </xdr:sp>
      <xdr:sp macro="" textlink="">
        <xdr:nvSpPr>
          <xdr:cNvPr id="41" name="CuadroTexto 19">
            <a:extLst>
              <a:ext uri="{FF2B5EF4-FFF2-40B4-BE49-F238E27FC236}">
                <a16:creationId xmlns:a16="http://schemas.microsoft.com/office/drawing/2014/main" id="{BD863904-A21D-48A8-98D3-885D711F7CFC}"/>
              </a:ext>
            </a:extLst>
          </xdr:cNvPr>
          <xdr:cNvSpPr txBox="1"/>
        </xdr:nvSpPr>
        <xdr:spPr>
          <a:xfrm>
            <a:off x="5145673" y="3242674"/>
            <a:ext cx="583813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U2X</a:t>
            </a:r>
          </a:p>
        </xdr:txBody>
      </xdr:sp>
    </xdr:grpSp>
    <xdr:clientData/>
  </xdr:twoCellAnchor>
  <xdr:twoCellAnchor>
    <xdr:from>
      <xdr:col>5</xdr:col>
      <xdr:colOff>119577</xdr:colOff>
      <xdr:row>281</xdr:row>
      <xdr:rowOff>119394</xdr:rowOff>
    </xdr:from>
    <xdr:to>
      <xdr:col>6</xdr:col>
      <xdr:colOff>119183</xdr:colOff>
      <xdr:row>287</xdr:row>
      <xdr:rowOff>147998</xdr:rowOff>
    </xdr:to>
    <xdr:grpSp>
      <xdr:nvGrpSpPr>
        <xdr:cNvPr id="42" name="Grupo 41">
          <a:extLst>
            <a:ext uri="{FF2B5EF4-FFF2-40B4-BE49-F238E27FC236}">
              <a16:creationId xmlns:a16="http://schemas.microsoft.com/office/drawing/2014/main" id="{74EAD714-5511-48A0-A117-838F1FE73FB3}"/>
            </a:ext>
          </a:extLst>
        </xdr:cNvPr>
        <xdr:cNvGrpSpPr/>
      </xdr:nvGrpSpPr>
      <xdr:grpSpPr>
        <a:xfrm>
          <a:off x="4265753" y="52428453"/>
          <a:ext cx="761606" cy="1149192"/>
          <a:chOff x="5004048" y="2437340"/>
          <a:chExt cx="792086" cy="1125884"/>
        </a:xfrm>
      </xdr:grpSpPr>
      <xdr:sp macro="" textlink="">
        <xdr:nvSpPr>
          <xdr:cNvPr id="43" name="Flecha arriba 26">
            <a:extLst>
              <a:ext uri="{FF2B5EF4-FFF2-40B4-BE49-F238E27FC236}">
                <a16:creationId xmlns:a16="http://schemas.microsoft.com/office/drawing/2014/main" id="{6B2A187F-7BC1-4A19-A489-FF301F5B5B14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4" name="Flecha arriba 27">
            <a:extLst>
              <a:ext uri="{FF2B5EF4-FFF2-40B4-BE49-F238E27FC236}">
                <a16:creationId xmlns:a16="http://schemas.microsoft.com/office/drawing/2014/main" id="{3C1F9444-048D-44CD-8BBE-DFA748D361B1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5" name="CuadroTexto 23">
            <a:extLst>
              <a:ext uri="{FF2B5EF4-FFF2-40B4-BE49-F238E27FC236}">
                <a16:creationId xmlns:a16="http://schemas.microsoft.com/office/drawing/2014/main" id="{FBB62752-11D6-4A05-92F7-765201206508}"/>
              </a:ext>
            </a:extLst>
          </xdr:cNvPr>
          <xdr:cNvSpPr txBox="1"/>
        </xdr:nvSpPr>
        <xdr:spPr>
          <a:xfrm>
            <a:off x="5145673" y="2437340"/>
            <a:ext cx="52253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U4Y</a:t>
            </a:r>
          </a:p>
        </xdr:txBody>
      </xdr:sp>
      <xdr:sp macro="" textlink="">
        <xdr:nvSpPr>
          <xdr:cNvPr id="46" name="CuadroTexto 24">
            <a:extLst>
              <a:ext uri="{FF2B5EF4-FFF2-40B4-BE49-F238E27FC236}">
                <a16:creationId xmlns:a16="http://schemas.microsoft.com/office/drawing/2014/main" id="{A9814010-DC5A-4172-971E-EF0A03813D93}"/>
              </a:ext>
            </a:extLst>
          </xdr:cNvPr>
          <xdr:cNvSpPr txBox="1"/>
        </xdr:nvSpPr>
        <xdr:spPr>
          <a:xfrm>
            <a:off x="5157567" y="3255447"/>
            <a:ext cx="52417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U4X</a:t>
            </a:r>
          </a:p>
        </xdr:txBody>
      </xdr:sp>
    </xdr:grpSp>
    <xdr:clientData/>
  </xdr:twoCellAnchor>
  <xdr:twoCellAnchor>
    <xdr:from>
      <xdr:col>10</xdr:col>
      <xdr:colOff>238179</xdr:colOff>
      <xdr:row>280</xdr:row>
      <xdr:rowOff>0</xdr:rowOff>
    </xdr:from>
    <xdr:to>
      <xdr:col>11</xdr:col>
      <xdr:colOff>237785</xdr:colOff>
      <xdr:row>286</xdr:row>
      <xdr:rowOff>46193</xdr:rowOff>
    </xdr:to>
    <xdr:grpSp>
      <xdr:nvGrpSpPr>
        <xdr:cNvPr id="47" name="Grupo 46">
          <a:extLst>
            <a:ext uri="{FF2B5EF4-FFF2-40B4-BE49-F238E27FC236}">
              <a16:creationId xmlns:a16="http://schemas.microsoft.com/office/drawing/2014/main" id="{46E57CE4-AA1C-404D-9A1D-5DB424BF5AD1}"/>
            </a:ext>
          </a:extLst>
        </xdr:cNvPr>
        <xdr:cNvGrpSpPr/>
      </xdr:nvGrpSpPr>
      <xdr:grpSpPr>
        <a:xfrm>
          <a:off x="8194355" y="52122294"/>
          <a:ext cx="761606" cy="1166781"/>
          <a:chOff x="5004048" y="2437340"/>
          <a:chExt cx="792086" cy="1143473"/>
        </a:xfrm>
      </xdr:grpSpPr>
      <xdr:sp macro="" textlink="">
        <xdr:nvSpPr>
          <xdr:cNvPr id="48" name="Flecha arriba 26">
            <a:extLst>
              <a:ext uri="{FF2B5EF4-FFF2-40B4-BE49-F238E27FC236}">
                <a16:creationId xmlns:a16="http://schemas.microsoft.com/office/drawing/2014/main" id="{EDB01658-FED4-4F9E-9F96-0E1701A36815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9" name="Flecha arriba 27">
            <a:extLst>
              <a:ext uri="{FF2B5EF4-FFF2-40B4-BE49-F238E27FC236}">
                <a16:creationId xmlns:a16="http://schemas.microsoft.com/office/drawing/2014/main" id="{D926E4FD-50DF-431E-94D2-424BFBA93FFA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50" name="CuadroTexto 28">
            <a:extLst>
              <a:ext uri="{FF2B5EF4-FFF2-40B4-BE49-F238E27FC236}">
                <a16:creationId xmlns:a16="http://schemas.microsoft.com/office/drawing/2014/main" id="{57FC143E-722B-4C94-9563-F4121D9729D9}"/>
              </a:ext>
            </a:extLst>
          </xdr:cNvPr>
          <xdr:cNvSpPr txBox="1"/>
        </xdr:nvSpPr>
        <xdr:spPr>
          <a:xfrm>
            <a:off x="5145674" y="2437340"/>
            <a:ext cx="58927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U3Y</a:t>
            </a:r>
          </a:p>
        </xdr:txBody>
      </xdr:sp>
      <xdr:sp macro="" textlink="">
        <xdr:nvSpPr>
          <xdr:cNvPr id="51" name="CuadroTexto 29">
            <a:extLst>
              <a:ext uri="{FF2B5EF4-FFF2-40B4-BE49-F238E27FC236}">
                <a16:creationId xmlns:a16="http://schemas.microsoft.com/office/drawing/2014/main" id="{6ACF2763-37F4-4AC8-AF2D-39F5DC57153B}"/>
              </a:ext>
            </a:extLst>
          </xdr:cNvPr>
          <xdr:cNvSpPr txBox="1"/>
        </xdr:nvSpPr>
        <xdr:spPr>
          <a:xfrm>
            <a:off x="5148404" y="3273036"/>
            <a:ext cx="58381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U3X</a:t>
            </a:r>
          </a:p>
        </xdr:txBody>
      </xdr:sp>
    </xdr:grpSp>
    <xdr:clientData/>
  </xdr:twoCellAnchor>
  <xdr:twoCellAnchor>
    <xdr:from>
      <xdr:col>4</xdr:col>
      <xdr:colOff>0</xdr:colOff>
      <xdr:row>298</xdr:row>
      <xdr:rowOff>131898</xdr:rowOff>
    </xdr:from>
    <xdr:to>
      <xdr:col>4</xdr:col>
      <xdr:colOff>792086</xdr:colOff>
      <xdr:row>304</xdr:row>
      <xdr:rowOff>165301</xdr:rowOff>
    </xdr:to>
    <xdr:grpSp>
      <xdr:nvGrpSpPr>
        <xdr:cNvPr id="52" name="Grupo 51">
          <a:extLst>
            <a:ext uri="{FF2B5EF4-FFF2-40B4-BE49-F238E27FC236}">
              <a16:creationId xmlns:a16="http://schemas.microsoft.com/office/drawing/2014/main" id="{DDA49069-6386-428A-99BE-BDE5D3C94273}"/>
            </a:ext>
          </a:extLst>
        </xdr:cNvPr>
        <xdr:cNvGrpSpPr/>
      </xdr:nvGrpSpPr>
      <xdr:grpSpPr>
        <a:xfrm>
          <a:off x="3384176" y="55615957"/>
          <a:ext cx="760336" cy="1153991"/>
          <a:chOff x="5004048" y="2437340"/>
          <a:chExt cx="792086" cy="1130683"/>
        </a:xfrm>
      </xdr:grpSpPr>
      <xdr:sp macro="" textlink="">
        <xdr:nvSpPr>
          <xdr:cNvPr id="53" name="Flecha arriba 26">
            <a:extLst>
              <a:ext uri="{FF2B5EF4-FFF2-40B4-BE49-F238E27FC236}">
                <a16:creationId xmlns:a16="http://schemas.microsoft.com/office/drawing/2014/main" id="{74F946E1-A991-4921-9103-21A08610CD36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54" name="Flecha arriba 27">
            <a:extLst>
              <a:ext uri="{FF2B5EF4-FFF2-40B4-BE49-F238E27FC236}">
                <a16:creationId xmlns:a16="http://schemas.microsoft.com/office/drawing/2014/main" id="{1B3CD11F-E7C1-4863-8945-2530EB952080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55" name="CuadroTexto 34">
            <a:extLst>
              <a:ext uri="{FF2B5EF4-FFF2-40B4-BE49-F238E27FC236}">
                <a16:creationId xmlns:a16="http://schemas.microsoft.com/office/drawing/2014/main" id="{8D5BDB1E-CEBF-428D-8B48-7D09BDF47EFC}"/>
              </a:ext>
            </a:extLst>
          </xdr:cNvPr>
          <xdr:cNvSpPr txBox="1"/>
        </xdr:nvSpPr>
        <xdr:spPr>
          <a:xfrm>
            <a:off x="5145674" y="2437340"/>
            <a:ext cx="60082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U1Y</a:t>
            </a:r>
          </a:p>
        </xdr:txBody>
      </xdr:sp>
      <xdr:sp macro="" textlink="">
        <xdr:nvSpPr>
          <xdr:cNvPr id="56" name="CuadroTexto 35">
            <a:extLst>
              <a:ext uri="{FF2B5EF4-FFF2-40B4-BE49-F238E27FC236}">
                <a16:creationId xmlns:a16="http://schemas.microsoft.com/office/drawing/2014/main" id="{8A719665-727D-48BD-947F-B7739BE619DB}"/>
              </a:ext>
            </a:extLst>
          </xdr:cNvPr>
          <xdr:cNvSpPr txBox="1"/>
        </xdr:nvSpPr>
        <xdr:spPr>
          <a:xfrm>
            <a:off x="5168904" y="3260246"/>
            <a:ext cx="601057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U1X</a:t>
            </a:r>
          </a:p>
        </xdr:txBody>
      </xdr:sp>
    </xdr:grpSp>
    <xdr:clientData/>
  </xdr:twoCellAnchor>
  <xdr:twoCellAnchor>
    <xdr:from>
      <xdr:col>7</xdr:col>
      <xdr:colOff>89547</xdr:colOff>
      <xdr:row>301</xdr:row>
      <xdr:rowOff>134258</xdr:rowOff>
    </xdr:from>
    <xdr:to>
      <xdr:col>8</xdr:col>
      <xdr:colOff>652253</xdr:colOff>
      <xdr:row>301</xdr:row>
      <xdr:rowOff>134258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AA9EDF8E-620C-45D0-9139-B80F89BE35DD}"/>
            </a:ext>
          </a:extLst>
        </xdr:cNvPr>
        <xdr:cNvCxnSpPr>
          <a:cxnSpLocks/>
        </xdr:cNvCxnSpPr>
      </xdr:nvCxnSpPr>
      <xdr:spPr>
        <a:xfrm>
          <a:off x="7633347" y="66733058"/>
          <a:ext cx="1400906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256105</xdr:colOff>
      <xdr:row>291</xdr:row>
      <xdr:rowOff>141690</xdr:rowOff>
    </xdr:from>
    <xdr:to>
      <xdr:col>8</xdr:col>
      <xdr:colOff>584483</xdr:colOff>
      <xdr:row>296</xdr:row>
      <xdr:rowOff>26833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CF6D3DBC-7535-47F0-B1D5-761286CFAD36}"/>
            </a:ext>
          </a:extLst>
        </xdr:cNvPr>
        <xdr:cNvCxnSpPr>
          <a:cxnSpLocks/>
        </xdr:cNvCxnSpPr>
      </xdr:nvCxnSpPr>
      <xdr:spPr>
        <a:xfrm flipH="1" flipV="1">
          <a:off x="7799905" y="64930740"/>
          <a:ext cx="1166578" cy="79001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147554</xdr:colOff>
      <xdr:row>294</xdr:row>
      <xdr:rowOff>18804</xdr:rowOff>
    </xdr:from>
    <xdr:to>
      <xdr:col>6</xdr:col>
      <xdr:colOff>485151</xdr:colOff>
      <xdr:row>299</xdr:row>
      <xdr:rowOff>98546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8B842A9F-117F-4F81-8B86-A7E767939BF6}"/>
            </a:ext>
          </a:extLst>
        </xdr:cNvPr>
        <xdr:cNvCxnSpPr>
          <a:cxnSpLocks/>
        </xdr:cNvCxnSpPr>
      </xdr:nvCxnSpPr>
      <xdr:spPr>
        <a:xfrm flipH="1">
          <a:off x="6853154" y="65350779"/>
          <a:ext cx="337597" cy="984617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309661</xdr:colOff>
      <xdr:row>286</xdr:row>
      <xdr:rowOff>50621</xdr:rowOff>
    </xdr:from>
    <xdr:to>
      <xdr:col>9</xdr:col>
      <xdr:colOff>70722</xdr:colOff>
      <xdr:row>288</xdr:row>
      <xdr:rowOff>153994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DEC52B63-33EC-4309-AC2D-4B0B89BA1559}"/>
            </a:ext>
          </a:extLst>
        </xdr:cNvPr>
        <xdr:cNvCxnSpPr>
          <a:cxnSpLocks/>
        </xdr:cNvCxnSpPr>
      </xdr:nvCxnSpPr>
      <xdr:spPr>
        <a:xfrm flipH="1">
          <a:off x="7853461" y="63934796"/>
          <a:ext cx="1437461" cy="46532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402668</xdr:colOff>
      <xdr:row>290</xdr:row>
      <xdr:rowOff>69930</xdr:rowOff>
    </xdr:from>
    <xdr:to>
      <xdr:col>9</xdr:col>
      <xdr:colOff>728885</xdr:colOff>
      <xdr:row>297</xdr:row>
      <xdr:rowOff>46213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06B96FBC-2BEA-4B2D-AFD2-DF20539AE6C2}"/>
            </a:ext>
          </a:extLst>
        </xdr:cNvPr>
        <xdr:cNvCxnSpPr>
          <a:cxnSpLocks/>
        </xdr:cNvCxnSpPr>
      </xdr:nvCxnSpPr>
      <xdr:spPr>
        <a:xfrm flipH="1" flipV="1">
          <a:off x="9622868" y="64678005"/>
          <a:ext cx="326217" cy="124310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404912</xdr:colOff>
      <xdr:row>282</xdr:row>
      <xdr:rowOff>95376</xdr:rowOff>
    </xdr:from>
    <xdr:to>
      <xdr:col>9</xdr:col>
      <xdr:colOff>404912</xdr:colOff>
      <xdr:row>285</xdr:row>
      <xdr:rowOff>97252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EBEF9564-5736-47FD-A079-FF01C3CACF85}"/>
            </a:ext>
          </a:extLst>
        </xdr:cNvPr>
        <xdr:cNvCxnSpPr>
          <a:cxnSpLocks/>
        </xdr:cNvCxnSpPr>
      </xdr:nvCxnSpPr>
      <xdr:spPr>
        <a:xfrm>
          <a:off x="9625112" y="63255651"/>
          <a:ext cx="0" cy="544801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616722</xdr:colOff>
      <xdr:row>286</xdr:row>
      <xdr:rowOff>103824</xdr:rowOff>
    </xdr:from>
    <xdr:to>
      <xdr:col>6</xdr:col>
      <xdr:colOff>616722</xdr:colOff>
      <xdr:row>289</xdr:row>
      <xdr:rowOff>105700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3ACEFD06-BF66-4A3A-87F0-0EED06C038DE}"/>
            </a:ext>
          </a:extLst>
        </xdr:cNvPr>
        <xdr:cNvCxnSpPr>
          <a:cxnSpLocks/>
        </xdr:cNvCxnSpPr>
      </xdr:nvCxnSpPr>
      <xdr:spPr>
        <a:xfrm>
          <a:off x="7322322" y="63987999"/>
          <a:ext cx="0" cy="544801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72801</xdr:colOff>
      <xdr:row>289</xdr:row>
      <xdr:rowOff>117990</xdr:rowOff>
    </xdr:from>
    <xdr:to>
      <xdr:col>6</xdr:col>
      <xdr:colOff>596286</xdr:colOff>
      <xdr:row>289</xdr:row>
      <xdr:rowOff>117990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9F9C191D-0706-4FB3-9A78-3464ACAF99D7}"/>
            </a:ext>
          </a:extLst>
        </xdr:cNvPr>
        <xdr:cNvCxnSpPr>
          <a:cxnSpLocks/>
        </xdr:cNvCxnSpPr>
      </xdr:nvCxnSpPr>
      <xdr:spPr>
        <a:xfrm>
          <a:off x="6778401" y="64545090"/>
          <a:ext cx="523485" cy="0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658142</xdr:colOff>
      <xdr:row>285</xdr:row>
      <xdr:rowOff>90535</xdr:rowOff>
    </xdr:from>
    <xdr:to>
      <xdr:col>9</xdr:col>
      <xdr:colOff>389147</xdr:colOff>
      <xdr:row>285</xdr:row>
      <xdr:rowOff>90535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7581553C-ACBD-4F50-81CC-1032FEE61501}"/>
            </a:ext>
          </a:extLst>
        </xdr:cNvPr>
        <xdr:cNvCxnSpPr>
          <a:cxnSpLocks/>
        </xdr:cNvCxnSpPr>
      </xdr:nvCxnSpPr>
      <xdr:spPr>
        <a:xfrm>
          <a:off x="9040142" y="63793735"/>
          <a:ext cx="569205" cy="0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16039</xdr:colOff>
      <xdr:row>281</xdr:row>
      <xdr:rowOff>34131</xdr:rowOff>
    </xdr:from>
    <xdr:to>
      <xdr:col>9</xdr:col>
      <xdr:colOff>785802</xdr:colOff>
      <xdr:row>282</xdr:row>
      <xdr:rowOff>128250</xdr:rowOff>
    </xdr:to>
    <xdr:sp macro="" textlink="">
      <xdr:nvSpPr>
        <xdr:cNvPr id="66" name="CuadroTexto 39">
          <a:extLst>
            <a:ext uri="{FF2B5EF4-FFF2-40B4-BE49-F238E27FC236}">
              <a16:creationId xmlns:a16="http://schemas.microsoft.com/office/drawing/2014/main" id="{E8AC316E-D62B-4880-B78F-B50F8F1BBBF5}"/>
            </a:ext>
          </a:extLst>
        </xdr:cNvPr>
        <xdr:cNvSpPr txBox="1"/>
      </xdr:nvSpPr>
      <xdr:spPr>
        <a:xfrm>
          <a:off x="9236239" y="63013431"/>
          <a:ext cx="769763" cy="27509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200">
              <a:solidFill>
                <a:srgbClr val="C00000"/>
              </a:solidFill>
            </a:rPr>
            <a:t>2000 Kgf</a:t>
          </a:r>
        </a:p>
      </xdr:txBody>
    </xdr:sp>
    <xdr:clientData/>
  </xdr:twoCellAnchor>
  <xdr:twoCellAnchor>
    <xdr:from>
      <xdr:col>8</xdr:col>
      <xdr:colOff>144646</xdr:colOff>
      <xdr:row>283</xdr:row>
      <xdr:rowOff>138704</xdr:rowOff>
    </xdr:from>
    <xdr:to>
      <xdr:col>9</xdr:col>
      <xdr:colOff>222917</xdr:colOff>
      <xdr:row>285</xdr:row>
      <xdr:rowOff>80721</xdr:rowOff>
    </xdr:to>
    <xdr:sp macro="" textlink="">
      <xdr:nvSpPr>
        <xdr:cNvPr id="67" name="CuadroTexto 40">
          <a:extLst>
            <a:ext uri="{FF2B5EF4-FFF2-40B4-BE49-F238E27FC236}">
              <a16:creationId xmlns:a16="http://schemas.microsoft.com/office/drawing/2014/main" id="{1A98BAA9-98F0-44B5-B09D-171F8C63BE0C}"/>
            </a:ext>
          </a:extLst>
        </xdr:cNvPr>
        <xdr:cNvSpPr txBox="1"/>
      </xdr:nvSpPr>
      <xdr:spPr>
        <a:xfrm>
          <a:off x="8526646" y="63479954"/>
          <a:ext cx="916471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400" b="1">
              <a:solidFill>
                <a:srgbClr val="C00000"/>
              </a:solidFill>
            </a:rPr>
            <a:t>1000 Kgf</a:t>
          </a:r>
        </a:p>
      </xdr:txBody>
    </xdr:sp>
    <xdr:clientData/>
  </xdr:twoCellAnchor>
  <xdr:twoCellAnchor>
    <xdr:from>
      <xdr:col>6</xdr:col>
      <xdr:colOff>171271</xdr:colOff>
      <xdr:row>284</xdr:row>
      <xdr:rowOff>157449</xdr:rowOff>
    </xdr:from>
    <xdr:to>
      <xdr:col>7</xdr:col>
      <xdr:colOff>249542</xdr:colOff>
      <xdr:row>286</xdr:row>
      <xdr:rowOff>99466</xdr:rowOff>
    </xdr:to>
    <xdr:sp macro="" textlink="">
      <xdr:nvSpPr>
        <xdr:cNvPr id="68" name="CuadroTexto 42">
          <a:extLst>
            <a:ext uri="{FF2B5EF4-FFF2-40B4-BE49-F238E27FC236}">
              <a16:creationId xmlns:a16="http://schemas.microsoft.com/office/drawing/2014/main" id="{BA1B7ABE-69EF-47B0-8067-ACD574F314F2}"/>
            </a:ext>
          </a:extLst>
        </xdr:cNvPr>
        <xdr:cNvSpPr txBox="1"/>
      </xdr:nvSpPr>
      <xdr:spPr>
        <a:xfrm>
          <a:off x="6876871" y="63679674"/>
          <a:ext cx="916471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>
              <a:solidFill>
                <a:srgbClr val="C00000"/>
              </a:solidFill>
            </a:rPr>
            <a:t>1000 Kgf</a:t>
          </a:r>
        </a:p>
      </xdr:txBody>
    </xdr:sp>
    <xdr:clientData/>
  </xdr:twoCellAnchor>
  <xdr:twoCellAnchor>
    <xdr:from>
      <xdr:col>5</xdr:col>
      <xdr:colOff>392673</xdr:colOff>
      <xdr:row>288</xdr:row>
      <xdr:rowOff>23494</xdr:rowOff>
    </xdr:from>
    <xdr:to>
      <xdr:col>6</xdr:col>
      <xdr:colOff>470944</xdr:colOff>
      <xdr:row>289</xdr:row>
      <xdr:rowOff>148391</xdr:rowOff>
    </xdr:to>
    <xdr:sp macro="" textlink="">
      <xdr:nvSpPr>
        <xdr:cNvPr id="69" name="CuadroTexto 53">
          <a:extLst>
            <a:ext uri="{FF2B5EF4-FFF2-40B4-BE49-F238E27FC236}">
              <a16:creationId xmlns:a16="http://schemas.microsoft.com/office/drawing/2014/main" id="{436320D3-C83F-499D-B973-DC46FF457235}"/>
            </a:ext>
          </a:extLst>
        </xdr:cNvPr>
        <xdr:cNvSpPr txBox="1"/>
      </xdr:nvSpPr>
      <xdr:spPr>
        <a:xfrm>
          <a:off x="6260073" y="64269619"/>
          <a:ext cx="916471" cy="30587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>
              <a:solidFill>
                <a:srgbClr val="C00000"/>
              </a:solidFill>
            </a:rPr>
            <a:t>2000 Kgf</a:t>
          </a:r>
        </a:p>
      </xdr:txBody>
    </xdr:sp>
    <xdr:clientData/>
  </xdr:twoCellAnchor>
  <xdr:twoCellAnchor>
    <xdr:from>
      <xdr:col>5</xdr:col>
      <xdr:colOff>525780</xdr:colOff>
      <xdr:row>301</xdr:row>
      <xdr:rowOff>114300</xdr:rowOff>
    </xdr:from>
    <xdr:to>
      <xdr:col>6</xdr:col>
      <xdr:colOff>21332</xdr:colOff>
      <xdr:row>304</xdr:row>
      <xdr:rowOff>69715</xdr:rowOff>
    </xdr:to>
    <xdr:sp macro="" textlink="">
      <xdr:nvSpPr>
        <xdr:cNvPr id="70" name="Flecha arriba 26">
          <a:extLst>
            <a:ext uri="{FF2B5EF4-FFF2-40B4-BE49-F238E27FC236}">
              <a16:creationId xmlns:a16="http://schemas.microsoft.com/office/drawing/2014/main" id="{05096A2A-9D30-443B-A7EA-63B3D4256E71}"/>
            </a:ext>
          </a:extLst>
        </xdr:cNvPr>
        <xdr:cNvSpPr/>
      </xdr:nvSpPr>
      <xdr:spPr>
        <a:xfrm rot="10800000">
          <a:off x="6393180" y="66713100"/>
          <a:ext cx="333752" cy="498340"/>
        </a:xfrm>
        <a:prstGeom prst="upArrow">
          <a:avLst/>
        </a:prstGeom>
        <a:solidFill>
          <a:schemeClr val="accent2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9</xdr:col>
      <xdr:colOff>563880</xdr:colOff>
      <xdr:row>300</xdr:row>
      <xdr:rowOff>137160</xdr:rowOff>
    </xdr:from>
    <xdr:to>
      <xdr:col>10</xdr:col>
      <xdr:colOff>59432</xdr:colOff>
      <xdr:row>303</xdr:row>
      <xdr:rowOff>92575</xdr:rowOff>
    </xdr:to>
    <xdr:sp macro="" textlink="">
      <xdr:nvSpPr>
        <xdr:cNvPr id="71" name="Flecha arriba 26">
          <a:extLst>
            <a:ext uri="{FF2B5EF4-FFF2-40B4-BE49-F238E27FC236}">
              <a16:creationId xmlns:a16="http://schemas.microsoft.com/office/drawing/2014/main" id="{1BFD72E7-8D8D-4C0B-9A6C-1962E6259AE7}"/>
            </a:ext>
          </a:extLst>
        </xdr:cNvPr>
        <xdr:cNvSpPr/>
      </xdr:nvSpPr>
      <xdr:spPr>
        <a:xfrm>
          <a:off x="9784080" y="66554985"/>
          <a:ext cx="333752" cy="498340"/>
        </a:xfrm>
        <a:prstGeom prst="upArrow">
          <a:avLst/>
        </a:prstGeom>
        <a:solidFill>
          <a:schemeClr val="accent2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10</xdr:col>
      <xdr:colOff>190501</xdr:colOff>
      <xdr:row>302</xdr:row>
      <xdr:rowOff>68582</xdr:rowOff>
    </xdr:from>
    <xdr:to>
      <xdr:col>10</xdr:col>
      <xdr:colOff>694556</xdr:colOff>
      <xdr:row>303</xdr:row>
      <xdr:rowOff>173734</xdr:rowOff>
    </xdr:to>
    <xdr:sp macro="" textlink="">
      <xdr:nvSpPr>
        <xdr:cNvPr id="72" name="Flecha arriba 27">
          <a:extLst>
            <a:ext uri="{FF2B5EF4-FFF2-40B4-BE49-F238E27FC236}">
              <a16:creationId xmlns:a16="http://schemas.microsoft.com/office/drawing/2014/main" id="{21C8FA8E-8A36-4482-86C1-551C1003151F}"/>
            </a:ext>
          </a:extLst>
        </xdr:cNvPr>
        <xdr:cNvSpPr/>
      </xdr:nvSpPr>
      <xdr:spPr>
        <a:xfrm rot="16200000">
          <a:off x="10357865" y="66739393"/>
          <a:ext cx="286127" cy="504055"/>
        </a:xfrm>
        <a:prstGeom prst="upArrow">
          <a:avLst/>
        </a:prstGeom>
        <a:solidFill>
          <a:schemeClr val="accent2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oneCellAnchor>
    <xdr:from>
      <xdr:col>14</xdr:col>
      <xdr:colOff>443852</xdr:colOff>
      <xdr:row>3</xdr:row>
      <xdr:rowOff>105450</xdr:rowOff>
    </xdr:from>
    <xdr:ext cx="10490101" cy="5385433"/>
    <xdr:pic>
      <xdr:nvPicPr>
        <xdr:cNvPr id="128" name="Imagen 127">
          <a:extLst>
            <a:ext uri="{FF2B5EF4-FFF2-40B4-BE49-F238E27FC236}">
              <a16:creationId xmlns:a16="http://schemas.microsoft.com/office/drawing/2014/main" id="{124262A8-A63B-4651-B1F1-EF2250929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8028" y="665744"/>
          <a:ext cx="10490101" cy="5385433"/>
        </a:xfrm>
        <a:prstGeom prst="rect">
          <a:avLst/>
        </a:prstGeom>
      </xdr:spPr>
    </xdr:pic>
    <xdr:clientData/>
  </xdr:oneCellAnchor>
  <xdr:twoCellAnchor editAs="oneCell">
    <xdr:from>
      <xdr:col>14</xdr:col>
      <xdr:colOff>478117</xdr:colOff>
      <xdr:row>4</xdr:row>
      <xdr:rowOff>22411</xdr:rowOff>
    </xdr:from>
    <xdr:to>
      <xdr:col>24</xdr:col>
      <xdr:colOff>618216</xdr:colOff>
      <xdr:row>30</xdr:row>
      <xdr:rowOff>60761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951D93-DC53-5E8B-1BB0-F02259A69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82293" y="776940"/>
          <a:ext cx="7760099" cy="4864350"/>
        </a:xfrm>
        <a:prstGeom prst="rect">
          <a:avLst/>
        </a:prstGeom>
      </xdr:spPr>
    </xdr:pic>
    <xdr:clientData/>
  </xdr:twoCellAnchor>
  <xdr:twoCellAnchor editAs="oneCell">
    <xdr:from>
      <xdr:col>5</xdr:col>
      <xdr:colOff>478118</xdr:colOff>
      <xdr:row>215</xdr:row>
      <xdr:rowOff>67235</xdr:rowOff>
    </xdr:from>
    <xdr:to>
      <xdr:col>10</xdr:col>
      <xdr:colOff>667441</xdr:colOff>
      <xdr:row>220</xdr:row>
      <xdr:rowOff>95541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7454913F-A771-676D-EB0A-5D32FFA0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4294" y="40049823"/>
          <a:ext cx="3999323" cy="9621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777240</xdr:colOff>
      <xdr:row>8</xdr:row>
      <xdr:rowOff>96564</xdr:rowOff>
    </xdr:from>
    <xdr:to>
      <xdr:col>7</xdr:col>
      <xdr:colOff>653339</xdr:colOff>
      <xdr:row>10</xdr:row>
      <xdr:rowOff>104881</xdr:rowOff>
    </xdr:to>
    <xdr:sp macro="" textlink="">
      <xdr:nvSpPr>
        <xdr:cNvPr id="2" name="CuadroTexto 123">
          <a:extLst>
            <a:ext uri="{FF2B5EF4-FFF2-40B4-BE49-F238E27FC236}">
              <a16:creationId xmlns:a16="http://schemas.microsoft.com/office/drawing/2014/main" id="{B548B2E7-A24B-492C-BBAA-47EA363469CB}"/>
            </a:ext>
          </a:extLst>
        </xdr:cNvPr>
        <xdr:cNvSpPr txBox="1"/>
      </xdr:nvSpPr>
      <xdr:spPr>
        <a:xfrm>
          <a:off x="7482840" y="1544364"/>
          <a:ext cx="714299" cy="370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2 00</a:t>
          </a:r>
        </a:p>
      </xdr:txBody>
    </xdr:sp>
    <xdr:clientData/>
  </xdr:twoCellAnchor>
  <xdr:twoCellAnchor>
    <xdr:from>
      <xdr:col>5</xdr:col>
      <xdr:colOff>185915</xdr:colOff>
      <xdr:row>24</xdr:row>
      <xdr:rowOff>48248</xdr:rowOff>
    </xdr:from>
    <xdr:to>
      <xdr:col>5</xdr:col>
      <xdr:colOff>401939</xdr:colOff>
      <xdr:row>25</xdr:row>
      <xdr:rowOff>81392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02CD8119-0908-44B9-8ADA-74A292EAC941}"/>
            </a:ext>
          </a:extLst>
        </xdr:cNvPr>
        <xdr:cNvSpPr/>
      </xdr:nvSpPr>
      <xdr:spPr>
        <a:xfrm>
          <a:off x="6053315" y="4391648"/>
          <a:ext cx="216024" cy="214119"/>
        </a:xfrm>
        <a:prstGeom prst="triangle">
          <a:avLst/>
        </a:prstGeom>
        <a:noFill/>
        <a:ln w="222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1</xdr:col>
      <xdr:colOff>508711</xdr:colOff>
      <xdr:row>11</xdr:row>
      <xdr:rowOff>26340</xdr:rowOff>
    </xdr:from>
    <xdr:to>
      <xdr:col>1</xdr:col>
      <xdr:colOff>724735</xdr:colOff>
      <xdr:row>12</xdr:row>
      <xdr:rowOff>59484</xdr:rowOff>
    </xdr:to>
    <xdr:sp macro="" textlink="">
      <xdr:nvSpPr>
        <xdr:cNvPr id="4" name="Triángulo isósceles 3">
          <a:extLst>
            <a:ext uri="{FF2B5EF4-FFF2-40B4-BE49-F238E27FC236}">
              <a16:creationId xmlns:a16="http://schemas.microsoft.com/office/drawing/2014/main" id="{8CC5973C-E20E-42F4-8C20-F16D90A2A0B1}"/>
            </a:ext>
          </a:extLst>
        </xdr:cNvPr>
        <xdr:cNvSpPr/>
      </xdr:nvSpPr>
      <xdr:spPr>
        <a:xfrm rot="10800000">
          <a:off x="3023311" y="2017065"/>
          <a:ext cx="216024" cy="214119"/>
        </a:xfrm>
        <a:prstGeom prst="triangle">
          <a:avLst/>
        </a:prstGeom>
        <a:noFill/>
        <a:ln w="222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0</xdr:col>
      <xdr:colOff>656327</xdr:colOff>
      <xdr:row>24</xdr:row>
      <xdr:rowOff>30147</xdr:rowOff>
    </xdr:from>
    <xdr:to>
      <xdr:col>5</xdr:col>
      <xdr:colOff>293927</xdr:colOff>
      <xdr:row>24</xdr:row>
      <xdr:rowOff>30147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C1BA1B9-2361-4EE5-9B16-E523CA22E896}"/>
            </a:ext>
          </a:extLst>
        </xdr:cNvPr>
        <xdr:cNvCxnSpPr/>
      </xdr:nvCxnSpPr>
      <xdr:spPr>
        <a:xfrm>
          <a:off x="2332727" y="4373547"/>
          <a:ext cx="3828600" cy="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656327</xdr:colOff>
      <xdr:row>12</xdr:row>
      <xdr:rowOff>70949</xdr:rowOff>
    </xdr:from>
    <xdr:to>
      <xdr:col>1</xdr:col>
      <xdr:colOff>608022</xdr:colOff>
      <xdr:row>24</xdr:row>
      <xdr:rowOff>30150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456C1A21-2F4E-47AF-9A3F-6C959A982291}"/>
            </a:ext>
          </a:extLst>
        </xdr:cNvPr>
        <xdr:cNvCxnSpPr>
          <a:cxnSpLocks/>
        </xdr:cNvCxnSpPr>
      </xdr:nvCxnSpPr>
      <xdr:spPr>
        <a:xfrm flipV="1">
          <a:off x="2332727" y="2242649"/>
          <a:ext cx="789895" cy="2130901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608022</xdr:colOff>
      <xdr:row>12</xdr:row>
      <xdr:rowOff>70949</xdr:rowOff>
    </xdr:from>
    <xdr:to>
      <xdr:col>5</xdr:col>
      <xdr:colOff>293928</xdr:colOff>
      <xdr:row>24</xdr:row>
      <xdr:rowOff>29372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D35F3CC3-1512-467D-BACD-C082B1CD12A0}"/>
            </a:ext>
          </a:extLst>
        </xdr:cNvPr>
        <xdr:cNvCxnSpPr>
          <a:cxnSpLocks/>
        </xdr:cNvCxnSpPr>
      </xdr:nvCxnSpPr>
      <xdr:spPr>
        <a:xfrm flipH="1" flipV="1">
          <a:off x="3122622" y="2242649"/>
          <a:ext cx="3038706" cy="2130123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406935</xdr:colOff>
      <xdr:row>8</xdr:row>
      <xdr:rowOff>62501</xdr:rowOff>
    </xdr:from>
    <xdr:to>
      <xdr:col>5</xdr:col>
      <xdr:colOff>305016</xdr:colOff>
      <xdr:row>24</xdr:row>
      <xdr:rowOff>29370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98125F9D-2423-429F-BDBE-49FAE0DCFE88}"/>
            </a:ext>
          </a:extLst>
        </xdr:cNvPr>
        <xdr:cNvCxnSpPr>
          <a:cxnSpLocks/>
        </xdr:cNvCxnSpPr>
      </xdr:nvCxnSpPr>
      <xdr:spPr>
        <a:xfrm flipH="1" flipV="1">
          <a:off x="5436135" y="1510301"/>
          <a:ext cx="736281" cy="2862469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636144</xdr:colOff>
      <xdr:row>8</xdr:row>
      <xdr:rowOff>81744</xdr:rowOff>
    </xdr:from>
    <xdr:to>
      <xdr:col>4</xdr:col>
      <xdr:colOff>406935</xdr:colOff>
      <xdr:row>12</xdr:row>
      <xdr:rowOff>70949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4E049171-48FD-4755-B880-18D9EA1537D8}"/>
            </a:ext>
          </a:extLst>
        </xdr:cNvPr>
        <xdr:cNvCxnSpPr>
          <a:cxnSpLocks/>
        </xdr:cNvCxnSpPr>
      </xdr:nvCxnSpPr>
      <xdr:spPr>
        <a:xfrm flipV="1">
          <a:off x="3150744" y="1529544"/>
          <a:ext cx="2285391" cy="713105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368100</xdr:colOff>
      <xdr:row>27</xdr:row>
      <xdr:rowOff>180340</xdr:rowOff>
    </xdr:from>
    <xdr:to>
      <xdr:col>5</xdr:col>
      <xdr:colOff>725700</xdr:colOff>
      <xdr:row>27</xdr:row>
      <xdr:rowOff>180340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53CCA3DE-2D4A-43A0-B1D3-A8862E68DF2C}"/>
            </a:ext>
          </a:extLst>
        </xdr:cNvPr>
        <xdr:cNvCxnSpPr/>
      </xdr:nvCxnSpPr>
      <xdr:spPr>
        <a:xfrm>
          <a:off x="2044500" y="5066665"/>
          <a:ext cx="45486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656058</xdr:colOff>
      <xdr:row>26</xdr:row>
      <xdr:rowOff>164962</xdr:rowOff>
    </xdr:from>
    <xdr:to>
      <xdr:col>0</xdr:col>
      <xdr:colOff>656058</xdr:colOff>
      <xdr:row>28</xdr:row>
      <xdr:rowOff>159202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D879F7A4-F35A-41A3-BE4F-1195992B1CFC}"/>
            </a:ext>
          </a:extLst>
        </xdr:cNvPr>
        <xdr:cNvCxnSpPr/>
      </xdr:nvCxnSpPr>
      <xdr:spPr>
        <a:xfrm>
          <a:off x="2332458" y="4870312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598309</xdr:colOff>
      <xdr:row>26</xdr:row>
      <xdr:rowOff>166335</xdr:rowOff>
    </xdr:from>
    <xdr:to>
      <xdr:col>1</xdr:col>
      <xdr:colOff>598309</xdr:colOff>
      <xdr:row>28</xdr:row>
      <xdr:rowOff>160575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7608AF9-6D1F-46C1-BF4D-DD12090289BF}"/>
            </a:ext>
          </a:extLst>
        </xdr:cNvPr>
        <xdr:cNvCxnSpPr/>
      </xdr:nvCxnSpPr>
      <xdr:spPr>
        <a:xfrm>
          <a:off x="3112909" y="4871685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283892</xdr:colOff>
      <xdr:row>27</xdr:row>
      <xdr:rowOff>13435</xdr:rowOff>
    </xdr:from>
    <xdr:to>
      <xdr:col>5</xdr:col>
      <xdr:colOff>283892</xdr:colOff>
      <xdr:row>29</xdr:row>
      <xdr:rowOff>7675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2E12AB43-151E-4127-9833-C48FD9EE9341}"/>
            </a:ext>
          </a:extLst>
        </xdr:cNvPr>
        <xdr:cNvCxnSpPr/>
      </xdr:nvCxnSpPr>
      <xdr:spPr>
        <a:xfrm>
          <a:off x="6151292" y="4899760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606479</xdr:colOff>
      <xdr:row>26</xdr:row>
      <xdr:rowOff>31579</xdr:rowOff>
    </xdr:from>
    <xdr:to>
      <xdr:col>3</xdr:col>
      <xdr:colOff>356135</xdr:colOff>
      <xdr:row>28</xdr:row>
      <xdr:rowOff>35151</xdr:rowOff>
    </xdr:to>
    <xdr:sp macro="" textlink="">
      <xdr:nvSpPr>
        <xdr:cNvPr id="14" name="CuadroTexto 113">
          <a:extLst>
            <a:ext uri="{FF2B5EF4-FFF2-40B4-BE49-F238E27FC236}">
              <a16:creationId xmlns:a16="http://schemas.microsoft.com/office/drawing/2014/main" id="{0E2B928B-CF94-451E-B060-FCC5B8404B80}"/>
            </a:ext>
          </a:extLst>
        </xdr:cNvPr>
        <xdr:cNvSpPr txBox="1"/>
      </xdr:nvSpPr>
      <xdr:spPr>
        <a:xfrm>
          <a:off x="3959279" y="4736929"/>
          <a:ext cx="587856" cy="3655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6 m</a:t>
          </a:r>
        </a:p>
      </xdr:txBody>
    </xdr:sp>
    <xdr:clientData/>
  </xdr:twoCellAnchor>
  <xdr:twoCellAnchor>
    <xdr:from>
      <xdr:col>4</xdr:col>
      <xdr:colOff>505770</xdr:colOff>
      <xdr:row>26</xdr:row>
      <xdr:rowOff>38698</xdr:rowOff>
    </xdr:from>
    <xdr:to>
      <xdr:col>5</xdr:col>
      <xdr:colOff>255426</xdr:colOff>
      <xdr:row>28</xdr:row>
      <xdr:rowOff>42270</xdr:rowOff>
    </xdr:to>
    <xdr:sp macro="" textlink="">
      <xdr:nvSpPr>
        <xdr:cNvPr id="15" name="CuadroTexto 114">
          <a:extLst>
            <a:ext uri="{FF2B5EF4-FFF2-40B4-BE49-F238E27FC236}">
              <a16:creationId xmlns:a16="http://schemas.microsoft.com/office/drawing/2014/main" id="{92E413C3-AA1D-4A81-8617-4ED8F02CB0EB}"/>
            </a:ext>
          </a:extLst>
        </xdr:cNvPr>
        <xdr:cNvSpPr txBox="1"/>
      </xdr:nvSpPr>
      <xdr:spPr>
        <a:xfrm>
          <a:off x="5534970" y="4744048"/>
          <a:ext cx="587856" cy="3655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m</a:t>
          </a:r>
        </a:p>
      </xdr:txBody>
    </xdr:sp>
    <xdr:clientData/>
  </xdr:twoCellAnchor>
  <xdr:twoCellAnchor>
    <xdr:from>
      <xdr:col>0</xdr:col>
      <xdr:colOff>0</xdr:colOff>
      <xdr:row>24</xdr:row>
      <xdr:rowOff>16149</xdr:rowOff>
    </xdr:from>
    <xdr:to>
      <xdr:col>0</xdr:col>
      <xdr:colOff>116801</xdr:colOff>
      <xdr:row>24</xdr:row>
      <xdr:rowOff>16149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72C98A46-DB52-44B5-AE76-D8776B5643B8}"/>
            </a:ext>
          </a:extLst>
        </xdr:cNvPr>
        <xdr:cNvCxnSpPr/>
      </xdr:nvCxnSpPr>
      <xdr:spPr>
        <a:xfrm flipH="1">
          <a:off x="1387481" y="4359549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55784</xdr:rowOff>
    </xdr:from>
    <xdr:to>
      <xdr:col>0</xdr:col>
      <xdr:colOff>76492</xdr:colOff>
      <xdr:row>8</xdr:row>
      <xdr:rowOff>55784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C89323E7-7E0B-4E3A-8EF1-F222D194494E}"/>
            </a:ext>
          </a:extLst>
        </xdr:cNvPr>
        <xdr:cNvCxnSpPr/>
      </xdr:nvCxnSpPr>
      <xdr:spPr>
        <a:xfrm flipH="1">
          <a:off x="1347172" y="1503584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32365</xdr:colOff>
      <xdr:row>26</xdr:row>
      <xdr:rowOff>21022</xdr:rowOff>
    </xdr:from>
    <xdr:to>
      <xdr:col>1</xdr:col>
      <xdr:colOff>574501</xdr:colOff>
      <xdr:row>28</xdr:row>
      <xdr:rowOff>24594</xdr:rowOff>
    </xdr:to>
    <xdr:sp macro="" textlink="">
      <xdr:nvSpPr>
        <xdr:cNvPr id="20" name="CuadroTexto 121">
          <a:extLst>
            <a:ext uri="{FF2B5EF4-FFF2-40B4-BE49-F238E27FC236}">
              <a16:creationId xmlns:a16="http://schemas.microsoft.com/office/drawing/2014/main" id="{64E2DBBF-D83D-4BBD-8AC5-A18EE5B58B1C}"/>
            </a:ext>
          </a:extLst>
        </xdr:cNvPr>
        <xdr:cNvSpPr txBox="1"/>
      </xdr:nvSpPr>
      <xdr:spPr>
        <a:xfrm>
          <a:off x="2546965" y="4726372"/>
          <a:ext cx="542136" cy="3655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m</a:t>
          </a:r>
        </a:p>
      </xdr:txBody>
    </xdr:sp>
    <xdr:clientData/>
  </xdr:twoCellAnchor>
  <xdr:twoCellAnchor>
    <xdr:from>
      <xdr:col>0</xdr:col>
      <xdr:colOff>0</xdr:colOff>
      <xdr:row>12</xdr:row>
      <xdr:rowOff>73503</xdr:rowOff>
    </xdr:from>
    <xdr:to>
      <xdr:col>0</xdr:col>
      <xdr:colOff>76492</xdr:colOff>
      <xdr:row>12</xdr:row>
      <xdr:rowOff>73503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268CB064-CF76-4D0C-9C5E-3A52D4F2F4A2}"/>
            </a:ext>
          </a:extLst>
        </xdr:cNvPr>
        <xdr:cNvCxnSpPr/>
      </xdr:nvCxnSpPr>
      <xdr:spPr>
        <a:xfrm flipH="1">
          <a:off x="1347172" y="2245203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409282</xdr:colOff>
      <xdr:row>26</xdr:row>
      <xdr:rowOff>164962</xdr:rowOff>
    </xdr:from>
    <xdr:to>
      <xdr:col>4</xdr:col>
      <xdr:colOff>409282</xdr:colOff>
      <xdr:row>28</xdr:row>
      <xdr:rowOff>159202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6506982F-65D7-4009-8B9C-84B40EB59DC7}"/>
            </a:ext>
          </a:extLst>
        </xdr:cNvPr>
        <xdr:cNvCxnSpPr/>
      </xdr:nvCxnSpPr>
      <xdr:spPr>
        <a:xfrm>
          <a:off x="5438482" y="4870312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504786</xdr:colOff>
      <xdr:row>8</xdr:row>
      <xdr:rowOff>157125</xdr:rowOff>
    </xdr:from>
    <xdr:to>
      <xdr:col>3</xdr:col>
      <xdr:colOff>216362</xdr:colOff>
      <xdr:row>10</xdr:row>
      <xdr:rowOff>108200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2F4E32F2-AD01-4024-9247-FD586D6D7EF1}"/>
            </a:ext>
          </a:extLst>
        </xdr:cNvPr>
        <xdr:cNvSpPr/>
      </xdr:nvSpPr>
      <xdr:spPr>
        <a:xfrm rot="20482398">
          <a:off x="3857586" y="1604925"/>
          <a:ext cx="549776" cy="3130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3</xdr:col>
      <xdr:colOff>104107</xdr:colOff>
      <xdr:row>15</xdr:row>
      <xdr:rowOff>135078</xdr:rowOff>
    </xdr:from>
    <xdr:to>
      <xdr:col>3</xdr:col>
      <xdr:colOff>608163</xdr:colOff>
      <xdr:row>17</xdr:row>
      <xdr:rowOff>86153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2663523F-4CB2-4D10-89C4-322FF77E6057}"/>
            </a:ext>
          </a:extLst>
        </xdr:cNvPr>
        <xdr:cNvSpPr/>
      </xdr:nvSpPr>
      <xdr:spPr>
        <a:xfrm rot="2281648">
          <a:off x="4295107" y="2849703"/>
          <a:ext cx="504056" cy="3130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4</xdr:col>
      <xdr:colOff>717541</xdr:colOff>
      <xdr:row>13</xdr:row>
      <xdr:rowOff>624</xdr:rowOff>
    </xdr:from>
    <xdr:to>
      <xdr:col>5</xdr:col>
      <xdr:colOff>241896</xdr:colOff>
      <xdr:row>15</xdr:row>
      <xdr:rowOff>138920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6DE12BCC-2AB6-4247-B15E-D6F6364E1592}"/>
            </a:ext>
          </a:extLst>
        </xdr:cNvPr>
        <xdr:cNvSpPr/>
      </xdr:nvSpPr>
      <xdr:spPr>
        <a:xfrm rot="4516589">
          <a:off x="5677896" y="2422144"/>
          <a:ext cx="500246" cy="3625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0</xdr:col>
      <xdr:colOff>736608</xdr:colOff>
      <xdr:row>15</xdr:row>
      <xdr:rowOff>160593</xdr:rowOff>
    </xdr:from>
    <xdr:to>
      <xdr:col>1</xdr:col>
      <xdr:colOff>260963</xdr:colOff>
      <xdr:row>18</xdr:row>
      <xdr:rowOff>116009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8C575720-15E0-4A2C-A245-C5C8E3C31634}"/>
            </a:ext>
          </a:extLst>
        </xdr:cNvPr>
        <xdr:cNvSpPr/>
      </xdr:nvSpPr>
      <xdr:spPr>
        <a:xfrm rot="17474572">
          <a:off x="2345115" y="2943111"/>
          <a:ext cx="498341" cy="3625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2</xdr:col>
      <xdr:colOff>333609</xdr:colOff>
      <xdr:row>22</xdr:row>
      <xdr:rowOff>51939</xdr:rowOff>
    </xdr:from>
    <xdr:to>
      <xdr:col>3</xdr:col>
      <xdr:colOff>45185</xdr:colOff>
      <xdr:row>24</xdr:row>
      <xdr:rowOff>3014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765EBA9F-0A36-4084-B7E9-8E426C69B991}"/>
            </a:ext>
          </a:extLst>
        </xdr:cNvPr>
        <xdr:cNvSpPr/>
      </xdr:nvSpPr>
      <xdr:spPr>
        <a:xfrm>
          <a:off x="3686409" y="4033389"/>
          <a:ext cx="549776" cy="3130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5</xdr:col>
      <xdr:colOff>401939</xdr:colOff>
      <xdr:row>23</xdr:row>
      <xdr:rowOff>65138</xdr:rowOff>
    </xdr:from>
    <xdr:to>
      <xdr:col>5</xdr:col>
      <xdr:colOff>653939</xdr:colOff>
      <xdr:row>24</xdr:row>
      <xdr:rowOff>134258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664AA501-17C1-4442-A361-E0970CE9A515}"/>
            </a:ext>
          </a:extLst>
        </xdr:cNvPr>
        <xdr:cNvSpPr/>
      </xdr:nvSpPr>
      <xdr:spPr>
        <a:xfrm>
          <a:off x="6269339" y="4227563"/>
          <a:ext cx="25200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2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1</xdr:col>
      <xdr:colOff>609823</xdr:colOff>
      <xdr:row>13</xdr:row>
      <xdr:rowOff>104045</xdr:rowOff>
    </xdr:from>
    <xdr:to>
      <xdr:col>2</xdr:col>
      <xdr:colOff>69343</xdr:colOff>
      <xdr:row>14</xdr:row>
      <xdr:rowOff>173165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94043038-E28A-42A4-A5C1-5260EB0EA436}"/>
            </a:ext>
          </a:extLst>
        </xdr:cNvPr>
        <xdr:cNvSpPr/>
      </xdr:nvSpPr>
      <xdr:spPr>
        <a:xfrm>
          <a:off x="3124423" y="2456720"/>
          <a:ext cx="29772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4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538502</xdr:colOff>
      <xdr:row>8</xdr:row>
      <xdr:rowOff>78693</xdr:rowOff>
    </xdr:from>
    <xdr:to>
      <xdr:col>4</xdr:col>
      <xdr:colOff>790502</xdr:colOff>
      <xdr:row>9</xdr:row>
      <xdr:rowOff>147813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FCF095BC-EE9E-4351-B83A-B00251518025}"/>
            </a:ext>
          </a:extLst>
        </xdr:cNvPr>
        <xdr:cNvSpPr/>
      </xdr:nvSpPr>
      <xdr:spPr>
        <a:xfrm>
          <a:off x="5567702" y="1526493"/>
          <a:ext cx="25200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3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0</xdr:col>
      <xdr:colOff>740103</xdr:colOff>
      <xdr:row>24</xdr:row>
      <xdr:rowOff>87527</xdr:rowOff>
    </xdr:from>
    <xdr:to>
      <xdr:col>1</xdr:col>
      <xdr:colOff>199623</xdr:colOff>
      <xdr:row>25</xdr:row>
      <xdr:rowOff>156647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1929574A-6899-4BFD-BF6C-9737999AB378}"/>
            </a:ext>
          </a:extLst>
        </xdr:cNvPr>
        <xdr:cNvSpPr/>
      </xdr:nvSpPr>
      <xdr:spPr>
        <a:xfrm>
          <a:off x="2416503" y="4430927"/>
          <a:ext cx="29772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1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0</xdr:col>
      <xdr:colOff>777461</xdr:colOff>
      <xdr:row>12</xdr:row>
      <xdr:rowOff>13572</xdr:rowOff>
    </xdr:from>
    <xdr:to>
      <xdr:col>1</xdr:col>
      <xdr:colOff>522308</xdr:colOff>
      <xdr:row>13</xdr:row>
      <xdr:rowOff>138469</xdr:rowOff>
    </xdr:to>
    <xdr:sp macro="" textlink="">
      <xdr:nvSpPr>
        <xdr:cNvPr id="33" name="CuadroTexto 13">
          <a:extLst>
            <a:ext uri="{FF2B5EF4-FFF2-40B4-BE49-F238E27FC236}">
              <a16:creationId xmlns:a16="http://schemas.microsoft.com/office/drawing/2014/main" id="{1275AC36-C081-42D5-89BD-A93DF1A9F17F}"/>
            </a:ext>
          </a:extLst>
        </xdr:cNvPr>
        <xdr:cNvSpPr txBox="1"/>
      </xdr:nvSpPr>
      <xdr:spPr>
        <a:xfrm>
          <a:off x="2453861" y="2185272"/>
          <a:ext cx="583047" cy="30587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(0;0)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5</xdr:col>
      <xdr:colOff>701164</xdr:colOff>
      <xdr:row>19</xdr:row>
      <xdr:rowOff>75205</xdr:rowOff>
    </xdr:from>
    <xdr:to>
      <xdr:col>6</xdr:col>
      <xdr:colOff>700770</xdr:colOff>
      <xdr:row>25</xdr:row>
      <xdr:rowOff>91036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0601EC9C-99C1-4ACB-891C-F653D9449DC0}"/>
            </a:ext>
          </a:extLst>
        </xdr:cNvPr>
        <xdr:cNvGrpSpPr/>
      </xdr:nvGrpSpPr>
      <xdr:grpSpPr>
        <a:xfrm>
          <a:off x="4511164" y="3522348"/>
          <a:ext cx="761606" cy="1104402"/>
          <a:chOff x="5004048" y="2437340"/>
          <a:chExt cx="792086" cy="1113111"/>
        </a:xfrm>
      </xdr:grpSpPr>
      <xdr:sp macro="" textlink="">
        <xdr:nvSpPr>
          <xdr:cNvPr id="35" name="Flecha arriba 26">
            <a:extLst>
              <a:ext uri="{FF2B5EF4-FFF2-40B4-BE49-F238E27FC236}">
                <a16:creationId xmlns:a16="http://schemas.microsoft.com/office/drawing/2014/main" id="{4C597AE4-0CBF-4837-9BC8-3C95D32EDB6B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36" name="Flecha arriba 27">
            <a:extLst>
              <a:ext uri="{FF2B5EF4-FFF2-40B4-BE49-F238E27FC236}">
                <a16:creationId xmlns:a16="http://schemas.microsoft.com/office/drawing/2014/main" id="{BDA35040-D92D-4FB0-ACD6-A3941EB37BB4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37" name="CuadroTexto 18">
            <a:extLst>
              <a:ext uri="{FF2B5EF4-FFF2-40B4-BE49-F238E27FC236}">
                <a16:creationId xmlns:a16="http://schemas.microsoft.com/office/drawing/2014/main" id="{71E48DE9-3181-465E-BBB3-C3F22C8F6AAF}"/>
              </a:ext>
            </a:extLst>
          </xdr:cNvPr>
          <xdr:cNvSpPr txBox="1"/>
        </xdr:nvSpPr>
        <xdr:spPr>
          <a:xfrm>
            <a:off x="5145673" y="2437340"/>
            <a:ext cx="63034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U2Y</a:t>
            </a:r>
          </a:p>
        </xdr:txBody>
      </xdr:sp>
      <xdr:sp macro="" textlink="">
        <xdr:nvSpPr>
          <xdr:cNvPr id="38" name="CuadroTexto 19">
            <a:extLst>
              <a:ext uri="{FF2B5EF4-FFF2-40B4-BE49-F238E27FC236}">
                <a16:creationId xmlns:a16="http://schemas.microsoft.com/office/drawing/2014/main" id="{3D42439D-EDBA-47FC-A69F-46B4AFF61D0A}"/>
              </a:ext>
            </a:extLst>
          </xdr:cNvPr>
          <xdr:cNvSpPr txBox="1"/>
        </xdr:nvSpPr>
        <xdr:spPr>
          <a:xfrm>
            <a:off x="5145673" y="3242674"/>
            <a:ext cx="583813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U2X</a:t>
            </a:r>
          </a:p>
        </xdr:txBody>
      </xdr:sp>
    </xdr:grpSp>
    <xdr:clientData/>
  </xdr:twoCellAnchor>
  <xdr:twoCellAnchor>
    <xdr:from>
      <xdr:col>0</xdr:col>
      <xdr:colOff>586584</xdr:colOff>
      <xdr:row>5</xdr:row>
      <xdr:rowOff>175122</xdr:rowOff>
    </xdr:from>
    <xdr:to>
      <xdr:col>1</xdr:col>
      <xdr:colOff>586190</xdr:colOff>
      <xdr:row>12</xdr:row>
      <xdr:rowOff>20846</xdr:rowOff>
    </xdr:to>
    <xdr:grpSp>
      <xdr:nvGrpSpPr>
        <xdr:cNvPr id="39" name="Grupo 38">
          <a:extLst>
            <a:ext uri="{FF2B5EF4-FFF2-40B4-BE49-F238E27FC236}">
              <a16:creationId xmlns:a16="http://schemas.microsoft.com/office/drawing/2014/main" id="{AD4D95A9-90B0-42E8-A71F-A98A904E0246}"/>
            </a:ext>
          </a:extLst>
        </xdr:cNvPr>
        <xdr:cNvGrpSpPr/>
      </xdr:nvGrpSpPr>
      <xdr:grpSpPr>
        <a:xfrm>
          <a:off x="586584" y="1082265"/>
          <a:ext cx="761606" cy="1115724"/>
          <a:chOff x="5004048" y="2437340"/>
          <a:chExt cx="792086" cy="1125884"/>
        </a:xfrm>
      </xdr:grpSpPr>
      <xdr:sp macro="" textlink="">
        <xdr:nvSpPr>
          <xdr:cNvPr id="40" name="Flecha arriba 26">
            <a:extLst>
              <a:ext uri="{FF2B5EF4-FFF2-40B4-BE49-F238E27FC236}">
                <a16:creationId xmlns:a16="http://schemas.microsoft.com/office/drawing/2014/main" id="{D363F9E2-E6CC-4B1A-BA3B-B3E3CE95B6D1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1" name="Flecha arriba 27">
            <a:extLst>
              <a:ext uri="{FF2B5EF4-FFF2-40B4-BE49-F238E27FC236}">
                <a16:creationId xmlns:a16="http://schemas.microsoft.com/office/drawing/2014/main" id="{00EC1BCB-151E-459C-AF57-D9835705E363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2" name="CuadroTexto 23">
            <a:extLst>
              <a:ext uri="{FF2B5EF4-FFF2-40B4-BE49-F238E27FC236}">
                <a16:creationId xmlns:a16="http://schemas.microsoft.com/office/drawing/2014/main" id="{B791BAAC-8774-4BAF-B2D4-9B4B31E7DA41}"/>
              </a:ext>
            </a:extLst>
          </xdr:cNvPr>
          <xdr:cNvSpPr txBox="1"/>
        </xdr:nvSpPr>
        <xdr:spPr>
          <a:xfrm>
            <a:off x="5145673" y="2437340"/>
            <a:ext cx="52253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U4Y</a:t>
            </a:r>
          </a:p>
        </xdr:txBody>
      </xdr:sp>
      <xdr:sp macro="" textlink="">
        <xdr:nvSpPr>
          <xdr:cNvPr id="43" name="CuadroTexto 24">
            <a:extLst>
              <a:ext uri="{FF2B5EF4-FFF2-40B4-BE49-F238E27FC236}">
                <a16:creationId xmlns:a16="http://schemas.microsoft.com/office/drawing/2014/main" id="{F4B08B32-2731-4C57-A004-6F5A2A779703}"/>
              </a:ext>
            </a:extLst>
          </xdr:cNvPr>
          <xdr:cNvSpPr txBox="1"/>
        </xdr:nvSpPr>
        <xdr:spPr>
          <a:xfrm>
            <a:off x="5157567" y="3255447"/>
            <a:ext cx="52417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U4X</a:t>
            </a:r>
          </a:p>
        </xdr:txBody>
      </xdr:sp>
    </xdr:grpSp>
    <xdr:clientData/>
  </xdr:twoCellAnchor>
  <xdr:twoCellAnchor>
    <xdr:from>
      <xdr:col>5</xdr:col>
      <xdr:colOff>238179</xdr:colOff>
      <xdr:row>3</xdr:row>
      <xdr:rowOff>0</xdr:rowOff>
    </xdr:from>
    <xdr:to>
      <xdr:col>6</xdr:col>
      <xdr:colOff>237785</xdr:colOff>
      <xdr:row>9</xdr:row>
      <xdr:rowOff>46193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C06E5387-9AED-4F72-A4CE-8A3DD704727E}"/>
            </a:ext>
          </a:extLst>
        </xdr:cNvPr>
        <xdr:cNvGrpSpPr/>
      </xdr:nvGrpSpPr>
      <xdr:grpSpPr>
        <a:xfrm>
          <a:off x="4048179" y="544286"/>
          <a:ext cx="761606" cy="1134764"/>
          <a:chOff x="5004048" y="2437340"/>
          <a:chExt cx="792086" cy="1143473"/>
        </a:xfrm>
      </xdr:grpSpPr>
      <xdr:sp macro="" textlink="">
        <xdr:nvSpPr>
          <xdr:cNvPr id="45" name="Flecha arriba 26">
            <a:extLst>
              <a:ext uri="{FF2B5EF4-FFF2-40B4-BE49-F238E27FC236}">
                <a16:creationId xmlns:a16="http://schemas.microsoft.com/office/drawing/2014/main" id="{967C4306-C30A-41D5-BA47-D63057D7FD8F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6" name="Flecha arriba 27">
            <a:extLst>
              <a:ext uri="{FF2B5EF4-FFF2-40B4-BE49-F238E27FC236}">
                <a16:creationId xmlns:a16="http://schemas.microsoft.com/office/drawing/2014/main" id="{108AAA32-4F9D-4693-987E-145A2C4B90DC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7" name="CuadroTexto 28">
            <a:extLst>
              <a:ext uri="{FF2B5EF4-FFF2-40B4-BE49-F238E27FC236}">
                <a16:creationId xmlns:a16="http://schemas.microsoft.com/office/drawing/2014/main" id="{42D30F2A-5932-4FDF-9AF1-1CDADD88BF3E}"/>
              </a:ext>
            </a:extLst>
          </xdr:cNvPr>
          <xdr:cNvSpPr txBox="1"/>
        </xdr:nvSpPr>
        <xdr:spPr>
          <a:xfrm>
            <a:off x="5145674" y="2437340"/>
            <a:ext cx="58927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U3Y</a:t>
            </a:r>
          </a:p>
        </xdr:txBody>
      </xdr:sp>
      <xdr:sp macro="" textlink="">
        <xdr:nvSpPr>
          <xdr:cNvPr id="48" name="CuadroTexto 29">
            <a:extLst>
              <a:ext uri="{FF2B5EF4-FFF2-40B4-BE49-F238E27FC236}">
                <a16:creationId xmlns:a16="http://schemas.microsoft.com/office/drawing/2014/main" id="{B9D3BAAB-52E5-4F46-971D-0E61D16978B0}"/>
              </a:ext>
            </a:extLst>
          </xdr:cNvPr>
          <xdr:cNvSpPr txBox="1"/>
        </xdr:nvSpPr>
        <xdr:spPr>
          <a:xfrm>
            <a:off x="5148404" y="3273036"/>
            <a:ext cx="58381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U3X</a:t>
            </a:r>
          </a:p>
        </xdr:txBody>
      </xdr:sp>
    </xdr:grpSp>
    <xdr:clientData/>
  </xdr:twoCellAnchor>
  <xdr:twoCellAnchor>
    <xdr:from>
      <xdr:col>2</xdr:col>
      <xdr:colOff>89547</xdr:colOff>
      <xdr:row>24</xdr:row>
      <xdr:rowOff>134258</xdr:rowOff>
    </xdr:from>
    <xdr:to>
      <xdr:col>3</xdr:col>
      <xdr:colOff>652253</xdr:colOff>
      <xdr:row>24</xdr:row>
      <xdr:rowOff>134258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BFD89F9-8DE3-46D0-BE1E-245DE7B46C75}"/>
            </a:ext>
          </a:extLst>
        </xdr:cNvPr>
        <xdr:cNvCxnSpPr>
          <a:cxnSpLocks/>
        </xdr:cNvCxnSpPr>
      </xdr:nvCxnSpPr>
      <xdr:spPr>
        <a:xfrm>
          <a:off x="3442347" y="4477658"/>
          <a:ext cx="1400906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195145</xdr:colOff>
      <xdr:row>15</xdr:row>
      <xdr:rowOff>80730</xdr:rowOff>
    </xdr:from>
    <xdr:to>
      <xdr:col>3</xdr:col>
      <xdr:colOff>523523</xdr:colOff>
      <xdr:row>19</xdr:row>
      <xdr:rowOff>148753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C511574B-9CAC-4F7C-BE0B-19147FB71740}"/>
            </a:ext>
          </a:extLst>
        </xdr:cNvPr>
        <xdr:cNvCxnSpPr>
          <a:cxnSpLocks/>
        </xdr:cNvCxnSpPr>
      </xdr:nvCxnSpPr>
      <xdr:spPr>
        <a:xfrm flipH="1" flipV="1">
          <a:off x="3547945" y="2795355"/>
          <a:ext cx="1166578" cy="79192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147554</xdr:colOff>
      <xdr:row>17</xdr:row>
      <xdr:rowOff>18804</xdr:rowOff>
    </xdr:from>
    <xdr:to>
      <xdr:col>1</xdr:col>
      <xdr:colOff>485151</xdr:colOff>
      <xdr:row>22</xdr:row>
      <xdr:rowOff>98546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E6785CBE-3835-4994-B7CA-D96D858510D8}"/>
            </a:ext>
          </a:extLst>
        </xdr:cNvPr>
        <xdr:cNvCxnSpPr>
          <a:cxnSpLocks/>
        </xdr:cNvCxnSpPr>
      </xdr:nvCxnSpPr>
      <xdr:spPr>
        <a:xfrm flipH="1">
          <a:off x="2662154" y="3095379"/>
          <a:ext cx="337597" cy="984617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385861</xdr:colOff>
      <xdr:row>9</xdr:row>
      <xdr:rowOff>149681</xdr:rowOff>
    </xdr:from>
    <xdr:to>
      <xdr:col>4</xdr:col>
      <xdr:colOff>146922</xdr:colOff>
      <xdr:row>12</xdr:row>
      <xdr:rowOff>70174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641303D1-3B77-4F87-8F58-8B71B4907972}"/>
            </a:ext>
          </a:extLst>
        </xdr:cNvPr>
        <xdr:cNvCxnSpPr>
          <a:cxnSpLocks/>
        </xdr:cNvCxnSpPr>
      </xdr:nvCxnSpPr>
      <xdr:spPr>
        <a:xfrm flipH="1">
          <a:off x="3738661" y="1778456"/>
          <a:ext cx="1437461" cy="46341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402668</xdr:colOff>
      <xdr:row>13</xdr:row>
      <xdr:rowOff>69930</xdr:rowOff>
    </xdr:from>
    <xdr:to>
      <xdr:col>4</xdr:col>
      <xdr:colOff>728885</xdr:colOff>
      <xdr:row>20</xdr:row>
      <xdr:rowOff>46213</xdr:rowOff>
    </xdr:to>
    <xdr:cxnSp macro="">
      <xdr:nvCxnSpPr>
        <xdr:cNvPr id="58" name="Conector recto de flecha 57">
          <a:extLst>
            <a:ext uri="{FF2B5EF4-FFF2-40B4-BE49-F238E27FC236}">
              <a16:creationId xmlns:a16="http://schemas.microsoft.com/office/drawing/2014/main" id="{9CC486A7-9EC8-4B41-9686-721575BF9318}"/>
            </a:ext>
          </a:extLst>
        </xdr:cNvPr>
        <xdr:cNvCxnSpPr>
          <a:cxnSpLocks/>
        </xdr:cNvCxnSpPr>
      </xdr:nvCxnSpPr>
      <xdr:spPr>
        <a:xfrm flipH="1" flipV="1">
          <a:off x="5431868" y="2422605"/>
          <a:ext cx="326217" cy="124310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404912</xdr:colOff>
      <xdr:row>5</xdr:row>
      <xdr:rowOff>95376</xdr:rowOff>
    </xdr:from>
    <xdr:to>
      <xdr:col>4</xdr:col>
      <xdr:colOff>404912</xdr:colOff>
      <xdr:row>8</xdr:row>
      <xdr:rowOff>97252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FCE26B7A-D476-4ACE-AEEF-6FDA375292B1}"/>
            </a:ext>
          </a:extLst>
        </xdr:cNvPr>
        <xdr:cNvCxnSpPr>
          <a:cxnSpLocks/>
        </xdr:cNvCxnSpPr>
      </xdr:nvCxnSpPr>
      <xdr:spPr>
        <a:xfrm>
          <a:off x="5434112" y="1000251"/>
          <a:ext cx="0" cy="544801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685132</xdr:colOff>
      <xdr:row>21</xdr:row>
      <xdr:rowOff>27494</xdr:rowOff>
    </xdr:from>
    <xdr:to>
      <xdr:col>0</xdr:col>
      <xdr:colOff>685132</xdr:colOff>
      <xdr:row>24</xdr:row>
      <xdr:rowOff>29370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63CB90F5-6940-4922-8D02-5026C8879A65}"/>
            </a:ext>
          </a:extLst>
        </xdr:cNvPr>
        <xdr:cNvCxnSpPr>
          <a:cxnSpLocks/>
        </xdr:cNvCxnSpPr>
      </xdr:nvCxnSpPr>
      <xdr:spPr>
        <a:xfrm>
          <a:off x="2361532" y="3827969"/>
          <a:ext cx="0" cy="544801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141211</xdr:colOff>
      <xdr:row>24</xdr:row>
      <xdr:rowOff>41660</xdr:rowOff>
    </xdr:from>
    <xdr:to>
      <xdr:col>0</xdr:col>
      <xdr:colOff>664696</xdr:colOff>
      <xdr:row>24</xdr:row>
      <xdr:rowOff>41660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A0D3E827-6694-4258-BECA-7A031C3CEDE6}"/>
            </a:ext>
          </a:extLst>
        </xdr:cNvPr>
        <xdr:cNvCxnSpPr>
          <a:cxnSpLocks/>
        </xdr:cNvCxnSpPr>
      </xdr:nvCxnSpPr>
      <xdr:spPr>
        <a:xfrm>
          <a:off x="1817611" y="4385060"/>
          <a:ext cx="523485" cy="0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658142</xdr:colOff>
      <xdr:row>8</xdr:row>
      <xdr:rowOff>90535</xdr:rowOff>
    </xdr:from>
    <xdr:to>
      <xdr:col>4</xdr:col>
      <xdr:colOff>389147</xdr:colOff>
      <xdr:row>8</xdr:row>
      <xdr:rowOff>90535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F6AFAD8E-140A-4043-8594-4F439C5B18A5}"/>
            </a:ext>
          </a:extLst>
        </xdr:cNvPr>
        <xdr:cNvCxnSpPr>
          <a:cxnSpLocks/>
        </xdr:cNvCxnSpPr>
      </xdr:nvCxnSpPr>
      <xdr:spPr>
        <a:xfrm>
          <a:off x="4849142" y="1538335"/>
          <a:ext cx="569205" cy="0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16039</xdr:colOff>
      <xdr:row>4</xdr:row>
      <xdr:rowOff>34131</xdr:rowOff>
    </xdr:from>
    <xdr:to>
      <xdr:col>4</xdr:col>
      <xdr:colOff>785802</xdr:colOff>
      <xdr:row>5</xdr:row>
      <xdr:rowOff>128250</xdr:rowOff>
    </xdr:to>
    <xdr:sp macro="" textlink="">
      <xdr:nvSpPr>
        <xdr:cNvPr id="63" name="CuadroTexto 39">
          <a:extLst>
            <a:ext uri="{FF2B5EF4-FFF2-40B4-BE49-F238E27FC236}">
              <a16:creationId xmlns:a16="http://schemas.microsoft.com/office/drawing/2014/main" id="{3A7DD5EF-279D-45D1-92AF-737D7D8B3828}"/>
            </a:ext>
          </a:extLst>
        </xdr:cNvPr>
        <xdr:cNvSpPr txBox="1"/>
      </xdr:nvSpPr>
      <xdr:spPr>
        <a:xfrm>
          <a:off x="5045239" y="758031"/>
          <a:ext cx="769763" cy="27509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200">
              <a:solidFill>
                <a:srgbClr val="C00000"/>
              </a:solidFill>
            </a:rPr>
            <a:t>2000 Kgf</a:t>
          </a:r>
        </a:p>
      </xdr:txBody>
    </xdr:sp>
    <xdr:clientData/>
  </xdr:twoCellAnchor>
  <xdr:twoCellAnchor>
    <xdr:from>
      <xdr:col>3</xdr:col>
      <xdr:colOff>144646</xdr:colOff>
      <xdr:row>6</xdr:row>
      <xdr:rowOff>138704</xdr:rowOff>
    </xdr:from>
    <xdr:to>
      <xdr:col>4</xdr:col>
      <xdr:colOff>222917</xdr:colOff>
      <xdr:row>8</xdr:row>
      <xdr:rowOff>80721</xdr:rowOff>
    </xdr:to>
    <xdr:sp macro="" textlink="">
      <xdr:nvSpPr>
        <xdr:cNvPr id="64" name="CuadroTexto 40">
          <a:extLst>
            <a:ext uri="{FF2B5EF4-FFF2-40B4-BE49-F238E27FC236}">
              <a16:creationId xmlns:a16="http://schemas.microsoft.com/office/drawing/2014/main" id="{AC5516EA-A2AF-46B5-8D43-18DB99AFCAC6}"/>
            </a:ext>
          </a:extLst>
        </xdr:cNvPr>
        <xdr:cNvSpPr txBox="1"/>
      </xdr:nvSpPr>
      <xdr:spPr>
        <a:xfrm>
          <a:off x="4335646" y="1224554"/>
          <a:ext cx="916471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400" b="1">
              <a:solidFill>
                <a:srgbClr val="C00000"/>
              </a:solidFill>
            </a:rPr>
            <a:t>1000 Kgf</a:t>
          </a:r>
        </a:p>
      </xdr:txBody>
    </xdr:sp>
    <xdr:clientData/>
  </xdr:twoCellAnchor>
  <xdr:twoCellAnchor>
    <xdr:from>
      <xdr:col>0</xdr:col>
      <xdr:colOff>239681</xdr:colOff>
      <xdr:row>19</xdr:row>
      <xdr:rowOff>81119</xdr:rowOff>
    </xdr:from>
    <xdr:to>
      <xdr:col>1</xdr:col>
      <xdr:colOff>317952</xdr:colOff>
      <xdr:row>21</xdr:row>
      <xdr:rowOff>23136</xdr:rowOff>
    </xdr:to>
    <xdr:sp macro="" textlink="">
      <xdr:nvSpPr>
        <xdr:cNvPr id="65" name="CuadroTexto 42">
          <a:extLst>
            <a:ext uri="{FF2B5EF4-FFF2-40B4-BE49-F238E27FC236}">
              <a16:creationId xmlns:a16="http://schemas.microsoft.com/office/drawing/2014/main" id="{862B60D8-B152-4855-92E6-C9413519843E}"/>
            </a:ext>
          </a:extLst>
        </xdr:cNvPr>
        <xdr:cNvSpPr txBox="1"/>
      </xdr:nvSpPr>
      <xdr:spPr>
        <a:xfrm>
          <a:off x="1916081" y="3519644"/>
          <a:ext cx="916471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>
              <a:solidFill>
                <a:srgbClr val="C00000"/>
              </a:solidFill>
            </a:rPr>
            <a:t>1000 Kgf</a:t>
          </a:r>
        </a:p>
      </xdr:txBody>
    </xdr:sp>
    <xdr:clientData/>
  </xdr:twoCellAnchor>
  <xdr:twoCellAnchor>
    <xdr:from>
      <xdr:col>0</xdr:col>
      <xdr:colOff>0</xdr:colOff>
      <xdr:row>22</xdr:row>
      <xdr:rowOff>130044</xdr:rowOff>
    </xdr:from>
    <xdr:to>
      <xdr:col>0</xdr:col>
      <xdr:colOff>539354</xdr:colOff>
      <xdr:row>24</xdr:row>
      <xdr:rowOff>72061</xdr:rowOff>
    </xdr:to>
    <xdr:sp macro="" textlink="">
      <xdr:nvSpPr>
        <xdr:cNvPr id="66" name="CuadroTexto 53">
          <a:extLst>
            <a:ext uri="{FF2B5EF4-FFF2-40B4-BE49-F238E27FC236}">
              <a16:creationId xmlns:a16="http://schemas.microsoft.com/office/drawing/2014/main" id="{DA34ED67-A955-4363-8E52-EB4EB15218C3}"/>
            </a:ext>
          </a:extLst>
        </xdr:cNvPr>
        <xdr:cNvSpPr txBox="1"/>
      </xdr:nvSpPr>
      <xdr:spPr>
        <a:xfrm>
          <a:off x="1299283" y="4111494"/>
          <a:ext cx="916471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>
              <a:solidFill>
                <a:srgbClr val="C00000"/>
              </a:solidFill>
            </a:rPr>
            <a:t>2000 Kgf</a:t>
          </a:r>
        </a:p>
      </xdr:txBody>
    </xdr:sp>
    <xdr:clientData/>
  </xdr:twoCellAnchor>
  <xdr:oneCellAnchor>
    <xdr:from>
      <xdr:col>11</xdr:col>
      <xdr:colOff>695597</xdr:colOff>
      <xdr:row>178</xdr:row>
      <xdr:rowOff>154940</xdr:rowOff>
    </xdr:from>
    <xdr:ext cx="13942627" cy="5938720"/>
    <xdr:pic>
      <xdr:nvPicPr>
        <xdr:cNvPr id="67" name="Imagen 66">
          <a:extLst>
            <a:ext uri="{FF2B5EF4-FFF2-40B4-BE49-F238E27FC236}">
              <a16:creationId xmlns:a16="http://schemas.microsoft.com/office/drawing/2014/main" id="{C323DDF9-3183-446B-A4BC-15DD11C9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7597" y="32449226"/>
          <a:ext cx="13942627" cy="5938720"/>
        </a:xfrm>
        <a:prstGeom prst="rect">
          <a:avLst/>
        </a:prstGeom>
      </xdr:spPr>
    </xdr:pic>
    <xdr:clientData/>
  </xdr:oneCellAnchor>
  <xdr:twoCellAnchor>
    <xdr:from>
      <xdr:col>10</xdr:col>
      <xdr:colOff>777240</xdr:colOff>
      <xdr:row>351</xdr:row>
      <xdr:rowOff>96564</xdr:rowOff>
    </xdr:from>
    <xdr:to>
      <xdr:col>11</xdr:col>
      <xdr:colOff>653339</xdr:colOff>
      <xdr:row>353</xdr:row>
      <xdr:rowOff>104881</xdr:rowOff>
    </xdr:to>
    <xdr:sp macro="" textlink="">
      <xdr:nvSpPr>
        <xdr:cNvPr id="68" name="CuadroTexto 123">
          <a:extLst>
            <a:ext uri="{FF2B5EF4-FFF2-40B4-BE49-F238E27FC236}">
              <a16:creationId xmlns:a16="http://schemas.microsoft.com/office/drawing/2014/main" id="{B10D1F48-B886-489A-BD90-08E046DE7DDE}"/>
            </a:ext>
          </a:extLst>
        </xdr:cNvPr>
        <xdr:cNvSpPr txBox="1"/>
      </xdr:nvSpPr>
      <xdr:spPr>
        <a:xfrm>
          <a:off x="10835640" y="63618789"/>
          <a:ext cx="714299" cy="3702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2 00</a:t>
          </a:r>
        </a:p>
      </xdr:txBody>
    </xdr:sp>
    <xdr:clientData/>
  </xdr:twoCellAnchor>
  <xdr:twoCellAnchor>
    <xdr:from>
      <xdr:col>4</xdr:col>
      <xdr:colOff>656327</xdr:colOff>
      <xdr:row>367</xdr:row>
      <xdr:rowOff>30147</xdr:rowOff>
    </xdr:from>
    <xdr:to>
      <xdr:col>9</xdr:col>
      <xdr:colOff>293927</xdr:colOff>
      <xdr:row>367</xdr:row>
      <xdr:rowOff>30147</xdr:rowOff>
    </xdr:to>
    <xdr:cxnSp macro="">
      <xdr:nvCxnSpPr>
        <xdr:cNvPr id="69" name="Conector recto 68">
          <a:extLst>
            <a:ext uri="{FF2B5EF4-FFF2-40B4-BE49-F238E27FC236}">
              <a16:creationId xmlns:a16="http://schemas.microsoft.com/office/drawing/2014/main" id="{3152B31B-3C1B-4A3D-928C-ADBF823E1C84}"/>
            </a:ext>
          </a:extLst>
        </xdr:cNvPr>
        <xdr:cNvCxnSpPr/>
      </xdr:nvCxnSpPr>
      <xdr:spPr>
        <a:xfrm>
          <a:off x="5685527" y="66447972"/>
          <a:ext cx="3828600" cy="0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663947</xdr:colOff>
      <xdr:row>355</xdr:row>
      <xdr:rowOff>101429</xdr:rowOff>
    </xdr:from>
    <xdr:to>
      <xdr:col>5</xdr:col>
      <xdr:colOff>615642</xdr:colOff>
      <xdr:row>367</xdr:row>
      <xdr:rowOff>60630</xdr:rowOff>
    </xdr:to>
    <xdr:cxnSp macro="">
      <xdr:nvCxnSpPr>
        <xdr:cNvPr id="70" name="Conector recto 69">
          <a:extLst>
            <a:ext uri="{FF2B5EF4-FFF2-40B4-BE49-F238E27FC236}">
              <a16:creationId xmlns:a16="http://schemas.microsoft.com/office/drawing/2014/main" id="{66CFF22C-FA50-46AF-988F-A770D93CE807}"/>
            </a:ext>
          </a:extLst>
        </xdr:cNvPr>
        <xdr:cNvCxnSpPr>
          <a:cxnSpLocks/>
        </xdr:cNvCxnSpPr>
      </xdr:nvCxnSpPr>
      <xdr:spPr>
        <a:xfrm flipV="1">
          <a:off x="5693147" y="64347554"/>
          <a:ext cx="789895" cy="2130901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608022</xdr:colOff>
      <xdr:row>355</xdr:row>
      <xdr:rowOff>70949</xdr:rowOff>
    </xdr:from>
    <xdr:to>
      <xdr:col>9</xdr:col>
      <xdr:colOff>293928</xdr:colOff>
      <xdr:row>367</xdr:row>
      <xdr:rowOff>29372</xdr:rowOff>
    </xdr:to>
    <xdr:cxnSp macro="">
      <xdr:nvCxnSpPr>
        <xdr:cNvPr id="71" name="Conector recto 70">
          <a:extLst>
            <a:ext uri="{FF2B5EF4-FFF2-40B4-BE49-F238E27FC236}">
              <a16:creationId xmlns:a16="http://schemas.microsoft.com/office/drawing/2014/main" id="{5301D358-3D94-47AF-9444-833B12AD2226}"/>
            </a:ext>
          </a:extLst>
        </xdr:cNvPr>
        <xdr:cNvCxnSpPr>
          <a:cxnSpLocks/>
        </xdr:cNvCxnSpPr>
      </xdr:nvCxnSpPr>
      <xdr:spPr>
        <a:xfrm flipH="1" flipV="1">
          <a:off x="6475422" y="64317074"/>
          <a:ext cx="3038706" cy="2130123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406935</xdr:colOff>
      <xdr:row>351</xdr:row>
      <xdr:rowOff>62501</xdr:rowOff>
    </xdr:from>
    <xdr:to>
      <xdr:col>9</xdr:col>
      <xdr:colOff>305016</xdr:colOff>
      <xdr:row>367</xdr:row>
      <xdr:rowOff>29370</xdr:rowOff>
    </xdr:to>
    <xdr:cxnSp macro="">
      <xdr:nvCxnSpPr>
        <xdr:cNvPr id="72" name="Conector recto 71">
          <a:extLst>
            <a:ext uri="{FF2B5EF4-FFF2-40B4-BE49-F238E27FC236}">
              <a16:creationId xmlns:a16="http://schemas.microsoft.com/office/drawing/2014/main" id="{37BB3FDA-5DAF-43F3-90D2-7963EB62D438}"/>
            </a:ext>
          </a:extLst>
        </xdr:cNvPr>
        <xdr:cNvCxnSpPr>
          <a:cxnSpLocks/>
        </xdr:cNvCxnSpPr>
      </xdr:nvCxnSpPr>
      <xdr:spPr>
        <a:xfrm flipH="1" flipV="1">
          <a:off x="8788935" y="63584726"/>
          <a:ext cx="736281" cy="2862469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636144</xdr:colOff>
      <xdr:row>351</xdr:row>
      <xdr:rowOff>81744</xdr:rowOff>
    </xdr:from>
    <xdr:to>
      <xdr:col>8</xdr:col>
      <xdr:colOff>406935</xdr:colOff>
      <xdr:row>355</xdr:row>
      <xdr:rowOff>70949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27D741D3-52CC-44D6-9E98-BE1FE60F46DD}"/>
            </a:ext>
          </a:extLst>
        </xdr:cNvPr>
        <xdr:cNvCxnSpPr>
          <a:cxnSpLocks/>
        </xdr:cNvCxnSpPr>
      </xdr:nvCxnSpPr>
      <xdr:spPr>
        <a:xfrm flipV="1">
          <a:off x="6503544" y="63603969"/>
          <a:ext cx="2285391" cy="713105"/>
        </a:xfrm>
        <a:prstGeom prst="line">
          <a:avLst/>
        </a:prstGeom>
        <a:ln w="317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383340</xdr:colOff>
      <xdr:row>374</xdr:row>
      <xdr:rowOff>165100</xdr:rowOff>
    </xdr:from>
    <xdr:to>
      <xdr:col>9</xdr:col>
      <xdr:colOff>740940</xdr:colOff>
      <xdr:row>374</xdr:row>
      <xdr:rowOff>165100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2CB659CF-1EC4-42BA-A3B9-380E48076D24}"/>
            </a:ext>
          </a:extLst>
        </xdr:cNvPr>
        <xdr:cNvCxnSpPr/>
      </xdr:nvCxnSpPr>
      <xdr:spPr>
        <a:xfrm>
          <a:off x="5412540" y="67849750"/>
          <a:ext cx="4548600" cy="0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762738</xdr:colOff>
      <xdr:row>373</xdr:row>
      <xdr:rowOff>104002</xdr:rowOff>
    </xdr:from>
    <xdr:to>
      <xdr:col>4</xdr:col>
      <xdr:colOff>762738</xdr:colOff>
      <xdr:row>375</xdr:row>
      <xdr:rowOff>98242</xdr:rowOff>
    </xdr:to>
    <xdr:cxnSp macro="">
      <xdr:nvCxnSpPr>
        <xdr:cNvPr id="75" name="Conector recto 74">
          <a:extLst>
            <a:ext uri="{FF2B5EF4-FFF2-40B4-BE49-F238E27FC236}">
              <a16:creationId xmlns:a16="http://schemas.microsoft.com/office/drawing/2014/main" id="{CBCA4439-F266-4B0F-862A-E94F61562861}"/>
            </a:ext>
          </a:extLst>
        </xdr:cNvPr>
        <xdr:cNvCxnSpPr/>
      </xdr:nvCxnSpPr>
      <xdr:spPr>
        <a:xfrm>
          <a:off x="5791938" y="67607677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712609</xdr:colOff>
      <xdr:row>373</xdr:row>
      <xdr:rowOff>135855</xdr:rowOff>
    </xdr:from>
    <xdr:to>
      <xdr:col>5</xdr:col>
      <xdr:colOff>712609</xdr:colOff>
      <xdr:row>375</xdr:row>
      <xdr:rowOff>130095</xdr:rowOff>
    </xdr:to>
    <xdr:cxnSp macro="">
      <xdr:nvCxnSpPr>
        <xdr:cNvPr id="76" name="Conector recto 75">
          <a:extLst>
            <a:ext uri="{FF2B5EF4-FFF2-40B4-BE49-F238E27FC236}">
              <a16:creationId xmlns:a16="http://schemas.microsoft.com/office/drawing/2014/main" id="{EB4095BF-BCCB-4230-BFAC-9B78B75B4AD1}"/>
            </a:ext>
          </a:extLst>
        </xdr:cNvPr>
        <xdr:cNvCxnSpPr/>
      </xdr:nvCxnSpPr>
      <xdr:spPr>
        <a:xfrm>
          <a:off x="6580009" y="67639530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405812</xdr:colOff>
      <xdr:row>374</xdr:row>
      <xdr:rowOff>36295</xdr:rowOff>
    </xdr:from>
    <xdr:to>
      <xdr:col>9</xdr:col>
      <xdr:colOff>405812</xdr:colOff>
      <xdr:row>376</xdr:row>
      <xdr:rowOff>30535</xdr:rowOff>
    </xdr:to>
    <xdr:cxnSp macro="">
      <xdr:nvCxnSpPr>
        <xdr:cNvPr id="77" name="Conector recto 76">
          <a:extLst>
            <a:ext uri="{FF2B5EF4-FFF2-40B4-BE49-F238E27FC236}">
              <a16:creationId xmlns:a16="http://schemas.microsoft.com/office/drawing/2014/main" id="{5EDE9288-F8F5-4605-8177-63EA6A209504}"/>
            </a:ext>
          </a:extLst>
        </xdr:cNvPr>
        <xdr:cNvCxnSpPr/>
      </xdr:nvCxnSpPr>
      <xdr:spPr>
        <a:xfrm>
          <a:off x="9626012" y="67720945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553139</xdr:colOff>
      <xdr:row>373</xdr:row>
      <xdr:rowOff>16339</xdr:rowOff>
    </xdr:from>
    <xdr:to>
      <xdr:col>7</xdr:col>
      <xdr:colOff>302795</xdr:colOff>
      <xdr:row>375</xdr:row>
      <xdr:rowOff>19911</xdr:rowOff>
    </xdr:to>
    <xdr:sp macro="" textlink="">
      <xdr:nvSpPr>
        <xdr:cNvPr id="78" name="CuadroTexto 113">
          <a:extLst>
            <a:ext uri="{FF2B5EF4-FFF2-40B4-BE49-F238E27FC236}">
              <a16:creationId xmlns:a16="http://schemas.microsoft.com/office/drawing/2014/main" id="{75C1A324-1F6E-4335-8CBB-9EEEB1D5DC77}"/>
            </a:ext>
          </a:extLst>
        </xdr:cNvPr>
        <xdr:cNvSpPr txBox="1"/>
      </xdr:nvSpPr>
      <xdr:spPr>
        <a:xfrm>
          <a:off x="7258739" y="67520014"/>
          <a:ext cx="587856" cy="3655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6 m</a:t>
          </a:r>
        </a:p>
      </xdr:txBody>
    </xdr:sp>
    <xdr:clientData/>
  </xdr:twoCellAnchor>
  <xdr:twoCellAnchor>
    <xdr:from>
      <xdr:col>8</xdr:col>
      <xdr:colOff>574350</xdr:colOff>
      <xdr:row>373</xdr:row>
      <xdr:rowOff>61558</xdr:rowOff>
    </xdr:from>
    <xdr:to>
      <xdr:col>9</xdr:col>
      <xdr:colOff>324006</xdr:colOff>
      <xdr:row>375</xdr:row>
      <xdr:rowOff>65130</xdr:rowOff>
    </xdr:to>
    <xdr:sp macro="" textlink="">
      <xdr:nvSpPr>
        <xdr:cNvPr id="79" name="CuadroTexto 114">
          <a:extLst>
            <a:ext uri="{FF2B5EF4-FFF2-40B4-BE49-F238E27FC236}">
              <a16:creationId xmlns:a16="http://schemas.microsoft.com/office/drawing/2014/main" id="{91370C60-2890-4563-93E2-56210E550867}"/>
            </a:ext>
          </a:extLst>
        </xdr:cNvPr>
        <xdr:cNvSpPr txBox="1"/>
      </xdr:nvSpPr>
      <xdr:spPr>
        <a:xfrm>
          <a:off x="8956350" y="67565233"/>
          <a:ext cx="587856" cy="3655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m</a:t>
          </a:r>
        </a:p>
      </xdr:txBody>
    </xdr:sp>
    <xdr:clientData/>
  </xdr:twoCellAnchor>
  <xdr:twoCellAnchor>
    <xdr:from>
      <xdr:col>3</xdr:col>
      <xdr:colOff>703937</xdr:colOff>
      <xdr:row>350</xdr:row>
      <xdr:rowOff>85946</xdr:rowOff>
    </xdr:from>
    <xdr:to>
      <xdr:col>3</xdr:col>
      <xdr:colOff>703937</xdr:colOff>
      <xdr:row>367</xdr:row>
      <xdr:rowOff>72986</xdr:rowOff>
    </xdr:to>
    <xdr:cxnSp macro="">
      <xdr:nvCxnSpPr>
        <xdr:cNvPr id="80" name="Conector recto 79">
          <a:extLst>
            <a:ext uri="{FF2B5EF4-FFF2-40B4-BE49-F238E27FC236}">
              <a16:creationId xmlns:a16="http://schemas.microsoft.com/office/drawing/2014/main" id="{9089220A-2BC3-4460-B76F-11057EFEC32E}"/>
            </a:ext>
          </a:extLst>
        </xdr:cNvPr>
        <xdr:cNvCxnSpPr/>
      </xdr:nvCxnSpPr>
      <xdr:spPr>
        <a:xfrm>
          <a:off x="4894937" y="63427196"/>
          <a:ext cx="0" cy="3063615"/>
        </a:xfrm>
        <a:prstGeom prst="line">
          <a:avLst/>
        </a:prstGeom>
        <a:ln w="158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549281</xdr:colOff>
      <xdr:row>367</xdr:row>
      <xdr:rowOff>16149</xdr:rowOff>
    </xdr:from>
    <xdr:to>
      <xdr:col>4</xdr:col>
      <xdr:colOff>116801</xdr:colOff>
      <xdr:row>367</xdr:row>
      <xdr:rowOff>16149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711BF881-01F3-4C86-8A78-BB9A98DAD168}"/>
            </a:ext>
          </a:extLst>
        </xdr:cNvPr>
        <xdr:cNvCxnSpPr/>
      </xdr:nvCxnSpPr>
      <xdr:spPr>
        <a:xfrm flipH="1">
          <a:off x="4740281" y="66433974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508972</xdr:colOff>
      <xdr:row>351</xdr:row>
      <xdr:rowOff>55784</xdr:rowOff>
    </xdr:from>
    <xdr:to>
      <xdr:col>4</xdr:col>
      <xdr:colOff>76492</xdr:colOff>
      <xdr:row>351</xdr:row>
      <xdr:rowOff>55784</xdr:rowOff>
    </xdr:to>
    <xdr:cxnSp macro="">
      <xdr:nvCxnSpPr>
        <xdr:cNvPr id="82" name="Conector recto 81">
          <a:extLst>
            <a:ext uri="{FF2B5EF4-FFF2-40B4-BE49-F238E27FC236}">
              <a16:creationId xmlns:a16="http://schemas.microsoft.com/office/drawing/2014/main" id="{331D8027-5239-4473-B95C-814538708E7C}"/>
            </a:ext>
          </a:extLst>
        </xdr:cNvPr>
        <xdr:cNvCxnSpPr/>
      </xdr:nvCxnSpPr>
      <xdr:spPr>
        <a:xfrm flipH="1">
          <a:off x="4699972" y="63578009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130354</xdr:colOff>
      <xdr:row>359</xdr:row>
      <xdr:rowOff>69672</xdr:rowOff>
    </xdr:from>
    <xdr:to>
      <xdr:col>3</xdr:col>
      <xdr:colOff>672490</xdr:colOff>
      <xdr:row>361</xdr:row>
      <xdr:rowOff>73244</xdr:rowOff>
    </xdr:to>
    <xdr:sp macro="" textlink="">
      <xdr:nvSpPr>
        <xdr:cNvPr id="83" name="CuadroTexto 118">
          <a:extLst>
            <a:ext uri="{FF2B5EF4-FFF2-40B4-BE49-F238E27FC236}">
              <a16:creationId xmlns:a16="http://schemas.microsoft.com/office/drawing/2014/main" id="{5F1725A2-2657-46E7-86C3-E938B3C28F53}"/>
            </a:ext>
          </a:extLst>
        </xdr:cNvPr>
        <xdr:cNvSpPr txBox="1"/>
      </xdr:nvSpPr>
      <xdr:spPr>
        <a:xfrm>
          <a:off x="4321354" y="65039697"/>
          <a:ext cx="542136" cy="3655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6 m</a:t>
          </a:r>
        </a:p>
      </xdr:txBody>
    </xdr:sp>
    <xdr:clientData/>
  </xdr:twoCellAnchor>
  <xdr:twoCellAnchor>
    <xdr:from>
      <xdr:col>5</xdr:col>
      <xdr:colOff>100945</xdr:colOff>
      <xdr:row>373</xdr:row>
      <xdr:rowOff>21022</xdr:rowOff>
    </xdr:from>
    <xdr:to>
      <xdr:col>5</xdr:col>
      <xdr:colOff>643081</xdr:colOff>
      <xdr:row>375</xdr:row>
      <xdr:rowOff>24594</xdr:rowOff>
    </xdr:to>
    <xdr:sp macro="" textlink="">
      <xdr:nvSpPr>
        <xdr:cNvPr id="84" name="CuadroTexto 121">
          <a:extLst>
            <a:ext uri="{FF2B5EF4-FFF2-40B4-BE49-F238E27FC236}">
              <a16:creationId xmlns:a16="http://schemas.microsoft.com/office/drawing/2014/main" id="{56889756-811D-4DD7-84C6-D4E9F189417B}"/>
            </a:ext>
          </a:extLst>
        </xdr:cNvPr>
        <xdr:cNvSpPr txBox="1"/>
      </xdr:nvSpPr>
      <xdr:spPr>
        <a:xfrm>
          <a:off x="5968345" y="67524697"/>
          <a:ext cx="542136" cy="3655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m</a:t>
          </a:r>
        </a:p>
      </xdr:txBody>
    </xdr:sp>
    <xdr:clientData/>
  </xdr:twoCellAnchor>
  <xdr:twoCellAnchor>
    <xdr:from>
      <xdr:col>3</xdr:col>
      <xdr:colOff>508972</xdr:colOff>
      <xdr:row>355</xdr:row>
      <xdr:rowOff>73503</xdr:rowOff>
    </xdr:from>
    <xdr:to>
      <xdr:col>4</xdr:col>
      <xdr:colOff>76492</xdr:colOff>
      <xdr:row>355</xdr:row>
      <xdr:rowOff>73503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686BB530-77FF-4B32-9384-B6CD3FB9954B}"/>
            </a:ext>
          </a:extLst>
        </xdr:cNvPr>
        <xdr:cNvCxnSpPr/>
      </xdr:nvCxnSpPr>
      <xdr:spPr>
        <a:xfrm flipH="1">
          <a:off x="4699972" y="64319628"/>
          <a:ext cx="40572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111203</xdr:colOff>
      <xdr:row>352</xdr:row>
      <xdr:rowOff>96564</xdr:rowOff>
    </xdr:from>
    <xdr:to>
      <xdr:col>3</xdr:col>
      <xdr:colOff>653339</xdr:colOff>
      <xdr:row>354</xdr:row>
      <xdr:rowOff>100136</xdr:rowOff>
    </xdr:to>
    <xdr:sp macro="" textlink="">
      <xdr:nvSpPr>
        <xdr:cNvPr id="86" name="CuadroTexto 123">
          <a:extLst>
            <a:ext uri="{FF2B5EF4-FFF2-40B4-BE49-F238E27FC236}">
              <a16:creationId xmlns:a16="http://schemas.microsoft.com/office/drawing/2014/main" id="{825052E2-ABA7-4424-BD6D-127A0059D534}"/>
            </a:ext>
          </a:extLst>
        </xdr:cNvPr>
        <xdr:cNvSpPr txBox="1"/>
      </xdr:nvSpPr>
      <xdr:spPr>
        <a:xfrm>
          <a:off x="4302203" y="63799764"/>
          <a:ext cx="542136" cy="3655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b="1"/>
            <a:t>2 m</a:t>
          </a:r>
        </a:p>
      </xdr:txBody>
    </xdr:sp>
    <xdr:clientData/>
  </xdr:twoCellAnchor>
  <xdr:twoCellAnchor>
    <xdr:from>
      <xdr:col>8</xdr:col>
      <xdr:colOff>409282</xdr:colOff>
      <xdr:row>373</xdr:row>
      <xdr:rowOff>142102</xdr:rowOff>
    </xdr:from>
    <xdr:to>
      <xdr:col>8</xdr:col>
      <xdr:colOff>409282</xdr:colOff>
      <xdr:row>375</xdr:row>
      <xdr:rowOff>136342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0B68AC01-FD77-433C-95F3-51E309EF716F}"/>
            </a:ext>
          </a:extLst>
        </xdr:cNvPr>
        <xdr:cNvCxnSpPr/>
      </xdr:nvCxnSpPr>
      <xdr:spPr>
        <a:xfrm>
          <a:off x="8791282" y="67645777"/>
          <a:ext cx="0" cy="35619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504786</xdr:colOff>
      <xdr:row>351</xdr:row>
      <xdr:rowOff>157125</xdr:rowOff>
    </xdr:from>
    <xdr:to>
      <xdr:col>7</xdr:col>
      <xdr:colOff>216362</xdr:colOff>
      <xdr:row>353</xdr:row>
      <xdr:rowOff>108200</xdr:rowOff>
    </xdr:to>
    <xdr:sp macro="" textlink="">
      <xdr:nvSpPr>
        <xdr:cNvPr id="88" name="Rectángulo 87">
          <a:extLst>
            <a:ext uri="{FF2B5EF4-FFF2-40B4-BE49-F238E27FC236}">
              <a16:creationId xmlns:a16="http://schemas.microsoft.com/office/drawing/2014/main" id="{0E696529-A2C0-46DA-96C2-9FDD5F98F0D5}"/>
            </a:ext>
          </a:extLst>
        </xdr:cNvPr>
        <xdr:cNvSpPr/>
      </xdr:nvSpPr>
      <xdr:spPr>
        <a:xfrm rot="20482398">
          <a:off x="7210386" y="63679350"/>
          <a:ext cx="549776" cy="3130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7</xdr:col>
      <xdr:colOff>104107</xdr:colOff>
      <xdr:row>358</xdr:row>
      <xdr:rowOff>135078</xdr:rowOff>
    </xdr:from>
    <xdr:to>
      <xdr:col>7</xdr:col>
      <xdr:colOff>608163</xdr:colOff>
      <xdr:row>360</xdr:row>
      <xdr:rowOff>86153</xdr:rowOff>
    </xdr:to>
    <xdr:sp macro="" textlink="">
      <xdr:nvSpPr>
        <xdr:cNvPr id="89" name="Rectángulo 88">
          <a:extLst>
            <a:ext uri="{FF2B5EF4-FFF2-40B4-BE49-F238E27FC236}">
              <a16:creationId xmlns:a16="http://schemas.microsoft.com/office/drawing/2014/main" id="{936A85C3-2D7D-4687-BF97-B58A2A156284}"/>
            </a:ext>
          </a:extLst>
        </xdr:cNvPr>
        <xdr:cNvSpPr/>
      </xdr:nvSpPr>
      <xdr:spPr>
        <a:xfrm rot="2281648">
          <a:off x="7647907" y="64924128"/>
          <a:ext cx="504056" cy="3130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8</xdr:col>
      <xdr:colOff>717541</xdr:colOff>
      <xdr:row>356</xdr:row>
      <xdr:rowOff>624</xdr:rowOff>
    </xdr:from>
    <xdr:to>
      <xdr:col>9</xdr:col>
      <xdr:colOff>241896</xdr:colOff>
      <xdr:row>358</xdr:row>
      <xdr:rowOff>138920</xdr:rowOff>
    </xdr:to>
    <xdr:sp macro="" textlink="">
      <xdr:nvSpPr>
        <xdr:cNvPr id="90" name="Rectángulo 89">
          <a:extLst>
            <a:ext uri="{FF2B5EF4-FFF2-40B4-BE49-F238E27FC236}">
              <a16:creationId xmlns:a16="http://schemas.microsoft.com/office/drawing/2014/main" id="{1BBE4925-FE67-451F-B579-DD30685DFC28}"/>
            </a:ext>
          </a:extLst>
        </xdr:cNvPr>
        <xdr:cNvSpPr/>
      </xdr:nvSpPr>
      <xdr:spPr>
        <a:xfrm rot="4516589">
          <a:off x="9030696" y="64496569"/>
          <a:ext cx="500246" cy="3625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4</xdr:col>
      <xdr:colOff>736608</xdr:colOff>
      <xdr:row>358</xdr:row>
      <xdr:rowOff>160593</xdr:rowOff>
    </xdr:from>
    <xdr:to>
      <xdr:col>5</xdr:col>
      <xdr:colOff>260963</xdr:colOff>
      <xdr:row>361</xdr:row>
      <xdr:rowOff>116009</xdr:rowOff>
    </xdr:to>
    <xdr:sp macro="" textlink="">
      <xdr:nvSpPr>
        <xdr:cNvPr id="91" name="Rectángulo 90">
          <a:extLst>
            <a:ext uri="{FF2B5EF4-FFF2-40B4-BE49-F238E27FC236}">
              <a16:creationId xmlns:a16="http://schemas.microsoft.com/office/drawing/2014/main" id="{808D3789-B511-4608-A807-F6A668DD5A61}"/>
            </a:ext>
          </a:extLst>
        </xdr:cNvPr>
        <xdr:cNvSpPr/>
      </xdr:nvSpPr>
      <xdr:spPr>
        <a:xfrm rot="17474572">
          <a:off x="5697915" y="65017536"/>
          <a:ext cx="498341" cy="36255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6</xdr:col>
      <xdr:colOff>181209</xdr:colOff>
      <xdr:row>365</xdr:row>
      <xdr:rowOff>44319</xdr:rowOff>
    </xdr:from>
    <xdr:to>
      <xdr:col>6</xdr:col>
      <xdr:colOff>685265</xdr:colOff>
      <xdr:row>366</xdr:row>
      <xdr:rowOff>178274</xdr:rowOff>
    </xdr:to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9F644D0D-D47D-43F8-ADFF-CFCED867E217}"/>
            </a:ext>
          </a:extLst>
        </xdr:cNvPr>
        <xdr:cNvSpPr/>
      </xdr:nvSpPr>
      <xdr:spPr>
        <a:xfrm>
          <a:off x="6886809" y="66100194"/>
          <a:ext cx="504056" cy="31493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9</xdr:col>
      <xdr:colOff>401939</xdr:colOff>
      <xdr:row>366</xdr:row>
      <xdr:rowOff>65138</xdr:rowOff>
    </xdr:from>
    <xdr:to>
      <xdr:col>9</xdr:col>
      <xdr:colOff>653939</xdr:colOff>
      <xdr:row>367</xdr:row>
      <xdr:rowOff>134258</xdr:rowOff>
    </xdr:to>
    <xdr:sp macro="" textlink="">
      <xdr:nvSpPr>
        <xdr:cNvPr id="93" name="Elipse 92">
          <a:extLst>
            <a:ext uri="{FF2B5EF4-FFF2-40B4-BE49-F238E27FC236}">
              <a16:creationId xmlns:a16="http://schemas.microsoft.com/office/drawing/2014/main" id="{86D7707B-1C30-45A9-80F2-4CDA1DFF3097}"/>
            </a:ext>
          </a:extLst>
        </xdr:cNvPr>
        <xdr:cNvSpPr/>
      </xdr:nvSpPr>
      <xdr:spPr>
        <a:xfrm>
          <a:off x="9622139" y="66301988"/>
          <a:ext cx="25200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2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609823</xdr:colOff>
      <xdr:row>356</xdr:row>
      <xdr:rowOff>104045</xdr:rowOff>
    </xdr:from>
    <xdr:to>
      <xdr:col>6</xdr:col>
      <xdr:colOff>69343</xdr:colOff>
      <xdr:row>357</xdr:row>
      <xdr:rowOff>173165</xdr:rowOff>
    </xdr:to>
    <xdr:sp macro="" textlink="">
      <xdr:nvSpPr>
        <xdr:cNvPr id="94" name="Elipse 93">
          <a:extLst>
            <a:ext uri="{FF2B5EF4-FFF2-40B4-BE49-F238E27FC236}">
              <a16:creationId xmlns:a16="http://schemas.microsoft.com/office/drawing/2014/main" id="{ACD8B773-1B88-4FDB-A34D-E9F7A2DE4FD6}"/>
            </a:ext>
          </a:extLst>
        </xdr:cNvPr>
        <xdr:cNvSpPr/>
      </xdr:nvSpPr>
      <xdr:spPr>
        <a:xfrm>
          <a:off x="6477223" y="64531145"/>
          <a:ext cx="29772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4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538502</xdr:colOff>
      <xdr:row>351</xdr:row>
      <xdr:rowOff>78693</xdr:rowOff>
    </xdr:from>
    <xdr:to>
      <xdr:col>8</xdr:col>
      <xdr:colOff>790502</xdr:colOff>
      <xdr:row>352</xdr:row>
      <xdr:rowOff>147813</xdr:rowOff>
    </xdr:to>
    <xdr:sp macro="" textlink="">
      <xdr:nvSpPr>
        <xdr:cNvPr id="95" name="Elipse 94">
          <a:extLst>
            <a:ext uri="{FF2B5EF4-FFF2-40B4-BE49-F238E27FC236}">
              <a16:creationId xmlns:a16="http://schemas.microsoft.com/office/drawing/2014/main" id="{6B85DC33-9388-4431-BBF8-9D7B5E1D22E1}"/>
            </a:ext>
          </a:extLst>
        </xdr:cNvPr>
        <xdr:cNvSpPr/>
      </xdr:nvSpPr>
      <xdr:spPr>
        <a:xfrm>
          <a:off x="8920502" y="63600918"/>
          <a:ext cx="25200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3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740103</xdr:colOff>
      <xdr:row>367</xdr:row>
      <xdr:rowOff>87527</xdr:rowOff>
    </xdr:from>
    <xdr:to>
      <xdr:col>5</xdr:col>
      <xdr:colOff>199623</xdr:colOff>
      <xdr:row>368</xdr:row>
      <xdr:rowOff>156647</xdr:rowOff>
    </xdr:to>
    <xdr:sp macro="" textlink="">
      <xdr:nvSpPr>
        <xdr:cNvPr id="96" name="Elipse 95">
          <a:extLst>
            <a:ext uri="{FF2B5EF4-FFF2-40B4-BE49-F238E27FC236}">
              <a16:creationId xmlns:a16="http://schemas.microsoft.com/office/drawing/2014/main" id="{68B05B1D-BE75-4F14-919F-3D25891EBEF3}"/>
            </a:ext>
          </a:extLst>
        </xdr:cNvPr>
        <xdr:cNvSpPr/>
      </xdr:nvSpPr>
      <xdr:spPr>
        <a:xfrm>
          <a:off x="5769303" y="66505352"/>
          <a:ext cx="297720" cy="250095"/>
        </a:xfrm>
        <a:prstGeom prst="ellipse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MX">
              <a:solidFill>
                <a:srgbClr val="00B050"/>
              </a:solidFill>
            </a:rPr>
            <a:t>1</a:t>
          </a:r>
          <a:endParaRPr lang="es-PE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23081</xdr:colOff>
      <xdr:row>356</xdr:row>
      <xdr:rowOff>36432</xdr:rowOff>
    </xdr:from>
    <xdr:to>
      <xdr:col>5</xdr:col>
      <xdr:colOff>560408</xdr:colOff>
      <xdr:row>357</xdr:row>
      <xdr:rowOff>161329</xdr:rowOff>
    </xdr:to>
    <xdr:sp macro="" textlink="">
      <xdr:nvSpPr>
        <xdr:cNvPr id="97" name="CuadroTexto 13">
          <a:extLst>
            <a:ext uri="{FF2B5EF4-FFF2-40B4-BE49-F238E27FC236}">
              <a16:creationId xmlns:a16="http://schemas.microsoft.com/office/drawing/2014/main" id="{98FDC404-7BE8-414F-8616-7BC22478ED59}"/>
            </a:ext>
          </a:extLst>
        </xdr:cNvPr>
        <xdr:cNvSpPr txBox="1"/>
      </xdr:nvSpPr>
      <xdr:spPr>
        <a:xfrm>
          <a:off x="5890481" y="64463532"/>
          <a:ext cx="537327" cy="30587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MX" sz="1400" b="1">
              <a:solidFill>
                <a:srgbClr val="7030A0"/>
              </a:solidFill>
            </a:rPr>
            <a:t>(0;0)</a:t>
          </a:r>
          <a:endParaRPr lang="es-PE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9</xdr:col>
      <xdr:colOff>701164</xdr:colOff>
      <xdr:row>362</xdr:row>
      <xdr:rowOff>75205</xdr:rowOff>
    </xdr:from>
    <xdr:to>
      <xdr:col>10</xdr:col>
      <xdr:colOff>700770</xdr:colOff>
      <xdr:row>368</xdr:row>
      <xdr:rowOff>91036</xdr:rowOff>
    </xdr:to>
    <xdr:grpSp>
      <xdr:nvGrpSpPr>
        <xdr:cNvPr id="98" name="Grupo 97">
          <a:extLst>
            <a:ext uri="{FF2B5EF4-FFF2-40B4-BE49-F238E27FC236}">
              <a16:creationId xmlns:a16="http://schemas.microsoft.com/office/drawing/2014/main" id="{E6982462-AAD4-45F0-B441-A92D6DBB5C91}"/>
            </a:ext>
          </a:extLst>
        </xdr:cNvPr>
        <xdr:cNvGrpSpPr/>
      </xdr:nvGrpSpPr>
      <xdr:grpSpPr>
        <a:xfrm>
          <a:off x="7559164" y="65752348"/>
          <a:ext cx="761606" cy="1104402"/>
          <a:chOff x="5004048" y="2437340"/>
          <a:chExt cx="792086" cy="1113111"/>
        </a:xfrm>
      </xdr:grpSpPr>
      <xdr:sp macro="" textlink="">
        <xdr:nvSpPr>
          <xdr:cNvPr id="99" name="Flecha arriba 26">
            <a:extLst>
              <a:ext uri="{FF2B5EF4-FFF2-40B4-BE49-F238E27FC236}">
                <a16:creationId xmlns:a16="http://schemas.microsoft.com/office/drawing/2014/main" id="{B3AD1F6E-F384-4578-924A-E4396CD520BE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100" name="Flecha arriba 27">
            <a:extLst>
              <a:ext uri="{FF2B5EF4-FFF2-40B4-BE49-F238E27FC236}">
                <a16:creationId xmlns:a16="http://schemas.microsoft.com/office/drawing/2014/main" id="{0E273F69-DBF2-4B1E-B727-F45835CBA33B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101" name="CuadroTexto 18">
            <a:extLst>
              <a:ext uri="{FF2B5EF4-FFF2-40B4-BE49-F238E27FC236}">
                <a16:creationId xmlns:a16="http://schemas.microsoft.com/office/drawing/2014/main" id="{133C4128-CE36-44E0-8B30-F058A100DA5A}"/>
              </a:ext>
            </a:extLst>
          </xdr:cNvPr>
          <xdr:cNvSpPr txBox="1"/>
        </xdr:nvSpPr>
        <xdr:spPr>
          <a:xfrm>
            <a:off x="5145673" y="2437340"/>
            <a:ext cx="63034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U2Y</a:t>
            </a:r>
          </a:p>
        </xdr:txBody>
      </xdr:sp>
      <xdr:sp macro="" textlink="">
        <xdr:nvSpPr>
          <xdr:cNvPr id="102" name="CuadroTexto 19">
            <a:extLst>
              <a:ext uri="{FF2B5EF4-FFF2-40B4-BE49-F238E27FC236}">
                <a16:creationId xmlns:a16="http://schemas.microsoft.com/office/drawing/2014/main" id="{850D3A92-7357-4283-A88E-C9EF01BE3E71}"/>
              </a:ext>
            </a:extLst>
          </xdr:cNvPr>
          <xdr:cNvSpPr txBox="1"/>
        </xdr:nvSpPr>
        <xdr:spPr>
          <a:xfrm>
            <a:off x="5145673" y="3242674"/>
            <a:ext cx="583813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U2X</a:t>
            </a:r>
          </a:p>
        </xdr:txBody>
      </xdr:sp>
    </xdr:grpSp>
    <xdr:clientData/>
  </xdr:twoCellAnchor>
  <xdr:twoCellAnchor>
    <xdr:from>
      <xdr:col>3</xdr:col>
      <xdr:colOff>693264</xdr:colOff>
      <xdr:row>348</xdr:row>
      <xdr:rowOff>159882</xdr:rowOff>
    </xdr:from>
    <xdr:to>
      <xdr:col>4</xdr:col>
      <xdr:colOff>692870</xdr:colOff>
      <xdr:row>355</xdr:row>
      <xdr:rowOff>5606</xdr:rowOff>
    </xdr:to>
    <xdr:grpSp>
      <xdr:nvGrpSpPr>
        <xdr:cNvPr id="103" name="Grupo 102">
          <a:extLst>
            <a:ext uri="{FF2B5EF4-FFF2-40B4-BE49-F238E27FC236}">
              <a16:creationId xmlns:a16="http://schemas.microsoft.com/office/drawing/2014/main" id="{34B93A72-487D-4ADA-ABC8-49514A6B6288}"/>
            </a:ext>
          </a:extLst>
        </xdr:cNvPr>
        <xdr:cNvGrpSpPr/>
      </xdr:nvGrpSpPr>
      <xdr:grpSpPr>
        <a:xfrm>
          <a:off x="2979264" y="63297025"/>
          <a:ext cx="761606" cy="1115724"/>
          <a:chOff x="5004048" y="2437340"/>
          <a:chExt cx="792086" cy="1125884"/>
        </a:xfrm>
      </xdr:grpSpPr>
      <xdr:sp macro="" textlink="">
        <xdr:nvSpPr>
          <xdr:cNvPr id="104" name="Flecha arriba 26">
            <a:extLst>
              <a:ext uri="{FF2B5EF4-FFF2-40B4-BE49-F238E27FC236}">
                <a16:creationId xmlns:a16="http://schemas.microsoft.com/office/drawing/2014/main" id="{A8FBA220-D6F1-47DF-86F5-E66F809ED6A6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105" name="Flecha arriba 27">
            <a:extLst>
              <a:ext uri="{FF2B5EF4-FFF2-40B4-BE49-F238E27FC236}">
                <a16:creationId xmlns:a16="http://schemas.microsoft.com/office/drawing/2014/main" id="{64703364-727F-4C5B-9661-4EE351E54C11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106" name="CuadroTexto 23">
            <a:extLst>
              <a:ext uri="{FF2B5EF4-FFF2-40B4-BE49-F238E27FC236}">
                <a16:creationId xmlns:a16="http://schemas.microsoft.com/office/drawing/2014/main" id="{604F9BE0-4D43-41D6-85B9-F5974D28231D}"/>
              </a:ext>
            </a:extLst>
          </xdr:cNvPr>
          <xdr:cNvSpPr txBox="1"/>
        </xdr:nvSpPr>
        <xdr:spPr>
          <a:xfrm>
            <a:off x="5145673" y="2437340"/>
            <a:ext cx="52253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U4Y</a:t>
            </a:r>
          </a:p>
        </xdr:txBody>
      </xdr:sp>
      <xdr:sp macro="" textlink="">
        <xdr:nvSpPr>
          <xdr:cNvPr id="107" name="CuadroTexto 24">
            <a:extLst>
              <a:ext uri="{FF2B5EF4-FFF2-40B4-BE49-F238E27FC236}">
                <a16:creationId xmlns:a16="http://schemas.microsoft.com/office/drawing/2014/main" id="{5C6EAAF3-47ED-4ACC-8FEF-E7352E1E855F}"/>
              </a:ext>
            </a:extLst>
          </xdr:cNvPr>
          <xdr:cNvSpPr txBox="1"/>
        </xdr:nvSpPr>
        <xdr:spPr>
          <a:xfrm>
            <a:off x="5157567" y="3255447"/>
            <a:ext cx="52417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U4X</a:t>
            </a:r>
          </a:p>
        </xdr:txBody>
      </xdr:sp>
    </xdr:grpSp>
    <xdr:clientData/>
  </xdr:twoCellAnchor>
  <xdr:twoCellAnchor>
    <xdr:from>
      <xdr:col>9</xdr:col>
      <xdr:colOff>238179</xdr:colOff>
      <xdr:row>346</xdr:row>
      <xdr:rowOff>0</xdr:rowOff>
    </xdr:from>
    <xdr:to>
      <xdr:col>10</xdr:col>
      <xdr:colOff>237785</xdr:colOff>
      <xdr:row>352</xdr:row>
      <xdr:rowOff>46193</xdr:rowOff>
    </xdr:to>
    <xdr:grpSp>
      <xdr:nvGrpSpPr>
        <xdr:cNvPr id="108" name="Grupo 107">
          <a:extLst>
            <a:ext uri="{FF2B5EF4-FFF2-40B4-BE49-F238E27FC236}">
              <a16:creationId xmlns:a16="http://schemas.microsoft.com/office/drawing/2014/main" id="{2F76A92F-E7F3-461D-8495-64AB46A4C80F}"/>
            </a:ext>
          </a:extLst>
        </xdr:cNvPr>
        <xdr:cNvGrpSpPr/>
      </xdr:nvGrpSpPr>
      <xdr:grpSpPr>
        <a:xfrm>
          <a:off x="7096179" y="62774286"/>
          <a:ext cx="761606" cy="1134764"/>
          <a:chOff x="5004048" y="2437340"/>
          <a:chExt cx="792086" cy="1143473"/>
        </a:xfrm>
      </xdr:grpSpPr>
      <xdr:sp macro="" textlink="">
        <xdr:nvSpPr>
          <xdr:cNvPr id="109" name="Flecha arriba 26">
            <a:extLst>
              <a:ext uri="{FF2B5EF4-FFF2-40B4-BE49-F238E27FC236}">
                <a16:creationId xmlns:a16="http://schemas.microsoft.com/office/drawing/2014/main" id="{5D337020-4B71-41CE-810E-DF00B97E1525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110" name="Flecha arriba 27">
            <a:extLst>
              <a:ext uri="{FF2B5EF4-FFF2-40B4-BE49-F238E27FC236}">
                <a16:creationId xmlns:a16="http://schemas.microsoft.com/office/drawing/2014/main" id="{BF4C5128-EA6D-4390-8094-62730C1D0CB9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111" name="CuadroTexto 28">
            <a:extLst>
              <a:ext uri="{FF2B5EF4-FFF2-40B4-BE49-F238E27FC236}">
                <a16:creationId xmlns:a16="http://schemas.microsoft.com/office/drawing/2014/main" id="{4C19C0F8-245F-43FD-B8CB-387B17F739FC}"/>
              </a:ext>
            </a:extLst>
          </xdr:cNvPr>
          <xdr:cNvSpPr txBox="1"/>
        </xdr:nvSpPr>
        <xdr:spPr>
          <a:xfrm>
            <a:off x="5145674" y="2437340"/>
            <a:ext cx="58927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U3Y</a:t>
            </a:r>
          </a:p>
        </xdr:txBody>
      </xdr:sp>
      <xdr:sp macro="" textlink="">
        <xdr:nvSpPr>
          <xdr:cNvPr id="112" name="CuadroTexto 29">
            <a:extLst>
              <a:ext uri="{FF2B5EF4-FFF2-40B4-BE49-F238E27FC236}">
                <a16:creationId xmlns:a16="http://schemas.microsoft.com/office/drawing/2014/main" id="{586AA1E5-9BE5-4093-8603-9C2B7F666D0C}"/>
              </a:ext>
            </a:extLst>
          </xdr:cNvPr>
          <xdr:cNvSpPr txBox="1"/>
        </xdr:nvSpPr>
        <xdr:spPr>
          <a:xfrm>
            <a:off x="5148404" y="3273036"/>
            <a:ext cx="58381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U3X</a:t>
            </a:r>
          </a:p>
        </xdr:txBody>
      </xdr:sp>
    </xdr:grpSp>
    <xdr:clientData/>
  </xdr:twoCellAnchor>
  <xdr:twoCellAnchor>
    <xdr:from>
      <xdr:col>3</xdr:col>
      <xdr:colOff>0</xdr:colOff>
      <xdr:row>364</xdr:row>
      <xdr:rowOff>131898</xdr:rowOff>
    </xdr:from>
    <xdr:to>
      <xdr:col>3</xdr:col>
      <xdr:colOff>792086</xdr:colOff>
      <xdr:row>370</xdr:row>
      <xdr:rowOff>165301</xdr:rowOff>
    </xdr:to>
    <xdr:grpSp>
      <xdr:nvGrpSpPr>
        <xdr:cNvPr id="113" name="Grupo 112">
          <a:extLst>
            <a:ext uri="{FF2B5EF4-FFF2-40B4-BE49-F238E27FC236}">
              <a16:creationId xmlns:a16="http://schemas.microsoft.com/office/drawing/2014/main" id="{39562F06-DDE4-4A38-BD55-8EEDAC5A857B}"/>
            </a:ext>
          </a:extLst>
        </xdr:cNvPr>
        <xdr:cNvGrpSpPr/>
      </xdr:nvGrpSpPr>
      <xdr:grpSpPr>
        <a:xfrm>
          <a:off x="2286000" y="66171898"/>
          <a:ext cx="760336" cy="1121974"/>
          <a:chOff x="5004048" y="2437340"/>
          <a:chExt cx="792086" cy="1130683"/>
        </a:xfrm>
      </xdr:grpSpPr>
      <xdr:sp macro="" textlink="">
        <xdr:nvSpPr>
          <xdr:cNvPr id="114" name="Flecha arriba 26">
            <a:extLst>
              <a:ext uri="{FF2B5EF4-FFF2-40B4-BE49-F238E27FC236}">
                <a16:creationId xmlns:a16="http://schemas.microsoft.com/office/drawing/2014/main" id="{1539BC99-D6BC-4D5A-9D96-FC38F0B019AF}"/>
              </a:ext>
            </a:extLst>
          </xdr:cNvPr>
          <xdr:cNvSpPr/>
        </xdr:nvSpPr>
        <xdr:spPr>
          <a:xfrm>
            <a:off x="5004048" y="2591229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115" name="Flecha arriba 27">
            <a:extLst>
              <a:ext uri="{FF2B5EF4-FFF2-40B4-BE49-F238E27FC236}">
                <a16:creationId xmlns:a16="http://schemas.microsoft.com/office/drawing/2014/main" id="{9D3F6932-701F-429E-9A67-66DC87F8E48B}"/>
              </a:ext>
            </a:extLst>
          </xdr:cNvPr>
          <xdr:cNvSpPr/>
        </xdr:nvSpPr>
        <xdr:spPr>
          <a:xfrm rot="5400000">
            <a:off x="5400091" y="2955957"/>
            <a:ext cx="288032" cy="504055"/>
          </a:xfrm>
          <a:prstGeom prst="upArrow">
            <a:avLst/>
          </a:prstGeom>
          <a:noFill/>
          <a:ln w="254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116" name="CuadroTexto 34">
            <a:extLst>
              <a:ext uri="{FF2B5EF4-FFF2-40B4-BE49-F238E27FC236}">
                <a16:creationId xmlns:a16="http://schemas.microsoft.com/office/drawing/2014/main" id="{FDEA6D5B-7038-479E-BA31-059EDD0078DA}"/>
              </a:ext>
            </a:extLst>
          </xdr:cNvPr>
          <xdr:cNvSpPr txBox="1"/>
        </xdr:nvSpPr>
        <xdr:spPr>
          <a:xfrm>
            <a:off x="5145674" y="2437340"/>
            <a:ext cx="600824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U1Y</a:t>
            </a:r>
          </a:p>
        </xdr:txBody>
      </xdr:sp>
      <xdr:sp macro="" textlink="">
        <xdr:nvSpPr>
          <xdr:cNvPr id="117" name="CuadroTexto 35">
            <a:extLst>
              <a:ext uri="{FF2B5EF4-FFF2-40B4-BE49-F238E27FC236}">
                <a16:creationId xmlns:a16="http://schemas.microsoft.com/office/drawing/2014/main" id="{EB498E24-A41D-439F-989A-B29CFCE22D6F}"/>
              </a:ext>
            </a:extLst>
          </xdr:cNvPr>
          <xdr:cNvSpPr txBox="1"/>
        </xdr:nvSpPr>
        <xdr:spPr>
          <a:xfrm>
            <a:off x="5168904" y="3260246"/>
            <a:ext cx="601057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s-PE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sz="1400" b="1">
                <a:solidFill>
                  <a:srgbClr val="00B0F0"/>
                </a:solidFill>
              </a:rPr>
              <a:t>U1X</a:t>
            </a:r>
          </a:p>
        </xdr:txBody>
      </xdr:sp>
    </xdr:grpSp>
    <xdr:clientData/>
  </xdr:twoCellAnchor>
  <xdr:twoCellAnchor>
    <xdr:from>
      <xdr:col>6</xdr:col>
      <xdr:colOff>89547</xdr:colOff>
      <xdr:row>367</xdr:row>
      <xdr:rowOff>134258</xdr:rowOff>
    </xdr:from>
    <xdr:to>
      <xdr:col>7</xdr:col>
      <xdr:colOff>652253</xdr:colOff>
      <xdr:row>367</xdr:row>
      <xdr:rowOff>134258</xdr:rowOff>
    </xdr:to>
    <xdr:cxnSp macro="">
      <xdr:nvCxnSpPr>
        <xdr:cNvPr id="118" name="Conector recto de flecha 117">
          <a:extLst>
            <a:ext uri="{FF2B5EF4-FFF2-40B4-BE49-F238E27FC236}">
              <a16:creationId xmlns:a16="http://schemas.microsoft.com/office/drawing/2014/main" id="{F43D4E79-C0E1-4C19-BF1A-9C69AFF87BDD}"/>
            </a:ext>
          </a:extLst>
        </xdr:cNvPr>
        <xdr:cNvCxnSpPr>
          <a:cxnSpLocks/>
        </xdr:cNvCxnSpPr>
      </xdr:nvCxnSpPr>
      <xdr:spPr>
        <a:xfrm>
          <a:off x="6795147" y="66552083"/>
          <a:ext cx="1400906" cy="0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362785</xdr:colOff>
      <xdr:row>357</xdr:row>
      <xdr:rowOff>149310</xdr:rowOff>
    </xdr:from>
    <xdr:to>
      <xdr:col>7</xdr:col>
      <xdr:colOff>691163</xdr:colOff>
      <xdr:row>362</xdr:row>
      <xdr:rowOff>34453</xdr:rowOff>
    </xdr:to>
    <xdr:cxnSp macro="">
      <xdr:nvCxnSpPr>
        <xdr:cNvPr id="119" name="Conector recto de flecha 118">
          <a:extLst>
            <a:ext uri="{FF2B5EF4-FFF2-40B4-BE49-F238E27FC236}">
              <a16:creationId xmlns:a16="http://schemas.microsoft.com/office/drawing/2014/main" id="{A3396A6F-3524-4DA5-BFAB-91F5305582E8}"/>
            </a:ext>
          </a:extLst>
        </xdr:cNvPr>
        <xdr:cNvCxnSpPr>
          <a:cxnSpLocks/>
        </xdr:cNvCxnSpPr>
      </xdr:nvCxnSpPr>
      <xdr:spPr>
        <a:xfrm flipH="1" flipV="1">
          <a:off x="7068385" y="64757385"/>
          <a:ext cx="1166578" cy="79001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71354</xdr:colOff>
      <xdr:row>359</xdr:row>
      <xdr:rowOff>178824</xdr:rowOff>
    </xdr:from>
    <xdr:to>
      <xdr:col>5</xdr:col>
      <xdr:colOff>408951</xdr:colOff>
      <xdr:row>365</xdr:row>
      <xdr:rowOff>75686</xdr:rowOff>
    </xdr:to>
    <xdr:cxnSp macro="">
      <xdr:nvCxnSpPr>
        <xdr:cNvPr id="120" name="Conector recto de flecha 119">
          <a:extLst>
            <a:ext uri="{FF2B5EF4-FFF2-40B4-BE49-F238E27FC236}">
              <a16:creationId xmlns:a16="http://schemas.microsoft.com/office/drawing/2014/main" id="{C08954CB-E831-4571-BEFD-ED98B9059585}"/>
            </a:ext>
          </a:extLst>
        </xdr:cNvPr>
        <xdr:cNvCxnSpPr>
          <a:cxnSpLocks/>
        </xdr:cNvCxnSpPr>
      </xdr:nvCxnSpPr>
      <xdr:spPr>
        <a:xfrm flipH="1">
          <a:off x="5938754" y="65148849"/>
          <a:ext cx="337597" cy="982712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324901</xdr:colOff>
      <xdr:row>352</xdr:row>
      <xdr:rowOff>12521</xdr:rowOff>
    </xdr:from>
    <xdr:to>
      <xdr:col>8</xdr:col>
      <xdr:colOff>85962</xdr:colOff>
      <xdr:row>354</xdr:row>
      <xdr:rowOff>115894</xdr:rowOff>
    </xdr:to>
    <xdr:cxnSp macro="">
      <xdr:nvCxnSpPr>
        <xdr:cNvPr id="121" name="Conector recto de flecha 120">
          <a:extLst>
            <a:ext uri="{FF2B5EF4-FFF2-40B4-BE49-F238E27FC236}">
              <a16:creationId xmlns:a16="http://schemas.microsoft.com/office/drawing/2014/main" id="{18659937-904C-47EF-83F7-823CBD4EB25D}"/>
            </a:ext>
          </a:extLst>
        </xdr:cNvPr>
        <xdr:cNvCxnSpPr>
          <a:cxnSpLocks/>
        </xdr:cNvCxnSpPr>
      </xdr:nvCxnSpPr>
      <xdr:spPr>
        <a:xfrm flipH="1">
          <a:off x="7030501" y="63715721"/>
          <a:ext cx="1437461" cy="465323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402668</xdr:colOff>
      <xdr:row>356</xdr:row>
      <xdr:rowOff>69930</xdr:rowOff>
    </xdr:from>
    <xdr:to>
      <xdr:col>8</xdr:col>
      <xdr:colOff>728885</xdr:colOff>
      <xdr:row>363</xdr:row>
      <xdr:rowOff>46213</xdr:rowOff>
    </xdr:to>
    <xdr:cxnSp macro="">
      <xdr:nvCxnSpPr>
        <xdr:cNvPr id="122" name="Conector recto de flecha 121">
          <a:extLst>
            <a:ext uri="{FF2B5EF4-FFF2-40B4-BE49-F238E27FC236}">
              <a16:creationId xmlns:a16="http://schemas.microsoft.com/office/drawing/2014/main" id="{BD75367F-B96A-4486-AE4E-D9F203058336}"/>
            </a:ext>
          </a:extLst>
        </xdr:cNvPr>
        <xdr:cNvCxnSpPr>
          <a:cxnSpLocks/>
        </xdr:cNvCxnSpPr>
      </xdr:nvCxnSpPr>
      <xdr:spPr>
        <a:xfrm flipH="1" flipV="1">
          <a:off x="8784668" y="64497030"/>
          <a:ext cx="326217" cy="1243108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404912</xdr:colOff>
      <xdr:row>348</xdr:row>
      <xdr:rowOff>95376</xdr:rowOff>
    </xdr:from>
    <xdr:to>
      <xdr:col>8</xdr:col>
      <xdr:colOff>404912</xdr:colOff>
      <xdr:row>351</xdr:row>
      <xdr:rowOff>97252</xdr:rowOff>
    </xdr:to>
    <xdr:cxnSp macro="">
      <xdr:nvCxnSpPr>
        <xdr:cNvPr id="123" name="Conector recto de flecha 122">
          <a:extLst>
            <a:ext uri="{FF2B5EF4-FFF2-40B4-BE49-F238E27FC236}">
              <a16:creationId xmlns:a16="http://schemas.microsoft.com/office/drawing/2014/main" id="{6E285462-2689-4388-8DD4-D501B0BA3A14}"/>
            </a:ext>
          </a:extLst>
        </xdr:cNvPr>
        <xdr:cNvCxnSpPr>
          <a:cxnSpLocks/>
        </xdr:cNvCxnSpPr>
      </xdr:nvCxnSpPr>
      <xdr:spPr>
        <a:xfrm>
          <a:off x="8786912" y="63074676"/>
          <a:ext cx="0" cy="544801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685132</xdr:colOff>
      <xdr:row>364</xdr:row>
      <xdr:rowOff>27494</xdr:rowOff>
    </xdr:from>
    <xdr:to>
      <xdr:col>4</xdr:col>
      <xdr:colOff>685132</xdr:colOff>
      <xdr:row>367</xdr:row>
      <xdr:rowOff>29370</xdr:rowOff>
    </xdr:to>
    <xdr:cxnSp macro="">
      <xdr:nvCxnSpPr>
        <xdr:cNvPr id="124" name="Conector recto de flecha 123">
          <a:extLst>
            <a:ext uri="{FF2B5EF4-FFF2-40B4-BE49-F238E27FC236}">
              <a16:creationId xmlns:a16="http://schemas.microsoft.com/office/drawing/2014/main" id="{0717F2E3-047B-47A1-98A8-4EA1975D32A3}"/>
            </a:ext>
          </a:extLst>
        </xdr:cNvPr>
        <xdr:cNvCxnSpPr>
          <a:cxnSpLocks/>
        </xdr:cNvCxnSpPr>
      </xdr:nvCxnSpPr>
      <xdr:spPr>
        <a:xfrm>
          <a:off x="5714332" y="65902394"/>
          <a:ext cx="0" cy="544801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141211</xdr:colOff>
      <xdr:row>367</xdr:row>
      <xdr:rowOff>41660</xdr:rowOff>
    </xdr:from>
    <xdr:to>
      <xdr:col>4</xdr:col>
      <xdr:colOff>664696</xdr:colOff>
      <xdr:row>367</xdr:row>
      <xdr:rowOff>41660</xdr:rowOff>
    </xdr:to>
    <xdr:cxnSp macro="">
      <xdr:nvCxnSpPr>
        <xdr:cNvPr id="125" name="Conector recto de flecha 124">
          <a:extLst>
            <a:ext uri="{FF2B5EF4-FFF2-40B4-BE49-F238E27FC236}">
              <a16:creationId xmlns:a16="http://schemas.microsoft.com/office/drawing/2014/main" id="{977428E9-4F45-4065-90EB-72668CECDAB8}"/>
            </a:ext>
          </a:extLst>
        </xdr:cNvPr>
        <xdr:cNvCxnSpPr>
          <a:cxnSpLocks/>
        </xdr:cNvCxnSpPr>
      </xdr:nvCxnSpPr>
      <xdr:spPr>
        <a:xfrm>
          <a:off x="5170411" y="66459485"/>
          <a:ext cx="523485" cy="0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658142</xdr:colOff>
      <xdr:row>351</xdr:row>
      <xdr:rowOff>90535</xdr:rowOff>
    </xdr:from>
    <xdr:to>
      <xdr:col>8</xdr:col>
      <xdr:colOff>389147</xdr:colOff>
      <xdr:row>351</xdr:row>
      <xdr:rowOff>90535</xdr:rowOff>
    </xdr:to>
    <xdr:cxnSp macro="">
      <xdr:nvCxnSpPr>
        <xdr:cNvPr id="126" name="Conector recto de flecha 125">
          <a:extLst>
            <a:ext uri="{FF2B5EF4-FFF2-40B4-BE49-F238E27FC236}">
              <a16:creationId xmlns:a16="http://schemas.microsoft.com/office/drawing/2014/main" id="{4D4E50AA-97CA-4CBC-9E06-9C3A12350672}"/>
            </a:ext>
          </a:extLst>
        </xdr:cNvPr>
        <xdr:cNvCxnSpPr>
          <a:cxnSpLocks/>
        </xdr:cNvCxnSpPr>
      </xdr:nvCxnSpPr>
      <xdr:spPr>
        <a:xfrm>
          <a:off x="8201942" y="63612760"/>
          <a:ext cx="569205" cy="0"/>
        </a:xfrm>
        <a:prstGeom prst="straightConnector1">
          <a:avLst/>
        </a:prstGeom>
        <a:ln w="57150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16039</xdr:colOff>
      <xdr:row>347</xdr:row>
      <xdr:rowOff>34131</xdr:rowOff>
    </xdr:from>
    <xdr:to>
      <xdr:col>8</xdr:col>
      <xdr:colOff>785802</xdr:colOff>
      <xdr:row>348</xdr:row>
      <xdr:rowOff>128250</xdr:rowOff>
    </xdr:to>
    <xdr:sp macro="" textlink="">
      <xdr:nvSpPr>
        <xdr:cNvPr id="127" name="CuadroTexto 39">
          <a:extLst>
            <a:ext uri="{FF2B5EF4-FFF2-40B4-BE49-F238E27FC236}">
              <a16:creationId xmlns:a16="http://schemas.microsoft.com/office/drawing/2014/main" id="{F3F90BE3-617E-4B45-B7ED-CB223F85C143}"/>
            </a:ext>
          </a:extLst>
        </xdr:cNvPr>
        <xdr:cNvSpPr txBox="1"/>
      </xdr:nvSpPr>
      <xdr:spPr>
        <a:xfrm>
          <a:off x="8398039" y="62832456"/>
          <a:ext cx="769763" cy="27509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200">
              <a:solidFill>
                <a:srgbClr val="C00000"/>
              </a:solidFill>
            </a:rPr>
            <a:t>2000 Kgf</a:t>
          </a:r>
        </a:p>
      </xdr:txBody>
    </xdr:sp>
    <xdr:clientData/>
  </xdr:twoCellAnchor>
  <xdr:twoCellAnchor>
    <xdr:from>
      <xdr:col>7</xdr:col>
      <xdr:colOff>144646</xdr:colOff>
      <xdr:row>349</xdr:row>
      <xdr:rowOff>138704</xdr:rowOff>
    </xdr:from>
    <xdr:to>
      <xdr:col>8</xdr:col>
      <xdr:colOff>222917</xdr:colOff>
      <xdr:row>351</xdr:row>
      <xdr:rowOff>80721</xdr:rowOff>
    </xdr:to>
    <xdr:sp macro="" textlink="">
      <xdr:nvSpPr>
        <xdr:cNvPr id="128" name="CuadroTexto 40">
          <a:extLst>
            <a:ext uri="{FF2B5EF4-FFF2-40B4-BE49-F238E27FC236}">
              <a16:creationId xmlns:a16="http://schemas.microsoft.com/office/drawing/2014/main" id="{B58FC5E0-C4C8-4704-8A48-DF9E85F8DD3B}"/>
            </a:ext>
          </a:extLst>
        </xdr:cNvPr>
        <xdr:cNvSpPr txBox="1"/>
      </xdr:nvSpPr>
      <xdr:spPr>
        <a:xfrm>
          <a:off x="7688446" y="63298979"/>
          <a:ext cx="916471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400" b="1">
              <a:solidFill>
                <a:srgbClr val="C00000"/>
              </a:solidFill>
            </a:rPr>
            <a:t>1000 Kgf</a:t>
          </a:r>
        </a:p>
      </xdr:txBody>
    </xdr:sp>
    <xdr:clientData/>
  </xdr:twoCellAnchor>
  <xdr:twoCellAnchor>
    <xdr:from>
      <xdr:col>4</xdr:col>
      <xdr:colOff>239681</xdr:colOff>
      <xdr:row>362</xdr:row>
      <xdr:rowOff>81119</xdr:rowOff>
    </xdr:from>
    <xdr:to>
      <xdr:col>5</xdr:col>
      <xdr:colOff>317952</xdr:colOff>
      <xdr:row>364</xdr:row>
      <xdr:rowOff>23136</xdr:rowOff>
    </xdr:to>
    <xdr:sp macro="" textlink="">
      <xdr:nvSpPr>
        <xdr:cNvPr id="129" name="CuadroTexto 42">
          <a:extLst>
            <a:ext uri="{FF2B5EF4-FFF2-40B4-BE49-F238E27FC236}">
              <a16:creationId xmlns:a16="http://schemas.microsoft.com/office/drawing/2014/main" id="{F50E4D51-7F04-49BA-BB15-5770AC9DE1E1}"/>
            </a:ext>
          </a:extLst>
        </xdr:cNvPr>
        <xdr:cNvSpPr txBox="1"/>
      </xdr:nvSpPr>
      <xdr:spPr>
        <a:xfrm>
          <a:off x="5268881" y="65594069"/>
          <a:ext cx="916471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>
              <a:solidFill>
                <a:srgbClr val="C00000"/>
              </a:solidFill>
            </a:rPr>
            <a:t>1000 Kgf</a:t>
          </a:r>
        </a:p>
      </xdr:txBody>
    </xdr:sp>
    <xdr:clientData/>
  </xdr:twoCellAnchor>
  <xdr:twoCellAnchor>
    <xdr:from>
      <xdr:col>3</xdr:col>
      <xdr:colOff>461083</xdr:colOff>
      <xdr:row>365</xdr:row>
      <xdr:rowOff>130044</xdr:rowOff>
    </xdr:from>
    <xdr:to>
      <xdr:col>4</xdr:col>
      <xdr:colOff>539354</xdr:colOff>
      <xdr:row>367</xdr:row>
      <xdr:rowOff>72061</xdr:rowOff>
    </xdr:to>
    <xdr:sp macro="" textlink="">
      <xdr:nvSpPr>
        <xdr:cNvPr id="130" name="CuadroTexto 53">
          <a:extLst>
            <a:ext uri="{FF2B5EF4-FFF2-40B4-BE49-F238E27FC236}">
              <a16:creationId xmlns:a16="http://schemas.microsoft.com/office/drawing/2014/main" id="{CBA8C37A-A268-48F1-985A-81CEF246A488}"/>
            </a:ext>
          </a:extLst>
        </xdr:cNvPr>
        <xdr:cNvSpPr txBox="1"/>
      </xdr:nvSpPr>
      <xdr:spPr>
        <a:xfrm>
          <a:off x="4652083" y="66185919"/>
          <a:ext cx="916471" cy="30396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400" b="1" kern="1200">
              <a:solidFill>
                <a:srgbClr val="FF0000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>
              <a:solidFill>
                <a:srgbClr val="C00000"/>
              </a:solidFill>
            </a:rPr>
            <a:t>2000 Kgf</a:t>
          </a:r>
        </a:p>
      </xdr:txBody>
    </xdr:sp>
    <xdr:clientData/>
  </xdr:twoCellAnchor>
  <xdr:twoCellAnchor>
    <xdr:from>
      <xdr:col>8</xdr:col>
      <xdr:colOff>60960</xdr:colOff>
      <xdr:row>367</xdr:row>
      <xdr:rowOff>175261</xdr:rowOff>
    </xdr:from>
    <xdr:to>
      <xdr:col>8</xdr:col>
      <xdr:colOff>565015</xdr:colOff>
      <xdr:row>369</xdr:row>
      <xdr:rowOff>97533</xdr:rowOff>
    </xdr:to>
    <xdr:sp macro="" textlink="">
      <xdr:nvSpPr>
        <xdr:cNvPr id="131" name="Flecha arriba 27">
          <a:extLst>
            <a:ext uri="{FF2B5EF4-FFF2-40B4-BE49-F238E27FC236}">
              <a16:creationId xmlns:a16="http://schemas.microsoft.com/office/drawing/2014/main" id="{CE018B7B-8982-475A-8774-EAB549246861}"/>
            </a:ext>
          </a:extLst>
        </xdr:cNvPr>
        <xdr:cNvSpPr/>
      </xdr:nvSpPr>
      <xdr:spPr>
        <a:xfrm rot="16200000">
          <a:off x="8552877" y="66483169"/>
          <a:ext cx="284222" cy="504055"/>
        </a:xfrm>
        <a:prstGeom prst="upArrow">
          <a:avLst/>
        </a:prstGeom>
        <a:solidFill>
          <a:srgbClr val="FFFF00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9</xdr:col>
      <xdr:colOff>138493</xdr:colOff>
      <xdr:row>367</xdr:row>
      <xdr:rowOff>82486</xdr:rowOff>
    </xdr:from>
    <xdr:to>
      <xdr:col>9</xdr:col>
      <xdr:colOff>426525</xdr:colOff>
      <xdr:row>370</xdr:row>
      <xdr:rowOff>37901</xdr:rowOff>
    </xdr:to>
    <xdr:sp macro="" textlink="">
      <xdr:nvSpPr>
        <xdr:cNvPr id="132" name="Flecha arriba 27">
          <a:extLst>
            <a:ext uri="{FF2B5EF4-FFF2-40B4-BE49-F238E27FC236}">
              <a16:creationId xmlns:a16="http://schemas.microsoft.com/office/drawing/2014/main" id="{7D0A6EB4-0C42-42D4-BFF4-35ECA52E6EFF}"/>
            </a:ext>
          </a:extLst>
        </xdr:cNvPr>
        <xdr:cNvSpPr/>
      </xdr:nvSpPr>
      <xdr:spPr>
        <a:xfrm rot="21449485">
          <a:off x="9358693" y="66500311"/>
          <a:ext cx="288032" cy="498340"/>
        </a:xfrm>
        <a:prstGeom prst="upArrow">
          <a:avLst/>
        </a:prstGeom>
        <a:solidFill>
          <a:srgbClr val="FFFF00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5</xdr:col>
      <xdr:colOff>481392</xdr:colOff>
      <xdr:row>350</xdr:row>
      <xdr:rowOff>6289</xdr:rowOff>
    </xdr:from>
    <xdr:to>
      <xdr:col>5</xdr:col>
      <xdr:colOff>769424</xdr:colOff>
      <xdr:row>352</xdr:row>
      <xdr:rowOff>144584</xdr:rowOff>
    </xdr:to>
    <xdr:sp macro="" textlink="">
      <xdr:nvSpPr>
        <xdr:cNvPr id="133" name="Flecha arriba 27">
          <a:extLst>
            <a:ext uri="{FF2B5EF4-FFF2-40B4-BE49-F238E27FC236}">
              <a16:creationId xmlns:a16="http://schemas.microsoft.com/office/drawing/2014/main" id="{90F1D438-B670-4AE1-9A57-184D313EE4F4}"/>
            </a:ext>
          </a:extLst>
        </xdr:cNvPr>
        <xdr:cNvSpPr/>
      </xdr:nvSpPr>
      <xdr:spPr>
        <a:xfrm>
          <a:off x="6348792" y="63347539"/>
          <a:ext cx="288032" cy="500245"/>
        </a:xfrm>
        <a:prstGeom prst="upArrow">
          <a:avLst/>
        </a:prstGeom>
        <a:solidFill>
          <a:srgbClr val="FFFF00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  <xdr:twoCellAnchor>
    <xdr:from>
      <xdr:col>5</xdr:col>
      <xdr:colOff>83821</xdr:colOff>
      <xdr:row>353</xdr:row>
      <xdr:rowOff>99061</xdr:rowOff>
    </xdr:from>
    <xdr:to>
      <xdr:col>5</xdr:col>
      <xdr:colOff>587876</xdr:colOff>
      <xdr:row>355</xdr:row>
      <xdr:rowOff>21333</xdr:rowOff>
    </xdr:to>
    <xdr:sp macro="" textlink="">
      <xdr:nvSpPr>
        <xdr:cNvPr id="134" name="Flecha arriba 27">
          <a:extLst>
            <a:ext uri="{FF2B5EF4-FFF2-40B4-BE49-F238E27FC236}">
              <a16:creationId xmlns:a16="http://schemas.microsoft.com/office/drawing/2014/main" id="{85289A8C-EA82-42B7-8DC9-B4235A88D48D}"/>
            </a:ext>
          </a:extLst>
        </xdr:cNvPr>
        <xdr:cNvSpPr/>
      </xdr:nvSpPr>
      <xdr:spPr>
        <a:xfrm rot="16200000">
          <a:off x="6061138" y="63873319"/>
          <a:ext cx="284222" cy="504055"/>
        </a:xfrm>
        <a:prstGeom prst="upArrow">
          <a:avLst/>
        </a:prstGeom>
        <a:solidFill>
          <a:srgbClr val="FFFF00"/>
        </a:solidFill>
        <a:ln w="254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MX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60CA-A253-4200-AE3A-49DF1DDF8A40}">
  <dimension ref="A3:O296"/>
  <sheetViews>
    <sheetView tabSelected="1" zoomScale="70" zoomScaleNormal="70" workbookViewId="0">
      <selection activeCell="C44" sqref="C44"/>
    </sheetView>
  </sheetViews>
  <sheetFormatPr baseColWidth="10" defaultRowHeight="14.5" x14ac:dyDescent="0.35"/>
  <cols>
    <col min="2" max="2" width="11.26953125" bestFit="1" customWidth="1"/>
    <col min="3" max="3" width="11.90625" customWidth="1"/>
    <col min="4" max="4" width="16" customWidth="1"/>
    <col min="5" max="8" width="14.26953125" bestFit="1" customWidth="1"/>
    <col min="9" max="14" width="11.26953125" bestFit="1" customWidth="1"/>
  </cols>
  <sheetData>
    <row r="3" spans="2:15" ht="15.5" x14ac:dyDescent="0.35">
      <c r="B3" s="45" t="s">
        <v>76</v>
      </c>
      <c r="C3" s="45" t="s">
        <v>18</v>
      </c>
      <c r="D3" s="45">
        <v>20</v>
      </c>
      <c r="E3" s="45" t="s">
        <v>77</v>
      </c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2:15" ht="15.5" x14ac:dyDescent="0.35">
      <c r="B4" s="45" t="s">
        <v>78</v>
      </c>
      <c r="C4" s="45" t="s">
        <v>19</v>
      </c>
      <c r="D4" s="45">
        <f>150000</f>
        <v>150000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2:15" ht="15.5" x14ac:dyDescent="0.35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 ht="15.5" x14ac:dyDescent="0.35">
      <c r="B6" s="119" t="s">
        <v>10</v>
      </c>
      <c r="C6" s="121" t="s">
        <v>8</v>
      </c>
      <c r="D6" s="122"/>
      <c r="E6" s="121" t="s">
        <v>9</v>
      </c>
      <c r="F6" s="122"/>
      <c r="G6" s="121"/>
      <c r="H6" s="123"/>
      <c r="I6" s="123"/>
      <c r="J6" s="123"/>
      <c r="K6" s="123"/>
      <c r="L6" s="123"/>
      <c r="M6" s="123"/>
      <c r="N6" s="122"/>
      <c r="O6" s="45"/>
    </row>
    <row r="7" spans="2:15" ht="15.5" x14ac:dyDescent="0.35">
      <c r="B7" s="120"/>
      <c r="C7" s="40" t="s">
        <v>11</v>
      </c>
      <c r="D7" s="40" t="s">
        <v>12</v>
      </c>
      <c r="E7" s="40" t="s">
        <v>11</v>
      </c>
      <c r="F7" s="40" t="s">
        <v>12</v>
      </c>
      <c r="G7" s="40" t="s">
        <v>13</v>
      </c>
      <c r="H7" s="40" t="s">
        <v>14</v>
      </c>
      <c r="I7" s="40" t="s">
        <v>15</v>
      </c>
      <c r="J7" s="40" t="s">
        <v>16</v>
      </c>
      <c r="K7" s="40" t="s">
        <v>17</v>
      </c>
      <c r="L7" s="40" t="s">
        <v>18</v>
      </c>
      <c r="M7" s="40" t="s">
        <v>19</v>
      </c>
      <c r="N7" s="40" t="s">
        <v>20</v>
      </c>
      <c r="O7" s="45"/>
    </row>
    <row r="8" spans="2:15" ht="15.5" x14ac:dyDescent="0.35">
      <c r="B8" s="43">
        <v>1</v>
      </c>
      <c r="C8" s="43">
        <v>-800</v>
      </c>
      <c r="D8" s="43">
        <v>-800</v>
      </c>
      <c r="E8" s="43">
        <v>200</v>
      </c>
      <c r="F8" s="43">
        <v>-800</v>
      </c>
      <c r="G8" s="43">
        <f>E8-C8</f>
        <v>1000</v>
      </c>
      <c r="H8" s="43">
        <f>F8-D8</f>
        <v>0</v>
      </c>
      <c r="I8" s="46">
        <f>SQRT((G8*G8)+(H8*H8))</f>
        <v>1000</v>
      </c>
      <c r="J8" s="46">
        <f>G8/I8</f>
        <v>1</v>
      </c>
      <c r="K8" s="46">
        <f>H8/I8</f>
        <v>0</v>
      </c>
      <c r="L8" s="43">
        <v>20</v>
      </c>
      <c r="M8" s="43">
        <v>150000</v>
      </c>
      <c r="N8" s="47">
        <f>(L8*M8)/I8</f>
        <v>3000</v>
      </c>
      <c r="O8" s="45"/>
    </row>
    <row r="9" spans="2:15" ht="15.5" x14ac:dyDescent="0.35">
      <c r="B9" s="43">
        <v>2</v>
      </c>
      <c r="C9" s="43">
        <v>200</v>
      </c>
      <c r="D9" s="43">
        <v>-800</v>
      </c>
      <c r="E9" s="43">
        <v>0</v>
      </c>
      <c r="F9" s="43">
        <v>0</v>
      </c>
      <c r="G9" s="43">
        <f t="shared" ref="G9:H12" si="0">E9-C9</f>
        <v>-200</v>
      </c>
      <c r="H9" s="43">
        <f t="shared" si="0"/>
        <v>800</v>
      </c>
      <c r="I9" s="46">
        <f t="shared" ref="I9:I12" si="1">SQRT(G9*G9+H9*H9)</f>
        <v>824.62112512353212</v>
      </c>
      <c r="J9" s="46">
        <f t="shared" ref="J9:J12" si="2">G9/I9</f>
        <v>-0.24253562503633297</v>
      </c>
      <c r="K9" s="46">
        <f t="shared" ref="K9:K11" si="3">H9/I9</f>
        <v>0.97014250014533188</v>
      </c>
      <c r="L9" s="43">
        <v>20</v>
      </c>
      <c r="M9" s="43">
        <v>150000</v>
      </c>
      <c r="N9" s="47">
        <f t="shared" ref="N9:N12" si="4">(L9*M9)/I9</f>
        <v>3638.0343755449944</v>
      </c>
      <c r="O9" s="45"/>
    </row>
    <row r="10" spans="2:15" ht="15.5" x14ac:dyDescent="0.35">
      <c r="B10" s="43">
        <v>3</v>
      </c>
      <c r="C10" s="43">
        <v>0</v>
      </c>
      <c r="D10" s="43">
        <v>0</v>
      </c>
      <c r="E10" s="43">
        <v>-600</v>
      </c>
      <c r="F10" s="43">
        <v>-200</v>
      </c>
      <c r="G10" s="43">
        <f t="shared" si="0"/>
        <v>-600</v>
      </c>
      <c r="H10" s="43">
        <f t="shared" si="0"/>
        <v>-200</v>
      </c>
      <c r="I10" s="46">
        <f t="shared" si="1"/>
        <v>632.45553203367592</v>
      </c>
      <c r="J10" s="46">
        <f t="shared" si="2"/>
        <v>-0.94868329805051377</v>
      </c>
      <c r="K10" s="46">
        <f t="shared" si="3"/>
        <v>-0.31622776601683789</v>
      </c>
      <c r="L10" s="43">
        <v>20</v>
      </c>
      <c r="M10" s="43">
        <v>150000</v>
      </c>
      <c r="N10" s="47">
        <f t="shared" si="4"/>
        <v>4743.416490252569</v>
      </c>
      <c r="O10" s="45"/>
    </row>
    <row r="11" spans="2:15" ht="15.5" x14ac:dyDescent="0.35">
      <c r="B11" s="43">
        <v>4</v>
      </c>
      <c r="C11" s="43">
        <v>-600</v>
      </c>
      <c r="D11" s="43">
        <v>-200</v>
      </c>
      <c r="E11" s="43">
        <v>-800</v>
      </c>
      <c r="F11" s="43">
        <v>-800</v>
      </c>
      <c r="G11" s="43">
        <f t="shared" si="0"/>
        <v>-200</v>
      </c>
      <c r="H11" s="43">
        <f t="shared" si="0"/>
        <v>-600</v>
      </c>
      <c r="I11" s="46">
        <f t="shared" si="1"/>
        <v>632.45553203367592</v>
      </c>
      <c r="J11" s="46">
        <f t="shared" si="2"/>
        <v>-0.31622776601683789</v>
      </c>
      <c r="K11" s="46">
        <f t="shared" si="3"/>
        <v>-0.94868329805051377</v>
      </c>
      <c r="L11" s="43">
        <v>20</v>
      </c>
      <c r="M11" s="43">
        <v>150000</v>
      </c>
      <c r="N11" s="47">
        <f t="shared" si="4"/>
        <v>4743.416490252569</v>
      </c>
      <c r="O11" s="45"/>
    </row>
    <row r="12" spans="2:15" ht="15.5" x14ac:dyDescent="0.35">
      <c r="B12" s="43">
        <v>5</v>
      </c>
      <c r="C12" s="43">
        <v>200</v>
      </c>
      <c r="D12" s="43">
        <v>-800</v>
      </c>
      <c r="E12" s="43">
        <v>-600</v>
      </c>
      <c r="F12" s="43">
        <v>-200</v>
      </c>
      <c r="G12" s="43">
        <f t="shared" si="0"/>
        <v>-800</v>
      </c>
      <c r="H12" s="43">
        <f t="shared" si="0"/>
        <v>600</v>
      </c>
      <c r="I12" s="46">
        <f t="shared" si="1"/>
        <v>1000</v>
      </c>
      <c r="J12" s="46">
        <f t="shared" si="2"/>
        <v>-0.8</v>
      </c>
      <c r="K12" s="46">
        <f>H12/I12</f>
        <v>0.6</v>
      </c>
      <c r="L12" s="43">
        <v>20</v>
      </c>
      <c r="M12" s="43">
        <v>150000</v>
      </c>
      <c r="N12" s="47">
        <f t="shared" si="4"/>
        <v>3000</v>
      </c>
      <c r="O12" s="45"/>
    </row>
    <row r="13" spans="2:15" ht="15.5" x14ac:dyDescent="0.35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</row>
    <row r="14" spans="2:15" ht="15.5" x14ac:dyDescent="0.35"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</row>
    <row r="15" spans="2:15" ht="15.5" x14ac:dyDescent="0.35">
      <c r="B15" s="119" t="s">
        <v>10</v>
      </c>
      <c r="C15" s="121" t="s">
        <v>21</v>
      </c>
      <c r="D15" s="122"/>
      <c r="E15" s="121" t="s">
        <v>22</v>
      </c>
      <c r="F15" s="122"/>
      <c r="G15" s="45"/>
      <c r="H15" s="45"/>
      <c r="I15" s="45"/>
      <c r="J15" s="45"/>
      <c r="K15" s="45"/>
      <c r="L15" s="45"/>
      <c r="M15" s="45"/>
      <c r="N15" s="45"/>
      <c r="O15" s="45"/>
    </row>
    <row r="16" spans="2:15" ht="15.5" x14ac:dyDescent="0.35">
      <c r="B16" s="120"/>
      <c r="C16" s="40" t="s">
        <v>11</v>
      </c>
      <c r="D16" s="40" t="s">
        <v>12</v>
      </c>
      <c r="E16" s="40" t="s">
        <v>11</v>
      </c>
      <c r="F16" s="40" t="s">
        <v>12</v>
      </c>
      <c r="G16" s="45"/>
      <c r="H16" s="45"/>
      <c r="I16" s="45"/>
      <c r="J16" s="45"/>
      <c r="K16" s="45"/>
      <c r="L16" s="45"/>
      <c r="M16" s="45"/>
      <c r="N16" s="45"/>
      <c r="O16" s="45"/>
    </row>
    <row r="17" spans="1:15" ht="15.5" x14ac:dyDescent="0.35">
      <c r="B17" s="43">
        <v>1</v>
      </c>
      <c r="C17" s="43">
        <v>1</v>
      </c>
      <c r="D17" s="43">
        <v>1</v>
      </c>
      <c r="E17" s="43">
        <v>2</v>
      </c>
      <c r="F17" s="43">
        <v>2</v>
      </c>
      <c r="G17" s="45"/>
      <c r="H17" s="45"/>
      <c r="I17" s="45"/>
      <c r="J17" s="45"/>
      <c r="K17" s="45"/>
      <c r="L17" s="45"/>
      <c r="M17" s="45"/>
      <c r="N17" s="45"/>
      <c r="O17" s="45"/>
    </row>
    <row r="18" spans="1:15" ht="15.5" x14ac:dyDescent="0.35">
      <c r="B18" s="43">
        <v>2</v>
      </c>
      <c r="C18" s="43">
        <v>2</v>
      </c>
      <c r="D18" s="43">
        <v>2</v>
      </c>
      <c r="E18" s="43">
        <v>3</v>
      </c>
      <c r="F18" s="43">
        <v>3</v>
      </c>
      <c r="G18" s="45"/>
      <c r="H18" s="45"/>
      <c r="I18" s="45"/>
      <c r="J18" s="45"/>
      <c r="K18" s="45"/>
      <c r="L18" s="45"/>
      <c r="M18" s="45"/>
      <c r="N18" s="45"/>
      <c r="O18" s="45"/>
    </row>
    <row r="19" spans="1:15" ht="15.5" x14ac:dyDescent="0.35">
      <c r="B19" s="43">
        <v>3</v>
      </c>
      <c r="C19" s="43">
        <v>3</v>
      </c>
      <c r="D19" s="43">
        <v>3</v>
      </c>
      <c r="E19" s="43">
        <v>4</v>
      </c>
      <c r="F19" s="43">
        <v>4</v>
      </c>
      <c r="G19" s="45"/>
      <c r="H19" s="45"/>
      <c r="I19" s="45"/>
      <c r="J19" s="45"/>
      <c r="K19" s="45"/>
      <c r="L19" s="45"/>
      <c r="M19" s="45"/>
      <c r="N19" s="45"/>
      <c r="O19" s="45"/>
    </row>
    <row r="20" spans="1:15" ht="15.5" x14ac:dyDescent="0.35">
      <c r="B20" s="43">
        <v>4</v>
      </c>
      <c r="C20" s="43">
        <v>4</v>
      </c>
      <c r="D20" s="43">
        <v>4</v>
      </c>
      <c r="E20" s="43">
        <v>1</v>
      </c>
      <c r="F20" s="43">
        <v>1</v>
      </c>
      <c r="G20" s="45"/>
      <c r="H20" s="45"/>
      <c r="I20" s="45"/>
      <c r="J20" s="45"/>
      <c r="K20" s="45"/>
      <c r="L20" s="45"/>
      <c r="M20" s="45"/>
      <c r="N20" s="45"/>
      <c r="O20" s="45"/>
    </row>
    <row r="21" spans="1:15" ht="15.5" x14ac:dyDescent="0.35">
      <c r="B21" s="43">
        <v>5</v>
      </c>
      <c r="C21" s="43">
        <v>2</v>
      </c>
      <c r="D21" s="43">
        <v>2</v>
      </c>
      <c r="E21" s="43">
        <v>4</v>
      </c>
      <c r="F21" s="43">
        <v>4</v>
      </c>
      <c r="G21" s="45"/>
      <c r="H21" s="45"/>
      <c r="I21" s="45"/>
      <c r="J21" s="45"/>
      <c r="K21" s="45"/>
      <c r="L21" s="45"/>
      <c r="M21" s="45"/>
      <c r="N21" s="45"/>
      <c r="O21" s="45"/>
    </row>
    <row r="22" spans="1:15" ht="15.5" x14ac:dyDescent="0.35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</row>
    <row r="23" spans="1:15" ht="15.5" x14ac:dyDescent="0.35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</row>
    <row r="24" spans="1:15" ht="15.5" x14ac:dyDescent="0.35">
      <c r="B24" s="40" t="str">
        <f>CONCATENATE("U",C16,C17)</f>
        <v>UX1</v>
      </c>
      <c r="C24" s="40" t="str">
        <f>CONCATENATE("U",D16,D17)</f>
        <v>UY1</v>
      </c>
      <c r="D24" s="40" t="str">
        <f>CONCATENATE("U",E16,E17)</f>
        <v>UX2</v>
      </c>
      <c r="E24" s="40" t="str">
        <f>CONCATENATE("U",F16,F17)</f>
        <v>UY2</v>
      </c>
      <c r="F24" s="40"/>
      <c r="G24" s="45"/>
      <c r="H24" s="45"/>
      <c r="I24" s="45"/>
      <c r="J24" s="45"/>
      <c r="K24" s="45"/>
      <c r="L24" s="45"/>
      <c r="M24" s="45"/>
      <c r="N24" s="45"/>
      <c r="O24" s="45"/>
    </row>
    <row r="25" spans="1:15" ht="15.5" x14ac:dyDescent="0.35">
      <c r="B25" s="43">
        <f>J8*J8*N8</f>
        <v>3000</v>
      </c>
      <c r="C25" s="43">
        <f>J8*K8*N8</f>
        <v>0</v>
      </c>
      <c r="D25" s="43">
        <f>-B25</f>
        <v>-3000</v>
      </c>
      <c r="E25" s="43">
        <f>-C25</f>
        <v>0</v>
      </c>
      <c r="F25" s="40" t="str">
        <f>B24</f>
        <v>UX1</v>
      </c>
      <c r="G25" s="45"/>
      <c r="H25" s="45"/>
      <c r="I25" s="45"/>
      <c r="J25" s="45"/>
      <c r="K25" s="45"/>
      <c r="L25" s="45"/>
      <c r="M25" s="45"/>
      <c r="N25" s="45"/>
      <c r="O25" s="45"/>
    </row>
    <row r="26" spans="1:15" ht="15.5" x14ac:dyDescent="0.35">
      <c r="A26" t="s">
        <v>75</v>
      </c>
      <c r="B26" s="43">
        <f>C25</f>
        <v>0</v>
      </c>
      <c r="C26" s="43">
        <f>K8*K8*N8</f>
        <v>0</v>
      </c>
      <c r="D26" s="43">
        <f>-B26</f>
        <v>0</v>
      </c>
      <c r="E26" s="43">
        <f>-C26</f>
        <v>0</v>
      </c>
      <c r="F26" s="40" t="str">
        <f>C24</f>
        <v>UY1</v>
      </c>
      <c r="G26" s="45"/>
      <c r="H26" s="45"/>
      <c r="I26" s="45"/>
      <c r="J26" s="45"/>
      <c r="K26" s="45"/>
      <c r="L26" s="45"/>
      <c r="M26" s="45"/>
      <c r="N26" s="45"/>
      <c r="O26" s="45"/>
    </row>
    <row r="27" spans="1:15" ht="15.5" x14ac:dyDescent="0.35">
      <c r="B27" s="43">
        <f>D25</f>
        <v>-3000</v>
      </c>
      <c r="C27" s="43">
        <f>E25</f>
        <v>0</v>
      </c>
      <c r="D27" s="43">
        <f>B25</f>
        <v>3000</v>
      </c>
      <c r="E27" s="43">
        <f>C25</f>
        <v>0</v>
      </c>
      <c r="F27" s="40" t="str">
        <f>D24</f>
        <v>UX2</v>
      </c>
      <c r="G27" s="45"/>
      <c r="H27" s="45"/>
      <c r="I27" s="45"/>
      <c r="J27" s="45"/>
      <c r="K27" s="45"/>
      <c r="L27" s="45"/>
      <c r="M27" s="45"/>
      <c r="N27" s="45"/>
      <c r="O27" s="45"/>
    </row>
    <row r="28" spans="1:15" ht="15.5" x14ac:dyDescent="0.35">
      <c r="B28" s="43">
        <f>D26</f>
        <v>0</v>
      </c>
      <c r="C28" s="43">
        <f>E26</f>
        <v>0</v>
      </c>
      <c r="D28" s="43">
        <f>B26</f>
        <v>0</v>
      </c>
      <c r="E28" s="43">
        <f>C26</f>
        <v>0</v>
      </c>
      <c r="F28" s="40" t="str">
        <f>E24</f>
        <v>UY2</v>
      </c>
      <c r="G28" s="45"/>
      <c r="H28" s="45"/>
      <c r="I28" s="45"/>
      <c r="J28" s="45"/>
      <c r="K28" s="45"/>
      <c r="L28" s="45"/>
      <c r="M28" s="45"/>
      <c r="N28" s="45"/>
      <c r="O28" s="45"/>
    </row>
    <row r="29" spans="1:15" ht="15.5" x14ac:dyDescent="0.35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</row>
    <row r="30" spans="1:15" ht="15.5" x14ac:dyDescent="0.35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</row>
    <row r="31" spans="1:15" ht="15.5" x14ac:dyDescent="0.35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</row>
    <row r="32" spans="1:15" ht="15.5" x14ac:dyDescent="0.35">
      <c r="B32" s="40" t="s">
        <v>4</v>
      </c>
      <c r="C32" s="40" t="s">
        <v>5</v>
      </c>
      <c r="D32" s="40" t="s">
        <v>6</v>
      </c>
      <c r="E32" s="40" t="s">
        <v>7</v>
      </c>
      <c r="F32" s="40" t="s">
        <v>1</v>
      </c>
      <c r="G32" s="40" t="s">
        <v>3</v>
      </c>
      <c r="H32" s="40" t="s">
        <v>0</v>
      </c>
      <c r="I32" s="40" t="s">
        <v>2</v>
      </c>
      <c r="J32" s="40"/>
      <c r="K32" s="45"/>
      <c r="L32" s="45"/>
      <c r="M32" s="45"/>
      <c r="N32" s="45"/>
      <c r="O32" s="45"/>
    </row>
    <row r="33" spans="1:15" ht="15.5" x14ac:dyDescent="0.35">
      <c r="B33" s="41">
        <f>B25</f>
        <v>3000</v>
      </c>
      <c r="C33" s="41">
        <f>C25</f>
        <v>0</v>
      </c>
      <c r="D33" s="42">
        <f>D25</f>
        <v>-3000</v>
      </c>
      <c r="E33" s="42">
        <f>E25</f>
        <v>0</v>
      </c>
      <c r="F33" s="43"/>
      <c r="G33" s="43"/>
      <c r="H33" s="43"/>
      <c r="I33" s="43"/>
      <c r="J33" s="40" t="str">
        <f>B32</f>
        <v>UX1</v>
      </c>
      <c r="K33" s="45"/>
      <c r="L33" s="45"/>
      <c r="M33" s="45"/>
      <c r="N33" s="45"/>
      <c r="O33" s="45"/>
    </row>
    <row r="34" spans="1:15" ht="15.5" x14ac:dyDescent="0.35">
      <c r="B34" s="41">
        <f t="shared" ref="B34:E36" si="5">B26</f>
        <v>0</v>
      </c>
      <c r="C34" s="41">
        <f t="shared" si="5"/>
        <v>0</v>
      </c>
      <c r="D34" s="42">
        <f t="shared" si="5"/>
        <v>0</v>
      </c>
      <c r="E34" s="42">
        <f t="shared" si="5"/>
        <v>0</v>
      </c>
      <c r="F34" s="43"/>
      <c r="G34" s="43"/>
      <c r="H34" s="43"/>
      <c r="I34" s="43"/>
      <c r="J34" s="40" t="str">
        <f>C32</f>
        <v>UY1</v>
      </c>
      <c r="K34" s="45"/>
      <c r="L34" s="45"/>
      <c r="M34" s="45"/>
      <c r="N34" s="45"/>
      <c r="O34" s="45"/>
    </row>
    <row r="35" spans="1:15" ht="15.5" x14ac:dyDescent="0.35">
      <c r="B35" s="44">
        <f t="shared" si="5"/>
        <v>-3000</v>
      </c>
      <c r="C35" s="44">
        <f t="shared" si="5"/>
        <v>0</v>
      </c>
      <c r="D35" s="44">
        <f t="shared" si="5"/>
        <v>3000</v>
      </c>
      <c r="E35" s="44">
        <f t="shared" si="5"/>
        <v>0</v>
      </c>
      <c r="F35" s="43"/>
      <c r="G35" s="43"/>
      <c r="H35" s="43"/>
      <c r="I35" s="43"/>
      <c r="J35" s="40" t="str">
        <f>D32</f>
        <v>UX2</v>
      </c>
      <c r="K35" s="45"/>
      <c r="L35" s="45"/>
      <c r="M35" s="45"/>
      <c r="N35" s="45"/>
      <c r="O35" s="45"/>
    </row>
    <row r="36" spans="1:15" ht="15.5" x14ac:dyDescent="0.35">
      <c r="B36" s="44">
        <f t="shared" si="5"/>
        <v>0</v>
      </c>
      <c r="C36" s="44">
        <f t="shared" si="5"/>
        <v>0</v>
      </c>
      <c r="D36" s="44">
        <f t="shared" si="5"/>
        <v>0</v>
      </c>
      <c r="E36" s="44">
        <f t="shared" si="5"/>
        <v>0</v>
      </c>
      <c r="F36" s="43"/>
      <c r="G36" s="43"/>
      <c r="H36" s="43"/>
      <c r="I36" s="43"/>
      <c r="J36" s="40" t="str">
        <f>E32</f>
        <v>UY2</v>
      </c>
      <c r="K36" s="45"/>
      <c r="L36" s="45"/>
      <c r="M36" s="45"/>
      <c r="N36" s="45"/>
      <c r="O36" s="45"/>
    </row>
    <row r="37" spans="1:15" ht="15.5" x14ac:dyDescent="0.35">
      <c r="B37" s="43"/>
      <c r="C37" s="43"/>
      <c r="D37" s="43"/>
      <c r="E37" s="43"/>
      <c r="F37" s="43"/>
      <c r="G37" s="43"/>
      <c r="H37" s="43"/>
      <c r="I37" s="43"/>
      <c r="J37" s="40" t="str">
        <f>F32</f>
        <v>UX3</v>
      </c>
      <c r="K37" s="45"/>
      <c r="L37" s="45"/>
      <c r="M37" s="45"/>
      <c r="N37" s="45"/>
      <c r="O37" s="45"/>
    </row>
    <row r="38" spans="1:15" ht="15.5" x14ac:dyDescent="0.35">
      <c r="B38" s="43"/>
      <c r="C38" s="43"/>
      <c r="D38" s="43"/>
      <c r="E38" s="43"/>
      <c r="F38" s="43"/>
      <c r="G38" s="43"/>
      <c r="H38" s="43"/>
      <c r="I38" s="43"/>
      <c r="J38" s="40" t="str">
        <f>G32</f>
        <v>UY3</v>
      </c>
      <c r="K38" s="45"/>
      <c r="L38" s="45"/>
      <c r="M38" s="45"/>
      <c r="N38" s="45"/>
      <c r="O38" s="45"/>
    </row>
    <row r="39" spans="1:15" ht="15.5" x14ac:dyDescent="0.35">
      <c r="B39" s="43"/>
      <c r="C39" s="43"/>
      <c r="D39" s="43"/>
      <c r="E39" s="43"/>
      <c r="F39" s="43"/>
      <c r="G39" s="43"/>
      <c r="H39" s="43"/>
      <c r="I39" s="43"/>
      <c r="J39" s="40" t="str">
        <f>H32</f>
        <v>UX4</v>
      </c>
      <c r="K39" s="45"/>
      <c r="L39" s="45"/>
      <c r="M39" s="45"/>
      <c r="N39" s="45"/>
      <c r="O39" s="45"/>
    </row>
    <row r="40" spans="1:15" ht="15.5" x14ac:dyDescent="0.35">
      <c r="B40" s="43"/>
      <c r="C40" s="43"/>
      <c r="D40" s="43"/>
      <c r="E40" s="43"/>
      <c r="F40" s="43"/>
      <c r="G40" s="43"/>
      <c r="H40" s="43"/>
      <c r="I40" s="43"/>
      <c r="J40" s="40" t="str">
        <f>I32</f>
        <v>UY4</v>
      </c>
      <c r="K40" s="45"/>
      <c r="L40" s="45"/>
      <c r="M40" s="45"/>
      <c r="N40" s="45"/>
      <c r="O40" s="45"/>
    </row>
    <row r="41" spans="1:15" ht="15.5" x14ac:dyDescent="0.35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</row>
    <row r="42" spans="1:15" ht="15.5" x14ac:dyDescent="0.35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</row>
    <row r="43" spans="1:15" ht="15.5" x14ac:dyDescent="0.35">
      <c r="B43" s="48" t="str">
        <f>CONCATENATE("U",C16,C18)</f>
        <v>UX2</v>
      </c>
      <c r="C43" s="48" t="str">
        <f>CONCATENATE("U",D16,D18)</f>
        <v>UY2</v>
      </c>
      <c r="D43" s="48" t="str">
        <f>CONCATENATE("U",E16,E18)</f>
        <v>UX3</v>
      </c>
      <c r="E43" s="48" t="str">
        <f>CONCATENATE("U",F16,F18)</f>
        <v>UY3</v>
      </c>
      <c r="F43" s="48"/>
      <c r="G43" s="45"/>
      <c r="H43" s="45"/>
      <c r="I43" s="45"/>
      <c r="J43" s="45"/>
      <c r="K43" s="45"/>
      <c r="L43" s="45"/>
      <c r="M43" s="45"/>
      <c r="N43" s="45"/>
      <c r="O43" s="45"/>
    </row>
    <row r="44" spans="1:15" ht="15.5" x14ac:dyDescent="0.35">
      <c r="B44" s="43">
        <f>J9*J9*N9</f>
        <v>214.00202209088201</v>
      </c>
      <c r="C44" s="43">
        <f>J9*K9*N9</f>
        <v>-856.00808836352803</v>
      </c>
      <c r="D44" s="43">
        <f>-B44</f>
        <v>-214.00202209088201</v>
      </c>
      <c r="E44" s="43">
        <f>-C44</f>
        <v>856.00808836352803</v>
      </c>
      <c r="F44" s="48" t="str">
        <f>B43</f>
        <v>UX2</v>
      </c>
      <c r="G44" s="45"/>
      <c r="H44" s="45"/>
      <c r="I44" s="45"/>
      <c r="J44" s="45"/>
      <c r="K44" s="45"/>
      <c r="L44" s="45"/>
      <c r="M44" s="45"/>
      <c r="N44" s="45"/>
      <c r="O44" s="45"/>
    </row>
    <row r="45" spans="1:15" ht="15.5" x14ac:dyDescent="0.35">
      <c r="A45" t="s">
        <v>79</v>
      </c>
      <c r="B45" s="43">
        <f>C44</f>
        <v>-856.00808836352803</v>
      </c>
      <c r="C45" s="43">
        <f>K9*K9*N9</f>
        <v>3424.0323534541121</v>
      </c>
      <c r="D45" s="43">
        <f>-B45</f>
        <v>856.00808836352803</v>
      </c>
      <c r="E45" s="43">
        <f>-C45</f>
        <v>-3424.0323534541121</v>
      </c>
      <c r="F45" s="48" t="str">
        <f>C43</f>
        <v>UY2</v>
      </c>
      <c r="G45" s="45"/>
      <c r="H45" s="45"/>
      <c r="I45" s="45"/>
      <c r="J45" s="45"/>
      <c r="K45" s="45"/>
      <c r="L45" s="45"/>
      <c r="M45" s="45"/>
      <c r="N45" s="45"/>
      <c r="O45" s="45"/>
    </row>
    <row r="46" spans="1:15" ht="15.5" x14ac:dyDescent="0.35">
      <c r="B46" s="43">
        <f>D44</f>
        <v>-214.00202209088201</v>
      </c>
      <c r="C46" s="43">
        <f>E44</f>
        <v>856.00808836352803</v>
      </c>
      <c r="D46" s="43">
        <f>B44</f>
        <v>214.00202209088201</v>
      </c>
      <c r="E46" s="43">
        <f>C44</f>
        <v>-856.00808836352803</v>
      </c>
      <c r="F46" s="48" t="str">
        <f>D43</f>
        <v>UX3</v>
      </c>
      <c r="G46" s="45"/>
      <c r="H46" s="45"/>
      <c r="I46" s="45"/>
      <c r="J46" s="45"/>
      <c r="K46" s="45"/>
      <c r="L46" s="45"/>
      <c r="M46" s="45"/>
      <c r="N46" s="45"/>
      <c r="O46" s="45"/>
    </row>
    <row r="47" spans="1:15" ht="15.5" x14ac:dyDescent="0.35">
      <c r="B47" s="43">
        <f>D45</f>
        <v>856.00808836352803</v>
      </c>
      <c r="C47" s="43">
        <f>E45</f>
        <v>-3424.0323534541121</v>
      </c>
      <c r="D47" s="43">
        <f>B45</f>
        <v>-856.00808836352803</v>
      </c>
      <c r="E47" s="43">
        <f>C45</f>
        <v>3424.0323534541121</v>
      </c>
      <c r="F47" s="48" t="str">
        <f>E43</f>
        <v>UY3</v>
      </c>
      <c r="G47" s="45"/>
      <c r="H47" s="45"/>
      <c r="I47" s="45"/>
      <c r="J47" s="45"/>
      <c r="K47" s="45"/>
      <c r="L47" s="45"/>
      <c r="M47" s="45"/>
      <c r="N47" s="45"/>
      <c r="O47" s="45"/>
    </row>
    <row r="48" spans="1:15" ht="15.5" x14ac:dyDescent="0.35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</row>
    <row r="49" spans="1:15" ht="15.5" x14ac:dyDescent="0.35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</row>
    <row r="50" spans="1:15" ht="15.5" x14ac:dyDescent="0.35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</row>
    <row r="51" spans="1:15" ht="15.5" x14ac:dyDescent="0.35">
      <c r="B51" s="48" t="s">
        <v>4</v>
      </c>
      <c r="C51" s="48" t="s">
        <v>5</v>
      </c>
      <c r="D51" s="48" t="s">
        <v>6</v>
      </c>
      <c r="E51" s="48" t="s">
        <v>7</v>
      </c>
      <c r="F51" s="48" t="s">
        <v>1</v>
      </c>
      <c r="G51" s="48" t="s">
        <v>3</v>
      </c>
      <c r="H51" s="48" t="s">
        <v>0</v>
      </c>
      <c r="I51" s="48" t="s">
        <v>2</v>
      </c>
      <c r="J51" s="48"/>
      <c r="K51" s="45"/>
      <c r="L51" s="45"/>
      <c r="M51" s="45"/>
      <c r="N51" s="45"/>
      <c r="O51" s="45"/>
    </row>
    <row r="52" spans="1:15" ht="15.5" x14ac:dyDescent="0.35">
      <c r="B52" s="43"/>
      <c r="C52" s="43"/>
      <c r="D52" s="43"/>
      <c r="E52" s="43"/>
      <c r="F52" s="43"/>
      <c r="G52" s="43"/>
      <c r="H52" s="43"/>
      <c r="I52" s="43"/>
      <c r="J52" s="48" t="str">
        <f>B51</f>
        <v>UX1</v>
      </c>
      <c r="K52" s="45"/>
      <c r="L52" s="45"/>
      <c r="M52" s="45"/>
      <c r="N52" s="45"/>
      <c r="O52" s="45"/>
    </row>
    <row r="53" spans="1:15" ht="15.5" x14ac:dyDescent="0.35">
      <c r="B53" s="43"/>
      <c r="C53" s="43"/>
      <c r="D53" s="43"/>
      <c r="E53" s="43"/>
      <c r="F53" s="43"/>
      <c r="G53" s="43"/>
      <c r="H53" s="43"/>
      <c r="I53" s="43"/>
      <c r="J53" s="48" t="str">
        <f>C51</f>
        <v>UY1</v>
      </c>
      <c r="K53" s="45"/>
      <c r="L53" s="45"/>
      <c r="M53" s="45"/>
      <c r="N53" s="45"/>
      <c r="O53" s="45"/>
    </row>
    <row r="54" spans="1:15" ht="15.5" x14ac:dyDescent="0.35">
      <c r="B54" s="43"/>
      <c r="C54" s="43"/>
      <c r="D54" s="49">
        <f>B44</f>
        <v>214.00202209088201</v>
      </c>
      <c r="E54" s="49">
        <f t="shared" ref="E54:G57" si="6">C44</f>
        <v>-856.00808836352803</v>
      </c>
      <c r="F54" s="42">
        <f t="shared" si="6"/>
        <v>-214.00202209088201</v>
      </c>
      <c r="G54" s="42">
        <f t="shared" si="6"/>
        <v>856.00808836352803</v>
      </c>
      <c r="H54" s="43"/>
      <c r="I54" s="43"/>
      <c r="J54" s="48" t="str">
        <f>D51</f>
        <v>UX2</v>
      </c>
      <c r="K54" s="45"/>
      <c r="L54" s="45"/>
      <c r="M54" s="45"/>
      <c r="N54" s="45"/>
      <c r="O54" s="45"/>
    </row>
    <row r="55" spans="1:15" ht="15.5" x14ac:dyDescent="0.35">
      <c r="B55" s="43"/>
      <c r="C55" s="43"/>
      <c r="D55" s="49">
        <f t="shared" ref="D55:D57" si="7">B45</f>
        <v>-856.00808836352803</v>
      </c>
      <c r="E55" s="49">
        <f t="shared" si="6"/>
        <v>3424.0323534541121</v>
      </c>
      <c r="F55" s="42">
        <f t="shared" si="6"/>
        <v>856.00808836352803</v>
      </c>
      <c r="G55" s="42">
        <f t="shared" si="6"/>
        <v>-3424.0323534541121</v>
      </c>
      <c r="H55" s="43"/>
      <c r="I55" s="43"/>
      <c r="J55" s="48" t="str">
        <f>E51</f>
        <v>UY2</v>
      </c>
      <c r="K55" s="45"/>
      <c r="L55" s="45"/>
      <c r="M55" s="45"/>
      <c r="N55" s="45"/>
      <c r="O55" s="45"/>
    </row>
    <row r="56" spans="1:15" ht="15.5" x14ac:dyDescent="0.35">
      <c r="B56" s="43"/>
      <c r="C56" s="43"/>
      <c r="D56" s="48">
        <f t="shared" si="7"/>
        <v>-214.00202209088201</v>
      </c>
      <c r="E56" s="48">
        <f t="shared" si="6"/>
        <v>856.00808836352803</v>
      </c>
      <c r="F56" s="50">
        <f t="shared" si="6"/>
        <v>214.00202209088201</v>
      </c>
      <c r="G56" s="50">
        <f t="shared" si="6"/>
        <v>-856.00808836352803</v>
      </c>
      <c r="H56" s="43"/>
      <c r="I56" s="43"/>
      <c r="J56" s="48" t="str">
        <f>F51</f>
        <v>UX3</v>
      </c>
      <c r="K56" s="45"/>
      <c r="L56" s="45"/>
      <c r="M56" s="45"/>
      <c r="N56" s="45"/>
      <c r="O56" s="45"/>
    </row>
    <row r="57" spans="1:15" ht="15.5" x14ac:dyDescent="0.35">
      <c r="B57" s="43"/>
      <c r="C57" s="43"/>
      <c r="D57" s="48">
        <f t="shared" si="7"/>
        <v>856.00808836352803</v>
      </c>
      <c r="E57" s="48">
        <f t="shared" si="6"/>
        <v>-3424.0323534541121</v>
      </c>
      <c r="F57" s="50">
        <f t="shared" si="6"/>
        <v>-856.00808836352803</v>
      </c>
      <c r="G57" s="50">
        <f t="shared" si="6"/>
        <v>3424.0323534541121</v>
      </c>
      <c r="H57" s="43"/>
      <c r="I57" s="43"/>
      <c r="J57" s="48" t="str">
        <f>G51</f>
        <v>UY3</v>
      </c>
      <c r="K57" s="45"/>
      <c r="L57" s="45"/>
      <c r="M57" s="45"/>
      <c r="N57" s="45"/>
      <c r="O57" s="45"/>
    </row>
    <row r="58" spans="1:15" ht="15.5" x14ac:dyDescent="0.35">
      <c r="B58" s="43"/>
      <c r="C58" s="43"/>
      <c r="D58" s="43"/>
      <c r="E58" s="43"/>
      <c r="F58" s="43"/>
      <c r="G58" s="43"/>
      <c r="H58" s="43"/>
      <c r="I58" s="43"/>
      <c r="J58" s="48" t="str">
        <f>H51</f>
        <v>UX4</v>
      </c>
      <c r="K58" s="45"/>
      <c r="L58" s="45"/>
      <c r="M58" s="45"/>
      <c r="N58" s="45"/>
      <c r="O58" s="45"/>
    </row>
    <row r="59" spans="1:15" ht="15.5" x14ac:dyDescent="0.35">
      <c r="B59" s="43"/>
      <c r="C59" s="43"/>
      <c r="D59" s="43"/>
      <c r="E59" s="43"/>
      <c r="F59" s="43"/>
      <c r="G59" s="43"/>
      <c r="H59" s="43"/>
      <c r="I59" s="43"/>
      <c r="J59" s="48" t="str">
        <f>I51</f>
        <v>UY4</v>
      </c>
      <c r="K59" s="45"/>
      <c r="L59" s="45"/>
      <c r="M59" s="45"/>
      <c r="N59" s="45"/>
      <c r="O59" s="45"/>
    </row>
    <row r="60" spans="1:15" ht="15.5" x14ac:dyDescent="0.35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</row>
    <row r="61" spans="1:15" ht="15.5" x14ac:dyDescent="0.35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</row>
    <row r="62" spans="1:15" ht="14.25" customHeight="1" x14ac:dyDescent="0.35">
      <c r="B62" s="48" t="str">
        <f>CONCATENATE("U",C16,C19)</f>
        <v>UX3</v>
      </c>
      <c r="C62" s="48" t="str">
        <f>CONCATENATE("U",D16,D19)</f>
        <v>UY3</v>
      </c>
      <c r="D62" s="48" t="str">
        <f>CONCATENATE("U",E16,E19)</f>
        <v>UX4</v>
      </c>
      <c r="E62" s="48" t="str">
        <f>CONCATENATE("U",F16,F19)</f>
        <v>UY4</v>
      </c>
      <c r="F62" s="48"/>
      <c r="G62" s="45"/>
      <c r="H62" s="45"/>
      <c r="I62" s="45"/>
      <c r="J62" s="45"/>
      <c r="K62" s="45"/>
      <c r="L62" s="45"/>
      <c r="M62" s="45"/>
      <c r="N62" s="45"/>
      <c r="O62" s="45"/>
    </row>
    <row r="63" spans="1:15" ht="14.25" customHeight="1" x14ac:dyDescent="0.35">
      <c r="B63" s="43">
        <f>J10*J10*N10</f>
        <v>4269.0748412273115</v>
      </c>
      <c r="C63" s="43">
        <f>J10*K10*N10</f>
        <v>1423.0249470757703</v>
      </c>
      <c r="D63" s="43">
        <f>-B63</f>
        <v>-4269.0748412273115</v>
      </c>
      <c r="E63" s="43">
        <f>-C63</f>
        <v>-1423.0249470757703</v>
      </c>
      <c r="F63" s="48" t="str">
        <f>B62</f>
        <v>UX3</v>
      </c>
      <c r="G63" s="45"/>
      <c r="H63" s="45"/>
      <c r="I63" s="45"/>
      <c r="J63" s="45"/>
      <c r="K63" s="45"/>
      <c r="L63" s="45"/>
      <c r="M63" s="45"/>
      <c r="N63" s="45"/>
      <c r="O63" s="45"/>
    </row>
    <row r="64" spans="1:15" ht="14.25" customHeight="1" x14ac:dyDescent="0.35">
      <c r="A64" t="s">
        <v>80</v>
      </c>
      <c r="B64" s="43">
        <f>C63</f>
        <v>1423.0249470757703</v>
      </c>
      <c r="C64" s="43">
        <f>K10*K10*N10</f>
        <v>474.34164902525674</v>
      </c>
      <c r="D64" s="43">
        <f>-B64</f>
        <v>-1423.0249470757703</v>
      </c>
      <c r="E64" s="43">
        <f>-C64</f>
        <v>-474.34164902525674</v>
      </c>
      <c r="F64" s="48" t="str">
        <f>C62</f>
        <v>UY3</v>
      </c>
      <c r="G64" s="45"/>
      <c r="H64" s="45"/>
      <c r="I64" s="45"/>
      <c r="J64" s="45"/>
      <c r="K64" s="45"/>
      <c r="L64" s="45"/>
      <c r="M64" s="45"/>
      <c r="N64" s="45"/>
      <c r="O64" s="45"/>
    </row>
    <row r="65" spans="2:15" ht="14.25" customHeight="1" x14ac:dyDescent="0.35">
      <c r="B65" s="43">
        <f>D63</f>
        <v>-4269.0748412273115</v>
      </c>
      <c r="C65" s="43">
        <f>E63</f>
        <v>-1423.0249470757703</v>
      </c>
      <c r="D65" s="43">
        <f>B63</f>
        <v>4269.0748412273115</v>
      </c>
      <c r="E65" s="43">
        <f>C63</f>
        <v>1423.0249470757703</v>
      </c>
      <c r="F65" s="48" t="str">
        <f>D62</f>
        <v>UX4</v>
      </c>
      <c r="G65" s="45"/>
      <c r="H65" s="45"/>
      <c r="I65" s="45"/>
      <c r="J65" s="45"/>
      <c r="K65" s="45"/>
      <c r="L65" s="45"/>
      <c r="M65" s="45"/>
      <c r="N65" s="45"/>
      <c r="O65" s="45"/>
    </row>
    <row r="66" spans="2:15" ht="14.25" customHeight="1" x14ac:dyDescent="0.35">
      <c r="B66" s="43">
        <f>D64</f>
        <v>-1423.0249470757703</v>
      </c>
      <c r="C66" s="43">
        <f>E64</f>
        <v>-474.34164902525674</v>
      </c>
      <c r="D66" s="43">
        <f>B64</f>
        <v>1423.0249470757703</v>
      </c>
      <c r="E66" s="43">
        <f>C64</f>
        <v>474.34164902525674</v>
      </c>
      <c r="F66" s="48" t="str">
        <f>E62</f>
        <v>UY4</v>
      </c>
      <c r="G66" s="45"/>
      <c r="H66" s="45"/>
      <c r="I66" s="45"/>
      <c r="J66" s="45"/>
      <c r="K66" s="45"/>
      <c r="L66" s="45"/>
      <c r="M66" s="45"/>
      <c r="N66" s="45"/>
      <c r="O66" s="45"/>
    </row>
    <row r="67" spans="2:15" ht="15.5" x14ac:dyDescent="0.35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</row>
    <row r="68" spans="2:15" ht="15.5" x14ac:dyDescent="0.35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</row>
    <row r="69" spans="2:15" ht="15.5" x14ac:dyDescent="0.35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</row>
    <row r="70" spans="2:15" ht="15.5" x14ac:dyDescent="0.35">
      <c r="B70" s="48" t="s">
        <v>4</v>
      </c>
      <c r="C70" s="48" t="s">
        <v>5</v>
      </c>
      <c r="D70" s="48" t="s">
        <v>6</v>
      </c>
      <c r="E70" s="48" t="s">
        <v>7</v>
      </c>
      <c r="F70" s="48" t="s">
        <v>1</v>
      </c>
      <c r="G70" s="48" t="s">
        <v>3</v>
      </c>
      <c r="H70" s="48" t="s">
        <v>0</v>
      </c>
      <c r="I70" s="48" t="s">
        <v>2</v>
      </c>
      <c r="J70" s="48"/>
      <c r="K70" s="45"/>
      <c r="L70" s="45"/>
      <c r="M70" s="45"/>
      <c r="N70" s="45"/>
      <c r="O70" s="45"/>
    </row>
    <row r="71" spans="2:15" ht="15.5" x14ac:dyDescent="0.35">
      <c r="B71" s="43"/>
      <c r="C71" s="43"/>
      <c r="D71" s="43"/>
      <c r="E71" s="43"/>
      <c r="F71" s="43"/>
      <c r="G71" s="43"/>
      <c r="H71" s="43"/>
      <c r="I71" s="43"/>
      <c r="J71" s="48" t="str">
        <f>B70</f>
        <v>UX1</v>
      </c>
      <c r="K71" s="45"/>
      <c r="L71" s="45"/>
      <c r="M71" s="45"/>
      <c r="N71" s="45"/>
      <c r="O71" s="45"/>
    </row>
    <row r="72" spans="2:15" ht="15.5" x14ac:dyDescent="0.35">
      <c r="B72" s="43"/>
      <c r="C72" s="43"/>
      <c r="D72" s="43"/>
      <c r="E72" s="43"/>
      <c r="F72" s="43"/>
      <c r="G72" s="43"/>
      <c r="H72" s="43"/>
      <c r="I72" s="43"/>
      <c r="J72" s="48" t="str">
        <f>C70</f>
        <v>UY1</v>
      </c>
      <c r="K72" s="45"/>
      <c r="L72" s="45"/>
      <c r="M72" s="45"/>
      <c r="N72" s="45"/>
      <c r="O72" s="45"/>
    </row>
    <row r="73" spans="2:15" ht="15.5" x14ac:dyDescent="0.35">
      <c r="B73" s="43"/>
      <c r="C73" s="43"/>
      <c r="D73" s="43"/>
      <c r="E73" s="43"/>
      <c r="F73" s="43"/>
      <c r="G73" s="43"/>
      <c r="H73" s="43"/>
      <c r="I73" s="43"/>
      <c r="J73" s="48" t="str">
        <f>D70</f>
        <v>UX2</v>
      </c>
      <c r="K73" s="45"/>
      <c r="L73" s="45"/>
      <c r="M73" s="45"/>
      <c r="N73" s="45"/>
      <c r="O73" s="45"/>
    </row>
    <row r="74" spans="2:15" ht="15.5" x14ac:dyDescent="0.35">
      <c r="B74" s="43"/>
      <c r="C74" s="43"/>
      <c r="D74" s="43"/>
      <c r="E74" s="43"/>
      <c r="F74" s="43"/>
      <c r="G74" s="43"/>
      <c r="H74" s="43"/>
      <c r="I74" s="43"/>
      <c r="J74" s="48" t="str">
        <f>E70</f>
        <v>UY2</v>
      </c>
      <c r="K74" s="45"/>
      <c r="L74" s="45"/>
      <c r="M74" s="45"/>
      <c r="N74" s="45"/>
      <c r="O74" s="45"/>
    </row>
    <row r="75" spans="2:15" ht="15.5" x14ac:dyDescent="0.35">
      <c r="B75" s="43"/>
      <c r="C75" s="43"/>
      <c r="D75" s="43"/>
      <c r="E75" s="43"/>
      <c r="F75" s="51">
        <f>B63</f>
        <v>4269.0748412273115</v>
      </c>
      <c r="G75" s="51">
        <f t="shared" ref="G75:I78" si="8">C63</f>
        <v>1423.0249470757703</v>
      </c>
      <c r="H75" s="52">
        <f t="shared" si="8"/>
        <v>-4269.0748412273115</v>
      </c>
      <c r="I75" s="52">
        <f t="shared" si="8"/>
        <v>-1423.0249470757703</v>
      </c>
      <c r="J75" s="48" t="str">
        <f>F70</f>
        <v>UX3</v>
      </c>
      <c r="K75" s="45"/>
      <c r="L75" s="45"/>
      <c r="M75" s="45"/>
      <c r="N75" s="45"/>
      <c r="O75" s="45"/>
    </row>
    <row r="76" spans="2:15" ht="15.5" x14ac:dyDescent="0.35">
      <c r="B76" s="43"/>
      <c r="C76" s="43"/>
      <c r="D76" s="43"/>
      <c r="E76" s="43"/>
      <c r="F76" s="51">
        <f t="shared" ref="F76:F78" si="9">B64</f>
        <v>1423.0249470757703</v>
      </c>
      <c r="G76" s="51">
        <f t="shared" si="8"/>
        <v>474.34164902525674</v>
      </c>
      <c r="H76" s="52">
        <f t="shared" si="8"/>
        <v>-1423.0249470757703</v>
      </c>
      <c r="I76" s="52">
        <f t="shared" si="8"/>
        <v>-474.34164902525674</v>
      </c>
      <c r="J76" s="48" t="str">
        <f>G70</f>
        <v>UY3</v>
      </c>
      <c r="K76" s="45"/>
      <c r="L76" s="45"/>
      <c r="M76" s="45"/>
      <c r="N76" s="45"/>
      <c r="O76" s="45"/>
    </row>
    <row r="77" spans="2:15" ht="15.5" x14ac:dyDescent="0.35">
      <c r="B77" s="43"/>
      <c r="C77" s="43"/>
      <c r="D77" s="43"/>
      <c r="E77" s="43"/>
      <c r="F77" s="42">
        <f t="shared" si="9"/>
        <v>-4269.0748412273115</v>
      </c>
      <c r="G77" s="42">
        <f t="shared" si="8"/>
        <v>-1423.0249470757703</v>
      </c>
      <c r="H77" s="53">
        <f t="shared" si="8"/>
        <v>4269.0748412273115</v>
      </c>
      <c r="I77" s="53">
        <f t="shared" si="8"/>
        <v>1423.0249470757703</v>
      </c>
      <c r="J77" s="48" t="str">
        <f>H70</f>
        <v>UX4</v>
      </c>
      <c r="K77" s="45"/>
      <c r="L77" s="45"/>
      <c r="M77" s="45"/>
      <c r="N77" s="45"/>
      <c r="O77" s="45"/>
    </row>
    <row r="78" spans="2:15" ht="15.5" x14ac:dyDescent="0.35">
      <c r="B78" s="43"/>
      <c r="C78" s="43"/>
      <c r="D78" s="43"/>
      <c r="E78" s="43"/>
      <c r="F78" s="42">
        <f t="shared" si="9"/>
        <v>-1423.0249470757703</v>
      </c>
      <c r="G78" s="42">
        <f t="shared" si="8"/>
        <v>-474.34164902525674</v>
      </c>
      <c r="H78" s="53">
        <f t="shared" si="8"/>
        <v>1423.0249470757703</v>
      </c>
      <c r="I78" s="53">
        <f t="shared" si="8"/>
        <v>474.34164902525674</v>
      </c>
      <c r="J78" s="48" t="str">
        <f>I70</f>
        <v>UY4</v>
      </c>
      <c r="K78" s="45"/>
      <c r="L78" s="45"/>
      <c r="M78" s="45"/>
      <c r="N78" s="45"/>
      <c r="O78" s="45"/>
    </row>
    <row r="79" spans="2:15" ht="15.5" x14ac:dyDescent="0.35"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2:15" ht="15.5" x14ac:dyDescent="0.35"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 spans="1:15" ht="14.25" customHeight="1" x14ac:dyDescent="0.35">
      <c r="B81" s="48" t="str">
        <f>CONCATENATE("U",C16,C20)</f>
        <v>UX4</v>
      </c>
      <c r="C81" s="48" t="str">
        <f>CONCATENATE("U",D16,D20)</f>
        <v>UY4</v>
      </c>
      <c r="D81" s="48" t="str">
        <f>CONCATENATE("U",E16,E20)</f>
        <v>UX1</v>
      </c>
      <c r="E81" s="48" t="str">
        <f>CONCATENATE("U",F16,F20)</f>
        <v>UY1</v>
      </c>
      <c r="F81" s="48"/>
      <c r="G81" s="45"/>
      <c r="H81" s="45"/>
      <c r="I81" s="45"/>
      <c r="J81" s="45"/>
      <c r="K81" s="45"/>
      <c r="L81" s="45"/>
      <c r="M81" s="45"/>
      <c r="N81" s="45"/>
      <c r="O81" s="45"/>
    </row>
    <row r="82" spans="1:15" ht="14.25" customHeight="1" x14ac:dyDescent="0.35">
      <c r="B82" s="43">
        <f>J11*J11*N11</f>
        <v>474.34164902525674</v>
      </c>
      <c r="C82" s="43">
        <f>J11*K11*N11</f>
        <v>1423.0249470757703</v>
      </c>
      <c r="D82" s="43">
        <f>-B82</f>
        <v>-474.34164902525674</v>
      </c>
      <c r="E82" s="43">
        <f>-C82</f>
        <v>-1423.0249470757703</v>
      </c>
      <c r="F82" s="48" t="str">
        <f>B81</f>
        <v>UX4</v>
      </c>
      <c r="G82" s="45"/>
      <c r="H82" s="45"/>
      <c r="I82" s="45"/>
      <c r="J82" s="45"/>
      <c r="K82" s="45"/>
      <c r="L82" s="45"/>
      <c r="M82" s="45"/>
      <c r="N82" s="45"/>
      <c r="O82" s="45"/>
    </row>
    <row r="83" spans="1:15" ht="14.25" customHeight="1" x14ac:dyDescent="0.35">
      <c r="A83" t="s">
        <v>26</v>
      </c>
      <c r="B83" s="43">
        <f>C82</f>
        <v>1423.0249470757703</v>
      </c>
      <c r="C83" s="43">
        <f>K11*K11*N11</f>
        <v>4269.0748412273115</v>
      </c>
      <c r="D83" s="43">
        <f>-B83</f>
        <v>-1423.0249470757703</v>
      </c>
      <c r="E83" s="43">
        <f>-C83</f>
        <v>-4269.0748412273115</v>
      </c>
      <c r="F83" s="48" t="str">
        <f>C81</f>
        <v>UY4</v>
      </c>
      <c r="G83" s="45"/>
      <c r="H83" s="45"/>
      <c r="I83" s="45"/>
      <c r="J83" s="45"/>
      <c r="K83" s="45"/>
      <c r="L83" s="45"/>
      <c r="M83" s="45"/>
      <c r="N83" s="45"/>
      <c r="O83" s="45"/>
    </row>
    <row r="84" spans="1:15" ht="14.25" customHeight="1" x14ac:dyDescent="0.35">
      <c r="B84" s="43">
        <f>D82</f>
        <v>-474.34164902525674</v>
      </c>
      <c r="C84" s="43">
        <f>E82</f>
        <v>-1423.0249470757703</v>
      </c>
      <c r="D84" s="43">
        <f>B82</f>
        <v>474.34164902525674</v>
      </c>
      <c r="E84" s="43">
        <f>C82</f>
        <v>1423.0249470757703</v>
      </c>
      <c r="F84" s="48" t="str">
        <f>D81</f>
        <v>UX1</v>
      </c>
      <c r="G84" s="45"/>
      <c r="H84" s="45"/>
      <c r="I84" s="45"/>
      <c r="J84" s="45"/>
      <c r="K84" s="45"/>
      <c r="L84" s="45"/>
      <c r="M84" s="45"/>
      <c r="N84" s="45"/>
      <c r="O84" s="45"/>
    </row>
    <row r="85" spans="1:15" ht="14.25" customHeight="1" x14ac:dyDescent="0.35">
      <c r="B85" s="43">
        <f>D83</f>
        <v>-1423.0249470757703</v>
      </c>
      <c r="C85" s="43">
        <f>E83</f>
        <v>-4269.0748412273115</v>
      </c>
      <c r="D85" s="43">
        <f>B83</f>
        <v>1423.0249470757703</v>
      </c>
      <c r="E85" s="43">
        <f>C83</f>
        <v>4269.0748412273115</v>
      </c>
      <c r="F85" s="48" t="str">
        <f>E81</f>
        <v>UY1</v>
      </c>
      <c r="G85" s="45"/>
      <c r="H85" s="45"/>
      <c r="I85" s="45"/>
      <c r="J85" s="45"/>
      <c r="K85" s="45"/>
      <c r="L85" s="45"/>
      <c r="M85" s="45"/>
      <c r="N85" s="45"/>
      <c r="O85" s="45"/>
    </row>
    <row r="86" spans="1:15" ht="15.5" x14ac:dyDescent="0.35"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</row>
    <row r="87" spans="1:15" ht="15.5" x14ac:dyDescent="0.35"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</row>
    <row r="88" spans="1:15" ht="15.5" x14ac:dyDescent="0.35"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</row>
    <row r="89" spans="1:15" ht="15.5" x14ac:dyDescent="0.35">
      <c r="B89" s="48" t="s">
        <v>4</v>
      </c>
      <c r="C89" s="48" t="s">
        <v>5</v>
      </c>
      <c r="D89" s="48" t="s">
        <v>6</v>
      </c>
      <c r="E89" s="48" t="s">
        <v>7</v>
      </c>
      <c r="F89" s="48" t="s">
        <v>1</v>
      </c>
      <c r="G89" s="48" t="s">
        <v>3</v>
      </c>
      <c r="H89" s="48" t="s">
        <v>0</v>
      </c>
      <c r="I89" s="48" t="s">
        <v>2</v>
      </c>
      <c r="J89" s="48"/>
      <c r="K89" s="45"/>
      <c r="L89" s="45"/>
      <c r="M89" s="45"/>
      <c r="N89" s="45"/>
      <c r="O89" s="45"/>
    </row>
    <row r="90" spans="1:15" ht="15.5" x14ac:dyDescent="0.35">
      <c r="B90" s="43">
        <f>D84</f>
        <v>474.34164902525674</v>
      </c>
      <c r="C90" s="43">
        <f>E84</f>
        <v>1423.0249470757703</v>
      </c>
      <c r="D90" s="43"/>
      <c r="E90" s="43"/>
      <c r="F90" s="43"/>
      <c r="G90" s="43"/>
      <c r="H90" s="43">
        <f>B84</f>
        <v>-474.34164902525674</v>
      </c>
      <c r="I90" s="43">
        <f>C84</f>
        <v>-1423.0249470757703</v>
      </c>
      <c r="J90" s="48" t="str">
        <f>B89</f>
        <v>UX1</v>
      </c>
      <c r="K90" s="45"/>
      <c r="L90" s="45"/>
      <c r="M90" s="45"/>
      <c r="N90" s="45"/>
      <c r="O90" s="45"/>
    </row>
    <row r="91" spans="1:15" ht="15.5" x14ac:dyDescent="0.35">
      <c r="B91" s="43">
        <f>D85</f>
        <v>1423.0249470757703</v>
      </c>
      <c r="C91" s="43">
        <f>E85</f>
        <v>4269.0748412273115</v>
      </c>
      <c r="D91" s="43"/>
      <c r="E91" s="43"/>
      <c r="F91" s="43"/>
      <c r="G91" s="43"/>
      <c r="H91" s="43">
        <f>B85</f>
        <v>-1423.0249470757703</v>
      </c>
      <c r="I91" s="43">
        <f>C85</f>
        <v>-4269.0748412273115</v>
      </c>
      <c r="J91" s="48" t="str">
        <f>C89</f>
        <v>UY1</v>
      </c>
      <c r="K91" s="45"/>
      <c r="L91" s="45"/>
      <c r="M91" s="45"/>
      <c r="N91" s="45"/>
      <c r="O91" s="45"/>
    </row>
    <row r="92" spans="1:15" ht="15.5" x14ac:dyDescent="0.35">
      <c r="B92" s="43"/>
      <c r="C92" s="43"/>
      <c r="D92" s="43"/>
      <c r="E92" s="43"/>
      <c r="F92" s="43"/>
      <c r="G92" s="43"/>
      <c r="H92" s="43"/>
      <c r="I92" s="43"/>
      <c r="J92" s="48" t="str">
        <f>D89</f>
        <v>UX2</v>
      </c>
      <c r="K92" s="45"/>
      <c r="L92" s="45"/>
      <c r="M92" s="45"/>
      <c r="N92" s="45"/>
      <c r="O92" s="45"/>
    </row>
    <row r="93" spans="1:15" ht="15.5" x14ac:dyDescent="0.35">
      <c r="B93" s="43"/>
      <c r="C93" s="43"/>
      <c r="D93" s="43"/>
      <c r="E93" s="43"/>
      <c r="F93" s="43"/>
      <c r="G93" s="43"/>
      <c r="H93" s="43"/>
      <c r="I93" s="43"/>
      <c r="J93" s="48" t="str">
        <f>E89</f>
        <v>UY2</v>
      </c>
      <c r="K93" s="45"/>
      <c r="L93" s="45"/>
      <c r="M93" s="45"/>
      <c r="N93" s="45"/>
      <c r="O93" s="45"/>
    </row>
    <row r="94" spans="1:15" ht="15.5" x14ac:dyDescent="0.35">
      <c r="B94" s="43"/>
      <c r="C94" s="43"/>
      <c r="D94" s="43"/>
      <c r="E94" s="43"/>
      <c r="F94" s="43"/>
      <c r="G94" s="43"/>
      <c r="H94" s="43"/>
      <c r="I94" s="43"/>
      <c r="J94" s="48" t="str">
        <f>F89</f>
        <v>UX3</v>
      </c>
      <c r="K94" s="45"/>
      <c r="L94" s="45"/>
      <c r="M94" s="45"/>
      <c r="N94" s="45"/>
      <c r="O94" s="45"/>
    </row>
    <row r="95" spans="1:15" ht="15.5" x14ac:dyDescent="0.35">
      <c r="B95" s="43"/>
      <c r="C95" s="43"/>
      <c r="D95" s="43"/>
      <c r="E95" s="43"/>
      <c r="F95" s="43"/>
      <c r="G95" s="43"/>
      <c r="H95" s="43"/>
      <c r="I95" s="43"/>
      <c r="J95" s="48" t="str">
        <f>G89</f>
        <v>UY3</v>
      </c>
      <c r="K95" s="45"/>
      <c r="L95" s="45"/>
      <c r="M95" s="45"/>
      <c r="N95" s="45"/>
      <c r="O95" s="45"/>
    </row>
    <row r="96" spans="1:15" ht="15.5" x14ac:dyDescent="0.35">
      <c r="B96" s="43">
        <f>D82</f>
        <v>-474.34164902525674</v>
      </c>
      <c r="C96" s="43">
        <f>E82</f>
        <v>-1423.0249470757703</v>
      </c>
      <c r="D96" s="43"/>
      <c r="E96" s="43"/>
      <c r="F96" s="43"/>
      <c r="G96" s="43"/>
      <c r="H96" s="43">
        <f>B82</f>
        <v>474.34164902525674</v>
      </c>
      <c r="I96" s="43">
        <f>C82</f>
        <v>1423.0249470757703</v>
      </c>
      <c r="J96" s="48" t="str">
        <f>H89</f>
        <v>UX4</v>
      </c>
      <c r="K96" s="45"/>
      <c r="L96" s="45"/>
      <c r="M96" s="45"/>
      <c r="N96" s="45"/>
      <c r="O96" s="45"/>
    </row>
    <row r="97" spans="1:15" ht="15.5" x14ac:dyDescent="0.35">
      <c r="B97" s="43">
        <f>D83</f>
        <v>-1423.0249470757703</v>
      </c>
      <c r="C97" s="43">
        <f>E83</f>
        <v>-4269.0748412273115</v>
      </c>
      <c r="D97" s="43"/>
      <c r="E97" s="43"/>
      <c r="F97" s="43"/>
      <c r="G97" s="43"/>
      <c r="H97" s="43">
        <f>B83</f>
        <v>1423.0249470757703</v>
      </c>
      <c r="I97" s="43">
        <f>C83</f>
        <v>4269.0748412273115</v>
      </c>
      <c r="J97" s="48" t="str">
        <f>I89</f>
        <v>UY4</v>
      </c>
      <c r="K97" s="45"/>
      <c r="L97" s="45"/>
      <c r="M97" s="45"/>
      <c r="N97" s="45"/>
      <c r="O97" s="45"/>
    </row>
    <row r="98" spans="1:15" ht="15.5" x14ac:dyDescent="0.35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</row>
    <row r="99" spans="1:15" ht="15.5" x14ac:dyDescent="0.35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</row>
    <row r="100" spans="1:15" ht="15.5" x14ac:dyDescent="0.35">
      <c r="B100" s="48" t="str">
        <f>CONCATENATE("U",C16,C21)</f>
        <v>UX2</v>
      </c>
      <c r="C100" s="48" t="str">
        <f>CONCATENATE("U",D16,D21)</f>
        <v>UY2</v>
      </c>
      <c r="D100" s="48" t="str">
        <f>CONCATENATE("U",E16,E21)</f>
        <v>UX4</v>
      </c>
      <c r="E100" s="48" t="str">
        <f>CONCATENATE("U",F16,F21)</f>
        <v>UY4</v>
      </c>
      <c r="F100" s="48"/>
      <c r="G100" s="45"/>
      <c r="H100" s="45"/>
      <c r="I100" s="45"/>
      <c r="J100" s="45"/>
      <c r="K100" s="45"/>
      <c r="L100" s="45"/>
      <c r="M100" s="45"/>
      <c r="N100" s="45"/>
      <c r="O100" s="45"/>
    </row>
    <row r="101" spans="1:15" ht="15.5" x14ac:dyDescent="0.35">
      <c r="B101" s="43">
        <f>J12*J12*N12</f>
        <v>1920.0000000000005</v>
      </c>
      <c r="C101" s="43">
        <f>J12*K12*N12</f>
        <v>-1440</v>
      </c>
      <c r="D101" s="43">
        <f>-B101</f>
        <v>-1920.0000000000005</v>
      </c>
      <c r="E101" s="43">
        <f>-C101</f>
        <v>1440</v>
      </c>
      <c r="F101" s="48" t="str">
        <f>B100</f>
        <v>UX2</v>
      </c>
      <c r="G101" s="45"/>
      <c r="H101" s="45"/>
      <c r="I101" s="45"/>
      <c r="J101" s="45"/>
      <c r="K101" s="45"/>
      <c r="L101" s="45"/>
      <c r="M101" s="45"/>
      <c r="N101" s="45"/>
      <c r="O101" s="45"/>
    </row>
    <row r="102" spans="1:15" ht="15.5" x14ac:dyDescent="0.35">
      <c r="A102" t="s">
        <v>81</v>
      </c>
      <c r="B102" s="43">
        <f>C101</f>
        <v>-1440</v>
      </c>
      <c r="C102" s="43">
        <f>K12*K12*N12</f>
        <v>1080</v>
      </c>
      <c r="D102" s="43">
        <f>-B102</f>
        <v>1440</v>
      </c>
      <c r="E102" s="43">
        <f>-C102</f>
        <v>-1080</v>
      </c>
      <c r="F102" s="48" t="str">
        <f>C100</f>
        <v>UY2</v>
      </c>
      <c r="G102" s="45"/>
      <c r="H102" s="45"/>
      <c r="I102" s="45"/>
      <c r="J102" s="45"/>
      <c r="K102" s="45"/>
      <c r="L102" s="45"/>
      <c r="M102" s="45"/>
      <c r="N102" s="45"/>
      <c r="O102" s="45"/>
    </row>
    <row r="103" spans="1:15" ht="15.5" x14ac:dyDescent="0.35">
      <c r="B103" s="43">
        <f>D101</f>
        <v>-1920.0000000000005</v>
      </c>
      <c r="C103" s="43">
        <f>E101</f>
        <v>1440</v>
      </c>
      <c r="D103" s="43">
        <f>B101</f>
        <v>1920.0000000000005</v>
      </c>
      <c r="E103" s="43">
        <f>C101</f>
        <v>-1440</v>
      </c>
      <c r="F103" s="48" t="str">
        <f>D100</f>
        <v>UX4</v>
      </c>
      <c r="G103" s="45"/>
      <c r="H103" s="45"/>
      <c r="I103" s="45"/>
      <c r="J103" s="45"/>
      <c r="K103" s="45"/>
      <c r="L103" s="45"/>
      <c r="M103" s="45"/>
      <c r="N103" s="45"/>
      <c r="O103" s="45"/>
    </row>
    <row r="104" spans="1:15" ht="15.5" x14ac:dyDescent="0.35">
      <c r="B104" s="43">
        <f>D102</f>
        <v>1440</v>
      </c>
      <c r="C104" s="43">
        <f>E102</f>
        <v>-1080</v>
      </c>
      <c r="D104" s="43">
        <f>B102</f>
        <v>-1440</v>
      </c>
      <c r="E104" s="43">
        <f>C102</f>
        <v>1080</v>
      </c>
      <c r="F104" s="48" t="str">
        <f>E100</f>
        <v>UY4</v>
      </c>
      <c r="G104" s="45"/>
      <c r="H104" s="45"/>
      <c r="I104" s="45"/>
      <c r="J104" s="45"/>
      <c r="K104" s="45"/>
      <c r="L104" s="45"/>
      <c r="M104" s="45"/>
      <c r="N104" s="45"/>
      <c r="O104" s="45"/>
    </row>
    <row r="105" spans="1:15" ht="15.5" x14ac:dyDescent="0.35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</row>
    <row r="106" spans="1:15" ht="15.5" x14ac:dyDescent="0.35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</row>
    <row r="107" spans="1:15" ht="15.5" x14ac:dyDescent="0.35"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</row>
    <row r="108" spans="1:15" ht="15.5" x14ac:dyDescent="0.35">
      <c r="B108" s="48" t="s">
        <v>4</v>
      </c>
      <c r="C108" s="48" t="s">
        <v>5</v>
      </c>
      <c r="D108" s="48" t="s">
        <v>6</v>
      </c>
      <c r="E108" s="48" t="s">
        <v>7</v>
      </c>
      <c r="F108" s="48" t="s">
        <v>1</v>
      </c>
      <c r="G108" s="48" t="s">
        <v>3</v>
      </c>
      <c r="H108" s="48" t="s">
        <v>0</v>
      </c>
      <c r="I108" s="48" t="s">
        <v>2</v>
      </c>
      <c r="J108" s="48"/>
      <c r="K108" s="45"/>
      <c r="L108" s="45"/>
      <c r="M108" s="45"/>
      <c r="N108" s="45"/>
      <c r="O108" s="45"/>
    </row>
    <row r="109" spans="1:15" ht="15.5" x14ac:dyDescent="0.35">
      <c r="B109" s="43"/>
      <c r="C109" s="43"/>
      <c r="D109" s="43"/>
      <c r="E109" s="43"/>
      <c r="F109" s="43"/>
      <c r="G109" s="43"/>
      <c r="H109" s="43"/>
      <c r="I109" s="43"/>
      <c r="J109" s="48" t="str">
        <f>B108</f>
        <v>UX1</v>
      </c>
      <c r="K109" s="45"/>
      <c r="L109" s="45"/>
      <c r="M109" s="45"/>
      <c r="N109" s="45"/>
      <c r="O109" s="45"/>
    </row>
    <row r="110" spans="1:15" ht="15.5" x14ac:dyDescent="0.35">
      <c r="B110" s="43"/>
      <c r="C110" s="43"/>
      <c r="D110" s="43"/>
      <c r="E110" s="43"/>
      <c r="F110" s="43"/>
      <c r="G110" s="43"/>
      <c r="H110" s="43"/>
      <c r="I110" s="43"/>
      <c r="J110" s="48" t="str">
        <f>C108</f>
        <v>UY1</v>
      </c>
      <c r="K110" s="45"/>
      <c r="L110" s="45"/>
      <c r="M110" s="45"/>
      <c r="N110" s="45"/>
      <c r="O110" s="45"/>
    </row>
    <row r="111" spans="1:15" ht="15.5" x14ac:dyDescent="0.35">
      <c r="B111" s="43"/>
      <c r="C111" s="43"/>
      <c r="D111" s="43">
        <f>B101</f>
        <v>1920.0000000000005</v>
      </c>
      <c r="E111" s="43">
        <f>C101</f>
        <v>-1440</v>
      </c>
      <c r="F111" s="43"/>
      <c r="G111" s="43"/>
      <c r="H111" s="43">
        <f>D101</f>
        <v>-1920.0000000000005</v>
      </c>
      <c r="I111" s="43">
        <f>E101</f>
        <v>1440</v>
      </c>
      <c r="J111" s="48" t="str">
        <f>D108</f>
        <v>UX2</v>
      </c>
      <c r="K111" s="45"/>
      <c r="L111" s="45"/>
      <c r="M111" s="45"/>
      <c r="N111" s="45"/>
      <c r="O111" s="45"/>
    </row>
    <row r="112" spans="1:15" ht="15.5" x14ac:dyDescent="0.35">
      <c r="B112" s="43"/>
      <c r="C112" s="43"/>
      <c r="D112" s="43">
        <f>B102</f>
        <v>-1440</v>
      </c>
      <c r="E112" s="43">
        <f>C102</f>
        <v>1080</v>
      </c>
      <c r="F112" s="43"/>
      <c r="G112" s="43"/>
      <c r="H112" s="43">
        <f>D102</f>
        <v>1440</v>
      </c>
      <c r="I112" s="43">
        <f>E102</f>
        <v>-1080</v>
      </c>
      <c r="J112" s="48" t="str">
        <f>E108</f>
        <v>UY2</v>
      </c>
      <c r="K112" s="45"/>
      <c r="L112" s="45"/>
      <c r="M112" s="45"/>
      <c r="N112" s="45"/>
      <c r="O112" s="45"/>
    </row>
    <row r="113" spans="1:15" ht="15.5" x14ac:dyDescent="0.35">
      <c r="B113" s="43"/>
      <c r="C113" s="43"/>
      <c r="D113" s="43"/>
      <c r="E113" s="43"/>
      <c r="F113" s="43"/>
      <c r="G113" s="43"/>
      <c r="H113" s="43"/>
      <c r="I113" s="43"/>
      <c r="J113" s="48" t="str">
        <f>F108</f>
        <v>UX3</v>
      </c>
      <c r="K113" s="45"/>
      <c r="L113" s="45"/>
      <c r="M113" s="45"/>
      <c r="N113" s="45"/>
      <c r="O113" s="45"/>
    </row>
    <row r="114" spans="1:15" ht="15.5" x14ac:dyDescent="0.35">
      <c r="B114" s="43"/>
      <c r="C114" s="43"/>
      <c r="D114" s="43"/>
      <c r="E114" s="43"/>
      <c r="F114" s="43"/>
      <c r="G114" s="43"/>
      <c r="H114" s="43"/>
      <c r="I114" s="43"/>
      <c r="J114" s="48" t="str">
        <f>G108</f>
        <v>UY3</v>
      </c>
      <c r="K114" s="45"/>
      <c r="L114" s="45"/>
      <c r="M114" s="45"/>
      <c r="N114" s="45"/>
      <c r="O114" s="45"/>
    </row>
    <row r="115" spans="1:15" ht="15.5" x14ac:dyDescent="0.35">
      <c r="B115" s="43"/>
      <c r="C115" s="43"/>
      <c r="D115" s="43">
        <f>B103</f>
        <v>-1920.0000000000005</v>
      </c>
      <c r="E115" s="43">
        <f>C103</f>
        <v>1440</v>
      </c>
      <c r="F115" s="43"/>
      <c r="G115" s="43"/>
      <c r="H115" s="43">
        <f>D103</f>
        <v>1920.0000000000005</v>
      </c>
      <c r="I115" s="43">
        <f>E103</f>
        <v>-1440</v>
      </c>
      <c r="J115" s="48" t="str">
        <f>H108</f>
        <v>UX4</v>
      </c>
      <c r="K115" s="45"/>
      <c r="L115" s="45"/>
      <c r="M115" s="45"/>
      <c r="N115" s="45"/>
      <c r="O115" s="45"/>
    </row>
    <row r="116" spans="1:15" ht="15.5" x14ac:dyDescent="0.35">
      <c r="B116" s="43"/>
      <c r="C116" s="43"/>
      <c r="D116" s="43">
        <f>B104</f>
        <v>1440</v>
      </c>
      <c r="E116" s="43">
        <f>C104</f>
        <v>-1080</v>
      </c>
      <c r="F116" s="43"/>
      <c r="G116" s="43"/>
      <c r="H116" s="43">
        <f>D104</f>
        <v>-1440</v>
      </c>
      <c r="I116" s="43">
        <f>E104</f>
        <v>1080</v>
      </c>
      <c r="J116" s="48" t="str">
        <f>I108</f>
        <v>UY4</v>
      </c>
      <c r="K116" s="45"/>
      <c r="L116" s="45"/>
      <c r="M116" s="45"/>
      <c r="N116" s="45"/>
      <c r="O116" s="45"/>
    </row>
    <row r="117" spans="1:15" ht="15.5" x14ac:dyDescent="0.35"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</row>
    <row r="118" spans="1:15" ht="15.5" x14ac:dyDescent="0.35">
      <c r="A118" s="34" t="s">
        <v>82</v>
      </c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</row>
    <row r="119" spans="1:15" ht="15.5" x14ac:dyDescent="0.35">
      <c r="B119" s="48" t="s">
        <v>4</v>
      </c>
      <c r="C119" s="48" t="s">
        <v>5</v>
      </c>
      <c r="D119" s="48" t="s">
        <v>6</v>
      </c>
      <c r="E119" s="48" t="s">
        <v>7</v>
      </c>
      <c r="F119" s="48" t="s">
        <v>1</v>
      </c>
      <c r="G119" s="48" t="s">
        <v>3</v>
      </c>
      <c r="H119" s="48" t="s">
        <v>0</v>
      </c>
      <c r="I119" s="48" t="s">
        <v>2</v>
      </c>
      <c r="J119" s="48"/>
      <c r="K119" s="45"/>
      <c r="L119" s="45"/>
      <c r="M119" s="45"/>
      <c r="N119" s="45"/>
      <c r="O119" s="45"/>
    </row>
    <row r="120" spans="1:15" ht="15.5" x14ac:dyDescent="0.35">
      <c r="B120" s="54">
        <f t="shared" ref="B120:I127" si="10">B109+B90+B71+B52+B33</f>
        <v>3474.3416490252566</v>
      </c>
      <c r="C120" s="43">
        <f t="shared" si="10"/>
        <v>1423.0249470757703</v>
      </c>
      <c r="D120" s="43">
        <f t="shared" si="10"/>
        <v>-3000</v>
      </c>
      <c r="E120" s="43">
        <f t="shared" si="10"/>
        <v>0</v>
      </c>
      <c r="F120" s="43">
        <f t="shared" si="10"/>
        <v>0</v>
      </c>
      <c r="G120" s="43">
        <f t="shared" si="10"/>
        <v>0</v>
      </c>
      <c r="H120" s="43">
        <f t="shared" si="10"/>
        <v>-474.34164902525674</v>
      </c>
      <c r="I120" s="43">
        <f t="shared" si="10"/>
        <v>-1423.0249470757703</v>
      </c>
      <c r="J120" s="48" t="str">
        <f>B119</f>
        <v>UX1</v>
      </c>
      <c r="K120" s="45"/>
      <c r="L120" s="45"/>
      <c r="M120" s="45"/>
      <c r="N120" s="45"/>
      <c r="O120" s="45"/>
    </row>
    <row r="121" spans="1:15" ht="15.5" x14ac:dyDescent="0.35">
      <c r="B121" s="43">
        <f t="shared" si="10"/>
        <v>1423.0249470757703</v>
      </c>
      <c r="C121" s="54">
        <f t="shared" si="10"/>
        <v>4269.0748412273115</v>
      </c>
      <c r="D121" s="43">
        <f t="shared" si="10"/>
        <v>0</v>
      </c>
      <c r="E121" s="43">
        <f t="shared" si="10"/>
        <v>0</v>
      </c>
      <c r="F121" s="43">
        <f t="shared" si="10"/>
        <v>0</v>
      </c>
      <c r="G121" s="43">
        <f t="shared" si="10"/>
        <v>0</v>
      </c>
      <c r="H121" s="43">
        <f t="shared" si="10"/>
        <v>-1423.0249470757703</v>
      </c>
      <c r="I121" s="43">
        <f t="shared" si="10"/>
        <v>-4269.0748412273115</v>
      </c>
      <c r="J121" s="48" t="str">
        <f>C119</f>
        <v>UY1</v>
      </c>
      <c r="K121" s="45"/>
      <c r="L121" s="45"/>
      <c r="M121" s="45"/>
      <c r="N121" s="45"/>
      <c r="O121" s="45"/>
    </row>
    <row r="122" spans="1:15" ht="15.5" x14ac:dyDescent="0.35">
      <c r="B122" s="43">
        <f t="shared" si="10"/>
        <v>-3000</v>
      </c>
      <c r="C122" s="43">
        <f t="shared" si="10"/>
        <v>0</v>
      </c>
      <c r="D122" s="54">
        <f t="shared" si="10"/>
        <v>5134.0020220908827</v>
      </c>
      <c r="E122" s="43">
        <f t="shared" si="10"/>
        <v>-2296.0080883635283</v>
      </c>
      <c r="F122" s="43">
        <f t="shared" si="10"/>
        <v>-214.00202209088201</v>
      </c>
      <c r="G122" s="43">
        <f t="shared" si="10"/>
        <v>856.00808836352803</v>
      </c>
      <c r="H122" s="43">
        <f t="shared" si="10"/>
        <v>-1920.0000000000005</v>
      </c>
      <c r="I122" s="43">
        <f t="shared" si="10"/>
        <v>1440</v>
      </c>
      <c r="J122" s="48" t="str">
        <f>D119</f>
        <v>UX2</v>
      </c>
      <c r="K122" s="45"/>
      <c r="L122" s="45"/>
      <c r="M122" s="45"/>
      <c r="N122" s="45"/>
      <c r="O122" s="45"/>
    </row>
    <row r="123" spans="1:15" ht="15.5" x14ac:dyDescent="0.35">
      <c r="B123" s="43">
        <f t="shared" si="10"/>
        <v>0</v>
      </c>
      <c r="C123" s="43">
        <f t="shared" si="10"/>
        <v>0</v>
      </c>
      <c r="D123" s="43">
        <f t="shared" si="10"/>
        <v>-2296.0080883635283</v>
      </c>
      <c r="E123" s="54">
        <f t="shared" si="10"/>
        <v>4504.0323534541121</v>
      </c>
      <c r="F123" s="43">
        <f t="shared" si="10"/>
        <v>856.00808836352803</v>
      </c>
      <c r="G123" s="43">
        <f t="shared" si="10"/>
        <v>-3424.0323534541121</v>
      </c>
      <c r="H123" s="43">
        <f t="shared" si="10"/>
        <v>1440</v>
      </c>
      <c r="I123" s="43">
        <f t="shared" si="10"/>
        <v>-1080</v>
      </c>
      <c r="J123" s="48" t="str">
        <f>E119</f>
        <v>UY2</v>
      </c>
      <c r="K123" s="45"/>
      <c r="L123" s="45"/>
      <c r="M123" s="45"/>
      <c r="N123" s="45"/>
      <c r="O123" s="45"/>
    </row>
    <row r="124" spans="1:15" ht="15.5" x14ac:dyDescent="0.35">
      <c r="B124" s="43">
        <f t="shared" si="10"/>
        <v>0</v>
      </c>
      <c r="C124" s="43">
        <f t="shared" si="10"/>
        <v>0</v>
      </c>
      <c r="D124" s="43">
        <f t="shared" si="10"/>
        <v>-214.00202209088201</v>
      </c>
      <c r="E124" s="43">
        <f t="shared" si="10"/>
        <v>856.00808836352803</v>
      </c>
      <c r="F124" s="54">
        <f t="shared" si="10"/>
        <v>4483.0768633181933</v>
      </c>
      <c r="G124" s="43">
        <f t="shared" si="10"/>
        <v>567.01685871224231</v>
      </c>
      <c r="H124" s="43">
        <f t="shared" si="10"/>
        <v>-4269.0748412273115</v>
      </c>
      <c r="I124" s="43">
        <f t="shared" si="10"/>
        <v>-1423.0249470757703</v>
      </c>
      <c r="J124" s="48" t="str">
        <f>F119</f>
        <v>UX3</v>
      </c>
      <c r="K124" s="45"/>
      <c r="L124" s="45"/>
      <c r="M124" s="45"/>
      <c r="N124" s="45"/>
      <c r="O124" s="45"/>
    </row>
    <row r="125" spans="1:15" ht="15.5" x14ac:dyDescent="0.35">
      <c r="B125" s="43">
        <f t="shared" si="10"/>
        <v>0</v>
      </c>
      <c r="C125" s="43">
        <f t="shared" si="10"/>
        <v>0</v>
      </c>
      <c r="D125" s="43">
        <f t="shared" si="10"/>
        <v>856.00808836352803</v>
      </c>
      <c r="E125" s="43">
        <f t="shared" si="10"/>
        <v>-3424.0323534541121</v>
      </c>
      <c r="F125" s="43">
        <f t="shared" si="10"/>
        <v>567.01685871224231</v>
      </c>
      <c r="G125" s="54">
        <f t="shared" si="10"/>
        <v>3898.3740024793688</v>
      </c>
      <c r="H125" s="43">
        <f t="shared" si="10"/>
        <v>-1423.0249470757703</v>
      </c>
      <c r="I125" s="43">
        <f t="shared" si="10"/>
        <v>-474.34164902525674</v>
      </c>
      <c r="J125" s="48" t="str">
        <f>G119</f>
        <v>UY3</v>
      </c>
      <c r="K125" s="45"/>
      <c r="L125" s="45"/>
      <c r="M125" s="45"/>
      <c r="N125" s="45"/>
      <c r="O125" s="45"/>
    </row>
    <row r="126" spans="1:15" ht="15.5" x14ac:dyDescent="0.35">
      <c r="B126" s="43">
        <f t="shared" si="10"/>
        <v>-474.34164902525674</v>
      </c>
      <c r="C126" s="43">
        <f t="shared" si="10"/>
        <v>-1423.0249470757703</v>
      </c>
      <c r="D126" s="43">
        <f t="shared" si="10"/>
        <v>-1920.0000000000005</v>
      </c>
      <c r="E126" s="43">
        <f t="shared" si="10"/>
        <v>1440</v>
      </c>
      <c r="F126" s="43">
        <f t="shared" si="10"/>
        <v>-4269.0748412273115</v>
      </c>
      <c r="G126" s="43">
        <f t="shared" si="10"/>
        <v>-1423.0249470757703</v>
      </c>
      <c r="H126" s="54">
        <f t="shared" si="10"/>
        <v>6663.4164902525681</v>
      </c>
      <c r="I126" s="43">
        <f t="shared" si="10"/>
        <v>1406.0498941515407</v>
      </c>
      <c r="J126" s="48" t="str">
        <f>H119</f>
        <v>UX4</v>
      </c>
      <c r="K126" s="45"/>
      <c r="L126" s="45"/>
      <c r="M126" s="45"/>
      <c r="N126" s="45"/>
      <c r="O126" s="45"/>
    </row>
    <row r="127" spans="1:15" ht="15.5" x14ac:dyDescent="0.35">
      <c r="B127" s="43">
        <f t="shared" si="10"/>
        <v>-1423.0249470757703</v>
      </c>
      <c r="C127" s="43">
        <f t="shared" si="10"/>
        <v>-4269.0748412273115</v>
      </c>
      <c r="D127" s="43">
        <f t="shared" si="10"/>
        <v>1440</v>
      </c>
      <c r="E127" s="43">
        <f t="shared" si="10"/>
        <v>-1080</v>
      </c>
      <c r="F127" s="43">
        <f t="shared" si="10"/>
        <v>-1423.0249470757703</v>
      </c>
      <c r="G127" s="43">
        <f t="shared" si="10"/>
        <v>-474.34164902525674</v>
      </c>
      <c r="H127" s="43">
        <f t="shared" si="10"/>
        <v>1406.0498941515407</v>
      </c>
      <c r="I127" s="54">
        <f t="shared" si="10"/>
        <v>5823.4164902525681</v>
      </c>
      <c r="J127" s="48" t="str">
        <f>I119</f>
        <v>UY4</v>
      </c>
      <c r="K127" s="45"/>
      <c r="L127" s="45"/>
      <c r="M127" s="45"/>
      <c r="N127" s="45"/>
      <c r="O127" s="45"/>
    </row>
    <row r="128" spans="1:15" ht="15.5" x14ac:dyDescent="0.35"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</row>
    <row r="129" spans="1:15" ht="15.5" x14ac:dyDescent="0.35">
      <c r="A129" s="34" t="s">
        <v>83</v>
      </c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</row>
    <row r="130" spans="1:15" ht="15.5" x14ac:dyDescent="0.35"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</row>
    <row r="131" spans="1:15" ht="15.5" x14ac:dyDescent="0.35">
      <c r="B131" s="45"/>
      <c r="C131" s="55" t="str">
        <f t="shared" ref="C131:C138" si="11">J120</f>
        <v>UX1</v>
      </c>
      <c r="D131" s="56"/>
      <c r="E131" s="55">
        <v>0</v>
      </c>
      <c r="F131" s="45"/>
      <c r="G131" s="45"/>
      <c r="H131" s="45"/>
      <c r="I131" s="45"/>
      <c r="J131" s="45"/>
      <c r="K131" s="45"/>
      <c r="L131" s="45"/>
      <c r="M131" s="45"/>
      <c r="N131" s="45"/>
      <c r="O131" s="45"/>
    </row>
    <row r="132" spans="1:15" ht="15.5" x14ac:dyDescent="0.35">
      <c r="B132" s="45"/>
      <c r="C132" s="55" t="str">
        <f t="shared" si="11"/>
        <v>UY1</v>
      </c>
      <c r="D132" s="56"/>
      <c r="E132" s="57" t="s">
        <v>31</v>
      </c>
      <c r="F132" s="45"/>
      <c r="G132" s="45"/>
      <c r="H132" s="45"/>
      <c r="I132" s="45"/>
      <c r="J132" s="45"/>
      <c r="K132" s="45"/>
      <c r="L132" s="45"/>
      <c r="M132" s="45"/>
      <c r="N132" s="45"/>
      <c r="O132" s="45"/>
    </row>
    <row r="133" spans="1:15" ht="15.5" x14ac:dyDescent="0.35">
      <c r="B133" s="45"/>
      <c r="C133" s="55" t="str">
        <f t="shared" si="11"/>
        <v>UX2</v>
      </c>
      <c r="D133" s="56" t="s">
        <v>33</v>
      </c>
      <c r="E133" s="55" t="s">
        <v>32</v>
      </c>
      <c r="F133" s="45"/>
      <c r="G133" s="45"/>
      <c r="H133" s="45"/>
      <c r="I133" s="45"/>
      <c r="J133" s="45"/>
      <c r="K133" s="45"/>
      <c r="L133" s="45"/>
      <c r="M133" s="45"/>
      <c r="N133" s="45"/>
      <c r="O133" s="45"/>
    </row>
    <row r="134" spans="1:15" ht="15.5" x14ac:dyDescent="0.35">
      <c r="B134" s="45"/>
      <c r="C134" s="55" t="str">
        <f t="shared" si="11"/>
        <v>UY2</v>
      </c>
      <c r="D134" s="56"/>
      <c r="E134" s="57" t="s">
        <v>34</v>
      </c>
      <c r="F134" s="45"/>
      <c r="G134" s="45"/>
      <c r="H134" s="45"/>
      <c r="I134" s="45"/>
      <c r="J134" s="45"/>
      <c r="K134" s="45"/>
      <c r="L134" s="45"/>
      <c r="M134" s="45"/>
      <c r="N134" s="45"/>
      <c r="O134" s="45"/>
    </row>
    <row r="135" spans="1:15" ht="15.5" x14ac:dyDescent="0.35">
      <c r="B135" s="45"/>
      <c r="C135" s="55" t="str">
        <f t="shared" si="11"/>
        <v>UX3</v>
      </c>
      <c r="D135" s="56"/>
      <c r="E135" s="57">
        <v>1000</v>
      </c>
      <c r="F135" s="45"/>
      <c r="G135" s="45"/>
      <c r="H135" s="45"/>
      <c r="I135" s="45"/>
      <c r="J135" s="45"/>
      <c r="K135" s="45"/>
      <c r="L135" s="45"/>
      <c r="M135" s="45"/>
      <c r="N135" s="45"/>
      <c r="O135" s="45"/>
    </row>
    <row r="136" spans="1:15" ht="15.5" x14ac:dyDescent="0.35">
      <c r="B136" s="45"/>
      <c r="C136" s="55" t="str">
        <f t="shared" si="11"/>
        <v>UY3</v>
      </c>
      <c r="D136" s="56"/>
      <c r="E136" s="57">
        <v>-2000</v>
      </c>
      <c r="F136" s="45"/>
      <c r="G136" s="45"/>
      <c r="H136" s="45"/>
      <c r="I136" s="45"/>
      <c r="J136" s="45"/>
      <c r="K136" s="45"/>
      <c r="L136" s="45"/>
      <c r="M136" s="45"/>
      <c r="N136" s="45"/>
      <c r="O136" s="45"/>
    </row>
    <row r="137" spans="1:15" ht="15.5" x14ac:dyDescent="0.35">
      <c r="B137" s="45"/>
      <c r="C137" s="55" t="str">
        <f t="shared" si="11"/>
        <v>UX4</v>
      </c>
      <c r="D137" s="45"/>
      <c r="E137" s="57">
        <v>2000</v>
      </c>
      <c r="F137" s="45"/>
      <c r="G137" s="45"/>
      <c r="H137" s="45"/>
      <c r="I137" s="45"/>
      <c r="J137" s="45"/>
      <c r="K137" s="45"/>
      <c r="L137" s="45"/>
      <c r="M137" s="45"/>
      <c r="N137" s="45"/>
      <c r="O137" s="45"/>
    </row>
    <row r="138" spans="1:15" ht="15.5" x14ac:dyDescent="0.35">
      <c r="B138" s="45"/>
      <c r="C138" s="55" t="str">
        <f t="shared" si="11"/>
        <v>UY4</v>
      </c>
      <c r="D138" s="45"/>
      <c r="E138" s="57">
        <v>-1000</v>
      </c>
      <c r="F138" s="45"/>
      <c r="G138" s="45"/>
      <c r="H138" s="45"/>
      <c r="I138" s="45"/>
      <c r="J138" s="45"/>
      <c r="K138" s="45"/>
      <c r="L138" s="45"/>
      <c r="M138" s="45"/>
      <c r="N138" s="45"/>
      <c r="O138" s="45"/>
    </row>
    <row r="139" spans="1:15" ht="15.5" x14ac:dyDescent="0.35">
      <c r="A139" s="34" t="s">
        <v>84</v>
      </c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</row>
    <row r="140" spans="1:15" ht="15.5" x14ac:dyDescent="0.35"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</row>
    <row r="141" spans="1:15" ht="15.5" x14ac:dyDescent="0.35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</row>
    <row r="142" spans="1:15" ht="15.5" x14ac:dyDescent="0.35">
      <c r="B142" s="57" t="s">
        <v>40</v>
      </c>
      <c r="C142" s="57" t="str">
        <f t="shared" ref="C142:C149" si="12">C131</f>
        <v>UX1</v>
      </c>
      <c r="D142" s="56"/>
      <c r="E142" s="57" t="s">
        <v>40</v>
      </c>
      <c r="F142" s="57" t="str">
        <f>C142</f>
        <v>UX1</v>
      </c>
      <c r="G142" s="45"/>
      <c r="H142" s="45"/>
      <c r="I142" s="45"/>
      <c r="J142" s="45"/>
      <c r="K142" s="45"/>
      <c r="L142" s="45"/>
      <c r="M142" s="45"/>
      <c r="N142" s="45"/>
      <c r="O142" s="45"/>
    </row>
    <row r="143" spans="1:15" ht="15.5" x14ac:dyDescent="0.35">
      <c r="B143" s="57" t="s">
        <v>41</v>
      </c>
      <c r="C143" s="55" t="str">
        <f t="shared" si="12"/>
        <v>UY1</v>
      </c>
      <c r="D143" s="56"/>
      <c r="E143" s="57">
        <v>0</v>
      </c>
      <c r="F143" s="57" t="str">
        <f t="shared" ref="F143:F149" si="13">C143</f>
        <v>UY1</v>
      </c>
      <c r="G143" s="45"/>
      <c r="H143" s="45"/>
      <c r="I143" s="45"/>
      <c r="J143" s="45"/>
      <c r="K143" s="45"/>
      <c r="L143" s="45"/>
      <c r="M143" s="45"/>
      <c r="N143" s="45"/>
      <c r="O143" s="45"/>
    </row>
    <row r="144" spans="1:15" ht="15.5" x14ac:dyDescent="0.35">
      <c r="B144" s="57" t="s">
        <v>42</v>
      </c>
      <c r="C144" s="55" t="str">
        <f t="shared" si="12"/>
        <v>UX2</v>
      </c>
      <c r="D144" s="56" t="s">
        <v>33</v>
      </c>
      <c r="E144" s="57">
        <v>0</v>
      </c>
      <c r="F144" s="57" t="str">
        <f t="shared" si="13"/>
        <v>UX2</v>
      </c>
      <c r="G144" s="45"/>
      <c r="H144" s="45"/>
      <c r="I144" s="45"/>
      <c r="J144" s="45"/>
      <c r="K144" s="45"/>
      <c r="L144" s="45"/>
      <c r="M144" s="45"/>
      <c r="N144" s="45"/>
      <c r="O144" s="45"/>
    </row>
    <row r="145" spans="1:15" ht="15.5" x14ac:dyDescent="0.35">
      <c r="B145" s="57" t="s">
        <v>43</v>
      </c>
      <c r="C145" s="55" t="str">
        <f t="shared" si="12"/>
        <v>UY2</v>
      </c>
      <c r="D145" s="56"/>
      <c r="E145" s="57">
        <v>0</v>
      </c>
      <c r="F145" s="57" t="str">
        <f t="shared" si="13"/>
        <v>UY2</v>
      </c>
      <c r="G145" s="45"/>
      <c r="H145" s="45"/>
      <c r="I145" s="45"/>
      <c r="J145" s="45"/>
      <c r="K145" s="45"/>
      <c r="L145" s="45"/>
      <c r="M145" s="45"/>
      <c r="N145" s="45"/>
      <c r="O145" s="45"/>
    </row>
    <row r="146" spans="1:15" ht="15.5" x14ac:dyDescent="0.35">
      <c r="B146" s="57" t="s">
        <v>44</v>
      </c>
      <c r="C146" s="55" t="str">
        <f t="shared" si="12"/>
        <v>UX3</v>
      </c>
      <c r="D146" s="56"/>
      <c r="E146" s="57" t="str">
        <f>B146</f>
        <v>D3X</v>
      </c>
      <c r="F146" s="57" t="str">
        <f t="shared" si="13"/>
        <v>UX3</v>
      </c>
      <c r="G146" s="45"/>
      <c r="H146" s="45"/>
      <c r="I146" s="45"/>
      <c r="J146" s="45"/>
      <c r="K146" s="45"/>
      <c r="L146" s="45"/>
      <c r="M146" s="45"/>
      <c r="N146" s="45"/>
      <c r="O146" s="45"/>
    </row>
    <row r="147" spans="1:15" ht="15.5" x14ac:dyDescent="0.35">
      <c r="B147" s="57" t="s">
        <v>45</v>
      </c>
      <c r="C147" s="55" t="str">
        <f t="shared" si="12"/>
        <v>UY3</v>
      </c>
      <c r="D147" s="56"/>
      <c r="E147" s="57" t="str">
        <f>B147</f>
        <v>D3Y</v>
      </c>
      <c r="F147" s="57" t="str">
        <f t="shared" si="13"/>
        <v>UY3</v>
      </c>
      <c r="G147" s="45"/>
      <c r="H147" s="45"/>
      <c r="I147" s="45"/>
      <c r="J147" s="45"/>
      <c r="K147" s="45"/>
      <c r="L147" s="45"/>
      <c r="M147" s="45"/>
      <c r="N147" s="45"/>
      <c r="O147" s="45"/>
    </row>
    <row r="148" spans="1:15" ht="15.5" x14ac:dyDescent="0.35">
      <c r="B148" s="57" t="s">
        <v>46</v>
      </c>
      <c r="C148" s="55" t="str">
        <f t="shared" si="12"/>
        <v>UX4</v>
      </c>
      <c r="D148" s="45"/>
      <c r="E148" s="57" t="str">
        <f t="shared" ref="E148:E149" si="14">B148</f>
        <v>D4X</v>
      </c>
      <c r="F148" s="57" t="str">
        <f t="shared" si="13"/>
        <v>UX4</v>
      </c>
      <c r="G148" s="45"/>
      <c r="H148" s="45"/>
      <c r="I148" s="45"/>
      <c r="J148" s="45"/>
      <c r="K148" s="45"/>
      <c r="L148" s="45"/>
      <c r="M148" s="45"/>
      <c r="N148" s="45"/>
      <c r="O148" s="45"/>
    </row>
    <row r="149" spans="1:15" ht="15.5" x14ac:dyDescent="0.35">
      <c r="B149" s="57" t="s">
        <v>47</v>
      </c>
      <c r="C149" s="55" t="str">
        <f t="shared" si="12"/>
        <v>UY4</v>
      </c>
      <c r="D149" s="45"/>
      <c r="E149" s="57" t="str">
        <f t="shared" si="14"/>
        <v>D4Y</v>
      </c>
      <c r="F149" s="57" t="str">
        <f t="shared" si="13"/>
        <v>UY4</v>
      </c>
      <c r="G149" s="45"/>
      <c r="H149" s="45"/>
      <c r="I149" s="45"/>
      <c r="J149" s="45"/>
      <c r="K149" s="45"/>
      <c r="L149" s="45"/>
      <c r="M149" s="45"/>
      <c r="N149" s="45"/>
      <c r="O149" s="45"/>
    </row>
    <row r="150" spans="1:15" ht="15.5" x14ac:dyDescent="0.35"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</row>
    <row r="151" spans="1:15" ht="15.5" x14ac:dyDescent="0.35"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</row>
    <row r="152" spans="1:15" ht="15.5" x14ac:dyDescent="0.35"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</row>
    <row r="153" spans="1:15" ht="15.5" x14ac:dyDescent="0.35">
      <c r="A153" s="34" t="s">
        <v>86</v>
      </c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</row>
    <row r="154" spans="1:15" ht="15.5" x14ac:dyDescent="0.35"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</row>
    <row r="155" spans="1:15" ht="15.5" x14ac:dyDescent="0.35">
      <c r="B155" s="58">
        <f t="shared" ref="B155:B162" si="15">E131</f>
        <v>0</v>
      </c>
      <c r="C155" s="58"/>
      <c r="D155" s="59">
        <f t="shared" ref="D155:K162" si="16">B120</f>
        <v>3474.3416490252566</v>
      </c>
      <c r="E155" s="60">
        <f t="shared" si="16"/>
        <v>1423.0249470757703</v>
      </c>
      <c r="F155" s="60">
        <f t="shared" si="16"/>
        <v>-3000</v>
      </c>
      <c r="G155" s="60">
        <f t="shared" si="16"/>
        <v>0</v>
      </c>
      <c r="H155" s="59">
        <f t="shared" si="16"/>
        <v>0</v>
      </c>
      <c r="I155" s="59">
        <f t="shared" si="16"/>
        <v>0</v>
      </c>
      <c r="J155" s="59">
        <f t="shared" si="16"/>
        <v>-474.34164902525674</v>
      </c>
      <c r="K155" s="59">
        <f t="shared" si="16"/>
        <v>-1423.0249470757703</v>
      </c>
      <c r="L155" s="61" t="str">
        <f t="shared" ref="L155:L162" si="17">E142</f>
        <v>D1X</v>
      </c>
      <c r="M155" s="45"/>
      <c r="N155" s="45"/>
      <c r="O155" s="45"/>
    </row>
    <row r="156" spans="1:15" ht="15.5" x14ac:dyDescent="0.35">
      <c r="B156" s="62" t="str">
        <f t="shared" si="15"/>
        <v>C1Y</v>
      </c>
      <c r="C156" s="63"/>
      <c r="D156" s="64">
        <f t="shared" si="16"/>
        <v>1423.0249470757703</v>
      </c>
      <c r="E156" s="64">
        <f t="shared" si="16"/>
        <v>4269.0748412273115</v>
      </c>
      <c r="F156" s="64">
        <f t="shared" si="16"/>
        <v>0</v>
      </c>
      <c r="G156" s="64">
        <f t="shared" si="16"/>
        <v>0</v>
      </c>
      <c r="H156" s="64">
        <f t="shared" si="16"/>
        <v>0</v>
      </c>
      <c r="I156" s="64">
        <f t="shared" si="16"/>
        <v>0</v>
      </c>
      <c r="J156" s="64">
        <f t="shared" si="16"/>
        <v>-1423.0249470757703</v>
      </c>
      <c r="K156" s="64">
        <f t="shared" si="16"/>
        <v>-4269.0748412273115</v>
      </c>
      <c r="L156" s="65">
        <f t="shared" si="17"/>
        <v>0</v>
      </c>
      <c r="M156" s="45"/>
      <c r="N156" s="45"/>
      <c r="O156" s="45"/>
    </row>
    <row r="157" spans="1:15" ht="15.5" x14ac:dyDescent="0.35">
      <c r="B157" s="62" t="str">
        <f t="shared" si="15"/>
        <v>C2X</v>
      </c>
      <c r="C157" s="63"/>
      <c r="D157" s="64">
        <f t="shared" si="16"/>
        <v>-3000</v>
      </c>
      <c r="E157" s="64">
        <f t="shared" si="16"/>
        <v>0</v>
      </c>
      <c r="F157" s="64">
        <f t="shared" si="16"/>
        <v>5134.0020220908827</v>
      </c>
      <c r="G157" s="64">
        <f t="shared" si="16"/>
        <v>-2296.0080883635283</v>
      </c>
      <c r="H157" s="64">
        <f t="shared" si="16"/>
        <v>-214.00202209088201</v>
      </c>
      <c r="I157" s="64">
        <f t="shared" si="16"/>
        <v>856.00808836352803</v>
      </c>
      <c r="J157" s="64">
        <f t="shared" si="16"/>
        <v>-1920.0000000000005</v>
      </c>
      <c r="K157" s="64">
        <f t="shared" si="16"/>
        <v>1440</v>
      </c>
      <c r="L157" s="65">
        <f t="shared" si="17"/>
        <v>0</v>
      </c>
      <c r="M157" s="45"/>
      <c r="N157" s="45"/>
      <c r="O157" s="45"/>
    </row>
    <row r="158" spans="1:15" ht="15.5" x14ac:dyDescent="0.35">
      <c r="B158" s="62" t="str">
        <f t="shared" si="15"/>
        <v>C2Y</v>
      </c>
      <c r="C158" s="63" t="s">
        <v>33</v>
      </c>
      <c r="D158" s="64">
        <f t="shared" si="16"/>
        <v>0</v>
      </c>
      <c r="E158" s="64">
        <f t="shared" si="16"/>
        <v>0</v>
      </c>
      <c r="F158" s="64">
        <f t="shared" si="16"/>
        <v>-2296.0080883635283</v>
      </c>
      <c r="G158" s="64">
        <f t="shared" si="16"/>
        <v>4504.0323534541121</v>
      </c>
      <c r="H158" s="64">
        <f t="shared" si="16"/>
        <v>856.00808836352803</v>
      </c>
      <c r="I158" s="64">
        <f t="shared" si="16"/>
        <v>-3424.0323534541121</v>
      </c>
      <c r="J158" s="64">
        <f t="shared" si="16"/>
        <v>1440</v>
      </c>
      <c r="K158" s="64">
        <f t="shared" si="16"/>
        <v>-1080</v>
      </c>
      <c r="L158" s="65">
        <f t="shared" si="17"/>
        <v>0</v>
      </c>
      <c r="M158" s="45"/>
      <c r="N158" s="45"/>
      <c r="O158" s="45"/>
    </row>
    <row r="159" spans="1:15" ht="15.5" x14ac:dyDescent="0.35">
      <c r="B159" s="66">
        <f t="shared" si="15"/>
        <v>1000</v>
      </c>
      <c r="C159" s="67"/>
      <c r="D159" s="68">
        <f t="shared" si="16"/>
        <v>0</v>
      </c>
      <c r="E159" s="64">
        <f t="shared" si="16"/>
        <v>0</v>
      </c>
      <c r="F159" s="64">
        <f t="shared" si="16"/>
        <v>-214.00202209088201</v>
      </c>
      <c r="G159" s="64">
        <f t="shared" si="16"/>
        <v>856.00808836352803</v>
      </c>
      <c r="H159" s="68">
        <f t="shared" si="16"/>
        <v>4483.0768633181933</v>
      </c>
      <c r="I159" s="68">
        <f t="shared" si="16"/>
        <v>567.01685871224231</v>
      </c>
      <c r="J159" s="68">
        <f t="shared" si="16"/>
        <v>-4269.0748412273115</v>
      </c>
      <c r="K159" s="68">
        <f t="shared" si="16"/>
        <v>-1423.0249470757703</v>
      </c>
      <c r="L159" s="69" t="str">
        <f t="shared" si="17"/>
        <v>D3X</v>
      </c>
      <c r="M159" s="45"/>
      <c r="N159" s="45"/>
      <c r="O159" s="45"/>
    </row>
    <row r="160" spans="1:15" ht="15.5" x14ac:dyDescent="0.35">
      <c r="B160" s="66">
        <f t="shared" si="15"/>
        <v>-2000</v>
      </c>
      <c r="C160" s="67"/>
      <c r="D160" s="68">
        <f t="shared" si="16"/>
        <v>0</v>
      </c>
      <c r="E160" s="64">
        <f t="shared" si="16"/>
        <v>0</v>
      </c>
      <c r="F160" s="64">
        <f t="shared" si="16"/>
        <v>856.00808836352803</v>
      </c>
      <c r="G160" s="64">
        <f t="shared" si="16"/>
        <v>-3424.0323534541121</v>
      </c>
      <c r="H160" s="68">
        <f t="shared" si="16"/>
        <v>567.01685871224231</v>
      </c>
      <c r="I160" s="68">
        <f t="shared" si="16"/>
        <v>3898.3740024793688</v>
      </c>
      <c r="J160" s="68">
        <f t="shared" si="16"/>
        <v>-1423.0249470757703</v>
      </c>
      <c r="K160" s="68">
        <f t="shared" si="16"/>
        <v>-474.34164902525674</v>
      </c>
      <c r="L160" s="69" t="str">
        <f t="shared" si="17"/>
        <v>D3Y</v>
      </c>
      <c r="M160" s="45"/>
      <c r="N160" s="45"/>
      <c r="O160" s="45"/>
    </row>
    <row r="161" spans="1:15" ht="15.5" x14ac:dyDescent="0.35">
      <c r="B161" s="66">
        <f t="shared" si="15"/>
        <v>2000</v>
      </c>
      <c r="C161" s="70"/>
      <c r="D161" s="68">
        <f t="shared" si="16"/>
        <v>-474.34164902525674</v>
      </c>
      <c r="E161" s="64">
        <f t="shared" si="16"/>
        <v>-1423.0249470757703</v>
      </c>
      <c r="F161" s="64">
        <f t="shared" si="16"/>
        <v>-1920.0000000000005</v>
      </c>
      <c r="G161" s="64">
        <f t="shared" si="16"/>
        <v>1440</v>
      </c>
      <c r="H161" s="68">
        <f t="shared" si="16"/>
        <v>-4269.0748412273115</v>
      </c>
      <c r="I161" s="68">
        <f t="shared" si="16"/>
        <v>-1423.0249470757703</v>
      </c>
      <c r="J161" s="68">
        <f t="shared" si="16"/>
        <v>6663.4164902525681</v>
      </c>
      <c r="K161" s="68">
        <f t="shared" si="16"/>
        <v>1406.0498941515407</v>
      </c>
      <c r="L161" s="69" t="str">
        <f t="shared" si="17"/>
        <v>D4X</v>
      </c>
      <c r="M161" s="45"/>
      <c r="N161" s="45"/>
      <c r="O161" s="45"/>
    </row>
    <row r="162" spans="1:15" ht="15.5" x14ac:dyDescent="0.35">
      <c r="B162" s="66">
        <f t="shared" si="15"/>
        <v>-1000</v>
      </c>
      <c r="C162" s="70"/>
      <c r="D162" s="68">
        <f t="shared" si="16"/>
        <v>-1423.0249470757703</v>
      </c>
      <c r="E162" s="64">
        <f t="shared" si="16"/>
        <v>-4269.0748412273115</v>
      </c>
      <c r="F162" s="64">
        <f t="shared" si="16"/>
        <v>1440</v>
      </c>
      <c r="G162" s="64">
        <f t="shared" si="16"/>
        <v>-1080</v>
      </c>
      <c r="H162" s="68">
        <f t="shared" si="16"/>
        <v>-1423.0249470757703</v>
      </c>
      <c r="I162" s="68">
        <f t="shared" si="16"/>
        <v>-474.34164902525674</v>
      </c>
      <c r="J162" s="68">
        <f t="shared" si="16"/>
        <v>1406.0498941515407</v>
      </c>
      <c r="K162" s="68">
        <f t="shared" si="16"/>
        <v>5823.4164902525681</v>
      </c>
      <c r="L162" s="69" t="str">
        <f t="shared" si="17"/>
        <v>D4Y</v>
      </c>
      <c r="M162" s="45"/>
      <c r="N162" s="45"/>
      <c r="O162" s="45"/>
    </row>
    <row r="163" spans="1:15" ht="15.5" x14ac:dyDescent="0.35"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</row>
    <row r="164" spans="1:15" ht="15.5" x14ac:dyDescent="0.35"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</row>
    <row r="165" spans="1:15" ht="15.5" x14ac:dyDescent="0.35">
      <c r="A165" s="34" t="s">
        <v>85</v>
      </c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</row>
    <row r="166" spans="1:15" ht="15.5" x14ac:dyDescent="0.35"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</row>
    <row r="167" spans="1:15" ht="15.5" x14ac:dyDescent="0.35"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</row>
    <row r="168" spans="1:15" ht="15.5" x14ac:dyDescent="0.35">
      <c r="B168" s="71">
        <v>0</v>
      </c>
      <c r="C168" s="45"/>
      <c r="D168" s="47">
        <f>+D155</f>
        <v>3474.3416490252566</v>
      </c>
      <c r="E168" s="47">
        <f>+H155</f>
        <v>0</v>
      </c>
      <c r="F168" s="47">
        <f>+I155</f>
        <v>0</v>
      </c>
      <c r="G168" s="47">
        <f>+J155</f>
        <v>-474.34164902525674</v>
      </c>
      <c r="H168" s="47">
        <f>+K155</f>
        <v>-1423.0249470757703</v>
      </c>
      <c r="I168" s="45"/>
      <c r="J168" s="72" t="str">
        <f>+L155</f>
        <v>D1X</v>
      </c>
      <c r="K168" s="45"/>
      <c r="L168" s="45"/>
      <c r="M168" s="45"/>
      <c r="N168" s="45"/>
      <c r="O168" s="45"/>
    </row>
    <row r="169" spans="1:15" ht="15.5" x14ac:dyDescent="0.35">
      <c r="B169" s="71">
        <f>B159</f>
        <v>1000</v>
      </c>
      <c r="C169" s="45"/>
      <c r="D169" s="47">
        <f>+D159</f>
        <v>0</v>
      </c>
      <c r="E169" s="47">
        <f t="shared" ref="E169:H172" si="18">+H159</f>
        <v>4483.0768633181933</v>
      </c>
      <c r="F169" s="47">
        <f t="shared" si="18"/>
        <v>567.01685871224231</v>
      </c>
      <c r="G169" s="47">
        <f t="shared" si="18"/>
        <v>-4269.0748412273115</v>
      </c>
      <c r="H169" s="47">
        <f t="shared" si="18"/>
        <v>-1423.0249470757703</v>
      </c>
      <c r="I169" s="45"/>
      <c r="J169" s="72" t="str">
        <f>L159</f>
        <v>D3X</v>
      </c>
      <c r="K169" s="45"/>
      <c r="L169" s="45"/>
      <c r="M169" s="45"/>
      <c r="N169" s="45"/>
      <c r="O169" s="45"/>
    </row>
    <row r="170" spans="1:15" ht="15.5" x14ac:dyDescent="0.35">
      <c r="B170" s="71">
        <f>B160</f>
        <v>-2000</v>
      </c>
      <c r="C170" s="45" t="s">
        <v>33</v>
      </c>
      <c r="D170" s="47">
        <f>+D160</f>
        <v>0</v>
      </c>
      <c r="E170" s="47">
        <f t="shared" si="18"/>
        <v>567.01685871224231</v>
      </c>
      <c r="F170" s="47">
        <f t="shared" si="18"/>
        <v>3898.3740024793688</v>
      </c>
      <c r="G170" s="47">
        <f t="shared" si="18"/>
        <v>-1423.0249470757703</v>
      </c>
      <c r="H170" s="47">
        <f t="shared" si="18"/>
        <v>-474.34164902525674</v>
      </c>
      <c r="I170" s="45" t="s">
        <v>50</v>
      </c>
      <c r="J170" s="72" t="str">
        <f>L160</f>
        <v>D3Y</v>
      </c>
      <c r="K170" s="45"/>
      <c r="L170" s="45"/>
      <c r="M170" s="45"/>
      <c r="N170" s="45"/>
      <c r="O170" s="45"/>
    </row>
    <row r="171" spans="1:15" ht="15.5" x14ac:dyDescent="0.35">
      <c r="B171" s="71">
        <f>B161</f>
        <v>2000</v>
      </c>
      <c r="C171" s="45"/>
      <c r="D171" s="47">
        <f>+D161</f>
        <v>-474.34164902525674</v>
      </c>
      <c r="E171" s="47">
        <f t="shared" si="18"/>
        <v>-4269.0748412273115</v>
      </c>
      <c r="F171" s="47">
        <f t="shared" si="18"/>
        <v>-1423.0249470757703</v>
      </c>
      <c r="G171" s="47">
        <f t="shared" si="18"/>
        <v>6663.4164902525681</v>
      </c>
      <c r="H171" s="47">
        <f t="shared" si="18"/>
        <v>1406.0498941515407</v>
      </c>
      <c r="I171" s="45"/>
      <c r="J171" s="72" t="str">
        <f>L161</f>
        <v>D4X</v>
      </c>
      <c r="K171" s="45"/>
      <c r="L171" s="45"/>
      <c r="M171" s="45"/>
      <c r="N171" s="45"/>
      <c r="O171" s="45"/>
    </row>
    <row r="172" spans="1:15" ht="15.5" x14ac:dyDescent="0.35">
      <c r="B172" s="71">
        <f>B162</f>
        <v>-1000</v>
      </c>
      <c r="C172" s="45"/>
      <c r="D172" s="47">
        <f>+D162</f>
        <v>-1423.0249470757703</v>
      </c>
      <c r="E172" s="47">
        <f t="shared" si="18"/>
        <v>-1423.0249470757703</v>
      </c>
      <c r="F172" s="47">
        <f t="shared" si="18"/>
        <v>-474.34164902525674</v>
      </c>
      <c r="G172" s="47">
        <f t="shared" si="18"/>
        <v>1406.0498941515407</v>
      </c>
      <c r="H172" s="47">
        <f t="shared" si="18"/>
        <v>5823.4164902525681</v>
      </c>
      <c r="I172" s="45"/>
      <c r="J172" s="72" t="str">
        <f>L162</f>
        <v>D4Y</v>
      </c>
      <c r="K172" s="45"/>
      <c r="L172" s="45"/>
      <c r="M172" s="45"/>
      <c r="N172" s="45"/>
      <c r="O172" s="45"/>
    </row>
    <row r="173" spans="1:15" ht="15.5" x14ac:dyDescent="0.35"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</row>
    <row r="174" spans="1:15" ht="15.5" x14ac:dyDescent="0.35"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</row>
    <row r="175" spans="1:15" ht="15.5" x14ac:dyDescent="0.35">
      <c r="B175" s="72" t="str">
        <f>J168</f>
        <v>D1X</v>
      </c>
      <c r="C175" s="45"/>
      <c r="D175" s="43">
        <f t="array" ref="D175:H179">MINVERSE(D168:H172)</f>
        <v>3.3333333333333332E-4</v>
      </c>
      <c r="E175" s="43">
        <v>8.888888888888888E-5</v>
      </c>
      <c r="F175" s="43">
        <v>2.222222222222222E-5</v>
      </c>
      <c r="G175" s="43">
        <v>6.6666666666666656E-5</v>
      </c>
      <c r="H175" s="43">
        <v>8.888888888888888E-5</v>
      </c>
      <c r="I175" s="45"/>
      <c r="J175" s="71">
        <f>B168</f>
        <v>0</v>
      </c>
      <c r="K175" s="45"/>
      <c r="L175" s="45"/>
      <c r="M175" s="45"/>
      <c r="N175" s="45"/>
      <c r="O175" s="45"/>
    </row>
    <row r="176" spans="1:15" ht="15.5" x14ac:dyDescent="0.35">
      <c r="B176" s="72" t="str">
        <f>J169</f>
        <v>D3X</v>
      </c>
      <c r="C176" s="45"/>
      <c r="D176" s="43">
        <v>8.888888888888888E-5</v>
      </c>
      <c r="E176" s="43">
        <v>6.2527435935130792E-4</v>
      </c>
      <c r="F176" s="43">
        <v>6.6456031330775378E-5</v>
      </c>
      <c r="G176" s="43">
        <v>4.0371859031026032E-4</v>
      </c>
      <c r="H176" s="43">
        <v>8.2450997906557936E-5</v>
      </c>
      <c r="I176" s="45"/>
      <c r="J176" s="71">
        <f>B169</f>
        <v>1000</v>
      </c>
      <c r="K176" s="45"/>
      <c r="L176" s="45"/>
      <c r="M176" s="45"/>
      <c r="N176" s="45"/>
      <c r="O176" s="45"/>
    </row>
    <row r="177" spans="2:15" ht="15.5" x14ac:dyDescent="0.35">
      <c r="B177" s="72" t="str">
        <f>J170</f>
        <v>D3Y</v>
      </c>
      <c r="C177" s="45" t="s">
        <v>33</v>
      </c>
      <c r="D177" s="43">
        <v>2.2222222222222217E-5</v>
      </c>
      <c r="E177" s="43">
        <v>6.6456031330775365E-5</v>
      </c>
      <c r="F177" s="43">
        <v>2.8620168335384864E-4</v>
      </c>
      <c r="G177" s="43">
        <v>1.0092964757756507E-4</v>
      </c>
      <c r="H177" s="43">
        <v>2.0612749476639477E-5</v>
      </c>
      <c r="I177" s="45" t="s">
        <v>50</v>
      </c>
      <c r="J177" s="71">
        <f>B170</f>
        <v>-2000</v>
      </c>
      <c r="K177" s="45"/>
      <c r="L177" s="45"/>
      <c r="M177" s="45"/>
      <c r="N177" s="45"/>
      <c r="O177" s="45"/>
    </row>
    <row r="178" spans="2:15" ht="15.5" x14ac:dyDescent="0.35">
      <c r="B178" s="72" t="str">
        <f>J171</f>
        <v>D4X</v>
      </c>
      <c r="C178" s="45"/>
      <c r="D178" s="43">
        <v>6.6666666666666643E-5</v>
      </c>
      <c r="E178" s="43">
        <v>4.0371859031026032E-4</v>
      </c>
      <c r="F178" s="43">
        <v>1.0092964757756508E-4</v>
      </c>
      <c r="G178" s="43">
        <v>4.3099407093782341E-4</v>
      </c>
      <c r="H178" s="43">
        <v>1.9103205694875717E-5</v>
      </c>
      <c r="I178" s="45"/>
      <c r="J178" s="71">
        <f>B171</f>
        <v>2000</v>
      </c>
      <c r="K178" s="45"/>
      <c r="L178" s="45"/>
      <c r="M178" s="45"/>
      <c r="N178" s="45"/>
      <c r="O178" s="45"/>
    </row>
    <row r="179" spans="2:15" ht="15.5" x14ac:dyDescent="0.35">
      <c r="B179" s="72" t="str">
        <f>J172</f>
        <v>D4Y</v>
      </c>
      <c r="C179" s="45"/>
      <c r="D179" s="43">
        <v>8.888888888888888E-5</v>
      </c>
      <c r="E179" s="43">
        <v>8.2450997906557949E-5</v>
      </c>
      <c r="F179" s="43">
        <v>2.0612749476639487E-5</v>
      </c>
      <c r="G179" s="43">
        <v>1.9103205694875737E-5</v>
      </c>
      <c r="H179" s="43">
        <v>2.1065612611168613E-4</v>
      </c>
      <c r="I179" s="45"/>
      <c r="J179" s="71">
        <f>B172</f>
        <v>-1000</v>
      </c>
      <c r="K179" s="45"/>
      <c r="L179" s="45"/>
      <c r="M179" s="45"/>
      <c r="N179" s="45"/>
      <c r="O179" s="45"/>
    </row>
    <row r="180" spans="2:15" ht="15.5" x14ac:dyDescent="0.35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</row>
    <row r="181" spans="2:15" ht="15.5" x14ac:dyDescent="0.35"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</row>
    <row r="182" spans="2:15" ht="15.5" x14ac:dyDescent="0.35">
      <c r="B182" s="73" t="str">
        <f>B175</f>
        <v>D1X</v>
      </c>
      <c r="C182" s="45"/>
      <c r="D182" s="74">
        <f t="array" ref="D182:D186">MMULT(D175:H179,J175:J179)</f>
        <v>8.8888888888888878E-2</v>
      </c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</row>
    <row r="183" spans="2:15" ht="15.5" x14ac:dyDescent="0.35">
      <c r="B183" s="73" t="str">
        <f>B176</f>
        <v>D3X</v>
      </c>
      <c r="C183" s="45"/>
      <c r="D183" s="74">
        <v>1.2173484794037197</v>
      </c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</row>
    <row r="184" spans="2:15" ht="15.5" x14ac:dyDescent="0.35">
      <c r="B184" s="73" t="str">
        <f>B177</f>
        <v>D3Y</v>
      </c>
      <c r="C184" s="45" t="s">
        <v>33</v>
      </c>
      <c r="D184" s="74">
        <v>-0.3247007896984313</v>
      </c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</row>
    <row r="185" spans="2:15" ht="15.5" x14ac:dyDescent="0.35">
      <c r="B185" s="73" t="str">
        <f>B178</f>
        <v>D4X</v>
      </c>
      <c r="C185" s="45"/>
      <c r="D185" s="74">
        <v>1.0447442313359012</v>
      </c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</row>
    <row r="186" spans="2:15" ht="15.5" x14ac:dyDescent="0.35">
      <c r="B186" s="73" t="str">
        <f>B179</f>
        <v>D4Y</v>
      </c>
      <c r="C186" s="45"/>
      <c r="D186" s="74">
        <v>-0.13122421576865567</v>
      </c>
      <c r="E186" s="45"/>
      <c r="F186" s="75" t="s">
        <v>87</v>
      </c>
      <c r="G186" s="76"/>
      <c r="H186" s="76"/>
      <c r="I186" s="76"/>
      <c r="J186" s="45"/>
      <c r="K186" s="45"/>
      <c r="L186" s="45"/>
      <c r="M186" s="45"/>
      <c r="N186" s="45"/>
      <c r="O186" s="45"/>
    </row>
    <row r="187" spans="2:15" ht="15.5" x14ac:dyDescent="0.35"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</row>
    <row r="188" spans="2:15" ht="15.5" x14ac:dyDescent="0.35"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</row>
    <row r="189" spans="2:15" ht="15.5" x14ac:dyDescent="0.35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</row>
    <row r="190" spans="2:15" ht="15.5" x14ac:dyDescent="0.35">
      <c r="B190" s="77" t="s">
        <v>90</v>
      </c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</row>
    <row r="191" spans="2:15" ht="15.5" x14ac:dyDescent="0.35"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</row>
    <row r="192" spans="2:15" ht="15.5" x14ac:dyDescent="0.35">
      <c r="B192" s="78">
        <f>B155</f>
        <v>0</v>
      </c>
      <c r="C192" s="45"/>
      <c r="D192" s="79">
        <f>+D156</f>
        <v>1423.0249470757703</v>
      </c>
      <c r="E192" s="79">
        <f t="shared" ref="E192:H194" si="19">+H156</f>
        <v>0</v>
      </c>
      <c r="F192" s="79">
        <f t="shared" si="19"/>
        <v>0</v>
      </c>
      <c r="G192" s="79">
        <f t="shared" si="19"/>
        <v>-1423.0249470757703</v>
      </c>
      <c r="H192" s="79">
        <f t="shared" si="19"/>
        <v>-4269.0748412273115</v>
      </c>
      <c r="I192" s="45"/>
      <c r="J192" s="80">
        <f>D182</f>
        <v>8.8888888888888878E-2</v>
      </c>
      <c r="K192" s="45"/>
      <c r="L192" s="45"/>
      <c r="M192" s="45"/>
      <c r="N192" s="45"/>
      <c r="O192" s="45"/>
    </row>
    <row r="193" spans="2:15" ht="15.5" x14ac:dyDescent="0.35">
      <c r="B193" s="78" t="str">
        <f>B156</f>
        <v>C1Y</v>
      </c>
      <c r="C193" s="45"/>
      <c r="D193" s="79">
        <f>+D157</f>
        <v>-3000</v>
      </c>
      <c r="E193" s="79">
        <f t="shared" si="19"/>
        <v>-214.00202209088201</v>
      </c>
      <c r="F193" s="79">
        <f t="shared" si="19"/>
        <v>856.00808836352803</v>
      </c>
      <c r="G193" s="79">
        <f t="shared" si="19"/>
        <v>-1920.0000000000005</v>
      </c>
      <c r="H193" s="79">
        <f t="shared" si="19"/>
        <v>1440</v>
      </c>
      <c r="I193" s="45" t="s">
        <v>50</v>
      </c>
      <c r="J193" s="80">
        <f t="shared" ref="J193:J196" si="20">D183</f>
        <v>1.2173484794037197</v>
      </c>
      <c r="K193" s="45"/>
      <c r="L193" s="45"/>
      <c r="M193" s="45"/>
      <c r="N193" s="45"/>
      <c r="O193" s="45"/>
    </row>
    <row r="194" spans="2:15" ht="15.5" x14ac:dyDescent="0.35">
      <c r="B194" s="78" t="str">
        <f>B158</f>
        <v>C2Y</v>
      </c>
      <c r="C194" s="45"/>
      <c r="D194" s="79">
        <f>+D158</f>
        <v>0</v>
      </c>
      <c r="E194" s="79">
        <f t="shared" si="19"/>
        <v>856.00808836352803</v>
      </c>
      <c r="F194" s="79">
        <f t="shared" si="19"/>
        <v>-3424.0323534541121</v>
      </c>
      <c r="G194" s="79">
        <f t="shared" si="19"/>
        <v>1440</v>
      </c>
      <c r="H194" s="79">
        <f t="shared" si="19"/>
        <v>-1080</v>
      </c>
      <c r="I194" s="45"/>
      <c r="J194" s="80">
        <f t="shared" si="20"/>
        <v>-0.3247007896984313</v>
      </c>
      <c r="K194" s="45"/>
      <c r="L194" s="45"/>
      <c r="M194" s="45"/>
      <c r="N194" s="45"/>
      <c r="O194" s="45"/>
    </row>
    <row r="195" spans="2:15" ht="15.5" x14ac:dyDescent="0.35">
      <c r="B195" s="45"/>
      <c r="C195" s="45"/>
      <c r="D195" s="45"/>
      <c r="E195" s="45"/>
      <c r="F195" s="45"/>
      <c r="G195" s="45"/>
      <c r="H195" s="45"/>
      <c r="I195" s="45"/>
      <c r="J195" s="80">
        <f t="shared" si="20"/>
        <v>1.0447442313359012</v>
      </c>
      <c r="K195" s="45"/>
      <c r="L195" s="45"/>
      <c r="M195" s="45"/>
      <c r="N195" s="45"/>
      <c r="O195" s="45"/>
    </row>
    <row r="196" spans="2:15" ht="15.5" x14ac:dyDescent="0.35">
      <c r="B196" s="45"/>
      <c r="C196" s="45"/>
      <c r="D196" s="45"/>
      <c r="E196" s="45"/>
      <c r="F196" s="45"/>
      <c r="G196" s="45"/>
      <c r="H196" s="45"/>
      <c r="I196" s="45"/>
      <c r="J196" s="80">
        <f t="shared" si="20"/>
        <v>-0.13122421576865567</v>
      </c>
      <c r="K196" s="45"/>
      <c r="L196" s="45"/>
      <c r="M196" s="45"/>
      <c r="N196" s="45"/>
      <c r="O196" s="45"/>
    </row>
    <row r="197" spans="2:15" ht="15.5" x14ac:dyDescent="0.35">
      <c r="B197" s="70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</row>
    <row r="198" spans="2:15" ht="15.5" x14ac:dyDescent="0.35">
      <c r="B198" s="70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</row>
    <row r="199" spans="2:15" ht="15.5" x14ac:dyDescent="0.35">
      <c r="B199" s="78" t="str">
        <f>+B156</f>
        <v>C1Y</v>
      </c>
      <c r="C199" s="45"/>
      <c r="D199" s="74">
        <f t="array" ref="D199:D201">MMULT(D192:H194,J192:J196)</f>
        <v>-800</v>
      </c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</row>
    <row r="200" spans="2:15" ht="15.5" x14ac:dyDescent="0.35">
      <c r="B200" s="78" t="str">
        <f>+B157</f>
        <v>C2X</v>
      </c>
      <c r="C200" s="45"/>
      <c r="D200" s="74">
        <v>-3000</v>
      </c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</row>
    <row r="201" spans="2:15" ht="15.5" x14ac:dyDescent="0.35">
      <c r="B201" s="78" t="str">
        <f>+B158</f>
        <v>C2Y</v>
      </c>
      <c r="C201" s="45"/>
      <c r="D201" s="74">
        <v>3800</v>
      </c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</row>
    <row r="202" spans="2:15" ht="15.5" x14ac:dyDescent="0.35">
      <c r="B202" s="70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</row>
    <row r="203" spans="2:15" ht="15.5" x14ac:dyDescent="0.35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</row>
    <row r="204" spans="2:15" ht="15.5" x14ac:dyDescent="0.35">
      <c r="B204" s="77" t="s">
        <v>88</v>
      </c>
      <c r="C204" s="45"/>
      <c r="D204" s="45"/>
      <c r="E204" s="45"/>
      <c r="F204" s="77" t="s">
        <v>89</v>
      </c>
      <c r="G204" s="45"/>
      <c r="H204" s="45"/>
      <c r="I204" s="45"/>
      <c r="J204" s="45"/>
      <c r="K204" s="45"/>
      <c r="L204" s="45"/>
      <c r="M204" s="45"/>
      <c r="N204" s="45"/>
      <c r="O204" s="45"/>
    </row>
    <row r="205" spans="2:15" ht="15.5" x14ac:dyDescent="0.35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</row>
    <row r="206" spans="2:15" ht="15.5" x14ac:dyDescent="0.35">
      <c r="B206" s="45"/>
      <c r="C206" s="45"/>
      <c r="D206" s="45"/>
      <c r="E206" s="45"/>
      <c r="F206" s="70"/>
      <c r="G206" s="45"/>
      <c r="H206" s="45"/>
      <c r="I206" s="45"/>
      <c r="J206" s="45"/>
      <c r="K206" s="45"/>
      <c r="L206" s="45"/>
      <c r="M206" s="45"/>
      <c r="N206" s="45"/>
      <c r="O206" s="45"/>
    </row>
    <row r="207" spans="2:15" ht="15.5" x14ac:dyDescent="0.35">
      <c r="B207" s="43" t="str">
        <f t="shared" ref="B207:B214" si="21">C142</f>
        <v>UX1</v>
      </c>
      <c r="C207" s="74">
        <f>+D182</f>
        <v>8.8888888888888878E-2</v>
      </c>
      <c r="D207" s="45"/>
      <c r="E207" s="45"/>
      <c r="F207" s="78" t="str">
        <f>B199</f>
        <v>C1Y</v>
      </c>
      <c r="G207" s="45"/>
      <c r="H207" s="74">
        <f t="shared" ref="H207:H209" si="22">D199</f>
        <v>-800</v>
      </c>
      <c r="I207" s="45"/>
      <c r="J207" s="45"/>
      <c r="K207" s="45"/>
      <c r="L207" s="45"/>
      <c r="M207" s="45"/>
      <c r="N207" s="45"/>
      <c r="O207" s="45"/>
    </row>
    <row r="208" spans="2:15" ht="15.5" x14ac:dyDescent="0.35">
      <c r="B208" s="43" t="str">
        <f t="shared" si="21"/>
        <v>UY1</v>
      </c>
      <c r="C208" s="74">
        <v>0</v>
      </c>
      <c r="D208" s="45"/>
      <c r="E208" s="45"/>
      <c r="F208" s="78" t="str">
        <f t="shared" ref="F208:F209" si="23">B200</f>
        <v>C2X</v>
      </c>
      <c r="G208" s="45" t="s">
        <v>33</v>
      </c>
      <c r="H208" s="74">
        <f t="shared" si="22"/>
        <v>-3000</v>
      </c>
      <c r="I208" s="45"/>
      <c r="J208" s="45"/>
      <c r="K208" s="45"/>
      <c r="L208" s="45"/>
      <c r="M208" s="45"/>
      <c r="N208" s="45"/>
      <c r="O208" s="45"/>
    </row>
    <row r="209" spans="2:15" ht="15.5" x14ac:dyDescent="0.35">
      <c r="B209" s="43" t="str">
        <f t="shared" si="21"/>
        <v>UX2</v>
      </c>
      <c r="C209" s="74">
        <v>0</v>
      </c>
      <c r="D209" s="45"/>
      <c r="E209" s="45"/>
      <c r="F209" s="78" t="str">
        <f t="shared" si="23"/>
        <v>C2Y</v>
      </c>
      <c r="G209" s="45"/>
      <c r="H209" s="74">
        <f t="shared" si="22"/>
        <v>3800</v>
      </c>
      <c r="I209" s="45"/>
      <c r="J209" s="45"/>
      <c r="K209" s="45"/>
      <c r="L209" s="45"/>
      <c r="M209" s="45"/>
      <c r="N209" s="45"/>
      <c r="O209" s="45"/>
    </row>
    <row r="210" spans="2:15" ht="15.5" x14ac:dyDescent="0.35">
      <c r="B210" s="43" t="str">
        <f t="shared" si="21"/>
        <v>UY2</v>
      </c>
      <c r="C210" s="74">
        <v>0</v>
      </c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</row>
    <row r="211" spans="2:15" ht="15.5" x14ac:dyDescent="0.35">
      <c r="B211" s="43" t="str">
        <f t="shared" si="21"/>
        <v>UX3</v>
      </c>
      <c r="C211" s="74">
        <f>+D183</f>
        <v>1.2173484794037197</v>
      </c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</row>
    <row r="212" spans="2:15" ht="15.5" x14ac:dyDescent="0.35">
      <c r="B212" s="43" t="str">
        <f t="shared" si="21"/>
        <v>UY3</v>
      </c>
      <c r="C212" s="74">
        <f t="shared" ref="C212:C214" si="24">+D184</f>
        <v>-0.3247007896984313</v>
      </c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</row>
    <row r="213" spans="2:15" ht="15.5" x14ac:dyDescent="0.35">
      <c r="B213" s="43" t="str">
        <f t="shared" si="21"/>
        <v>UX4</v>
      </c>
      <c r="C213" s="74">
        <f t="shared" si="24"/>
        <v>1.0447442313359012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</row>
    <row r="214" spans="2:15" ht="15.5" x14ac:dyDescent="0.35">
      <c r="B214" s="43" t="str">
        <f t="shared" si="21"/>
        <v>UY4</v>
      </c>
      <c r="C214" s="74">
        <f t="shared" si="24"/>
        <v>-0.13122421576865567</v>
      </c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</row>
    <row r="215" spans="2:15" ht="15.5" x14ac:dyDescent="0.35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</row>
    <row r="216" spans="2:15" ht="15.5" x14ac:dyDescent="0.35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</row>
    <row r="217" spans="2:15" ht="15.5" x14ac:dyDescent="0.35">
      <c r="B217" s="77" t="s">
        <v>91</v>
      </c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</row>
    <row r="218" spans="2:15" ht="15.5" x14ac:dyDescent="0.35">
      <c r="B218" s="45"/>
      <c r="C218" s="45"/>
      <c r="D218" s="45"/>
      <c r="E218" s="45"/>
      <c r="F218" s="45"/>
      <c r="G218" s="45"/>
      <c r="H218" s="45"/>
      <c r="I218" s="45"/>
      <c r="J218" s="45"/>
      <c r="K218" s="43">
        <f>C207</f>
        <v>8.8888888888888878E-2</v>
      </c>
      <c r="L218" s="71" t="str">
        <f>B207</f>
        <v>UX1</v>
      </c>
      <c r="M218" s="45"/>
      <c r="N218" s="45"/>
      <c r="O218" s="45"/>
    </row>
    <row r="219" spans="2:15" ht="15.5" x14ac:dyDescent="0.35">
      <c r="B219" s="45"/>
      <c r="C219" s="45"/>
      <c r="D219" s="45"/>
      <c r="E219" s="45"/>
      <c r="F219" s="45"/>
      <c r="G219" s="45"/>
      <c r="H219" s="45"/>
      <c r="I219" s="45"/>
      <c r="J219" s="45"/>
      <c r="K219" s="43">
        <f>C208</f>
        <v>0</v>
      </c>
      <c r="L219" s="71" t="str">
        <f t="shared" ref="L219:L221" si="25">B208</f>
        <v>UY1</v>
      </c>
      <c r="M219" s="45"/>
      <c r="N219" s="45"/>
      <c r="O219" s="45"/>
    </row>
    <row r="220" spans="2:15" ht="15.5" x14ac:dyDescent="0.35">
      <c r="B220" s="45"/>
      <c r="C220" s="77" t="s">
        <v>55</v>
      </c>
      <c r="D220" s="81">
        <f>N8</f>
        <v>3000</v>
      </c>
      <c r="E220" s="45"/>
      <c r="F220" s="46">
        <f>J8</f>
        <v>1</v>
      </c>
      <c r="G220" s="46">
        <f>K8</f>
        <v>0</v>
      </c>
      <c r="H220" s="46">
        <f>-F220</f>
        <v>-1</v>
      </c>
      <c r="I220" s="46">
        <f>-G220</f>
        <v>0</v>
      </c>
      <c r="J220" s="45"/>
      <c r="K220" s="43">
        <f>C209</f>
        <v>0</v>
      </c>
      <c r="L220" s="71" t="str">
        <f t="shared" si="25"/>
        <v>UX2</v>
      </c>
      <c r="M220" s="45"/>
      <c r="N220" s="45"/>
      <c r="O220" s="45"/>
    </row>
    <row r="221" spans="2:15" ht="15.5" x14ac:dyDescent="0.35">
      <c r="B221" s="45"/>
      <c r="C221" s="77"/>
      <c r="D221" s="45"/>
      <c r="E221" s="45"/>
      <c r="F221" s="45"/>
      <c r="G221" s="45"/>
      <c r="H221" s="45"/>
      <c r="I221" s="45"/>
      <c r="J221" s="45"/>
      <c r="K221" s="43">
        <f>C210</f>
        <v>0</v>
      </c>
      <c r="L221" s="71" t="str">
        <f t="shared" si="25"/>
        <v>UY2</v>
      </c>
      <c r="M221" s="45"/>
      <c r="N221" s="45"/>
      <c r="O221" s="45"/>
    </row>
    <row r="222" spans="2:15" ht="15.5" x14ac:dyDescent="0.35">
      <c r="B222" s="45"/>
      <c r="C222" s="77"/>
      <c r="D222" s="45"/>
      <c r="E222" s="45"/>
      <c r="F222" s="45"/>
      <c r="G222" s="45"/>
      <c r="H222" s="45"/>
      <c r="I222" s="45"/>
      <c r="J222" s="45"/>
      <c r="K222" s="45"/>
      <c r="L222" s="77"/>
      <c r="M222" s="45"/>
      <c r="N222" s="45"/>
      <c r="O222" s="45"/>
    </row>
    <row r="223" spans="2:15" ht="15.5" x14ac:dyDescent="0.35">
      <c r="B223" s="45"/>
      <c r="C223" s="77" t="s">
        <v>55</v>
      </c>
      <c r="D223" s="45">
        <f>MMULT(F220:I220,K218:K221)</f>
        <v>8.8888888888888878E-2</v>
      </c>
      <c r="E223" s="45" t="s">
        <v>56</v>
      </c>
      <c r="F223" s="45" t="s">
        <v>50</v>
      </c>
      <c r="G223" s="81">
        <f>D220</f>
        <v>3000</v>
      </c>
      <c r="H223" s="45"/>
      <c r="I223" s="45"/>
      <c r="J223" s="45"/>
      <c r="K223" s="45"/>
      <c r="L223" s="77"/>
      <c r="M223" s="45"/>
      <c r="N223" s="45"/>
      <c r="O223" s="45"/>
    </row>
    <row r="224" spans="2:15" ht="15.5" x14ac:dyDescent="0.35">
      <c r="B224" s="45"/>
      <c r="C224" s="77"/>
      <c r="D224" s="45"/>
      <c r="E224" s="45"/>
      <c r="F224" s="45"/>
      <c r="G224" s="45"/>
      <c r="H224" s="45"/>
      <c r="I224" s="45"/>
      <c r="J224" s="45"/>
      <c r="K224" s="45"/>
      <c r="L224" s="77"/>
      <c r="M224" s="45"/>
      <c r="N224" s="45"/>
      <c r="O224" s="45"/>
    </row>
    <row r="225" spans="2:15" ht="15.5" x14ac:dyDescent="0.35">
      <c r="B225" s="45"/>
      <c r="C225" s="82" t="s">
        <v>55</v>
      </c>
      <c r="D225" s="83">
        <f>D223*D220</f>
        <v>266.66666666666663</v>
      </c>
      <c r="E225" s="83" t="s">
        <v>56</v>
      </c>
      <c r="F225" s="45"/>
      <c r="G225" s="45"/>
      <c r="H225" s="45"/>
      <c r="I225" s="45"/>
      <c r="J225" s="45"/>
      <c r="K225" s="45"/>
      <c r="L225" s="77"/>
      <c r="M225" s="45"/>
      <c r="N225" s="45"/>
      <c r="O225" s="45"/>
    </row>
    <row r="226" spans="2:15" ht="15.5" x14ac:dyDescent="0.35">
      <c r="B226" s="45"/>
      <c r="C226" s="77"/>
      <c r="D226" s="45"/>
      <c r="E226" s="45"/>
      <c r="F226" s="45"/>
      <c r="G226" s="45"/>
      <c r="H226" s="45"/>
      <c r="I226" s="45"/>
      <c r="J226" s="45"/>
      <c r="K226" s="45"/>
      <c r="L226" s="77"/>
      <c r="M226" s="45"/>
      <c r="N226" s="45"/>
      <c r="O226" s="45"/>
    </row>
    <row r="227" spans="2:15" ht="15.5" x14ac:dyDescent="0.35">
      <c r="B227" s="45"/>
      <c r="C227" s="77"/>
      <c r="D227" s="45"/>
      <c r="E227" s="45"/>
      <c r="F227" s="45"/>
      <c r="G227" s="45"/>
      <c r="H227" s="45"/>
      <c r="I227" s="45"/>
      <c r="J227" s="45"/>
      <c r="K227" s="45"/>
      <c r="L227" s="77"/>
      <c r="M227" s="45"/>
      <c r="N227" s="45"/>
      <c r="O227" s="45"/>
    </row>
    <row r="228" spans="2:15" ht="15.5" x14ac:dyDescent="0.35">
      <c r="B228" s="45"/>
      <c r="C228" s="77"/>
      <c r="D228" s="45"/>
      <c r="E228" s="45"/>
      <c r="F228" s="45"/>
      <c r="G228" s="45"/>
      <c r="H228" s="45"/>
      <c r="I228" s="45"/>
      <c r="J228" s="45"/>
      <c r="K228" s="43">
        <f>C209</f>
        <v>0</v>
      </c>
      <c r="L228" s="71" t="str">
        <f>B209</f>
        <v>UX2</v>
      </c>
      <c r="M228" s="45"/>
      <c r="N228" s="45"/>
      <c r="O228" s="45"/>
    </row>
    <row r="229" spans="2:15" ht="15.5" x14ac:dyDescent="0.35">
      <c r="B229" s="45"/>
      <c r="C229" s="77"/>
      <c r="D229" s="45"/>
      <c r="E229" s="45"/>
      <c r="F229" s="45"/>
      <c r="G229" s="45"/>
      <c r="H229" s="45"/>
      <c r="I229" s="45"/>
      <c r="J229" s="45"/>
      <c r="K229" s="43">
        <f t="shared" ref="K229:K231" si="26">C210</f>
        <v>0</v>
      </c>
      <c r="L229" s="71" t="str">
        <f t="shared" ref="L229:L231" si="27">B210</f>
        <v>UY2</v>
      </c>
      <c r="M229" s="45"/>
      <c r="N229" s="45"/>
      <c r="O229" s="45"/>
    </row>
    <row r="230" spans="2:15" ht="15.5" x14ac:dyDescent="0.35">
      <c r="B230" s="45"/>
      <c r="C230" s="77" t="s">
        <v>57</v>
      </c>
      <c r="D230" s="81">
        <f>N9</f>
        <v>3638.0343755449944</v>
      </c>
      <c r="E230" s="45"/>
      <c r="F230" s="46">
        <f>J9</f>
        <v>-0.24253562503633297</v>
      </c>
      <c r="G230" s="46">
        <f>K9</f>
        <v>0.97014250014533188</v>
      </c>
      <c r="H230" s="46">
        <f>-F230</f>
        <v>0.24253562503633297</v>
      </c>
      <c r="I230" s="46">
        <f>-G230</f>
        <v>-0.97014250014533188</v>
      </c>
      <c r="J230" s="45"/>
      <c r="K230" s="43">
        <f t="shared" si="26"/>
        <v>1.2173484794037197</v>
      </c>
      <c r="L230" s="71" t="str">
        <f t="shared" si="27"/>
        <v>UX3</v>
      </c>
      <c r="M230" s="45"/>
      <c r="N230" s="45"/>
      <c r="O230" s="45"/>
    </row>
    <row r="231" spans="2:15" ht="15.5" x14ac:dyDescent="0.35">
      <c r="B231" s="45"/>
      <c r="C231" s="77"/>
      <c r="D231" s="45"/>
      <c r="E231" s="45"/>
      <c r="F231" s="45"/>
      <c r="G231" s="45"/>
      <c r="H231" s="45"/>
      <c r="I231" s="45"/>
      <c r="J231" s="45"/>
      <c r="K231" s="43">
        <f t="shared" si="26"/>
        <v>-0.3247007896984313</v>
      </c>
      <c r="L231" s="71" t="str">
        <f t="shared" si="27"/>
        <v>UY3</v>
      </c>
      <c r="M231" s="45"/>
      <c r="N231" s="45"/>
      <c r="O231" s="45"/>
    </row>
    <row r="232" spans="2:15" ht="15.5" x14ac:dyDescent="0.35">
      <c r="B232" s="45"/>
      <c r="C232" s="77"/>
      <c r="D232" s="45"/>
      <c r="E232" s="45"/>
      <c r="F232" s="45"/>
      <c r="G232" s="45"/>
      <c r="H232" s="45"/>
      <c r="I232" s="45"/>
      <c r="J232" s="45"/>
      <c r="K232" s="45"/>
      <c r="L232" s="77"/>
      <c r="M232" s="45"/>
      <c r="N232" s="45"/>
      <c r="O232" s="45"/>
    </row>
    <row r="233" spans="2:15" ht="15.5" x14ac:dyDescent="0.35">
      <c r="B233" s="45"/>
      <c r="C233" s="77" t="s">
        <v>57</v>
      </c>
      <c r="D233" s="45">
        <f>MMULT(F230:I230,K228:K231)</f>
        <v>0.61025641025641053</v>
      </c>
      <c r="E233" s="45" t="s">
        <v>56</v>
      </c>
      <c r="F233" s="45" t="s">
        <v>50</v>
      </c>
      <c r="G233" s="81">
        <f>D230</f>
        <v>3638.0343755449944</v>
      </c>
      <c r="H233" s="45"/>
      <c r="I233" s="45"/>
      <c r="J233" s="45"/>
      <c r="K233" s="45"/>
      <c r="L233" s="77"/>
      <c r="M233" s="45"/>
      <c r="N233" s="45"/>
      <c r="O233" s="45"/>
    </row>
    <row r="234" spans="2:15" ht="15.5" x14ac:dyDescent="0.35">
      <c r="B234" s="45"/>
      <c r="C234" s="77"/>
      <c r="D234" s="45"/>
      <c r="E234" s="45"/>
      <c r="F234" s="45"/>
      <c r="G234" s="45"/>
      <c r="H234" s="45"/>
      <c r="I234" s="45"/>
      <c r="J234" s="45"/>
      <c r="K234" s="45"/>
      <c r="L234" s="77"/>
      <c r="M234" s="45"/>
      <c r="N234" s="45"/>
      <c r="O234" s="45"/>
    </row>
    <row r="235" spans="2:15" ht="15.5" x14ac:dyDescent="0.35">
      <c r="B235" s="45"/>
      <c r="C235" s="82" t="s">
        <v>57</v>
      </c>
      <c r="D235" s="83">
        <f>D233*D230</f>
        <v>2220.1337984095103</v>
      </c>
      <c r="E235" s="83" t="s">
        <v>56</v>
      </c>
      <c r="F235" s="45"/>
      <c r="G235" s="45"/>
      <c r="H235" s="45"/>
      <c r="I235" s="45"/>
      <c r="J235" s="45"/>
      <c r="K235" s="45"/>
      <c r="L235" s="77"/>
      <c r="M235" s="45"/>
      <c r="N235" s="45"/>
      <c r="O235" s="45"/>
    </row>
    <row r="236" spans="2:15" ht="15.5" x14ac:dyDescent="0.35">
      <c r="B236" s="45"/>
      <c r="C236" s="77"/>
      <c r="D236" s="45"/>
      <c r="E236" s="45"/>
      <c r="F236" s="45"/>
      <c r="G236" s="45"/>
      <c r="H236" s="45"/>
      <c r="I236" s="45"/>
      <c r="J236" s="45"/>
      <c r="K236" s="45"/>
      <c r="L236" s="77"/>
      <c r="M236" s="45"/>
      <c r="N236" s="45"/>
      <c r="O236" s="45"/>
    </row>
    <row r="237" spans="2:15" ht="15.5" x14ac:dyDescent="0.35">
      <c r="B237" s="45"/>
      <c r="C237" s="77"/>
      <c r="D237" s="45"/>
      <c r="E237" s="45"/>
      <c r="F237" s="45"/>
      <c r="G237" s="45"/>
      <c r="H237" s="45"/>
      <c r="I237" s="45"/>
      <c r="J237" s="45"/>
      <c r="K237" s="45"/>
      <c r="L237" s="77"/>
      <c r="M237" s="70"/>
      <c r="N237" s="45"/>
      <c r="O237" s="45"/>
    </row>
    <row r="238" spans="2:15" ht="15.5" x14ac:dyDescent="0.35">
      <c r="B238" s="45"/>
      <c r="C238" s="77"/>
      <c r="D238" s="45"/>
      <c r="E238" s="45"/>
      <c r="F238" s="45"/>
      <c r="G238" s="45"/>
      <c r="H238" s="45"/>
      <c r="I238" s="45"/>
      <c r="J238" s="45"/>
      <c r="K238" s="43">
        <f>C211</f>
        <v>1.2173484794037197</v>
      </c>
      <c r="L238" s="71" t="str">
        <f>B211</f>
        <v>UX3</v>
      </c>
      <c r="M238" s="70"/>
      <c r="N238" s="45"/>
      <c r="O238" s="45"/>
    </row>
    <row r="239" spans="2:15" ht="15.5" x14ac:dyDescent="0.35">
      <c r="B239" s="45"/>
      <c r="C239" s="77"/>
      <c r="D239" s="45"/>
      <c r="E239" s="45"/>
      <c r="F239" s="45"/>
      <c r="G239" s="45"/>
      <c r="H239" s="45"/>
      <c r="I239" s="45"/>
      <c r="J239" s="45"/>
      <c r="K239" s="43">
        <f t="shared" ref="K239:K241" si="28">C212</f>
        <v>-0.3247007896984313</v>
      </c>
      <c r="L239" s="71" t="str">
        <f t="shared" ref="L239:L241" si="29">B212</f>
        <v>UY3</v>
      </c>
      <c r="M239" s="70"/>
      <c r="N239" s="45"/>
      <c r="O239" s="45"/>
    </row>
    <row r="240" spans="2:15" ht="15.5" x14ac:dyDescent="0.35">
      <c r="B240" s="45"/>
      <c r="C240" s="77" t="s">
        <v>58</v>
      </c>
      <c r="D240" s="81">
        <f>N10</f>
        <v>4743.416490252569</v>
      </c>
      <c r="E240" s="45"/>
      <c r="F240" s="46">
        <f>J10</f>
        <v>-0.94868329805051377</v>
      </c>
      <c r="G240" s="46">
        <f>K10</f>
        <v>-0.31622776601683789</v>
      </c>
      <c r="H240" s="46">
        <f>-F240</f>
        <v>0.94868329805051377</v>
      </c>
      <c r="I240" s="46">
        <f>-G240</f>
        <v>0.31622776601683789</v>
      </c>
      <c r="J240" s="45"/>
      <c r="K240" s="43">
        <f t="shared" si="28"/>
        <v>1.0447442313359012</v>
      </c>
      <c r="L240" s="71" t="str">
        <f t="shared" si="29"/>
        <v>UX4</v>
      </c>
      <c r="M240" s="70"/>
      <c r="N240" s="45"/>
      <c r="O240" s="45"/>
    </row>
    <row r="241" spans="2:15" ht="15.5" x14ac:dyDescent="0.35">
      <c r="B241" s="45"/>
      <c r="C241" s="77"/>
      <c r="D241" s="45"/>
      <c r="E241" s="45"/>
      <c r="F241" s="45"/>
      <c r="G241" s="45"/>
      <c r="H241" s="45"/>
      <c r="I241" s="45"/>
      <c r="J241" s="45"/>
      <c r="K241" s="43">
        <f t="shared" si="28"/>
        <v>-0.13122421576865567</v>
      </c>
      <c r="L241" s="71" t="str">
        <f t="shared" si="29"/>
        <v>UY4</v>
      </c>
      <c r="M241" s="70"/>
      <c r="N241" s="45"/>
      <c r="O241" s="45"/>
    </row>
    <row r="242" spans="2:15" ht="15.5" x14ac:dyDescent="0.35">
      <c r="B242" s="45"/>
      <c r="C242" s="77"/>
      <c r="D242" s="45"/>
      <c r="E242" s="45"/>
      <c r="F242" s="45"/>
      <c r="G242" s="45"/>
      <c r="H242" s="45"/>
      <c r="I242" s="45"/>
      <c r="J242" s="45"/>
      <c r="K242" s="45"/>
      <c r="L242" s="77"/>
      <c r="M242" s="70"/>
      <c r="N242" s="45"/>
      <c r="O242" s="45"/>
    </row>
    <row r="243" spans="2:15" ht="15.5" x14ac:dyDescent="0.35">
      <c r="B243" s="45"/>
      <c r="C243" s="77" t="s">
        <v>58</v>
      </c>
      <c r="D243" s="45">
        <f>MMULT(F240:I240,K238:K241)</f>
        <v>-0.1025641025641027</v>
      </c>
      <c r="E243" s="45" t="s">
        <v>56</v>
      </c>
      <c r="F243" s="45" t="s">
        <v>50</v>
      </c>
      <c r="G243" s="81">
        <f>D240</f>
        <v>4743.416490252569</v>
      </c>
      <c r="H243" s="45"/>
      <c r="I243" s="45"/>
      <c r="J243" s="45"/>
      <c r="K243" s="45"/>
      <c r="L243" s="77"/>
      <c r="M243" s="70"/>
      <c r="N243" s="45"/>
      <c r="O243" s="45"/>
    </row>
    <row r="244" spans="2:15" ht="15.5" x14ac:dyDescent="0.35">
      <c r="B244" s="45"/>
      <c r="C244" s="77"/>
      <c r="D244" s="45"/>
      <c r="E244" s="45"/>
      <c r="F244" s="45"/>
      <c r="G244" s="45"/>
      <c r="H244" s="45"/>
      <c r="I244" s="45"/>
      <c r="J244" s="45"/>
      <c r="K244" s="45"/>
      <c r="L244" s="77"/>
      <c r="M244" s="45"/>
      <c r="N244" s="45"/>
      <c r="O244" s="45"/>
    </row>
    <row r="245" spans="2:15" ht="15.5" x14ac:dyDescent="0.35">
      <c r="B245" s="45"/>
      <c r="C245" s="82" t="s">
        <v>58</v>
      </c>
      <c r="D245" s="83">
        <f>D243*D240</f>
        <v>-486.50425541052056</v>
      </c>
      <c r="E245" s="83"/>
      <c r="F245" s="45"/>
      <c r="G245" s="45"/>
      <c r="H245" s="45"/>
      <c r="I245" s="45"/>
      <c r="J245" s="45"/>
      <c r="K245" s="45"/>
      <c r="L245" s="77"/>
      <c r="M245" s="45"/>
      <c r="N245" s="45"/>
      <c r="O245" s="45"/>
    </row>
    <row r="246" spans="2:15" ht="15.5" x14ac:dyDescent="0.35">
      <c r="B246" s="45"/>
      <c r="C246" s="77"/>
      <c r="D246" s="45"/>
      <c r="E246" s="45"/>
      <c r="F246" s="45"/>
      <c r="G246" s="45"/>
      <c r="H246" s="45"/>
      <c r="I246" s="45"/>
      <c r="J246" s="45"/>
      <c r="K246" s="45"/>
      <c r="L246" s="77"/>
      <c r="M246" s="45"/>
      <c r="N246" s="45"/>
      <c r="O246" s="45"/>
    </row>
    <row r="247" spans="2:15" ht="15.5" x14ac:dyDescent="0.35">
      <c r="B247" s="45"/>
      <c r="C247" s="77"/>
      <c r="D247" s="45"/>
      <c r="E247" s="45"/>
      <c r="F247" s="45"/>
      <c r="G247" s="45"/>
      <c r="H247" s="45"/>
      <c r="I247" s="45"/>
      <c r="J247" s="45"/>
      <c r="K247" s="43">
        <f>C213</f>
        <v>1.0447442313359012</v>
      </c>
      <c r="L247" s="71" t="str">
        <f>B213</f>
        <v>UX4</v>
      </c>
      <c r="M247" s="45"/>
      <c r="N247" s="45"/>
      <c r="O247" s="45"/>
    </row>
    <row r="248" spans="2:15" ht="15.5" x14ac:dyDescent="0.35">
      <c r="B248" s="45"/>
      <c r="C248" s="77"/>
      <c r="D248" s="45"/>
      <c r="E248" s="45"/>
      <c r="F248" s="45"/>
      <c r="G248" s="45"/>
      <c r="H248" s="45"/>
      <c r="I248" s="45"/>
      <c r="J248" s="45"/>
      <c r="K248" s="43">
        <f>C214</f>
        <v>-0.13122421576865567</v>
      </c>
      <c r="L248" s="71" t="str">
        <f>B214</f>
        <v>UY4</v>
      </c>
      <c r="M248" s="45"/>
      <c r="N248" s="45"/>
      <c r="O248" s="45"/>
    </row>
    <row r="249" spans="2:15" ht="15.5" x14ac:dyDescent="0.35">
      <c r="B249" s="45"/>
      <c r="C249" s="77" t="s">
        <v>59</v>
      </c>
      <c r="D249" s="81">
        <f>N11</f>
        <v>4743.416490252569</v>
      </c>
      <c r="E249" s="45"/>
      <c r="F249" s="46">
        <f>J11</f>
        <v>-0.31622776601683789</v>
      </c>
      <c r="G249" s="46">
        <f>K11</f>
        <v>-0.94868329805051377</v>
      </c>
      <c r="H249" s="46">
        <f>-F249</f>
        <v>0.31622776601683789</v>
      </c>
      <c r="I249" s="46">
        <f>-G249</f>
        <v>0.94868329805051377</v>
      </c>
      <c r="J249" s="45"/>
      <c r="K249" s="43">
        <f>C207</f>
        <v>8.8888888888888878E-2</v>
      </c>
      <c r="L249" s="71" t="str">
        <f>B207</f>
        <v>UX1</v>
      </c>
      <c r="M249" s="45"/>
      <c r="N249" s="45"/>
      <c r="O249" s="45"/>
    </row>
    <row r="250" spans="2:15" ht="15.5" x14ac:dyDescent="0.35">
      <c r="B250" s="45"/>
      <c r="C250" s="77"/>
      <c r="D250" s="45"/>
      <c r="E250" s="45"/>
      <c r="F250" s="45"/>
      <c r="G250" s="45"/>
      <c r="H250" s="45"/>
      <c r="I250" s="45"/>
      <c r="J250" s="45"/>
      <c r="K250" s="43">
        <f>C208</f>
        <v>0</v>
      </c>
      <c r="L250" s="71" t="str">
        <f>B208</f>
        <v>UY1</v>
      </c>
      <c r="M250" s="45"/>
      <c r="N250" s="45"/>
      <c r="O250" s="45"/>
    </row>
    <row r="251" spans="2:15" ht="15.5" x14ac:dyDescent="0.35">
      <c r="B251" s="45"/>
      <c r="C251" s="77"/>
      <c r="D251" s="45"/>
      <c r="E251" s="45"/>
      <c r="F251" s="45"/>
      <c r="G251" s="45"/>
      <c r="H251" s="45"/>
      <c r="I251" s="45"/>
      <c r="J251" s="45"/>
      <c r="K251" s="45"/>
      <c r="L251" s="77"/>
      <c r="M251" s="45"/>
      <c r="N251" s="45"/>
      <c r="O251" s="45"/>
    </row>
    <row r="252" spans="2:15" ht="15.5" x14ac:dyDescent="0.35">
      <c r="B252" s="45"/>
      <c r="C252" s="77" t="s">
        <v>59</v>
      </c>
      <c r="D252" s="45">
        <f>MMULT(F249:I249,K247:K250)</f>
        <v>-0.17777777777777778</v>
      </c>
      <c r="E252" s="45" t="s">
        <v>56</v>
      </c>
      <c r="F252" s="81" t="s">
        <v>50</v>
      </c>
      <c r="G252" s="81">
        <f>D249</f>
        <v>4743.416490252569</v>
      </c>
      <c r="H252" s="45"/>
      <c r="I252" s="45"/>
      <c r="J252" s="45"/>
      <c r="K252" s="45"/>
      <c r="L252" s="77"/>
      <c r="M252" s="45"/>
      <c r="N252" s="45"/>
      <c r="O252" s="45"/>
    </row>
    <row r="253" spans="2:15" ht="15.5" x14ac:dyDescent="0.35">
      <c r="B253" s="45"/>
      <c r="C253" s="77"/>
      <c r="D253" s="45"/>
      <c r="E253" s="45"/>
      <c r="F253" s="45"/>
      <c r="G253" s="45"/>
      <c r="H253" s="45"/>
      <c r="I253" s="45"/>
      <c r="J253" s="45"/>
      <c r="K253" s="45"/>
      <c r="L253" s="77"/>
      <c r="M253" s="45"/>
      <c r="N253" s="45"/>
      <c r="O253" s="45"/>
    </row>
    <row r="254" spans="2:15" ht="15.5" x14ac:dyDescent="0.35">
      <c r="B254" s="45"/>
      <c r="C254" s="77"/>
      <c r="D254" s="45"/>
      <c r="E254" s="45"/>
      <c r="F254" s="45"/>
      <c r="G254" s="45"/>
      <c r="H254" s="45"/>
      <c r="I254" s="45"/>
      <c r="J254" s="45"/>
      <c r="K254" s="45"/>
      <c r="L254" s="77"/>
      <c r="M254" s="45"/>
      <c r="N254" s="45"/>
      <c r="O254" s="45"/>
    </row>
    <row r="255" spans="2:15" ht="15.5" x14ac:dyDescent="0.35">
      <c r="B255" s="45"/>
      <c r="C255" s="82" t="s">
        <v>59</v>
      </c>
      <c r="D255" s="83">
        <f>D252*D249</f>
        <v>-843.27404271156786</v>
      </c>
      <c r="E255" s="83" t="s">
        <v>56</v>
      </c>
      <c r="F255" s="45"/>
      <c r="G255" s="45"/>
      <c r="H255" s="45"/>
      <c r="I255" s="45"/>
      <c r="J255" s="45"/>
      <c r="K255" s="45"/>
      <c r="L255" s="77"/>
      <c r="M255" s="45"/>
      <c r="N255" s="45"/>
      <c r="O255" s="45"/>
    </row>
    <row r="256" spans="2:15" ht="15.5" x14ac:dyDescent="0.35">
      <c r="B256" s="45"/>
      <c r="C256" s="77"/>
      <c r="D256" s="45"/>
      <c r="E256" s="45"/>
      <c r="F256" s="45"/>
      <c r="G256" s="45"/>
      <c r="H256" s="45"/>
      <c r="I256" s="45"/>
      <c r="J256" s="45"/>
      <c r="K256" s="45"/>
      <c r="L256" s="77"/>
      <c r="M256" s="70"/>
      <c r="N256" s="70"/>
      <c r="O256" s="45"/>
    </row>
    <row r="257" spans="2:15" ht="15.5" x14ac:dyDescent="0.35">
      <c r="B257" s="45"/>
      <c r="C257" s="77"/>
      <c r="D257" s="45"/>
      <c r="E257" s="45"/>
      <c r="F257" s="45"/>
      <c r="G257" s="45"/>
      <c r="H257" s="45"/>
      <c r="I257" s="45"/>
      <c r="J257" s="45"/>
      <c r="K257" s="45"/>
      <c r="L257" s="77"/>
      <c r="M257" s="70"/>
      <c r="N257" s="70"/>
      <c r="O257" s="45"/>
    </row>
    <row r="258" spans="2:15" ht="15.5" x14ac:dyDescent="0.35">
      <c r="B258" s="45"/>
      <c r="C258" s="77"/>
      <c r="D258" s="45"/>
      <c r="E258" s="45"/>
      <c r="F258" s="45"/>
      <c r="G258" s="45"/>
      <c r="H258" s="45"/>
      <c r="I258" s="45"/>
      <c r="J258" s="45"/>
      <c r="K258" s="43">
        <f>C209</f>
        <v>0</v>
      </c>
      <c r="L258" s="71" t="str">
        <f>B209</f>
        <v>UX2</v>
      </c>
      <c r="M258" s="70"/>
      <c r="N258" s="70"/>
      <c r="O258" s="45"/>
    </row>
    <row r="259" spans="2:15" ht="15.5" x14ac:dyDescent="0.35">
      <c r="B259" s="45"/>
      <c r="C259" s="77"/>
      <c r="D259" s="45"/>
      <c r="E259" s="45"/>
      <c r="F259" s="45"/>
      <c r="G259" s="45"/>
      <c r="H259" s="45"/>
      <c r="I259" s="45"/>
      <c r="J259" s="45"/>
      <c r="K259" s="43">
        <f>C210</f>
        <v>0</v>
      </c>
      <c r="L259" s="71" t="str">
        <f>B210</f>
        <v>UY2</v>
      </c>
      <c r="M259" s="45"/>
      <c r="N259" s="70"/>
      <c r="O259" s="45"/>
    </row>
    <row r="260" spans="2:15" ht="15.5" x14ac:dyDescent="0.35">
      <c r="B260" s="45"/>
      <c r="C260" s="77" t="s">
        <v>63</v>
      </c>
      <c r="D260" s="81">
        <f>N12</f>
        <v>3000</v>
      </c>
      <c r="E260" s="45"/>
      <c r="F260" s="46">
        <f>J12</f>
        <v>-0.8</v>
      </c>
      <c r="G260" s="46">
        <f>K12</f>
        <v>0.6</v>
      </c>
      <c r="H260" s="46">
        <f>-F260</f>
        <v>0.8</v>
      </c>
      <c r="I260" s="46">
        <f>-G260</f>
        <v>-0.6</v>
      </c>
      <c r="J260" s="45"/>
      <c r="K260" s="43">
        <f>C213</f>
        <v>1.0447442313359012</v>
      </c>
      <c r="L260" s="71" t="str">
        <f>B213</f>
        <v>UX4</v>
      </c>
      <c r="M260" s="70"/>
      <c r="N260" s="70"/>
      <c r="O260" s="45"/>
    </row>
    <row r="261" spans="2:15" ht="15.5" x14ac:dyDescent="0.35">
      <c r="B261" s="45"/>
      <c r="C261" s="77"/>
      <c r="D261" s="45"/>
      <c r="E261" s="45"/>
      <c r="F261" s="45"/>
      <c r="G261" s="45"/>
      <c r="H261" s="45"/>
      <c r="I261" s="45"/>
      <c r="J261" s="45"/>
      <c r="K261" s="43">
        <f>C214</f>
        <v>-0.13122421576865567</v>
      </c>
      <c r="L261" s="71" t="str">
        <f>B214</f>
        <v>UY4</v>
      </c>
      <c r="M261" s="70"/>
      <c r="N261" s="70"/>
      <c r="O261" s="45"/>
    </row>
    <row r="262" spans="2:15" ht="15.5" x14ac:dyDescent="0.35">
      <c r="B262" s="45"/>
      <c r="C262" s="77"/>
      <c r="D262" s="45"/>
      <c r="E262" s="45"/>
      <c r="F262" s="45"/>
      <c r="G262" s="45"/>
      <c r="H262" s="45"/>
      <c r="I262" s="45"/>
      <c r="J262" s="45"/>
      <c r="K262" s="70"/>
      <c r="L262" s="70"/>
      <c r="M262" s="70"/>
      <c r="N262" s="70"/>
      <c r="O262" s="45"/>
    </row>
    <row r="263" spans="2:15" ht="15.5" x14ac:dyDescent="0.35">
      <c r="B263" s="45"/>
      <c r="C263" s="77" t="s">
        <v>63</v>
      </c>
      <c r="D263" s="45">
        <f>MMULT(F260:I260,K258:K261)</f>
        <v>0.91452991452991439</v>
      </c>
      <c r="E263" s="45" t="s">
        <v>56</v>
      </c>
      <c r="F263" s="45" t="s">
        <v>50</v>
      </c>
      <c r="G263" s="81">
        <f>D260</f>
        <v>3000</v>
      </c>
      <c r="H263" s="45"/>
      <c r="I263" s="45"/>
      <c r="J263" s="45"/>
      <c r="K263" s="70"/>
      <c r="L263" s="70"/>
      <c r="M263" s="70"/>
      <c r="N263" s="70"/>
      <c r="O263" s="45"/>
    </row>
    <row r="264" spans="2:15" ht="15.5" x14ac:dyDescent="0.35">
      <c r="B264" s="45"/>
      <c r="C264" s="77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</row>
    <row r="265" spans="2:15" ht="15.5" x14ac:dyDescent="0.35">
      <c r="B265" s="45"/>
      <c r="C265" s="82" t="s">
        <v>63</v>
      </c>
      <c r="D265" s="83">
        <f>D263*D260</f>
        <v>2743.5897435897432</v>
      </c>
      <c r="E265" s="83" t="s">
        <v>56</v>
      </c>
      <c r="F265" s="45"/>
      <c r="G265" s="45"/>
      <c r="H265" s="45"/>
      <c r="I265" s="45"/>
      <c r="J265" s="45"/>
      <c r="K265" s="45"/>
      <c r="L265" s="45"/>
      <c r="M265" s="45"/>
      <c r="N265" s="45"/>
      <c r="O265" s="45"/>
    </row>
    <row r="266" spans="2:15" ht="15.5" x14ac:dyDescent="0.35"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</row>
    <row r="267" spans="2:15" ht="15.5" x14ac:dyDescent="0.35"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</row>
    <row r="268" spans="2:15" ht="15.5" x14ac:dyDescent="0.35">
      <c r="B268" s="45"/>
      <c r="C268" s="45"/>
      <c r="D268" s="118" t="s">
        <v>66</v>
      </c>
      <c r="E268" s="118"/>
      <c r="F268" s="118"/>
      <c r="G268" s="118"/>
      <c r="H268" s="118"/>
      <c r="I268" s="118"/>
      <c r="J268" s="118"/>
      <c r="K268" s="118"/>
      <c r="L268" s="118"/>
      <c r="M268" s="118"/>
      <c r="N268" s="45"/>
      <c r="O268" s="45"/>
    </row>
    <row r="269" spans="2:15" ht="15.5" x14ac:dyDescent="0.35"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</row>
    <row r="270" spans="2:15" ht="15.5" x14ac:dyDescent="0.35"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</row>
    <row r="271" spans="2:15" ht="15.5" x14ac:dyDescent="0.35"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</row>
    <row r="272" spans="2:15" ht="15.5" x14ac:dyDescent="0.35"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</row>
    <row r="273" spans="2:15" ht="15.5" x14ac:dyDescent="0.35"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</row>
    <row r="274" spans="2:15" ht="15.5" x14ac:dyDescent="0.35"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</row>
    <row r="275" spans="2:15" ht="15.5" x14ac:dyDescent="0.35"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</row>
    <row r="276" spans="2:15" ht="15.5" x14ac:dyDescent="0.35"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</row>
    <row r="277" spans="2:15" ht="15.5" x14ac:dyDescent="0.35"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</row>
    <row r="278" spans="2:15" ht="15.5" x14ac:dyDescent="0.35"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</row>
    <row r="279" spans="2:15" ht="15.5" x14ac:dyDescent="0.35"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</row>
    <row r="280" spans="2:15" x14ac:dyDescent="0.35">
      <c r="I280" s="17" t="s">
        <v>72</v>
      </c>
    </row>
    <row r="283" spans="2:15" x14ac:dyDescent="0.35">
      <c r="L283" s="17" t="s">
        <v>70</v>
      </c>
    </row>
    <row r="288" spans="2:15" x14ac:dyDescent="0.35">
      <c r="F288" s="17" t="s">
        <v>73</v>
      </c>
      <c r="I288" s="17" t="s">
        <v>74</v>
      </c>
    </row>
    <row r="292" spans="7:11" x14ac:dyDescent="0.35">
      <c r="I292" s="17" t="s">
        <v>71</v>
      </c>
    </row>
    <row r="294" spans="7:11" x14ac:dyDescent="0.35">
      <c r="G294" s="16" t="s">
        <v>67</v>
      </c>
      <c r="J294" s="14" t="s">
        <v>68</v>
      </c>
    </row>
    <row r="296" spans="7:11" x14ac:dyDescent="0.35">
      <c r="K296" s="14" t="s">
        <v>69</v>
      </c>
    </row>
  </sheetData>
  <mergeCells count="8">
    <mergeCell ref="D268:M268"/>
    <mergeCell ref="B6:B7"/>
    <mergeCell ref="B15:B16"/>
    <mergeCell ref="C6:D6"/>
    <mergeCell ref="E6:F6"/>
    <mergeCell ref="G6:N6"/>
    <mergeCell ref="C15:D15"/>
    <mergeCell ref="E15:F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C625-73EF-4636-9ABC-3E9D14191565}">
  <dimension ref="A4:U305"/>
  <sheetViews>
    <sheetView zoomScale="85" zoomScaleNormal="85" workbookViewId="0">
      <selection activeCell="D231" sqref="D231"/>
    </sheetView>
  </sheetViews>
  <sheetFormatPr baseColWidth="10" defaultRowHeight="14.5" x14ac:dyDescent="0.35"/>
  <cols>
    <col min="2" max="2" width="15.7265625" customWidth="1"/>
  </cols>
  <sheetData>
    <row r="4" spans="2:14" ht="15.5" x14ac:dyDescent="0.35">
      <c r="B4" s="45" t="s">
        <v>76</v>
      </c>
      <c r="C4" s="45" t="s">
        <v>18</v>
      </c>
      <c r="D4" s="45">
        <v>20</v>
      </c>
      <c r="E4" s="45" t="s">
        <v>77</v>
      </c>
    </row>
    <row r="5" spans="2:14" ht="15.5" x14ac:dyDescent="0.35">
      <c r="B5" s="45" t="s">
        <v>78</v>
      </c>
      <c r="C5" s="45" t="s">
        <v>19</v>
      </c>
      <c r="D5" s="45">
        <f>150000</f>
        <v>150000</v>
      </c>
      <c r="E5" s="45"/>
    </row>
    <row r="7" spans="2:14" x14ac:dyDescent="0.35">
      <c r="B7" s="25"/>
      <c r="C7" s="112" t="s">
        <v>8</v>
      </c>
      <c r="D7" s="113"/>
      <c r="E7" s="112" t="s">
        <v>9</v>
      </c>
      <c r="F7" s="113"/>
      <c r="G7" s="112"/>
      <c r="H7" s="114"/>
      <c r="I7" s="114"/>
      <c r="J7" s="114"/>
      <c r="K7" s="114"/>
      <c r="L7" s="114"/>
      <c r="M7" s="114"/>
      <c r="N7" s="113"/>
    </row>
    <row r="8" spans="2:14" x14ac:dyDescent="0.35">
      <c r="B8" s="25" t="s">
        <v>10</v>
      </c>
      <c r="C8" s="25" t="s">
        <v>11</v>
      </c>
      <c r="D8" s="25" t="s">
        <v>12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17</v>
      </c>
      <c r="L8" s="25" t="s">
        <v>18</v>
      </c>
      <c r="M8" s="25" t="s">
        <v>19</v>
      </c>
      <c r="N8" s="25" t="s">
        <v>20</v>
      </c>
    </row>
    <row r="9" spans="2:14" x14ac:dyDescent="0.35">
      <c r="B9" s="3">
        <v>1</v>
      </c>
      <c r="C9" s="3">
        <v>0</v>
      </c>
      <c r="D9" s="3">
        <v>0</v>
      </c>
      <c r="E9" s="3">
        <v>200</v>
      </c>
      <c r="F9" s="3">
        <v>600</v>
      </c>
      <c r="G9" s="3">
        <f>E9-C9</f>
        <v>200</v>
      </c>
      <c r="H9" s="3">
        <f>F9-D9</f>
        <v>600</v>
      </c>
      <c r="I9" s="4">
        <f>SQRT((G9*G9)+(H9*H9))</f>
        <v>632.45553203367592</v>
      </c>
      <c r="J9" s="4">
        <f>G9/I9</f>
        <v>0.31622776601683789</v>
      </c>
      <c r="K9" s="4">
        <f>H9/I9</f>
        <v>0.94868329805051377</v>
      </c>
      <c r="L9" s="3">
        <v>20</v>
      </c>
      <c r="M9" s="3">
        <v>150000</v>
      </c>
      <c r="N9" s="26">
        <f>(L9*M9)/I9</f>
        <v>4743.416490252569</v>
      </c>
    </row>
    <row r="10" spans="2:14" x14ac:dyDescent="0.35">
      <c r="B10" s="3">
        <v>2</v>
      </c>
      <c r="C10" s="3">
        <v>1000</v>
      </c>
      <c r="D10" s="3">
        <v>0</v>
      </c>
      <c r="E10" s="3">
        <v>0</v>
      </c>
      <c r="F10" s="3">
        <v>0</v>
      </c>
      <c r="G10" s="3">
        <f t="shared" ref="G10:H13" si="0">E10-C10</f>
        <v>-1000</v>
      </c>
      <c r="H10" s="3">
        <f t="shared" si="0"/>
        <v>0</v>
      </c>
      <c r="I10" s="4">
        <f>SQRT(G10*G10+H10*H10)</f>
        <v>1000</v>
      </c>
      <c r="J10" s="4">
        <f>G10/I10</f>
        <v>-1</v>
      </c>
      <c r="K10" s="4">
        <f>H10/I10</f>
        <v>0</v>
      </c>
      <c r="L10" s="3">
        <v>20</v>
      </c>
      <c r="M10" s="3">
        <v>150000</v>
      </c>
      <c r="N10" s="26">
        <f>(L10*M10)/I10</f>
        <v>3000</v>
      </c>
    </row>
    <row r="11" spans="2:14" x14ac:dyDescent="0.35">
      <c r="B11" s="3">
        <v>3</v>
      </c>
      <c r="C11" s="3">
        <v>800</v>
      </c>
      <c r="D11" s="3">
        <v>800</v>
      </c>
      <c r="E11" s="3">
        <v>1000</v>
      </c>
      <c r="F11" s="3">
        <v>0</v>
      </c>
      <c r="G11" s="3">
        <f t="shared" si="0"/>
        <v>200</v>
      </c>
      <c r="H11" s="3">
        <f t="shared" si="0"/>
        <v>-800</v>
      </c>
      <c r="I11" s="4">
        <f>SQRT(G11*G11+H11*H11)</f>
        <v>824.62112512353212</v>
      </c>
      <c r="J11" s="4">
        <f>G11/I11</f>
        <v>0.24253562503633297</v>
      </c>
      <c r="K11" s="4">
        <f>H11/I11</f>
        <v>-0.97014250014533188</v>
      </c>
      <c r="L11" s="3">
        <v>20</v>
      </c>
      <c r="M11" s="3">
        <v>150000</v>
      </c>
      <c r="N11" s="26">
        <f>(L11*M11)/I11</f>
        <v>3638.0343755449944</v>
      </c>
    </row>
    <row r="12" spans="2:14" x14ac:dyDescent="0.35">
      <c r="B12" s="3">
        <v>4</v>
      </c>
      <c r="C12" s="3">
        <v>200</v>
      </c>
      <c r="D12" s="3">
        <v>600</v>
      </c>
      <c r="E12" s="3">
        <v>1000</v>
      </c>
      <c r="F12" s="3">
        <v>0</v>
      </c>
      <c r="G12" s="3">
        <f t="shared" si="0"/>
        <v>800</v>
      </c>
      <c r="H12" s="3">
        <f t="shared" si="0"/>
        <v>-600</v>
      </c>
      <c r="I12" s="4">
        <f>SQRT(G12*G12+H12*H12)</f>
        <v>1000</v>
      </c>
      <c r="J12" s="4">
        <f>G12/I12</f>
        <v>0.8</v>
      </c>
      <c r="K12" s="4">
        <f>H12/I12</f>
        <v>-0.6</v>
      </c>
      <c r="L12" s="3">
        <v>20</v>
      </c>
      <c r="M12" s="3">
        <v>150000</v>
      </c>
      <c r="N12" s="26">
        <f>(L12*M12)/I12</f>
        <v>3000</v>
      </c>
    </row>
    <row r="13" spans="2:14" x14ac:dyDescent="0.35">
      <c r="B13" s="3">
        <v>5</v>
      </c>
      <c r="C13" s="3">
        <v>200</v>
      </c>
      <c r="D13" s="3">
        <v>600</v>
      </c>
      <c r="E13" s="3">
        <v>800</v>
      </c>
      <c r="F13" s="3">
        <v>800</v>
      </c>
      <c r="G13" s="3">
        <f t="shared" si="0"/>
        <v>600</v>
      </c>
      <c r="H13" s="3">
        <f t="shared" si="0"/>
        <v>200</v>
      </c>
      <c r="I13" s="4">
        <f>SQRT(G13*G13+H13*H13)</f>
        <v>632.45553203367592</v>
      </c>
      <c r="J13" s="4">
        <f>G13/I13</f>
        <v>0.94868329805051377</v>
      </c>
      <c r="K13" s="4">
        <f>H13/I13</f>
        <v>0.31622776601683789</v>
      </c>
      <c r="L13" s="3">
        <v>20</v>
      </c>
      <c r="M13" s="3">
        <v>150000</v>
      </c>
      <c r="N13" s="26">
        <f>(L13*M13)/I13</f>
        <v>4743.416490252569</v>
      </c>
    </row>
    <row r="17" spans="1:6" x14ac:dyDescent="0.35">
      <c r="B17" s="115" t="s">
        <v>10</v>
      </c>
      <c r="C17" s="112" t="s">
        <v>21</v>
      </c>
      <c r="D17" s="113"/>
      <c r="E17" s="112" t="s">
        <v>22</v>
      </c>
      <c r="F17" s="113"/>
    </row>
    <row r="18" spans="1:6" x14ac:dyDescent="0.35">
      <c r="B18" s="116"/>
      <c r="C18" s="25" t="s">
        <v>11</v>
      </c>
      <c r="D18" s="25" t="s">
        <v>12</v>
      </c>
      <c r="E18" s="25" t="s">
        <v>11</v>
      </c>
      <c r="F18" s="25" t="s">
        <v>12</v>
      </c>
    </row>
    <row r="19" spans="1:6" x14ac:dyDescent="0.35">
      <c r="B19" s="27">
        <v>1</v>
      </c>
      <c r="C19" s="3">
        <v>3</v>
      </c>
      <c r="D19" s="3">
        <v>3</v>
      </c>
      <c r="E19" s="3">
        <v>2</v>
      </c>
      <c r="F19" s="3">
        <v>2</v>
      </c>
    </row>
    <row r="20" spans="1:6" x14ac:dyDescent="0.35">
      <c r="B20" s="27">
        <v>2</v>
      </c>
      <c r="C20" s="3">
        <v>4</v>
      </c>
      <c r="D20" s="3">
        <v>4</v>
      </c>
      <c r="E20" s="3">
        <v>3</v>
      </c>
      <c r="F20" s="3">
        <v>3</v>
      </c>
    </row>
    <row r="21" spans="1:6" x14ac:dyDescent="0.35">
      <c r="B21" s="27">
        <v>3</v>
      </c>
      <c r="C21" s="3">
        <v>1</v>
      </c>
      <c r="D21" s="3">
        <v>1</v>
      </c>
      <c r="E21" s="3">
        <v>4</v>
      </c>
      <c r="F21" s="3">
        <v>4</v>
      </c>
    </row>
    <row r="22" spans="1:6" x14ac:dyDescent="0.35">
      <c r="B22" s="27">
        <v>4</v>
      </c>
      <c r="C22" s="3">
        <v>2</v>
      </c>
      <c r="D22" s="3">
        <v>2</v>
      </c>
      <c r="E22" s="3">
        <v>4</v>
      </c>
      <c r="F22" s="3">
        <v>4</v>
      </c>
    </row>
    <row r="23" spans="1:6" x14ac:dyDescent="0.35">
      <c r="B23" s="3">
        <v>5</v>
      </c>
      <c r="C23" s="3">
        <v>2</v>
      </c>
      <c r="D23" s="3">
        <v>2</v>
      </c>
      <c r="E23" s="3">
        <v>1</v>
      </c>
      <c r="F23" s="3">
        <v>1</v>
      </c>
    </row>
    <row r="26" spans="1:6" ht="14.25" customHeight="1" x14ac:dyDescent="0.35">
      <c r="B26" s="25" t="str">
        <f>CONCATENATE("U",C18,C19)</f>
        <v>UX3</v>
      </c>
      <c r="C26" s="25" t="str">
        <f>CONCATENATE("U",D18,D19)</f>
        <v>UY3</v>
      </c>
      <c r="D26" s="25" t="str">
        <f>CONCATENATE("U",E18,E19)</f>
        <v>UX2</v>
      </c>
      <c r="E26" s="25" t="str">
        <f>CONCATENATE("U",F18,F19)</f>
        <v>UY2</v>
      </c>
      <c r="F26" s="25"/>
    </row>
    <row r="27" spans="1:6" ht="14.25" customHeight="1" x14ac:dyDescent="0.35">
      <c r="B27" s="1">
        <f>J9*J9*N9</f>
        <v>474.34164902525674</v>
      </c>
      <c r="C27" s="1">
        <f>J9*K9*N9</f>
        <v>1423.0249470757703</v>
      </c>
      <c r="D27" s="3">
        <f>-B27</f>
        <v>-474.34164902525674</v>
      </c>
      <c r="E27" s="3">
        <f>-C27</f>
        <v>-1423.0249470757703</v>
      </c>
      <c r="F27" s="25" t="str">
        <f>B26</f>
        <v>UX3</v>
      </c>
    </row>
    <row r="28" spans="1:6" ht="14.25" customHeight="1" x14ac:dyDescent="0.35">
      <c r="A28" t="s">
        <v>92</v>
      </c>
      <c r="B28" s="3">
        <f>C27</f>
        <v>1423.0249470757703</v>
      </c>
      <c r="C28" s="1">
        <f>K9*K9*N9</f>
        <v>4269.0748412273115</v>
      </c>
      <c r="D28" s="3">
        <f>-B28</f>
        <v>-1423.0249470757703</v>
      </c>
      <c r="E28" s="3">
        <f>-C28</f>
        <v>-4269.0748412273115</v>
      </c>
      <c r="F28" s="25" t="str">
        <f>C26</f>
        <v>UY3</v>
      </c>
    </row>
    <row r="29" spans="1:6" ht="14.25" customHeight="1" x14ac:dyDescent="0.35">
      <c r="B29" s="3">
        <f>D27</f>
        <v>-474.34164902525674</v>
      </c>
      <c r="C29" s="3">
        <f>E27</f>
        <v>-1423.0249470757703</v>
      </c>
      <c r="D29" s="3">
        <f>B27</f>
        <v>474.34164902525674</v>
      </c>
      <c r="E29" s="3">
        <f>C27</f>
        <v>1423.0249470757703</v>
      </c>
      <c r="F29" s="25" t="str">
        <f>D26</f>
        <v>UX2</v>
      </c>
    </row>
    <row r="30" spans="1:6" ht="14.25" customHeight="1" x14ac:dyDescent="0.35">
      <c r="B30" s="3">
        <f>D28</f>
        <v>-1423.0249470757703</v>
      </c>
      <c r="C30" s="3">
        <f>E28</f>
        <v>-4269.0748412273115</v>
      </c>
      <c r="D30" s="3">
        <f>B28</f>
        <v>1423.0249470757703</v>
      </c>
      <c r="E30" s="3">
        <f>C28</f>
        <v>4269.0748412273115</v>
      </c>
      <c r="F30" s="25" t="str">
        <f>E26</f>
        <v>UY2</v>
      </c>
    </row>
    <row r="34" spans="1:10" x14ac:dyDescent="0.35">
      <c r="B34" s="25" t="s">
        <v>4</v>
      </c>
      <c r="C34" s="25" t="s">
        <v>5</v>
      </c>
      <c r="D34" s="25" t="s">
        <v>6</v>
      </c>
      <c r="E34" s="25" t="s">
        <v>7</v>
      </c>
      <c r="F34" s="25" t="s">
        <v>1</v>
      </c>
      <c r="G34" s="25" t="s">
        <v>3</v>
      </c>
      <c r="H34" s="25" t="s">
        <v>0</v>
      </c>
      <c r="I34" s="25" t="s">
        <v>2</v>
      </c>
      <c r="J34" s="25"/>
    </row>
    <row r="35" spans="1:10" x14ac:dyDescent="0.35">
      <c r="B35" s="3"/>
      <c r="C35" s="3"/>
      <c r="D35" s="3"/>
      <c r="E35" s="3"/>
      <c r="F35" s="3"/>
      <c r="G35" s="3"/>
      <c r="H35" s="3"/>
      <c r="I35" s="3"/>
      <c r="J35" s="25" t="str">
        <f>B34</f>
        <v>UX1</v>
      </c>
    </row>
    <row r="36" spans="1:10" x14ac:dyDescent="0.35">
      <c r="B36" s="3"/>
      <c r="C36" s="3"/>
      <c r="D36" s="3"/>
      <c r="E36" s="3"/>
      <c r="F36" s="3"/>
      <c r="G36" s="3"/>
      <c r="H36" s="3"/>
      <c r="I36" s="3"/>
      <c r="J36" s="25" t="str">
        <f>C34</f>
        <v>UY1</v>
      </c>
    </row>
    <row r="37" spans="1:10" x14ac:dyDescent="0.35">
      <c r="B37" s="3"/>
      <c r="C37" s="3"/>
      <c r="D37" s="3">
        <f>D29</f>
        <v>474.34164902525674</v>
      </c>
      <c r="E37" s="3">
        <f>E29</f>
        <v>1423.0249470757703</v>
      </c>
      <c r="F37" s="3">
        <f>B29</f>
        <v>-474.34164902525674</v>
      </c>
      <c r="G37" s="3">
        <f>C29</f>
        <v>-1423.0249470757703</v>
      </c>
      <c r="H37" s="3"/>
      <c r="I37" s="3"/>
      <c r="J37" s="25" t="str">
        <f>D34</f>
        <v>UX2</v>
      </c>
    </row>
    <row r="38" spans="1:10" x14ac:dyDescent="0.35">
      <c r="B38" s="3"/>
      <c r="C38" s="3"/>
      <c r="D38" s="3">
        <f>D30</f>
        <v>1423.0249470757703</v>
      </c>
      <c r="E38" s="3">
        <f>E30</f>
        <v>4269.0748412273115</v>
      </c>
      <c r="F38" s="3">
        <f>B30</f>
        <v>-1423.0249470757703</v>
      </c>
      <c r="G38" s="3">
        <f>C30</f>
        <v>-4269.0748412273115</v>
      </c>
      <c r="H38" s="3"/>
      <c r="I38" s="3"/>
      <c r="J38" s="25" t="str">
        <f>E34</f>
        <v>UY2</v>
      </c>
    </row>
    <row r="39" spans="1:10" x14ac:dyDescent="0.35">
      <c r="B39" s="3"/>
      <c r="C39" s="3"/>
      <c r="D39" s="3">
        <f>D27</f>
        <v>-474.34164902525674</v>
      </c>
      <c r="E39" s="3">
        <f>E27</f>
        <v>-1423.0249470757703</v>
      </c>
      <c r="F39" s="3">
        <f>B27</f>
        <v>474.34164902525674</v>
      </c>
      <c r="G39" s="3">
        <f>C27</f>
        <v>1423.0249470757703</v>
      </c>
      <c r="H39" s="3"/>
      <c r="I39" s="3"/>
      <c r="J39" s="25" t="str">
        <f>F34</f>
        <v>UX3</v>
      </c>
    </row>
    <row r="40" spans="1:10" x14ac:dyDescent="0.35">
      <c r="B40" s="3"/>
      <c r="C40" s="3"/>
      <c r="D40" s="3">
        <f>D28</f>
        <v>-1423.0249470757703</v>
      </c>
      <c r="E40" s="3">
        <f>E28</f>
        <v>-4269.0748412273115</v>
      </c>
      <c r="F40" s="3">
        <f>B28</f>
        <v>1423.0249470757703</v>
      </c>
      <c r="G40" s="3">
        <f>C28</f>
        <v>4269.0748412273115</v>
      </c>
      <c r="H40" s="3"/>
      <c r="I40" s="3"/>
      <c r="J40" s="25" t="str">
        <f>G34</f>
        <v>UY3</v>
      </c>
    </row>
    <row r="41" spans="1:10" x14ac:dyDescent="0.35">
      <c r="B41" s="3"/>
      <c r="C41" s="3"/>
      <c r="D41" s="3"/>
      <c r="E41" s="3"/>
      <c r="F41" s="3"/>
      <c r="G41" s="3"/>
      <c r="H41" s="3"/>
      <c r="I41" s="3"/>
      <c r="J41" s="25" t="str">
        <f>H34</f>
        <v>UX4</v>
      </c>
    </row>
    <row r="42" spans="1:10" x14ac:dyDescent="0.35">
      <c r="B42" s="3"/>
      <c r="C42" s="3"/>
      <c r="D42" s="3"/>
      <c r="E42" s="3"/>
      <c r="F42" s="3"/>
      <c r="G42" s="3"/>
      <c r="H42" s="3"/>
      <c r="I42" s="3"/>
      <c r="J42" s="25" t="str">
        <f>I34</f>
        <v>UY4</v>
      </c>
    </row>
    <row r="45" spans="1:10" ht="14.25" customHeight="1" x14ac:dyDescent="0.35">
      <c r="B45" s="1" t="str">
        <f>CONCATENATE("U",C18,C20)</f>
        <v>UX4</v>
      </c>
      <c r="C45" s="1" t="str">
        <f>CONCATENATE("U",D18,D20)</f>
        <v>UY4</v>
      </c>
      <c r="D45" s="1" t="str">
        <f>CONCATENATE("U",E18,E20)</f>
        <v>UX3</v>
      </c>
      <c r="E45" s="1" t="str">
        <f>CONCATENATE("U",F18,F20)</f>
        <v>UY3</v>
      </c>
      <c r="F45" s="1"/>
    </row>
    <row r="46" spans="1:10" ht="14.25" customHeight="1" x14ac:dyDescent="0.35">
      <c r="B46" s="3">
        <f>J10*J10*N10</f>
        <v>3000</v>
      </c>
      <c r="C46" s="3">
        <f>J10*K10*N10</f>
        <v>0</v>
      </c>
      <c r="D46" s="3">
        <f>-B46</f>
        <v>-3000</v>
      </c>
      <c r="E46" s="3">
        <f>-C46</f>
        <v>0</v>
      </c>
      <c r="F46" s="1" t="str">
        <f>B45</f>
        <v>UX4</v>
      </c>
    </row>
    <row r="47" spans="1:10" ht="14.25" customHeight="1" x14ac:dyDescent="0.35">
      <c r="A47" t="s">
        <v>24</v>
      </c>
      <c r="B47" s="3">
        <f>C46</f>
        <v>0</v>
      </c>
      <c r="C47" s="3">
        <f>K10*K10*N10</f>
        <v>0</v>
      </c>
      <c r="D47" s="3">
        <f>-B47</f>
        <v>0</v>
      </c>
      <c r="E47" s="3">
        <f>-C47</f>
        <v>0</v>
      </c>
      <c r="F47" s="1" t="str">
        <f>C45</f>
        <v>UY4</v>
      </c>
    </row>
    <row r="48" spans="1:10" ht="14.25" customHeight="1" x14ac:dyDescent="0.35">
      <c r="B48" s="3">
        <f>D46</f>
        <v>-3000</v>
      </c>
      <c r="C48" s="3">
        <f>E46</f>
        <v>0</v>
      </c>
      <c r="D48" s="3">
        <f>B46</f>
        <v>3000</v>
      </c>
      <c r="E48" s="3">
        <f>C46</f>
        <v>0</v>
      </c>
      <c r="F48" s="1" t="str">
        <f>D45</f>
        <v>UX3</v>
      </c>
    </row>
    <row r="49" spans="2:10" ht="14.25" customHeight="1" x14ac:dyDescent="0.35">
      <c r="B49" s="3">
        <f>D47</f>
        <v>0</v>
      </c>
      <c r="C49" s="3">
        <f>E47</f>
        <v>0</v>
      </c>
      <c r="D49" s="3">
        <f>B47</f>
        <v>0</v>
      </c>
      <c r="E49" s="3">
        <f>C47</f>
        <v>0</v>
      </c>
      <c r="F49" s="1" t="str">
        <f>E45</f>
        <v>UY3</v>
      </c>
    </row>
    <row r="53" spans="2:10" x14ac:dyDescent="0.35">
      <c r="B53" s="25" t="s">
        <v>4</v>
      </c>
      <c r="C53" s="25" t="s">
        <v>5</v>
      </c>
      <c r="D53" s="25" t="s">
        <v>6</v>
      </c>
      <c r="E53" s="25" t="s">
        <v>7</v>
      </c>
      <c r="F53" s="25" t="s">
        <v>1</v>
      </c>
      <c r="G53" s="25" t="s">
        <v>3</v>
      </c>
      <c r="H53" s="25" t="s">
        <v>0</v>
      </c>
      <c r="I53" s="25" t="s">
        <v>2</v>
      </c>
      <c r="J53" s="25"/>
    </row>
    <row r="54" spans="2:10" x14ac:dyDescent="0.35">
      <c r="B54" s="3"/>
      <c r="C54" s="3"/>
      <c r="D54" s="3"/>
      <c r="E54" s="3"/>
      <c r="F54" s="3"/>
      <c r="G54" s="3"/>
      <c r="H54" s="3"/>
      <c r="I54" s="3"/>
      <c r="J54" s="25" t="str">
        <f>B53</f>
        <v>UX1</v>
      </c>
    </row>
    <row r="55" spans="2:10" x14ac:dyDescent="0.35">
      <c r="B55" s="3"/>
      <c r="C55" s="3"/>
      <c r="D55" s="3"/>
      <c r="E55" s="3"/>
      <c r="F55" s="3"/>
      <c r="G55" s="3"/>
      <c r="H55" s="3"/>
      <c r="I55" s="3"/>
      <c r="J55" s="25" t="str">
        <f>C53</f>
        <v>UY1</v>
      </c>
    </row>
    <row r="56" spans="2:10" x14ac:dyDescent="0.35">
      <c r="B56" s="3"/>
      <c r="C56" s="3"/>
      <c r="D56" s="3"/>
      <c r="E56" s="3"/>
      <c r="F56" s="3"/>
      <c r="G56" s="3"/>
      <c r="H56" s="3"/>
      <c r="I56" s="3"/>
      <c r="J56" s="25" t="str">
        <f>D53</f>
        <v>UX2</v>
      </c>
    </row>
    <row r="57" spans="2:10" x14ac:dyDescent="0.35">
      <c r="B57" s="3"/>
      <c r="C57" s="3"/>
      <c r="D57" s="3"/>
      <c r="E57" s="3"/>
      <c r="F57" s="3"/>
      <c r="G57" s="3"/>
      <c r="H57" s="3"/>
      <c r="I57" s="3"/>
      <c r="J57" s="25" t="str">
        <f>E53</f>
        <v>UY2</v>
      </c>
    </row>
    <row r="58" spans="2:10" x14ac:dyDescent="0.35">
      <c r="B58" s="3"/>
      <c r="C58" s="3"/>
      <c r="D58" s="3"/>
      <c r="E58" s="3"/>
      <c r="F58" s="18">
        <f>+D48</f>
        <v>3000</v>
      </c>
      <c r="G58" s="18">
        <f>+E48</f>
        <v>0</v>
      </c>
      <c r="H58" s="33">
        <f>+B48</f>
        <v>-3000</v>
      </c>
      <c r="I58" s="33">
        <f>+C48</f>
        <v>0</v>
      </c>
      <c r="J58" s="25" t="str">
        <f>F53</f>
        <v>UX3</v>
      </c>
    </row>
    <row r="59" spans="2:10" x14ac:dyDescent="0.35">
      <c r="B59" s="3"/>
      <c r="C59" s="3"/>
      <c r="D59" s="3"/>
      <c r="E59" s="3"/>
      <c r="F59" s="18">
        <f>+D49</f>
        <v>0</v>
      </c>
      <c r="G59" s="18">
        <f>+E49</f>
        <v>0</v>
      </c>
      <c r="H59" s="33">
        <f>+B49</f>
        <v>0</v>
      </c>
      <c r="I59" s="33">
        <f>+C49</f>
        <v>0</v>
      </c>
      <c r="J59" s="25" t="str">
        <f>G53</f>
        <v>UY3</v>
      </c>
    </row>
    <row r="60" spans="2:10" x14ac:dyDescent="0.35">
      <c r="B60" s="3"/>
      <c r="C60" s="3"/>
      <c r="D60" s="3"/>
      <c r="E60" s="3"/>
      <c r="F60" s="28">
        <f>+D46</f>
        <v>-3000</v>
      </c>
      <c r="G60" s="28">
        <f>+E46</f>
        <v>0</v>
      </c>
      <c r="H60" s="29">
        <f>+B46</f>
        <v>3000</v>
      </c>
      <c r="I60" s="29">
        <f>+C46</f>
        <v>0</v>
      </c>
      <c r="J60" s="25" t="str">
        <f>H53</f>
        <v>UX4</v>
      </c>
    </row>
    <row r="61" spans="2:10" x14ac:dyDescent="0.35">
      <c r="B61" s="3"/>
      <c r="C61" s="3"/>
      <c r="D61" s="3"/>
      <c r="E61" s="3"/>
      <c r="F61" s="28">
        <f>+D47</f>
        <v>0</v>
      </c>
      <c r="G61" s="28">
        <f>+E47</f>
        <v>0</v>
      </c>
      <c r="H61" s="29">
        <f>+B47</f>
        <v>0</v>
      </c>
      <c r="I61" s="29">
        <f>+C47</f>
        <v>0</v>
      </c>
      <c r="J61" s="25" t="str">
        <f>I53</f>
        <v>UY4</v>
      </c>
    </row>
    <row r="65" spans="1:10" ht="14.25" customHeight="1" x14ac:dyDescent="0.35">
      <c r="B65" s="1" t="str">
        <f>CONCATENATE("U",C18,C21)</f>
        <v>UX1</v>
      </c>
      <c r="C65" s="1" t="str">
        <f>CONCATENATE("U",D18,D21)</f>
        <v>UY1</v>
      </c>
      <c r="D65" s="1" t="str">
        <f>CONCATENATE("U",E18,E21)</f>
        <v>UX4</v>
      </c>
      <c r="E65" s="1" t="str">
        <f>CONCATENATE("U",F18,F21)</f>
        <v>UY4</v>
      </c>
      <c r="F65" s="1"/>
    </row>
    <row r="66" spans="1:10" ht="14.25" customHeight="1" x14ac:dyDescent="0.35">
      <c r="B66" s="15">
        <f>J11*J11*N11</f>
        <v>214.00202209088201</v>
      </c>
      <c r="C66" s="15">
        <f>J11*K11*N11</f>
        <v>-856.00808836352803</v>
      </c>
      <c r="D66" s="15">
        <f>-B66</f>
        <v>-214.00202209088201</v>
      </c>
      <c r="E66" s="15">
        <f>-C66</f>
        <v>856.00808836352803</v>
      </c>
      <c r="F66" s="1" t="str">
        <f>B65</f>
        <v>UX1</v>
      </c>
    </row>
    <row r="67" spans="1:10" ht="14.25" customHeight="1" x14ac:dyDescent="0.35">
      <c r="A67" t="s">
        <v>93</v>
      </c>
      <c r="B67" s="15">
        <f>C66</f>
        <v>-856.00808836352803</v>
      </c>
      <c r="C67" s="15">
        <f>K11*K11*N11</f>
        <v>3424.0323534541121</v>
      </c>
      <c r="D67" s="15">
        <f>-B67</f>
        <v>856.00808836352803</v>
      </c>
      <c r="E67" s="15">
        <f>-C67</f>
        <v>-3424.0323534541121</v>
      </c>
      <c r="F67" s="1" t="str">
        <f>C65</f>
        <v>UY1</v>
      </c>
    </row>
    <row r="68" spans="1:10" ht="14.25" customHeight="1" x14ac:dyDescent="0.35">
      <c r="B68" s="15">
        <f>D66</f>
        <v>-214.00202209088201</v>
      </c>
      <c r="C68" s="15">
        <f>E66</f>
        <v>856.00808836352803</v>
      </c>
      <c r="D68" s="15">
        <f>B66</f>
        <v>214.00202209088201</v>
      </c>
      <c r="E68" s="15">
        <f>C66</f>
        <v>-856.00808836352803</v>
      </c>
      <c r="F68" s="1" t="str">
        <f>D65</f>
        <v>UX4</v>
      </c>
    </row>
    <row r="69" spans="1:10" ht="14.25" customHeight="1" x14ac:dyDescent="0.35">
      <c r="B69" s="15">
        <f>D67</f>
        <v>856.00808836352803</v>
      </c>
      <c r="C69" s="15">
        <f>E67</f>
        <v>-3424.0323534541121</v>
      </c>
      <c r="D69" s="15">
        <f>B67</f>
        <v>-856.00808836352803</v>
      </c>
      <c r="E69" s="15">
        <f>C67</f>
        <v>3424.0323534541121</v>
      </c>
      <c r="F69" s="1" t="str">
        <f>E65</f>
        <v>UY4</v>
      </c>
    </row>
    <row r="72" spans="1:10" x14ac:dyDescent="0.35">
      <c r="B72" s="25" t="s">
        <v>4</v>
      </c>
      <c r="C72" s="25" t="s">
        <v>5</v>
      </c>
      <c r="D72" s="25" t="s">
        <v>6</v>
      </c>
      <c r="E72" s="25" t="s">
        <v>7</v>
      </c>
      <c r="F72" s="25" t="s">
        <v>1</v>
      </c>
      <c r="G72" s="25" t="s">
        <v>3</v>
      </c>
      <c r="H72" s="25" t="s">
        <v>0</v>
      </c>
      <c r="I72" s="25" t="s">
        <v>2</v>
      </c>
      <c r="J72" s="25"/>
    </row>
    <row r="73" spans="1:10" x14ac:dyDescent="0.35">
      <c r="B73" s="3">
        <f>+B66</f>
        <v>214.00202209088201</v>
      </c>
      <c r="C73" s="3">
        <f>+C66</f>
        <v>-856.00808836352803</v>
      </c>
      <c r="D73" s="3"/>
      <c r="E73" s="3"/>
      <c r="F73" s="3"/>
      <c r="G73" s="3"/>
      <c r="H73" s="3">
        <f>+D66</f>
        <v>-214.00202209088201</v>
      </c>
      <c r="I73" s="3">
        <f>+E66</f>
        <v>856.00808836352803</v>
      </c>
      <c r="J73" s="25" t="str">
        <f>B72</f>
        <v>UX1</v>
      </c>
    </row>
    <row r="74" spans="1:10" x14ac:dyDescent="0.35">
      <c r="B74" s="3">
        <f>+B67</f>
        <v>-856.00808836352803</v>
      </c>
      <c r="C74" s="3">
        <f>+C67</f>
        <v>3424.0323534541121</v>
      </c>
      <c r="D74" s="3"/>
      <c r="E74" s="3"/>
      <c r="F74" s="3"/>
      <c r="G74" s="3"/>
      <c r="H74" s="3">
        <f>+D67</f>
        <v>856.00808836352803</v>
      </c>
      <c r="I74" s="3">
        <f>+E67</f>
        <v>-3424.0323534541121</v>
      </c>
      <c r="J74" s="25" t="str">
        <f>C72</f>
        <v>UY1</v>
      </c>
    </row>
    <row r="75" spans="1:10" x14ac:dyDescent="0.35">
      <c r="B75" s="3"/>
      <c r="C75" s="3"/>
      <c r="D75" s="3"/>
      <c r="E75" s="3"/>
      <c r="F75" s="3"/>
      <c r="G75" s="3"/>
      <c r="H75" s="3"/>
      <c r="I75" s="3"/>
      <c r="J75" s="25" t="str">
        <f>D72</f>
        <v>UX2</v>
      </c>
    </row>
    <row r="76" spans="1:10" x14ac:dyDescent="0.35">
      <c r="B76" s="3"/>
      <c r="C76" s="3"/>
      <c r="D76" s="3"/>
      <c r="E76" s="3"/>
      <c r="F76" s="3"/>
      <c r="G76" s="3"/>
      <c r="H76" s="3"/>
      <c r="I76" s="3"/>
      <c r="J76" s="25" t="str">
        <f>E72</f>
        <v>UY2</v>
      </c>
    </row>
    <row r="77" spans="1:10" x14ac:dyDescent="0.35">
      <c r="B77" s="3"/>
      <c r="C77" s="3"/>
      <c r="D77" s="3"/>
      <c r="E77" s="3"/>
      <c r="F77" s="3"/>
      <c r="G77" s="3"/>
      <c r="H77" s="3"/>
      <c r="I77" s="3"/>
      <c r="J77" s="25" t="str">
        <f>F72</f>
        <v>UX3</v>
      </c>
    </row>
    <row r="78" spans="1:10" x14ac:dyDescent="0.35">
      <c r="B78" s="3"/>
      <c r="C78" s="3"/>
      <c r="D78" s="3"/>
      <c r="E78" s="3"/>
      <c r="F78" s="3"/>
      <c r="G78" s="3"/>
      <c r="H78" s="3"/>
      <c r="I78" s="3"/>
      <c r="J78" s="25" t="str">
        <f>G72</f>
        <v>UY3</v>
      </c>
    </row>
    <row r="79" spans="1:10" x14ac:dyDescent="0.35">
      <c r="B79" s="3">
        <f>+B68</f>
        <v>-214.00202209088201</v>
      </c>
      <c r="C79" s="3">
        <f>+C68</f>
        <v>856.00808836352803</v>
      </c>
      <c r="D79" s="3"/>
      <c r="E79" s="3"/>
      <c r="F79" s="3"/>
      <c r="G79" s="3"/>
      <c r="H79" s="3">
        <f>+D68</f>
        <v>214.00202209088201</v>
      </c>
      <c r="I79" s="3">
        <f>+E68</f>
        <v>-856.00808836352803</v>
      </c>
      <c r="J79" s="25" t="str">
        <f>H72</f>
        <v>UX4</v>
      </c>
    </row>
    <row r="80" spans="1:10" x14ac:dyDescent="0.35">
      <c r="B80" s="3">
        <f>+B69</f>
        <v>856.00808836352803</v>
      </c>
      <c r="C80" s="3">
        <f>+C69</f>
        <v>-3424.0323534541121</v>
      </c>
      <c r="D80" s="3"/>
      <c r="E80" s="3"/>
      <c r="F80" s="3"/>
      <c r="G80" s="3"/>
      <c r="H80" s="3">
        <f>+D69</f>
        <v>-856.00808836352803</v>
      </c>
      <c r="I80" s="3">
        <f>+E69</f>
        <v>3424.0323534541121</v>
      </c>
      <c r="J80" s="25" t="str">
        <f>I72</f>
        <v>UY4</v>
      </c>
    </row>
    <row r="83" spans="1:10" ht="14.25" customHeight="1" x14ac:dyDescent="0.35">
      <c r="B83" s="25" t="str">
        <f>CONCATENATE("U",C18,C22)</f>
        <v>UX2</v>
      </c>
      <c r="C83" s="25" t="str">
        <f>CONCATENATE("U",D18,D22)</f>
        <v>UY2</v>
      </c>
      <c r="D83" s="25" t="str">
        <f>CONCATENATE("U",E18,E22)</f>
        <v>UX4</v>
      </c>
      <c r="E83" s="25" t="str">
        <f>CONCATENATE("U",F18,F22)</f>
        <v>UY4</v>
      </c>
      <c r="F83" s="25"/>
    </row>
    <row r="84" spans="1:10" ht="14.25" customHeight="1" x14ac:dyDescent="0.35">
      <c r="B84" s="15">
        <f>J12*J12*N12</f>
        <v>1920.0000000000005</v>
      </c>
      <c r="C84" s="15">
        <f>J12*K12*N12</f>
        <v>-1440</v>
      </c>
      <c r="D84" s="15">
        <f>-B84</f>
        <v>-1920.0000000000005</v>
      </c>
      <c r="E84" s="15">
        <f>-C84</f>
        <v>1440</v>
      </c>
      <c r="F84" s="25" t="str">
        <f>B83</f>
        <v>UX2</v>
      </c>
    </row>
    <row r="85" spans="1:10" ht="14.25" customHeight="1" x14ac:dyDescent="0.35">
      <c r="A85" t="s">
        <v>94</v>
      </c>
      <c r="B85" s="15">
        <f>C84</f>
        <v>-1440</v>
      </c>
      <c r="C85" s="15">
        <f>K12*K12*N12</f>
        <v>1080</v>
      </c>
      <c r="D85" s="15">
        <f>-B85</f>
        <v>1440</v>
      </c>
      <c r="E85" s="15">
        <f>-C85</f>
        <v>-1080</v>
      </c>
      <c r="F85" s="25" t="str">
        <f>C83</f>
        <v>UY2</v>
      </c>
    </row>
    <row r="86" spans="1:10" ht="14.25" customHeight="1" x14ac:dyDescent="0.35">
      <c r="B86" s="15">
        <f>D84</f>
        <v>-1920.0000000000005</v>
      </c>
      <c r="C86" s="15">
        <f>E84</f>
        <v>1440</v>
      </c>
      <c r="D86" s="15">
        <f>B84</f>
        <v>1920.0000000000005</v>
      </c>
      <c r="E86" s="15">
        <f>C84</f>
        <v>-1440</v>
      </c>
      <c r="F86" s="25" t="str">
        <f>D83</f>
        <v>UX4</v>
      </c>
    </row>
    <row r="87" spans="1:10" ht="14.25" customHeight="1" x14ac:dyDescent="0.35">
      <c r="B87" s="15">
        <f>D85</f>
        <v>1440</v>
      </c>
      <c r="C87" s="15">
        <f>E85</f>
        <v>-1080</v>
      </c>
      <c r="D87" s="15">
        <f>B85</f>
        <v>-1440</v>
      </c>
      <c r="E87" s="15">
        <f>C85</f>
        <v>1080</v>
      </c>
      <c r="F87" s="1" t="str">
        <f>E83</f>
        <v>UY4</v>
      </c>
    </row>
    <row r="90" spans="1:10" x14ac:dyDescent="0.35">
      <c r="B90" s="25" t="s">
        <v>4</v>
      </c>
      <c r="C90" s="25" t="s">
        <v>5</v>
      </c>
      <c r="D90" s="25" t="s">
        <v>6</v>
      </c>
      <c r="E90" s="25" t="s">
        <v>7</v>
      </c>
      <c r="F90" s="25" t="s">
        <v>1</v>
      </c>
      <c r="G90" s="25" t="s">
        <v>3</v>
      </c>
      <c r="H90" s="25" t="s">
        <v>0</v>
      </c>
      <c r="I90" s="25" t="s">
        <v>2</v>
      </c>
      <c r="J90" s="25"/>
    </row>
    <row r="91" spans="1:10" x14ac:dyDescent="0.35">
      <c r="B91" s="3"/>
      <c r="C91" s="3"/>
      <c r="D91" s="3"/>
      <c r="E91" s="3"/>
      <c r="F91" s="3"/>
      <c r="G91" s="3"/>
      <c r="H91" s="3"/>
      <c r="I91" s="3"/>
      <c r="J91" s="25" t="str">
        <f>B90</f>
        <v>UX1</v>
      </c>
    </row>
    <row r="92" spans="1:10" x14ac:dyDescent="0.35">
      <c r="B92" s="3"/>
      <c r="C92" s="3"/>
      <c r="D92" s="3"/>
      <c r="E92" s="3"/>
      <c r="F92" s="3"/>
      <c r="G92" s="3"/>
      <c r="H92" s="3"/>
      <c r="I92" s="3"/>
      <c r="J92" s="25" t="str">
        <f>C90</f>
        <v>UY1</v>
      </c>
    </row>
    <row r="93" spans="1:10" x14ac:dyDescent="0.35">
      <c r="B93" s="3"/>
      <c r="C93" s="3"/>
      <c r="D93" s="3">
        <f>+B84</f>
        <v>1920.0000000000005</v>
      </c>
      <c r="E93" s="3">
        <f>+C84</f>
        <v>-1440</v>
      </c>
      <c r="F93" s="3"/>
      <c r="G93" s="3"/>
      <c r="H93" s="3">
        <f>+D84</f>
        <v>-1920.0000000000005</v>
      </c>
      <c r="I93" s="3">
        <f>+E84</f>
        <v>1440</v>
      </c>
      <c r="J93" s="25" t="str">
        <f>D90</f>
        <v>UX2</v>
      </c>
    </row>
    <row r="94" spans="1:10" x14ac:dyDescent="0.35">
      <c r="B94" s="3"/>
      <c r="C94" s="3"/>
      <c r="D94" s="3">
        <f>+B85</f>
        <v>-1440</v>
      </c>
      <c r="E94" s="3">
        <f>+C85</f>
        <v>1080</v>
      </c>
      <c r="F94" s="3"/>
      <c r="G94" s="3"/>
      <c r="H94" s="3">
        <f>+D85</f>
        <v>1440</v>
      </c>
      <c r="I94" s="3">
        <f>+E85</f>
        <v>-1080</v>
      </c>
      <c r="J94" s="25" t="str">
        <f>E90</f>
        <v>UY2</v>
      </c>
    </row>
    <row r="95" spans="1:10" x14ac:dyDescent="0.35">
      <c r="B95" s="3"/>
      <c r="C95" s="3"/>
      <c r="D95" s="3"/>
      <c r="E95" s="3"/>
      <c r="F95" s="3"/>
      <c r="G95" s="3"/>
      <c r="H95" s="3"/>
      <c r="I95" s="3"/>
      <c r="J95" s="25" t="str">
        <f>F90</f>
        <v>UX3</v>
      </c>
    </row>
    <row r="96" spans="1:10" x14ac:dyDescent="0.35">
      <c r="B96" s="3"/>
      <c r="C96" s="3"/>
      <c r="D96" s="3"/>
      <c r="E96" s="3"/>
      <c r="F96" s="3"/>
      <c r="G96" s="3"/>
      <c r="H96" s="3"/>
      <c r="I96" s="3"/>
      <c r="J96" s="25" t="str">
        <f>G90</f>
        <v>UY3</v>
      </c>
    </row>
    <row r="97" spans="1:10" x14ac:dyDescent="0.35">
      <c r="B97" s="3"/>
      <c r="C97" s="3"/>
      <c r="D97" s="3">
        <f>+B86</f>
        <v>-1920.0000000000005</v>
      </c>
      <c r="E97" s="3">
        <f>+C86</f>
        <v>1440</v>
      </c>
      <c r="F97" s="3"/>
      <c r="G97" s="3"/>
      <c r="H97" s="3">
        <f>+D86</f>
        <v>1920.0000000000005</v>
      </c>
      <c r="I97" s="3">
        <f>+E86</f>
        <v>-1440</v>
      </c>
      <c r="J97" s="25" t="str">
        <f>H90</f>
        <v>UX4</v>
      </c>
    </row>
    <row r="98" spans="1:10" x14ac:dyDescent="0.35">
      <c r="B98" s="3"/>
      <c r="C98" s="3"/>
      <c r="D98" s="3">
        <f>+B87</f>
        <v>1440</v>
      </c>
      <c r="E98" s="3">
        <f>+C87</f>
        <v>-1080</v>
      </c>
      <c r="F98" s="3"/>
      <c r="G98" s="3"/>
      <c r="H98" s="3">
        <f>+D87</f>
        <v>-1440</v>
      </c>
      <c r="I98" s="3">
        <f>+E87</f>
        <v>1080</v>
      </c>
      <c r="J98" s="25" t="str">
        <f>I90</f>
        <v>UY4</v>
      </c>
    </row>
    <row r="101" spans="1:10" ht="14.25" customHeight="1" x14ac:dyDescent="0.35">
      <c r="B101" s="25" t="str">
        <f>CONCATENATE("U",C18,C23)</f>
        <v>UX2</v>
      </c>
      <c r="C101" s="25" t="str">
        <f>CONCATENATE("U",D18,D23)</f>
        <v>UY2</v>
      </c>
      <c r="D101" s="25" t="str">
        <f>CONCATENATE("U",E18,E23)</f>
        <v>UX1</v>
      </c>
      <c r="E101" s="25" t="str">
        <f>CONCATENATE("U",F18,F23)</f>
        <v>UY1</v>
      </c>
      <c r="F101" s="25"/>
    </row>
    <row r="102" spans="1:10" ht="14.25" customHeight="1" x14ac:dyDescent="0.35">
      <c r="B102" s="15">
        <f>J13*J13*N13</f>
        <v>4269.0748412273115</v>
      </c>
      <c r="C102" s="15">
        <f>J13*K13*N13</f>
        <v>1423.0249470757703</v>
      </c>
      <c r="D102" s="15">
        <f>-B102</f>
        <v>-4269.0748412273115</v>
      </c>
      <c r="E102" s="15">
        <f>-C102</f>
        <v>-1423.0249470757703</v>
      </c>
      <c r="F102" s="25" t="str">
        <f>B101</f>
        <v>UX2</v>
      </c>
    </row>
    <row r="103" spans="1:10" ht="14.25" customHeight="1" x14ac:dyDescent="0.35">
      <c r="A103" t="s">
        <v>27</v>
      </c>
      <c r="B103" s="15">
        <f>C102</f>
        <v>1423.0249470757703</v>
      </c>
      <c r="C103" s="15">
        <f>K13*K13*N13</f>
        <v>474.34164902525674</v>
      </c>
      <c r="D103" s="15">
        <f>-B103</f>
        <v>-1423.0249470757703</v>
      </c>
      <c r="E103" s="15">
        <f>-C103</f>
        <v>-474.34164902525674</v>
      </c>
      <c r="F103" s="25" t="str">
        <f>C101</f>
        <v>UY2</v>
      </c>
    </row>
    <row r="104" spans="1:10" ht="14.25" customHeight="1" x14ac:dyDescent="0.35">
      <c r="B104" s="15">
        <f>D102</f>
        <v>-4269.0748412273115</v>
      </c>
      <c r="C104" s="15">
        <f>E102</f>
        <v>-1423.0249470757703</v>
      </c>
      <c r="D104" s="15">
        <f>B102</f>
        <v>4269.0748412273115</v>
      </c>
      <c r="E104" s="15">
        <f>C102</f>
        <v>1423.0249470757703</v>
      </c>
      <c r="F104" s="25" t="str">
        <f>D101</f>
        <v>UX1</v>
      </c>
    </row>
    <row r="105" spans="1:10" ht="14.25" customHeight="1" x14ac:dyDescent="0.35">
      <c r="B105" s="15">
        <f>D103</f>
        <v>-1423.0249470757703</v>
      </c>
      <c r="C105" s="15">
        <f>E103</f>
        <v>-474.34164902525674</v>
      </c>
      <c r="D105" s="15">
        <f>B103</f>
        <v>1423.0249470757703</v>
      </c>
      <c r="E105" s="15">
        <f>C103</f>
        <v>474.34164902525674</v>
      </c>
      <c r="F105" s="25" t="str">
        <f>E101</f>
        <v>UY1</v>
      </c>
    </row>
    <row r="109" spans="1:10" x14ac:dyDescent="0.35">
      <c r="B109" s="25" t="s">
        <v>4</v>
      </c>
      <c r="C109" s="25" t="s">
        <v>5</v>
      </c>
      <c r="D109" s="25" t="s">
        <v>6</v>
      </c>
      <c r="E109" s="25" t="s">
        <v>7</v>
      </c>
      <c r="F109" s="25" t="s">
        <v>1</v>
      </c>
      <c r="G109" s="25" t="s">
        <v>3</v>
      </c>
      <c r="H109" s="25" t="s">
        <v>0</v>
      </c>
      <c r="I109" s="25" t="s">
        <v>2</v>
      </c>
      <c r="J109" s="25"/>
    </row>
    <row r="110" spans="1:10" x14ac:dyDescent="0.35">
      <c r="B110" s="3">
        <f>+D104</f>
        <v>4269.0748412273115</v>
      </c>
      <c r="C110" s="3">
        <f>+E104</f>
        <v>1423.0249470757703</v>
      </c>
      <c r="D110" s="3">
        <f>+B104</f>
        <v>-4269.0748412273115</v>
      </c>
      <c r="E110" s="3">
        <f>+C104</f>
        <v>-1423.0249470757703</v>
      </c>
      <c r="F110" s="3"/>
      <c r="G110" s="3"/>
      <c r="H110" s="3"/>
      <c r="I110" s="3"/>
      <c r="J110" s="25" t="str">
        <f>B109</f>
        <v>UX1</v>
      </c>
    </row>
    <row r="111" spans="1:10" x14ac:dyDescent="0.35">
      <c r="B111" s="3">
        <f>+D105</f>
        <v>1423.0249470757703</v>
      </c>
      <c r="C111" s="3">
        <f>+E105</f>
        <v>474.34164902525674</v>
      </c>
      <c r="D111" s="3">
        <f>+B105</f>
        <v>-1423.0249470757703</v>
      </c>
      <c r="E111" s="3">
        <f>+C105</f>
        <v>-474.34164902525674</v>
      </c>
      <c r="F111" s="3"/>
      <c r="G111" s="3"/>
      <c r="H111" s="3"/>
      <c r="I111" s="3"/>
      <c r="J111" s="25" t="str">
        <f>C109</f>
        <v>UY1</v>
      </c>
    </row>
    <row r="112" spans="1:10" x14ac:dyDescent="0.35">
      <c r="B112" s="3">
        <f>+D102</f>
        <v>-4269.0748412273115</v>
      </c>
      <c r="C112" s="3">
        <f>+E102</f>
        <v>-1423.0249470757703</v>
      </c>
      <c r="D112" s="3">
        <f>+B102</f>
        <v>4269.0748412273115</v>
      </c>
      <c r="E112" s="3">
        <f>+C102</f>
        <v>1423.0249470757703</v>
      </c>
      <c r="F112" s="3"/>
      <c r="G112" s="3"/>
      <c r="H112" s="3"/>
      <c r="I112" s="3"/>
      <c r="J112" s="25" t="str">
        <f>D109</f>
        <v>UX2</v>
      </c>
    </row>
    <row r="113" spans="1:10" x14ac:dyDescent="0.35">
      <c r="B113" s="3">
        <f>+D103</f>
        <v>-1423.0249470757703</v>
      </c>
      <c r="C113" s="3">
        <f>+E103</f>
        <v>-474.34164902525674</v>
      </c>
      <c r="D113" s="3">
        <f>+B103</f>
        <v>1423.0249470757703</v>
      </c>
      <c r="E113" s="3">
        <f>+C103</f>
        <v>474.34164902525674</v>
      </c>
      <c r="F113" s="3"/>
      <c r="G113" s="3"/>
      <c r="H113" s="3"/>
      <c r="I113" s="3"/>
      <c r="J113" s="25" t="str">
        <f>E109</f>
        <v>UY2</v>
      </c>
    </row>
    <row r="114" spans="1:10" x14ac:dyDescent="0.35">
      <c r="B114" s="3"/>
      <c r="C114" s="3"/>
      <c r="D114" s="3"/>
      <c r="E114" s="3"/>
      <c r="F114" s="3"/>
      <c r="G114" s="3"/>
      <c r="H114" s="3"/>
      <c r="I114" s="3"/>
      <c r="J114" s="25" t="str">
        <f>F109</f>
        <v>UX3</v>
      </c>
    </row>
    <row r="115" spans="1:10" x14ac:dyDescent="0.35">
      <c r="B115" s="3"/>
      <c r="C115" s="3"/>
      <c r="D115" s="3"/>
      <c r="E115" s="3"/>
      <c r="F115" s="3"/>
      <c r="G115" s="3"/>
      <c r="H115" s="3"/>
      <c r="I115" s="3"/>
      <c r="J115" s="25" t="str">
        <f>G109</f>
        <v>UY3</v>
      </c>
    </row>
    <row r="116" spans="1:10" x14ac:dyDescent="0.35">
      <c r="B116" s="3"/>
      <c r="C116" s="3"/>
      <c r="D116" s="3"/>
      <c r="E116" s="3"/>
      <c r="F116" s="3"/>
      <c r="G116" s="3"/>
      <c r="H116" s="3"/>
      <c r="I116" s="3"/>
      <c r="J116" s="25" t="str">
        <f>H109</f>
        <v>UX4</v>
      </c>
    </row>
    <row r="117" spans="1:10" x14ac:dyDescent="0.35">
      <c r="B117" s="3"/>
      <c r="C117" s="3"/>
      <c r="D117" s="3"/>
      <c r="E117" s="3"/>
      <c r="F117" s="3"/>
      <c r="G117" s="3"/>
      <c r="H117" s="3"/>
      <c r="I117" s="3"/>
      <c r="J117" s="25" t="str">
        <f>I109</f>
        <v>UY4</v>
      </c>
    </row>
    <row r="120" spans="1:10" x14ac:dyDescent="0.35">
      <c r="A120" s="109" t="s">
        <v>28</v>
      </c>
      <c r="B120" s="109"/>
      <c r="C120" s="109"/>
      <c r="D120" s="109"/>
      <c r="E120" s="109"/>
      <c r="F120" s="109"/>
      <c r="G120" s="109"/>
    </row>
    <row r="121" spans="1:10" x14ac:dyDescent="0.35">
      <c r="B121" s="25" t="s">
        <v>4</v>
      </c>
      <c r="C121" s="25" t="s">
        <v>5</v>
      </c>
      <c r="D121" s="25" t="s">
        <v>6</v>
      </c>
      <c r="E121" s="25" t="s">
        <v>7</v>
      </c>
      <c r="F121" s="25" t="s">
        <v>1</v>
      </c>
      <c r="G121" s="25" t="s">
        <v>3</v>
      </c>
      <c r="H121" s="25" t="s">
        <v>0</v>
      </c>
      <c r="I121" s="25" t="s">
        <v>2</v>
      </c>
      <c r="J121" s="25"/>
    </row>
    <row r="122" spans="1:10" x14ac:dyDescent="0.35">
      <c r="B122" s="33">
        <f t="shared" ref="B122:I129" si="1">B110+B91+B73+B54+B35</f>
        <v>4483.0768633181933</v>
      </c>
      <c r="C122" s="3">
        <f t="shared" si="1"/>
        <v>567.01685871224231</v>
      </c>
      <c r="D122" s="3">
        <f t="shared" si="1"/>
        <v>-4269.0748412273115</v>
      </c>
      <c r="E122" s="3">
        <f t="shared" si="1"/>
        <v>-1423.0249470757703</v>
      </c>
      <c r="F122" s="3">
        <f t="shared" si="1"/>
        <v>0</v>
      </c>
      <c r="G122" s="3">
        <f t="shared" si="1"/>
        <v>0</v>
      </c>
      <c r="H122" s="3">
        <f t="shared" si="1"/>
        <v>-214.00202209088201</v>
      </c>
      <c r="I122" s="3">
        <f t="shared" si="1"/>
        <v>856.00808836352803</v>
      </c>
      <c r="J122" s="25" t="str">
        <f>B121</f>
        <v>UX1</v>
      </c>
    </row>
    <row r="123" spans="1:10" x14ac:dyDescent="0.35">
      <c r="B123" s="3">
        <f t="shared" si="1"/>
        <v>567.01685871224231</v>
      </c>
      <c r="C123" s="33">
        <f t="shared" si="1"/>
        <v>3898.3740024793688</v>
      </c>
      <c r="D123" s="3">
        <f t="shared" si="1"/>
        <v>-1423.0249470757703</v>
      </c>
      <c r="E123" s="3">
        <f t="shared" si="1"/>
        <v>-474.34164902525674</v>
      </c>
      <c r="F123" s="3">
        <f t="shared" si="1"/>
        <v>0</v>
      </c>
      <c r="G123" s="3">
        <f t="shared" si="1"/>
        <v>0</v>
      </c>
      <c r="H123" s="3">
        <f t="shared" si="1"/>
        <v>856.00808836352803</v>
      </c>
      <c r="I123" s="3">
        <f t="shared" si="1"/>
        <v>-3424.0323534541121</v>
      </c>
      <c r="J123" s="25" t="str">
        <f>C121</f>
        <v>UY1</v>
      </c>
    </row>
    <row r="124" spans="1:10" x14ac:dyDescent="0.35">
      <c r="B124" s="3">
        <f t="shared" si="1"/>
        <v>-4269.0748412273115</v>
      </c>
      <c r="C124" s="3">
        <f t="shared" si="1"/>
        <v>-1423.0249470757703</v>
      </c>
      <c r="D124" s="33">
        <f t="shared" si="1"/>
        <v>6663.4164902525681</v>
      </c>
      <c r="E124" s="3">
        <f t="shared" si="1"/>
        <v>1406.0498941515407</v>
      </c>
      <c r="F124" s="3">
        <f t="shared" si="1"/>
        <v>-474.34164902525674</v>
      </c>
      <c r="G124" s="3">
        <f t="shared" si="1"/>
        <v>-1423.0249470757703</v>
      </c>
      <c r="H124" s="3">
        <f t="shared" si="1"/>
        <v>-1920.0000000000005</v>
      </c>
      <c r="I124" s="3">
        <f t="shared" si="1"/>
        <v>1440</v>
      </c>
      <c r="J124" s="25" t="str">
        <f>D121</f>
        <v>UX2</v>
      </c>
    </row>
    <row r="125" spans="1:10" x14ac:dyDescent="0.35">
      <c r="B125" s="3">
        <f t="shared" si="1"/>
        <v>-1423.0249470757703</v>
      </c>
      <c r="C125" s="3">
        <f t="shared" si="1"/>
        <v>-474.34164902525674</v>
      </c>
      <c r="D125" s="3">
        <f t="shared" si="1"/>
        <v>1406.0498941515407</v>
      </c>
      <c r="E125" s="33">
        <f t="shared" si="1"/>
        <v>5823.4164902525681</v>
      </c>
      <c r="F125" s="3">
        <f t="shared" si="1"/>
        <v>-1423.0249470757703</v>
      </c>
      <c r="G125" s="3">
        <f t="shared" si="1"/>
        <v>-4269.0748412273115</v>
      </c>
      <c r="H125" s="3">
        <f t="shared" si="1"/>
        <v>1440</v>
      </c>
      <c r="I125" s="3">
        <f t="shared" si="1"/>
        <v>-1080</v>
      </c>
      <c r="J125" s="25" t="str">
        <f>E121</f>
        <v>UY2</v>
      </c>
    </row>
    <row r="126" spans="1:10" x14ac:dyDescent="0.35">
      <c r="B126" s="3">
        <f t="shared" si="1"/>
        <v>0</v>
      </c>
      <c r="C126" s="3">
        <f t="shared" si="1"/>
        <v>0</v>
      </c>
      <c r="D126" s="3">
        <f t="shared" si="1"/>
        <v>-474.34164902525674</v>
      </c>
      <c r="E126" s="3">
        <f t="shared" si="1"/>
        <v>-1423.0249470757703</v>
      </c>
      <c r="F126" s="33">
        <f t="shared" si="1"/>
        <v>3474.3416490252566</v>
      </c>
      <c r="G126" s="3">
        <f t="shared" si="1"/>
        <v>1423.0249470757703</v>
      </c>
      <c r="H126" s="3">
        <f t="shared" si="1"/>
        <v>-3000</v>
      </c>
      <c r="I126" s="3">
        <f t="shared" si="1"/>
        <v>0</v>
      </c>
      <c r="J126" s="25" t="str">
        <f>F121</f>
        <v>UX3</v>
      </c>
    </row>
    <row r="127" spans="1:10" x14ac:dyDescent="0.35">
      <c r="B127" s="3">
        <f t="shared" si="1"/>
        <v>0</v>
      </c>
      <c r="C127" s="3">
        <f t="shared" si="1"/>
        <v>0</v>
      </c>
      <c r="D127" s="3">
        <f t="shared" si="1"/>
        <v>-1423.0249470757703</v>
      </c>
      <c r="E127" s="3">
        <f t="shared" si="1"/>
        <v>-4269.0748412273115</v>
      </c>
      <c r="F127" s="3">
        <f t="shared" si="1"/>
        <v>1423.0249470757703</v>
      </c>
      <c r="G127" s="33">
        <f t="shared" si="1"/>
        <v>4269.0748412273115</v>
      </c>
      <c r="H127" s="3">
        <f t="shared" si="1"/>
        <v>0</v>
      </c>
      <c r="I127" s="3">
        <f t="shared" si="1"/>
        <v>0</v>
      </c>
      <c r="J127" s="25" t="str">
        <f>G121</f>
        <v>UY3</v>
      </c>
    </row>
    <row r="128" spans="1:10" x14ac:dyDescent="0.35">
      <c r="B128" s="3">
        <f t="shared" si="1"/>
        <v>-214.00202209088201</v>
      </c>
      <c r="C128" s="3">
        <f t="shared" si="1"/>
        <v>856.00808836352803</v>
      </c>
      <c r="D128" s="3">
        <f t="shared" si="1"/>
        <v>-1920.0000000000005</v>
      </c>
      <c r="E128" s="3">
        <f t="shared" si="1"/>
        <v>1440</v>
      </c>
      <c r="F128" s="3">
        <f t="shared" si="1"/>
        <v>-3000</v>
      </c>
      <c r="G128" s="3">
        <f t="shared" si="1"/>
        <v>0</v>
      </c>
      <c r="H128" s="33">
        <f t="shared" si="1"/>
        <v>5134.0020220908827</v>
      </c>
      <c r="I128" s="3">
        <f t="shared" si="1"/>
        <v>-2296.0080883635283</v>
      </c>
      <c r="J128" s="25" t="str">
        <f>H121</f>
        <v>UX4</v>
      </c>
    </row>
    <row r="129" spans="1:10" x14ac:dyDescent="0.35">
      <c r="B129" s="3">
        <f t="shared" si="1"/>
        <v>856.00808836352803</v>
      </c>
      <c r="C129" s="3">
        <f t="shared" si="1"/>
        <v>-3424.0323534541121</v>
      </c>
      <c r="D129" s="3">
        <f t="shared" si="1"/>
        <v>1440</v>
      </c>
      <c r="E129" s="3">
        <f t="shared" si="1"/>
        <v>-1080</v>
      </c>
      <c r="F129" s="3">
        <f t="shared" si="1"/>
        <v>0</v>
      </c>
      <c r="G129" s="3">
        <f t="shared" si="1"/>
        <v>0</v>
      </c>
      <c r="H129" s="3">
        <f t="shared" si="1"/>
        <v>-2296.0080883635283</v>
      </c>
      <c r="I129" s="33">
        <f t="shared" si="1"/>
        <v>4504.0323534541121</v>
      </c>
      <c r="J129" s="25" t="str">
        <f>I121</f>
        <v>UY4</v>
      </c>
    </row>
    <row r="130" spans="1:10" x14ac:dyDescent="0.35">
      <c r="B130" s="84"/>
      <c r="C130" s="84"/>
      <c r="D130" s="84"/>
      <c r="E130" s="84"/>
      <c r="F130" s="84"/>
      <c r="G130" s="84"/>
      <c r="H130" s="84"/>
      <c r="I130" s="84"/>
      <c r="J130" s="39"/>
    </row>
    <row r="132" spans="1:10" x14ac:dyDescent="0.35">
      <c r="A132" s="34" t="s">
        <v>83</v>
      </c>
    </row>
    <row r="134" spans="1:10" x14ac:dyDescent="0.35">
      <c r="A134" s="117" t="s">
        <v>107</v>
      </c>
      <c r="B134" s="87" t="s">
        <v>30</v>
      </c>
      <c r="C134" s="10" t="str">
        <f>J122</f>
        <v>UX1</v>
      </c>
      <c r="D134" s="10"/>
      <c r="E134" s="87">
        <v>0</v>
      </c>
      <c r="F134" s="10" t="str">
        <f t="shared" ref="F134:F141" si="2">C134</f>
        <v>UX1</v>
      </c>
    </row>
    <row r="135" spans="1:10" x14ac:dyDescent="0.35">
      <c r="A135" s="117"/>
      <c r="B135" s="87" t="s">
        <v>31</v>
      </c>
      <c r="C135" s="10" t="str">
        <f t="shared" ref="C135:C141" si="3">J123</f>
        <v>UY1</v>
      </c>
      <c r="D135" s="10"/>
      <c r="E135" s="87" t="s">
        <v>31</v>
      </c>
      <c r="F135" s="10" t="str">
        <f t="shared" si="2"/>
        <v>UY1</v>
      </c>
    </row>
    <row r="136" spans="1:10" x14ac:dyDescent="0.35">
      <c r="A136" s="117" t="s">
        <v>108</v>
      </c>
      <c r="B136" s="87" t="s">
        <v>32</v>
      </c>
      <c r="C136" s="10" t="str">
        <f t="shared" si="3"/>
        <v>UX2</v>
      </c>
      <c r="D136" s="10" t="s">
        <v>33</v>
      </c>
      <c r="E136" s="87" t="s">
        <v>32</v>
      </c>
      <c r="F136" s="10" t="str">
        <f t="shared" si="2"/>
        <v>UX2</v>
      </c>
    </row>
    <row r="137" spans="1:10" x14ac:dyDescent="0.35">
      <c r="A137" s="117"/>
      <c r="B137" s="87" t="s">
        <v>34</v>
      </c>
      <c r="C137" s="10" t="str">
        <f t="shared" si="3"/>
        <v>UY2</v>
      </c>
      <c r="D137" s="10"/>
      <c r="E137" s="87" t="s">
        <v>34</v>
      </c>
      <c r="F137" s="10" t="str">
        <f t="shared" si="2"/>
        <v>UY2</v>
      </c>
    </row>
    <row r="138" spans="1:10" x14ac:dyDescent="0.35">
      <c r="B138" s="87" t="s">
        <v>35</v>
      </c>
      <c r="C138" s="10" t="str">
        <f t="shared" si="3"/>
        <v>UX3</v>
      </c>
      <c r="D138" s="10"/>
      <c r="E138" s="87">
        <v>1000</v>
      </c>
      <c r="F138" s="10" t="str">
        <f t="shared" si="2"/>
        <v>UX3</v>
      </c>
    </row>
    <row r="139" spans="1:10" x14ac:dyDescent="0.35">
      <c r="B139" s="87" t="s">
        <v>36</v>
      </c>
      <c r="C139" s="10" t="str">
        <f t="shared" si="3"/>
        <v>UY3</v>
      </c>
      <c r="D139" s="10"/>
      <c r="E139" s="87">
        <v>-2000</v>
      </c>
      <c r="F139" s="10" t="str">
        <f t="shared" si="2"/>
        <v>UY3</v>
      </c>
    </row>
    <row r="140" spans="1:10" x14ac:dyDescent="0.35">
      <c r="B140" s="87" t="s">
        <v>37</v>
      </c>
      <c r="C140" s="10" t="str">
        <f t="shared" si="3"/>
        <v>UX4</v>
      </c>
      <c r="D140" s="3"/>
      <c r="E140" s="87">
        <v>2000</v>
      </c>
      <c r="F140" s="10" t="str">
        <f t="shared" si="2"/>
        <v>UX4</v>
      </c>
    </row>
    <row r="141" spans="1:10" x14ac:dyDescent="0.35">
      <c r="B141" s="87" t="s">
        <v>38</v>
      </c>
      <c r="C141" s="10" t="str">
        <f t="shared" si="3"/>
        <v>UY4</v>
      </c>
      <c r="D141" s="3"/>
      <c r="E141" s="87">
        <v>-1000</v>
      </c>
      <c r="F141" s="10" t="str">
        <f t="shared" si="2"/>
        <v>UY4</v>
      </c>
    </row>
    <row r="143" spans="1:10" x14ac:dyDescent="0.35">
      <c r="A143" s="34" t="s">
        <v>84</v>
      </c>
    </row>
    <row r="145" spans="1:16" x14ac:dyDescent="0.35">
      <c r="B145" s="88" t="s">
        <v>40</v>
      </c>
      <c r="C145" s="8" t="str">
        <f t="shared" ref="C145:C152" si="4">C134</f>
        <v>UX1</v>
      </c>
      <c r="D145" s="9"/>
      <c r="E145" s="88" t="s">
        <v>40</v>
      </c>
      <c r="F145" s="8" t="str">
        <f t="shared" ref="F145:F152" si="5">C145</f>
        <v>UX1</v>
      </c>
    </row>
    <row r="146" spans="1:16" x14ac:dyDescent="0.35">
      <c r="B146" s="87" t="s">
        <v>41</v>
      </c>
      <c r="C146" s="8" t="str">
        <f t="shared" si="4"/>
        <v>UY1</v>
      </c>
      <c r="D146" s="9"/>
      <c r="E146" s="87">
        <v>0</v>
      </c>
      <c r="F146" s="10" t="str">
        <f t="shared" si="5"/>
        <v>UY1</v>
      </c>
    </row>
    <row r="147" spans="1:16" x14ac:dyDescent="0.35">
      <c r="B147" s="87" t="s">
        <v>42</v>
      </c>
      <c r="C147" s="8" t="str">
        <f t="shared" si="4"/>
        <v>UX2</v>
      </c>
      <c r="D147" s="9" t="s">
        <v>33</v>
      </c>
      <c r="E147" s="87">
        <v>0</v>
      </c>
      <c r="F147" s="10" t="str">
        <f t="shared" si="5"/>
        <v>UX2</v>
      </c>
    </row>
    <row r="148" spans="1:16" x14ac:dyDescent="0.35">
      <c r="B148" s="87" t="s">
        <v>43</v>
      </c>
      <c r="C148" s="8" t="str">
        <f t="shared" si="4"/>
        <v>UY2</v>
      </c>
      <c r="D148" s="9"/>
      <c r="E148" s="87">
        <v>0</v>
      </c>
      <c r="F148" s="10" t="str">
        <f t="shared" si="5"/>
        <v>UY2</v>
      </c>
    </row>
    <row r="149" spans="1:16" x14ac:dyDescent="0.35">
      <c r="B149" s="87" t="s">
        <v>44</v>
      </c>
      <c r="C149" s="8" t="str">
        <f t="shared" si="4"/>
        <v>UX3</v>
      </c>
      <c r="D149" s="9"/>
      <c r="E149" s="87" t="str">
        <f>B149</f>
        <v>D3X</v>
      </c>
      <c r="F149" s="10" t="str">
        <f t="shared" si="5"/>
        <v>UX3</v>
      </c>
    </row>
    <row r="150" spans="1:16" x14ac:dyDescent="0.35">
      <c r="B150" s="87" t="s">
        <v>45</v>
      </c>
      <c r="C150" s="8" t="str">
        <f t="shared" si="4"/>
        <v>UY3</v>
      </c>
      <c r="D150" s="9"/>
      <c r="E150" s="87" t="str">
        <f>B150</f>
        <v>D3Y</v>
      </c>
      <c r="F150" s="10" t="str">
        <f t="shared" si="5"/>
        <v>UY3</v>
      </c>
    </row>
    <row r="151" spans="1:16" x14ac:dyDescent="0.35">
      <c r="B151" s="87" t="s">
        <v>46</v>
      </c>
      <c r="C151" s="8" t="str">
        <f t="shared" si="4"/>
        <v>UX4</v>
      </c>
      <c r="E151" s="87" t="str">
        <f>B151</f>
        <v>D4X</v>
      </c>
      <c r="F151" s="10" t="str">
        <f t="shared" si="5"/>
        <v>UX4</v>
      </c>
    </row>
    <row r="152" spans="1:16" x14ac:dyDescent="0.35">
      <c r="B152" s="87" t="s">
        <v>47</v>
      </c>
      <c r="C152" s="8" t="str">
        <f t="shared" si="4"/>
        <v>UY4</v>
      </c>
      <c r="E152" s="87" t="str">
        <f>B152</f>
        <v>D4Y</v>
      </c>
      <c r="F152" s="10" t="str">
        <f t="shared" si="5"/>
        <v>UY4</v>
      </c>
    </row>
    <row r="154" spans="1:16" x14ac:dyDescent="0.35">
      <c r="A154" s="34" t="s">
        <v>86</v>
      </c>
    </row>
    <row r="156" spans="1:16" x14ac:dyDescent="0.35">
      <c r="B156" s="10">
        <f t="shared" ref="B156:B163" si="6">E134</f>
        <v>0</v>
      </c>
      <c r="C156" s="10"/>
      <c r="D156" s="98">
        <f t="shared" ref="D156:K163" si="7">B122</f>
        <v>4483.0768633181933</v>
      </c>
      <c r="E156" s="100">
        <f t="shared" si="7"/>
        <v>567.01685871224231</v>
      </c>
      <c r="F156" s="100">
        <f t="shared" si="7"/>
        <v>-4269.0748412273115</v>
      </c>
      <c r="G156" s="100">
        <f t="shared" si="7"/>
        <v>-1423.0249470757703</v>
      </c>
      <c r="H156" s="98">
        <f t="shared" si="7"/>
        <v>0</v>
      </c>
      <c r="I156" s="98">
        <f t="shared" si="7"/>
        <v>0</v>
      </c>
      <c r="J156" s="98">
        <f t="shared" si="7"/>
        <v>-214.00202209088201</v>
      </c>
      <c r="K156" s="98">
        <f t="shared" si="7"/>
        <v>856.00808836352803</v>
      </c>
      <c r="L156" s="99" t="str">
        <f t="shared" ref="L156:L163" si="8">E145</f>
        <v>D1X</v>
      </c>
      <c r="P156" s="12"/>
    </row>
    <row r="157" spans="1:16" x14ac:dyDescent="0.35">
      <c r="B157" s="7" t="str">
        <f t="shared" si="6"/>
        <v>C1Y</v>
      </c>
      <c r="C157" s="7"/>
      <c r="D157" s="36">
        <f t="shared" si="7"/>
        <v>567.01685871224231</v>
      </c>
      <c r="E157" s="100">
        <f t="shared" si="7"/>
        <v>3898.3740024793688</v>
      </c>
      <c r="F157" s="100">
        <f t="shared" si="7"/>
        <v>-1423.0249470757703</v>
      </c>
      <c r="G157" s="100">
        <f t="shared" si="7"/>
        <v>-474.34164902525674</v>
      </c>
      <c r="H157" s="36">
        <f t="shared" si="7"/>
        <v>0</v>
      </c>
      <c r="I157" s="36">
        <f t="shared" si="7"/>
        <v>0</v>
      </c>
      <c r="J157" s="36">
        <f t="shared" si="7"/>
        <v>856.00808836352803</v>
      </c>
      <c r="K157" s="36">
        <f t="shared" si="7"/>
        <v>-3424.0323534541121</v>
      </c>
      <c r="L157" s="89">
        <f t="shared" si="8"/>
        <v>0</v>
      </c>
      <c r="P157" s="12"/>
    </row>
    <row r="158" spans="1:16" x14ac:dyDescent="0.35">
      <c r="B158" s="7" t="str">
        <f t="shared" si="6"/>
        <v>C2X</v>
      </c>
      <c r="C158" s="7"/>
      <c r="D158" s="36">
        <f t="shared" si="7"/>
        <v>-4269.0748412273115</v>
      </c>
      <c r="E158" s="100">
        <f t="shared" si="7"/>
        <v>-1423.0249470757703</v>
      </c>
      <c r="F158" s="100">
        <f t="shared" si="7"/>
        <v>6663.4164902525681</v>
      </c>
      <c r="G158" s="100">
        <f t="shared" si="7"/>
        <v>1406.0498941515407</v>
      </c>
      <c r="H158" s="36">
        <f t="shared" si="7"/>
        <v>-474.34164902525674</v>
      </c>
      <c r="I158" s="36">
        <f t="shared" si="7"/>
        <v>-1423.0249470757703</v>
      </c>
      <c r="J158" s="36">
        <f t="shared" si="7"/>
        <v>-1920.0000000000005</v>
      </c>
      <c r="K158" s="36">
        <f t="shared" si="7"/>
        <v>1440</v>
      </c>
      <c r="L158" s="89">
        <f t="shared" si="8"/>
        <v>0</v>
      </c>
      <c r="P158" s="12"/>
    </row>
    <row r="159" spans="1:16" x14ac:dyDescent="0.35">
      <c r="B159" s="7" t="str">
        <f t="shared" si="6"/>
        <v>C2Y</v>
      </c>
      <c r="C159" s="7" t="s">
        <v>33</v>
      </c>
      <c r="D159" s="36">
        <f t="shared" si="7"/>
        <v>-1423.0249470757703</v>
      </c>
      <c r="E159" s="100">
        <f t="shared" si="7"/>
        <v>-474.34164902525674</v>
      </c>
      <c r="F159" s="100">
        <f t="shared" si="7"/>
        <v>1406.0498941515407</v>
      </c>
      <c r="G159" s="100">
        <f t="shared" si="7"/>
        <v>5823.4164902525681</v>
      </c>
      <c r="H159" s="36">
        <f t="shared" si="7"/>
        <v>-1423.0249470757703</v>
      </c>
      <c r="I159" s="36">
        <f t="shared" si="7"/>
        <v>-4269.0748412273115</v>
      </c>
      <c r="J159" s="36">
        <f t="shared" si="7"/>
        <v>1440</v>
      </c>
      <c r="K159" s="36">
        <f t="shared" si="7"/>
        <v>-1080</v>
      </c>
      <c r="L159" s="89">
        <f t="shared" si="8"/>
        <v>0</v>
      </c>
    </row>
    <row r="160" spans="1:16" x14ac:dyDescent="0.35">
      <c r="B160" s="10">
        <f t="shared" si="6"/>
        <v>1000</v>
      </c>
      <c r="C160" s="10"/>
      <c r="D160" s="98">
        <f t="shared" si="7"/>
        <v>0</v>
      </c>
      <c r="E160" s="100">
        <f t="shared" si="7"/>
        <v>0</v>
      </c>
      <c r="F160" s="100">
        <f t="shared" si="7"/>
        <v>-474.34164902525674</v>
      </c>
      <c r="G160" s="100">
        <f t="shared" si="7"/>
        <v>-1423.0249470757703</v>
      </c>
      <c r="H160" s="98">
        <f t="shared" si="7"/>
        <v>3474.3416490252566</v>
      </c>
      <c r="I160" s="98">
        <f t="shared" si="7"/>
        <v>1423.0249470757703</v>
      </c>
      <c r="J160" s="98">
        <f t="shared" si="7"/>
        <v>-3000</v>
      </c>
      <c r="K160" s="98">
        <f t="shared" si="7"/>
        <v>0</v>
      </c>
      <c r="L160" s="99" t="str">
        <f t="shared" si="8"/>
        <v>D3X</v>
      </c>
    </row>
    <row r="161" spans="1:16" x14ac:dyDescent="0.35">
      <c r="B161" s="10">
        <f t="shared" si="6"/>
        <v>-2000</v>
      </c>
      <c r="C161" s="10"/>
      <c r="D161" s="98">
        <f t="shared" si="7"/>
        <v>0</v>
      </c>
      <c r="E161" s="100">
        <f t="shared" si="7"/>
        <v>0</v>
      </c>
      <c r="F161" s="100">
        <f t="shared" si="7"/>
        <v>-1423.0249470757703</v>
      </c>
      <c r="G161" s="100">
        <f t="shared" si="7"/>
        <v>-4269.0748412273115</v>
      </c>
      <c r="H161" s="98">
        <f t="shared" si="7"/>
        <v>1423.0249470757703</v>
      </c>
      <c r="I161" s="98">
        <f t="shared" si="7"/>
        <v>4269.0748412273115</v>
      </c>
      <c r="J161" s="98">
        <f t="shared" si="7"/>
        <v>0</v>
      </c>
      <c r="K161" s="98">
        <f t="shared" si="7"/>
        <v>0</v>
      </c>
      <c r="L161" s="99" t="str">
        <f t="shared" si="8"/>
        <v>D3Y</v>
      </c>
    </row>
    <row r="162" spans="1:16" x14ac:dyDescent="0.35">
      <c r="B162" s="10">
        <f t="shared" si="6"/>
        <v>2000</v>
      </c>
      <c r="C162" s="3"/>
      <c r="D162" s="98">
        <f t="shared" si="7"/>
        <v>-214.00202209088201</v>
      </c>
      <c r="E162" s="100">
        <f t="shared" si="7"/>
        <v>856.00808836352803</v>
      </c>
      <c r="F162" s="100">
        <f t="shared" si="7"/>
        <v>-1920.0000000000005</v>
      </c>
      <c r="G162" s="100">
        <f t="shared" si="7"/>
        <v>1440</v>
      </c>
      <c r="H162" s="98">
        <f t="shared" si="7"/>
        <v>-3000</v>
      </c>
      <c r="I162" s="98">
        <f t="shared" si="7"/>
        <v>0</v>
      </c>
      <c r="J162" s="98">
        <f t="shared" si="7"/>
        <v>5134.0020220908827</v>
      </c>
      <c r="K162" s="98">
        <f t="shared" si="7"/>
        <v>-2296.0080883635283</v>
      </c>
      <c r="L162" s="99" t="str">
        <f t="shared" si="8"/>
        <v>D4X</v>
      </c>
    </row>
    <row r="163" spans="1:16" x14ac:dyDescent="0.35">
      <c r="B163" s="10">
        <f t="shared" si="6"/>
        <v>-1000</v>
      </c>
      <c r="C163" s="3"/>
      <c r="D163" s="98">
        <f t="shared" si="7"/>
        <v>856.00808836352803</v>
      </c>
      <c r="E163" s="100">
        <f t="shared" si="7"/>
        <v>-3424.0323534541121</v>
      </c>
      <c r="F163" s="100">
        <f t="shared" si="7"/>
        <v>1440</v>
      </c>
      <c r="G163" s="100">
        <f t="shared" si="7"/>
        <v>-1080</v>
      </c>
      <c r="H163" s="98">
        <f t="shared" si="7"/>
        <v>0</v>
      </c>
      <c r="I163" s="98">
        <f t="shared" si="7"/>
        <v>0</v>
      </c>
      <c r="J163" s="98">
        <f t="shared" si="7"/>
        <v>-2296.0080883635283</v>
      </c>
      <c r="K163" s="98">
        <f t="shared" si="7"/>
        <v>4504.0323534541121</v>
      </c>
      <c r="L163" s="99" t="str">
        <f t="shared" si="8"/>
        <v>D4Y</v>
      </c>
    </row>
    <row r="166" spans="1:16" x14ac:dyDescent="0.35">
      <c r="A166" s="110" t="s">
        <v>49</v>
      </c>
      <c r="B166" s="110"/>
      <c r="C166" s="110"/>
      <c r="D166" s="110"/>
      <c r="E166" s="110"/>
      <c r="F166" s="110"/>
      <c r="G166" s="110"/>
    </row>
    <row r="168" spans="1:16" x14ac:dyDescent="0.35">
      <c r="B168" s="27">
        <v>0</v>
      </c>
      <c r="D168" s="26">
        <f>+D156</f>
        <v>4483.0768633181933</v>
      </c>
      <c r="E168" s="26">
        <f>+H156</f>
        <v>0</v>
      </c>
      <c r="F168" s="26">
        <f>+I156</f>
        <v>0</v>
      </c>
      <c r="G168" s="26">
        <f>+J156</f>
        <v>-214.00202209088201</v>
      </c>
      <c r="H168" s="26">
        <f>+K156</f>
        <v>856.00808836352803</v>
      </c>
      <c r="J168" s="38" t="str">
        <f>+L156</f>
        <v>D1X</v>
      </c>
    </row>
    <row r="169" spans="1:16" x14ac:dyDescent="0.35">
      <c r="B169" s="27">
        <f>B160</f>
        <v>1000</v>
      </c>
      <c r="D169" s="26">
        <f>+D160</f>
        <v>0</v>
      </c>
      <c r="E169" s="26">
        <f t="shared" ref="E169:H172" si="9">+H160</f>
        <v>3474.3416490252566</v>
      </c>
      <c r="F169" s="26">
        <f t="shared" si="9"/>
        <v>1423.0249470757703</v>
      </c>
      <c r="G169" s="26">
        <f t="shared" si="9"/>
        <v>-3000</v>
      </c>
      <c r="H169" s="26">
        <f t="shared" si="9"/>
        <v>0</v>
      </c>
      <c r="J169" s="38" t="str">
        <f>L160</f>
        <v>D3X</v>
      </c>
    </row>
    <row r="170" spans="1:16" x14ac:dyDescent="0.35">
      <c r="B170" s="27">
        <f>B161</f>
        <v>-2000</v>
      </c>
      <c r="C170" t="s">
        <v>33</v>
      </c>
      <c r="D170" s="26">
        <f>+D161</f>
        <v>0</v>
      </c>
      <c r="E170" s="26">
        <f t="shared" si="9"/>
        <v>1423.0249470757703</v>
      </c>
      <c r="F170" s="26">
        <f t="shared" si="9"/>
        <v>4269.0748412273115</v>
      </c>
      <c r="G170" s="26">
        <f t="shared" si="9"/>
        <v>0</v>
      </c>
      <c r="H170" s="26">
        <f t="shared" si="9"/>
        <v>0</v>
      </c>
      <c r="I170" t="s">
        <v>50</v>
      </c>
      <c r="J170" s="38" t="str">
        <f>L161</f>
        <v>D3Y</v>
      </c>
    </row>
    <row r="171" spans="1:16" x14ac:dyDescent="0.35">
      <c r="B171" s="27">
        <f>B162</f>
        <v>2000</v>
      </c>
      <c r="D171" s="26">
        <f>+D162</f>
        <v>-214.00202209088201</v>
      </c>
      <c r="E171" s="26">
        <f t="shared" si="9"/>
        <v>-3000</v>
      </c>
      <c r="F171" s="26">
        <f t="shared" si="9"/>
        <v>0</v>
      </c>
      <c r="G171" s="26">
        <f t="shared" si="9"/>
        <v>5134.0020220908827</v>
      </c>
      <c r="H171" s="26">
        <f t="shared" si="9"/>
        <v>-2296.0080883635283</v>
      </c>
      <c r="J171" s="38" t="str">
        <f>L162</f>
        <v>D4X</v>
      </c>
    </row>
    <row r="172" spans="1:16" x14ac:dyDescent="0.35">
      <c r="B172" s="27">
        <f>B163</f>
        <v>-1000</v>
      </c>
      <c r="D172" s="26">
        <f>+D163</f>
        <v>856.00808836352803</v>
      </c>
      <c r="E172" s="26">
        <f t="shared" si="9"/>
        <v>0</v>
      </c>
      <c r="F172" s="26">
        <f t="shared" si="9"/>
        <v>0</v>
      </c>
      <c r="G172" s="26">
        <f t="shared" si="9"/>
        <v>-2296.0080883635283</v>
      </c>
      <c r="H172" s="26">
        <f t="shared" si="9"/>
        <v>4504.0323534541121</v>
      </c>
      <c r="J172" s="38" t="str">
        <f>L163</f>
        <v>D4Y</v>
      </c>
    </row>
    <row r="176" spans="1:16" x14ac:dyDescent="0.35">
      <c r="B176" s="38" t="str">
        <f>J168</f>
        <v>D1X</v>
      </c>
      <c r="D176" s="3">
        <f t="array" ref="D176:H180">MINVERSE(D168:H172)</f>
        <v>2.3424278964210221E-4</v>
      </c>
      <c r="E176" s="3">
        <v>-5.4056028378946679E-5</v>
      </c>
      <c r="F176" s="3">
        <v>1.8018676126315555E-5</v>
      </c>
      <c r="G176" s="3">
        <v>-5.4056028378946679E-5</v>
      </c>
      <c r="H176" s="3">
        <v>-7.2074704505262235E-5</v>
      </c>
      <c r="J176" s="27">
        <f>B168</f>
        <v>0</v>
      </c>
      <c r="L176" cm="1">
        <f t="array" ref="L176:P180">MINVERSE(D168:H172)</f>
        <v>2.3424278964210221E-4</v>
      </c>
      <c r="M176">
        <v>-5.4056028378946679E-5</v>
      </c>
      <c r="N176">
        <v>1.8018676126315555E-5</v>
      </c>
      <c r="O176">
        <v>-5.4056028378946679E-5</v>
      </c>
      <c r="P176">
        <v>-7.2074704505262235E-5</v>
      </c>
    </row>
    <row r="177" spans="1:16" x14ac:dyDescent="0.35">
      <c r="B177" s="38" t="str">
        <f>J169</f>
        <v>D3X</v>
      </c>
      <c r="D177" s="3">
        <v>-5.4056028378946673E-5</v>
      </c>
      <c r="E177" s="3">
        <v>1.3836125985487913E-3</v>
      </c>
      <c r="F177" s="3">
        <v>-4.612041995162637E-4</v>
      </c>
      <c r="G177" s="3">
        <v>1.0502792652154578E-3</v>
      </c>
      <c r="H177" s="3">
        <v>5.4567149891975605E-4</v>
      </c>
      <c r="J177" s="27">
        <f>B169</f>
        <v>1000</v>
      </c>
      <c r="L177">
        <v>-5.4056028378946673E-5</v>
      </c>
      <c r="M177">
        <v>1.3836125985487913E-3</v>
      </c>
      <c r="N177">
        <v>-4.612041995162637E-4</v>
      </c>
      <c r="O177">
        <v>1.0502792652154578E-3</v>
      </c>
      <c r="P177">
        <v>5.4567149891975605E-4</v>
      </c>
    </row>
    <row r="178" spans="1:16" x14ac:dyDescent="0.35">
      <c r="B178" s="38" t="str">
        <f>J170</f>
        <v>D3Y</v>
      </c>
      <c r="C178" t="s">
        <v>33</v>
      </c>
      <c r="D178" s="3">
        <v>1.8018676126315559E-5</v>
      </c>
      <c r="E178" s="3">
        <v>-4.612041995162637E-4</v>
      </c>
      <c r="F178" s="3">
        <v>3.8797752281419007E-4</v>
      </c>
      <c r="G178" s="3">
        <v>-3.5009308840515255E-4</v>
      </c>
      <c r="H178" s="3">
        <v>-1.8189049963991867E-4</v>
      </c>
      <c r="I178" t="s">
        <v>50</v>
      </c>
      <c r="J178" s="27">
        <f>B170</f>
        <v>-2000</v>
      </c>
      <c r="L178">
        <v>1.8018676126315559E-5</v>
      </c>
      <c r="M178">
        <v>-4.612041995162637E-4</v>
      </c>
      <c r="N178">
        <v>3.8797752281419007E-4</v>
      </c>
      <c r="O178">
        <v>-3.5009308840515255E-4</v>
      </c>
      <c r="P178">
        <v>-1.8189049963991867E-4</v>
      </c>
    </row>
    <row r="179" spans="1:16" x14ac:dyDescent="0.35">
      <c r="B179" s="38" t="str">
        <f>J171</f>
        <v>D4X</v>
      </c>
      <c r="D179" s="3">
        <v>-5.4056028378946679E-5</v>
      </c>
      <c r="E179" s="3">
        <v>1.0502792652154578E-3</v>
      </c>
      <c r="F179" s="3">
        <v>-3.5009308840515261E-4</v>
      </c>
      <c r="G179" s="3">
        <v>1.0502792652154578E-3</v>
      </c>
      <c r="H179" s="3">
        <v>5.4567149891975605E-4</v>
      </c>
      <c r="J179" s="27">
        <f>B171</f>
        <v>2000</v>
      </c>
      <c r="L179">
        <v>-5.4056028378946679E-5</v>
      </c>
      <c r="M179">
        <v>1.0502792652154578E-3</v>
      </c>
      <c r="N179">
        <v>-3.5009308840515261E-4</v>
      </c>
      <c r="O179">
        <v>1.0502792652154578E-3</v>
      </c>
      <c r="P179">
        <v>5.4567149891975605E-4</v>
      </c>
    </row>
    <row r="180" spans="1:16" x14ac:dyDescent="0.35">
      <c r="B180" s="38" t="str">
        <f>J172</f>
        <v>D4Y</v>
      </c>
      <c r="D180" s="3">
        <v>-7.2074704505262235E-5</v>
      </c>
      <c r="E180" s="3">
        <v>5.4567149891975595E-4</v>
      </c>
      <c r="F180" s="3">
        <v>-1.8189049963991864E-4</v>
      </c>
      <c r="G180" s="3">
        <v>5.4567149891975595E-4</v>
      </c>
      <c r="H180" s="3">
        <v>5.1388678488446099E-4</v>
      </c>
      <c r="J180" s="27">
        <f>B172</f>
        <v>-1000</v>
      </c>
      <c r="L180">
        <v>-7.2074704505262235E-5</v>
      </c>
      <c r="M180">
        <v>5.4567149891975595E-4</v>
      </c>
      <c r="N180">
        <v>-1.8189049963991864E-4</v>
      </c>
      <c r="O180">
        <v>5.4567149891975595E-4</v>
      </c>
      <c r="P180">
        <v>5.1388678488446099E-4</v>
      </c>
    </row>
    <row r="184" spans="1:16" x14ac:dyDescent="0.35">
      <c r="B184" s="90" t="str">
        <f>B176</f>
        <v>D1X</v>
      </c>
      <c r="D184" s="37">
        <f t="array" ref="D184:D188">MMULT(D176:H180,J176:J180)</f>
        <v>-0.12613073288420892</v>
      </c>
    </row>
    <row r="185" spans="1:16" x14ac:dyDescent="0.35">
      <c r="B185" s="90" t="str">
        <f>B177</f>
        <v>D3X</v>
      </c>
      <c r="D185" s="37">
        <v>3.8609080290924775</v>
      </c>
    </row>
    <row r="186" spans="1:16" x14ac:dyDescent="0.35">
      <c r="B186" s="90" t="str">
        <f>B178</f>
        <v>D3Y</v>
      </c>
      <c r="C186" t="s">
        <v>33</v>
      </c>
      <c r="D186" s="37">
        <v>-1.7554549223150302</v>
      </c>
    </row>
    <row r="187" spans="1:16" x14ac:dyDescent="0.35">
      <c r="B187" s="90" t="str">
        <f>B179</f>
        <v>D4X</v>
      </c>
      <c r="D187" s="37">
        <v>3.3053524735369222</v>
      </c>
    </row>
    <row r="188" spans="1:16" x14ac:dyDescent="0.35">
      <c r="B188" s="90" t="str">
        <f>B180</f>
        <v>D4Y</v>
      </c>
      <c r="D188" s="37">
        <v>1.486908711154644</v>
      </c>
    </row>
    <row r="192" spans="1:16" x14ac:dyDescent="0.35">
      <c r="A192" s="111" t="s">
        <v>95</v>
      </c>
      <c r="B192" s="111"/>
      <c r="C192" s="111"/>
      <c r="D192" s="111"/>
      <c r="E192" s="111"/>
      <c r="F192" s="111"/>
      <c r="G192" s="111"/>
    </row>
    <row r="194" spans="2:18" x14ac:dyDescent="0.35">
      <c r="B194" s="91" t="str">
        <f>B157</f>
        <v>C1Y</v>
      </c>
      <c r="D194" s="24">
        <f>+D157</f>
        <v>567.01685871224231</v>
      </c>
      <c r="E194" s="24">
        <f t="shared" ref="E194:H196" si="10">+H157</f>
        <v>0</v>
      </c>
      <c r="F194" s="24">
        <f t="shared" si="10"/>
        <v>0</v>
      </c>
      <c r="G194" s="24">
        <f t="shared" si="10"/>
        <v>856.00808836352803</v>
      </c>
      <c r="H194" s="24">
        <f t="shared" si="10"/>
        <v>-3424.0323534541121</v>
      </c>
      <c r="J194" s="26">
        <f>D184</f>
        <v>-0.12613073288420892</v>
      </c>
      <c r="L194" t="str">
        <f>B157</f>
        <v>C1Y</v>
      </c>
      <c r="N194" s="12">
        <f>D157</f>
        <v>567.01685871224231</v>
      </c>
      <c r="O194" s="12">
        <f>H157</f>
        <v>0</v>
      </c>
      <c r="P194" s="12">
        <f t="shared" ref="P194:R194" si="11">I157</f>
        <v>0</v>
      </c>
      <c r="Q194" s="12">
        <f t="shared" si="11"/>
        <v>856.00808836352803</v>
      </c>
      <c r="R194" s="12">
        <f t="shared" si="11"/>
        <v>-3424.0323534541121</v>
      </c>
    </row>
    <row r="195" spans="2:18" x14ac:dyDescent="0.35">
      <c r="B195" s="91" t="str">
        <f>B158</f>
        <v>C2X</v>
      </c>
      <c r="D195" s="24">
        <f>+D158</f>
        <v>-4269.0748412273115</v>
      </c>
      <c r="E195" s="24">
        <f t="shared" si="10"/>
        <v>-474.34164902525674</v>
      </c>
      <c r="F195" s="24">
        <f t="shared" si="10"/>
        <v>-1423.0249470757703</v>
      </c>
      <c r="G195" s="24">
        <f t="shared" si="10"/>
        <v>-1920.0000000000005</v>
      </c>
      <c r="H195" s="24">
        <f t="shared" si="10"/>
        <v>1440</v>
      </c>
      <c r="I195" t="s">
        <v>50</v>
      </c>
      <c r="J195" s="26">
        <f>D185</f>
        <v>3.8609080290924775</v>
      </c>
      <c r="L195" t="str">
        <f t="shared" ref="L195:L196" si="12">B158</f>
        <v>C2X</v>
      </c>
      <c r="N195" s="12">
        <f t="shared" ref="N195:N196" si="13">D158</f>
        <v>-4269.0748412273115</v>
      </c>
      <c r="O195" s="12">
        <f t="shared" ref="O195:O196" si="14">H158</f>
        <v>-474.34164902525674</v>
      </c>
      <c r="P195" s="12">
        <f t="shared" ref="P195:P196" si="15">I158</f>
        <v>-1423.0249470757703</v>
      </c>
      <c r="Q195" s="12">
        <f t="shared" ref="Q195:Q196" si="16">J158</f>
        <v>-1920.0000000000005</v>
      </c>
      <c r="R195" s="12">
        <f t="shared" ref="R195:R196" si="17">K158</f>
        <v>1440</v>
      </c>
    </row>
    <row r="196" spans="2:18" x14ac:dyDescent="0.35">
      <c r="B196" s="91" t="str">
        <f>B159</f>
        <v>C2Y</v>
      </c>
      <c r="D196" s="24">
        <f>+D159</f>
        <v>-1423.0249470757703</v>
      </c>
      <c r="E196" s="24">
        <f t="shared" si="10"/>
        <v>-1423.0249470757703</v>
      </c>
      <c r="F196" s="24">
        <f t="shared" si="10"/>
        <v>-4269.0748412273115</v>
      </c>
      <c r="G196" s="24">
        <f t="shared" si="10"/>
        <v>1440</v>
      </c>
      <c r="H196" s="24">
        <f t="shared" si="10"/>
        <v>-1080</v>
      </c>
      <c r="J196" s="26">
        <f>D186</f>
        <v>-1.7554549223150302</v>
      </c>
      <c r="L196" t="str">
        <f t="shared" si="12"/>
        <v>C2Y</v>
      </c>
      <c r="N196" s="12">
        <f t="shared" si="13"/>
        <v>-1423.0249470757703</v>
      </c>
      <c r="O196" s="12">
        <f t="shared" si="14"/>
        <v>-1423.0249470757703</v>
      </c>
      <c r="P196" s="12">
        <f t="shared" si="15"/>
        <v>-4269.0748412273115</v>
      </c>
      <c r="Q196" s="12">
        <f t="shared" si="16"/>
        <v>1440</v>
      </c>
      <c r="R196" s="12">
        <f t="shared" si="17"/>
        <v>-1080</v>
      </c>
    </row>
    <row r="197" spans="2:18" x14ac:dyDescent="0.35">
      <c r="J197" s="26">
        <f>D187</f>
        <v>3.3053524735369222</v>
      </c>
    </row>
    <row r="198" spans="2:18" x14ac:dyDescent="0.35">
      <c r="J198" s="26">
        <f>D188</f>
        <v>1.486908711154644</v>
      </c>
    </row>
    <row r="199" spans="2:18" x14ac:dyDescent="0.35">
      <c r="B199" s="11"/>
    </row>
    <row r="200" spans="2:18" x14ac:dyDescent="0.35">
      <c r="B200" s="11"/>
    </row>
    <row r="201" spans="2:18" x14ac:dyDescent="0.35">
      <c r="B201" s="91" t="str">
        <f>+B157</f>
        <v>C1Y</v>
      </c>
      <c r="D201" s="92">
        <f t="array" ref="D201:D203">MMULT(D194:H196,J194:J198)</f>
        <v>-2333.3333333333339</v>
      </c>
    </row>
    <row r="202" spans="2:18" x14ac:dyDescent="0.35">
      <c r="B202" s="91" t="str">
        <f>+B158</f>
        <v>C2X</v>
      </c>
      <c r="D202" s="92">
        <v>-2999.9999999999982</v>
      </c>
    </row>
    <row r="203" spans="2:18" x14ac:dyDescent="0.35">
      <c r="B203" s="91" t="str">
        <f>+B159</f>
        <v>C2Y</v>
      </c>
      <c r="D203" s="92">
        <v>5333.3333333333321</v>
      </c>
    </row>
    <row r="204" spans="2:18" x14ac:dyDescent="0.35">
      <c r="B204" s="11"/>
    </row>
    <row r="206" spans="2:18" x14ac:dyDescent="0.35">
      <c r="B206" t="s">
        <v>52</v>
      </c>
      <c r="F206" t="s">
        <v>53</v>
      </c>
    </row>
    <row r="208" spans="2:18" x14ac:dyDescent="0.35">
      <c r="F208" s="11"/>
    </row>
    <row r="209" spans="2:12" x14ac:dyDescent="0.35">
      <c r="B209" s="27" t="str">
        <f t="shared" ref="B209:B216" si="18">C145</f>
        <v>UX1</v>
      </c>
      <c r="C209" s="37">
        <f>+D184</f>
        <v>-0.12613073288420892</v>
      </c>
      <c r="F209" s="91" t="str">
        <f>B201</f>
        <v>C1Y</v>
      </c>
      <c r="H209" s="37">
        <f>D201</f>
        <v>-2333.3333333333339</v>
      </c>
    </row>
    <row r="210" spans="2:12" x14ac:dyDescent="0.35">
      <c r="B210" s="27" t="str">
        <f t="shared" si="18"/>
        <v>UY1</v>
      </c>
      <c r="C210" s="37">
        <v>0</v>
      </c>
      <c r="F210" s="91" t="str">
        <f>B202</f>
        <v>C2X</v>
      </c>
      <c r="G210" t="s">
        <v>33</v>
      </c>
      <c r="H210" s="37">
        <f>D202</f>
        <v>-2999.9999999999982</v>
      </c>
    </row>
    <row r="211" spans="2:12" x14ac:dyDescent="0.35">
      <c r="B211" s="27" t="str">
        <f t="shared" si="18"/>
        <v>UX2</v>
      </c>
      <c r="C211" s="37">
        <v>0</v>
      </c>
      <c r="F211" s="91" t="str">
        <f>B203</f>
        <v>C2Y</v>
      </c>
      <c r="H211" s="37">
        <f>D203</f>
        <v>5333.3333333333321</v>
      </c>
    </row>
    <row r="212" spans="2:12" x14ac:dyDescent="0.35">
      <c r="B212" s="27" t="str">
        <f t="shared" si="18"/>
        <v>UY2</v>
      </c>
      <c r="C212" s="37">
        <v>0</v>
      </c>
    </row>
    <row r="213" spans="2:12" x14ac:dyDescent="0.35">
      <c r="B213" s="27" t="str">
        <f t="shared" si="18"/>
        <v>UX3</v>
      </c>
      <c r="C213" s="37">
        <f>+D185</f>
        <v>3.8609080290924775</v>
      </c>
    </row>
    <row r="214" spans="2:12" x14ac:dyDescent="0.35">
      <c r="B214" s="27" t="str">
        <f t="shared" si="18"/>
        <v>UY3</v>
      </c>
      <c r="C214" s="37">
        <f>+D186</f>
        <v>-1.7554549223150302</v>
      </c>
    </row>
    <row r="215" spans="2:12" x14ac:dyDescent="0.35">
      <c r="B215" s="27" t="str">
        <f t="shared" si="18"/>
        <v>UX4</v>
      </c>
      <c r="C215" s="37">
        <f>+D187</f>
        <v>3.3053524735369222</v>
      </c>
    </row>
    <row r="216" spans="2:12" x14ac:dyDescent="0.35">
      <c r="B216" s="27" t="str">
        <f t="shared" si="18"/>
        <v>UY4</v>
      </c>
      <c r="C216" s="37">
        <f>+D188</f>
        <v>1.486908711154644</v>
      </c>
    </row>
    <row r="223" spans="2:12" x14ac:dyDescent="0.35">
      <c r="B223" t="s">
        <v>54</v>
      </c>
      <c r="L223" s="39"/>
    </row>
    <row r="224" spans="2:12" x14ac:dyDescent="0.35">
      <c r="K224" s="3">
        <f>C209</f>
        <v>-0.12613073288420892</v>
      </c>
      <c r="L224" s="27" t="str">
        <f>B209</f>
        <v>UX1</v>
      </c>
    </row>
    <row r="225" spans="3:12" x14ac:dyDescent="0.35">
      <c r="F225" t="s">
        <v>109</v>
      </c>
      <c r="G225" t="s">
        <v>110</v>
      </c>
      <c r="H225" t="s">
        <v>111</v>
      </c>
      <c r="I225" t="s">
        <v>112</v>
      </c>
      <c r="K225" s="3">
        <f>C210</f>
        <v>0</v>
      </c>
      <c r="L225" s="27" t="str">
        <f>B210</f>
        <v>UY1</v>
      </c>
    </row>
    <row r="226" spans="3:12" x14ac:dyDescent="0.35">
      <c r="C226" t="s">
        <v>55</v>
      </c>
      <c r="D226" s="12">
        <f>N9</f>
        <v>4743.416490252569</v>
      </c>
      <c r="F226" s="4">
        <f>J9</f>
        <v>0.31622776601683789</v>
      </c>
      <c r="G226" s="4">
        <f>K9</f>
        <v>0.94868329805051377</v>
      </c>
      <c r="H226" s="4">
        <f>-F226</f>
        <v>-0.31622776601683789</v>
      </c>
      <c r="I226" s="4">
        <f>-G226</f>
        <v>-0.94868329805051377</v>
      </c>
      <c r="K226" s="3">
        <f>C211</f>
        <v>0</v>
      </c>
      <c r="L226" s="27" t="str">
        <f>B211</f>
        <v>UX2</v>
      </c>
    </row>
    <row r="227" spans="3:12" x14ac:dyDescent="0.35">
      <c r="K227" s="3">
        <f>C212</f>
        <v>0</v>
      </c>
      <c r="L227" s="27" t="str">
        <f>B212</f>
        <v>UY2</v>
      </c>
    </row>
    <row r="228" spans="3:12" x14ac:dyDescent="0.35">
      <c r="L228" s="39"/>
    </row>
    <row r="229" spans="3:12" x14ac:dyDescent="0.35">
      <c r="C229" t="s">
        <v>55</v>
      </c>
      <c r="D229">
        <f>MMULT(F226:I226,K224:K227)</f>
        <v>-3.9886039886039899E-2</v>
      </c>
      <c r="E229" t="s">
        <v>56</v>
      </c>
      <c r="F229" t="s">
        <v>50</v>
      </c>
      <c r="G229" s="12">
        <f>D226</f>
        <v>4743.416490252569</v>
      </c>
      <c r="J229" cm="1">
        <f t="array" ref="J229">D226*MMULT(F226:I226,K224:K227)</f>
        <v>-189.19609932631334</v>
      </c>
      <c r="L229" s="39"/>
    </row>
    <row r="230" spans="3:12" x14ac:dyDescent="0.35">
      <c r="L230" s="39"/>
    </row>
    <row r="231" spans="3:12" x14ac:dyDescent="0.35">
      <c r="C231" s="14" t="s">
        <v>55</v>
      </c>
      <c r="D231" s="14">
        <f>D229*D226</f>
        <v>-189.19609932631334</v>
      </c>
      <c r="E231" s="14" t="s">
        <v>56</v>
      </c>
      <c r="L231" s="39"/>
    </row>
    <row r="232" spans="3:12" x14ac:dyDescent="0.35">
      <c r="L232" s="39"/>
    </row>
    <row r="233" spans="3:12" x14ac:dyDescent="0.35">
      <c r="L233" s="93"/>
    </row>
    <row r="234" spans="3:12" x14ac:dyDescent="0.35">
      <c r="K234" s="3">
        <f>C211</f>
        <v>0</v>
      </c>
      <c r="L234" s="91" t="str">
        <f>B211</f>
        <v>UX2</v>
      </c>
    </row>
    <row r="235" spans="3:12" x14ac:dyDescent="0.35">
      <c r="K235" s="3">
        <f>C212</f>
        <v>0</v>
      </c>
      <c r="L235" s="91" t="str">
        <f>B212</f>
        <v>UY2</v>
      </c>
    </row>
    <row r="236" spans="3:12" x14ac:dyDescent="0.35">
      <c r="C236" t="s">
        <v>57</v>
      </c>
      <c r="D236" s="12">
        <f>N10</f>
        <v>3000</v>
      </c>
      <c r="F236" s="4">
        <f>J10</f>
        <v>-1</v>
      </c>
      <c r="G236" s="4">
        <f>K10</f>
        <v>0</v>
      </c>
      <c r="H236" s="4">
        <f>-F236</f>
        <v>1</v>
      </c>
      <c r="I236" s="4">
        <f>-G236</f>
        <v>0</v>
      </c>
      <c r="K236" s="3">
        <f>C213</f>
        <v>3.8609080290924775</v>
      </c>
      <c r="L236" s="91" t="str">
        <f>B213</f>
        <v>UX3</v>
      </c>
    </row>
    <row r="237" spans="3:12" x14ac:dyDescent="0.35">
      <c r="K237" s="3">
        <f>C214</f>
        <v>-1.7554549223150302</v>
      </c>
      <c r="L237" s="91" t="str">
        <f>B214</f>
        <v>UY3</v>
      </c>
    </row>
    <row r="238" spans="3:12" x14ac:dyDescent="0.35">
      <c r="L238" s="93"/>
    </row>
    <row r="239" spans="3:12" x14ac:dyDescent="0.35">
      <c r="C239" t="s">
        <v>57</v>
      </c>
      <c r="D239">
        <f>MMULT(F236:I236,K234:K237)</f>
        <v>3.8609080290924775</v>
      </c>
      <c r="E239" t="s">
        <v>56</v>
      </c>
      <c r="F239" t="s">
        <v>50</v>
      </c>
      <c r="G239" s="12">
        <f>D236</f>
        <v>3000</v>
      </c>
      <c r="L239" s="93"/>
    </row>
    <row r="240" spans="3:12" x14ac:dyDescent="0.35">
      <c r="L240" s="93"/>
    </row>
    <row r="241" spans="3:13" x14ac:dyDescent="0.35">
      <c r="C241" s="14" t="s">
        <v>57</v>
      </c>
      <c r="D241" s="14">
        <f>D239*D236</f>
        <v>11582.724087277433</v>
      </c>
      <c r="E241" s="14" t="s">
        <v>56</v>
      </c>
      <c r="L241" s="39"/>
    </row>
    <row r="242" spans="3:13" x14ac:dyDescent="0.35">
      <c r="L242" s="39"/>
    </row>
    <row r="243" spans="3:13" x14ac:dyDescent="0.35">
      <c r="L243" s="93"/>
      <c r="M243" s="11"/>
    </row>
    <row r="244" spans="3:13" x14ac:dyDescent="0.35">
      <c r="K244" s="3">
        <f>C213</f>
        <v>3.8609080290924775</v>
      </c>
      <c r="L244" s="91" t="str">
        <f>B213</f>
        <v>UX3</v>
      </c>
      <c r="M244" s="11"/>
    </row>
    <row r="245" spans="3:13" x14ac:dyDescent="0.35">
      <c r="K245" s="3">
        <f>C214</f>
        <v>-1.7554549223150302</v>
      </c>
      <c r="L245" s="91" t="str">
        <f>B214</f>
        <v>UY3</v>
      </c>
      <c r="M245" s="11"/>
    </row>
    <row r="246" spans="3:13" x14ac:dyDescent="0.35">
      <c r="C246" t="s">
        <v>58</v>
      </c>
      <c r="D246" s="12">
        <f>N11</f>
        <v>3638.0343755449944</v>
      </c>
      <c r="F246" s="4">
        <f>J11</f>
        <v>0.24253562503633297</v>
      </c>
      <c r="G246" s="4">
        <f>K11</f>
        <v>-0.97014250014533188</v>
      </c>
      <c r="H246" s="4">
        <f>-F246</f>
        <v>-0.24253562503633297</v>
      </c>
      <c r="I246" s="4">
        <f>-G246</f>
        <v>0.97014250014533188</v>
      </c>
      <c r="K246" s="3">
        <f>C215</f>
        <v>3.3053524735369222</v>
      </c>
      <c r="L246" s="91" t="str">
        <f>B215</f>
        <v>UX4</v>
      </c>
      <c r="M246" s="11"/>
    </row>
    <row r="247" spans="3:13" x14ac:dyDescent="0.35">
      <c r="K247" s="3">
        <f>C216</f>
        <v>1.486908711154644</v>
      </c>
      <c r="L247" s="91" t="str">
        <f>B216</f>
        <v>UY4</v>
      </c>
      <c r="M247" s="11"/>
    </row>
    <row r="248" spans="3:13" x14ac:dyDescent="0.35">
      <c r="L248" s="93"/>
      <c r="M248" s="11"/>
    </row>
    <row r="249" spans="3:13" x14ac:dyDescent="0.35">
      <c r="C249" t="s">
        <v>58</v>
      </c>
      <c r="D249">
        <f>MMULT(F246:I246,K244:K247)</f>
        <v>3.2802967756636461</v>
      </c>
      <c r="E249" t="s">
        <v>56</v>
      </c>
      <c r="F249" t="s">
        <v>50</v>
      </c>
      <c r="G249" s="12">
        <f>D246</f>
        <v>3638.0343755449944</v>
      </c>
      <c r="L249" s="93"/>
      <c r="M249" s="11"/>
    </row>
    <row r="250" spans="3:13" x14ac:dyDescent="0.35">
      <c r="L250" s="39"/>
    </row>
    <row r="251" spans="3:13" x14ac:dyDescent="0.35">
      <c r="C251" s="14" t="s">
        <v>58</v>
      </c>
      <c r="D251" s="14">
        <f>D249*D246</f>
        <v>11933.832431853751</v>
      </c>
      <c r="E251" s="14"/>
      <c r="L251" s="39"/>
    </row>
    <row r="252" spans="3:13" x14ac:dyDescent="0.35">
      <c r="L252" s="93"/>
    </row>
    <row r="253" spans="3:13" x14ac:dyDescent="0.35">
      <c r="K253" s="3">
        <f>C215</f>
        <v>3.3053524735369222</v>
      </c>
      <c r="L253" s="91" t="str">
        <f>B215</f>
        <v>UX4</v>
      </c>
    </row>
    <row r="254" spans="3:13" x14ac:dyDescent="0.35">
      <c r="K254" s="3">
        <f>C216</f>
        <v>1.486908711154644</v>
      </c>
      <c r="L254" s="91" t="str">
        <f>B216</f>
        <v>UY4</v>
      </c>
    </row>
    <row r="255" spans="3:13" x14ac:dyDescent="0.35">
      <c r="C255" t="s">
        <v>59</v>
      </c>
      <c r="D255" s="12">
        <f>N12</f>
        <v>3000</v>
      </c>
      <c r="F255" s="4">
        <f>J12</f>
        <v>0.8</v>
      </c>
      <c r="G255" s="4">
        <f>K12</f>
        <v>-0.6</v>
      </c>
      <c r="H255" s="4">
        <f>-F255</f>
        <v>-0.8</v>
      </c>
      <c r="I255" s="4">
        <f>-G255</f>
        <v>0.6</v>
      </c>
      <c r="K255" s="3">
        <f>C209</f>
        <v>-0.12613073288420892</v>
      </c>
      <c r="L255" s="91" t="str">
        <f>B209</f>
        <v>UX1</v>
      </c>
    </row>
    <row r="256" spans="3:13" x14ac:dyDescent="0.35">
      <c r="K256" s="3">
        <f>C210</f>
        <v>0</v>
      </c>
      <c r="L256" s="91" t="str">
        <f>B210</f>
        <v>UY1</v>
      </c>
    </row>
    <row r="257" spans="3:21" x14ac:dyDescent="0.35">
      <c r="L257" s="93"/>
    </row>
    <row r="258" spans="3:21" x14ac:dyDescent="0.35">
      <c r="C258" t="s">
        <v>59</v>
      </c>
      <c r="D258">
        <f>MMULT(F255:I255,K253:K256)</f>
        <v>1.8530413384441184</v>
      </c>
      <c r="E258" t="s">
        <v>56</v>
      </c>
      <c r="F258" s="12" t="s">
        <v>50</v>
      </c>
      <c r="G258" s="12">
        <f>D255</f>
        <v>3000</v>
      </c>
      <c r="L258" s="39"/>
    </row>
    <row r="259" spans="3:21" x14ac:dyDescent="0.35">
      <c r="L259" s="39"/>
    </row>
    <row r="260" spans="3:21" x14ac:dyDescent="0.35">
      <c r="L260" s="39"/>
    </row>
    <row r="261" spans="3:21" x14ac:dyDescent="0.35">
      <c r="C261" s="14" t="s">
        <v>59</v>
      </c>
      <c r="D261" s="14">
        <f>D258*D255</f>
        <v>5559.1240153323552</v>
      </c>
      <c r="E261" s="14" t="s">
        <v>56</v>
      </c>
      <c r="L261" s="39"/>
    </row>
    <row r="262" spans="3:21" x14ac:dyDescent="0.35">
      <c r="L262" s="93"/>
      <c r="M262" s="11"/>
      <c r="N262" s="11"/>
    </row>
    <row r="263" spans="3:21" x14ac:dyDescent="0.35">
      <c r="L263" s="93"/>
      <c r="M263" s="11"/>
      <c r="N263" s="11"/>
      <c r="U263" t="s">
        <v>60</v>
      </c>
    </row>
    <row r="264" spans="3:21" x14ac:dyDescent="0.35">
      <c r="K264" s="3">
        <f>C211</f>
        <v>0</v>
      </c>
      <c r="L264" s="91" t="str">
        <f>B211</f>
        <v>UX2</v>
      </c>
      <c r="M264" s="11"/>
      <c r="N264" s="11"/>
      <c r="U264" t="s">
        <v>61</v>
      </c>
    </row>
    <row r="265" spans="3:21" x14ac:dyDescent="0.35">
      <c r="K265" s="3">
        <f>C212</f>
        <v>0</v>
      </c>
      <c r="L265" s="91" t="str">
        <f>B212</f>
        <v>UY2</v>
      </c>
      <c r="N265" s="11"/>
      <c r="U265" t="s">
        <v>62</v>
      </c>
    </row>
    <row r="266" spans="3:21" x14ac:dyDescent="0.35">
      <c r="C266" t="s">
        <v>63</v>
      </c>
      <c r="D266" s="12">
        <f>N13</f>
        <v>4743.416490252569</v>
      </c>
      <c r="F266" s="4">
        <f>J13</f>
        <v>0.94868329805051377</v>
      </c>
      <c r="G266" s="4">
        <f>K13</f>
        <v>0.31622776601683789</v>
      </c>
      <c r="H266" s="4">
        <f>-F266</f>
        <v>-0.94868329805051377</v>
      </c>
      <c r="I266" s="4">
        <f>-G266</f>
        <v>-0.31622776601683789</v>
      </c>
      <c r="K266" s="3">
        <f>C215</f>
        <v>3.3053524735369222</v>
      </c>
      <c r="L266" s="91" t="str">
        <f>B215</f>
        <v>UX4</v>
      </c>
      <c r="M266" s="11"/>
      <c r="N266" s="11"/>
      <c r="U266" t="s">
        <v>64</v>
      </c>
    </row>
    <row r="267" spans="3:21" x14ac:dyDescent="0.35">
      <c r="K267" s="3">
        <f>C216</f>
        <v>1.486908711154644</v>
      </c>
      <c r="L267" s="91" t="str">
        <f>B216</f>
        <v>UY4</v>
      </c>
      <c r="M267" s="11"/>
      <c r="N267" s="11"/>
      <c r="U267" t="s">
        <v>65</v>
      </c>
    </row>
    <row r="268" spans="3:21" x14ac:dyDescent="0.35">
      <c r="L268" s="93"/>
      <c r="M268" s="11"/>
      <c r="N268" s="11"/>
    </row>
    <row r="269" spans="3:21" x14ac:dyDescent="0.35">
      <c r="C269" t="s">
        <v>63</v>
      </c>
      <c r="D269">
        <f>MMULT(F266:I266,K264:K267)</f>
        <v>-3.6059345058138397</v>
      </c>
      <c r="E269" t="s">
        <v>56</v>
      </c>
      <c r="F269" t="s">
        <v>50</v>
      </c>
      <c r="G269" s="12">
        <f>D266</f>
        <v>4743.416490252569</v>
      </c>
      <c r="K269" s="11"/>
      <c r="L269" s="11"/>
      <c r="M269" s="11"/>
      <c r="N269" s="11"/>
    </row>
    <row r="271" spans="3:21" x14ac:dyDescent="0.35">
      <c r="C271" s="14" t="s">
        <v>63</v>
      </c>
      <c r="D271" s="14">
        <f>D269*D266</f>
        <v>-17104.449197648115</v>
      </c>
      <c r="E271" s="14" t="s">
        <v>56</v>
      </c>
    </row>
    <row r="277" spans="4:13" x14ac:dyDescent="0.35">
      <c r="D277" s="108" t="s">
        <v>66</v>
      </c>
      <c r="E277" s="108"/>
      <c r="F277" s="108"/>
      <c r="G277" s="108"/>
      <c r="H277" s="108"/>
      <c r="I277" s="108"/>
      <c r="J277" s="108"/>
      <c r="K277" s="108"/>
      <c r="L277" s="108"/>
      <c r="M277" s="108"/>
    </row>
    <row r="289" spans="6:12" x14ac:dyDescent="0.35">
      <c r="I289" s="17" t="s">
        <v>72</v>
      </c>
    </row>
    <row r="292" spans="6:12" x14ac:dyDescent="0.35">
      <c r="L292" s="17" t="s">
        <v>70</v>
      </c>
    </row>
    <row r="297" spans="6:12" x14ac:dyDescent="0.35">
      <c r="F297" s="17" t="s">
        <v>73</v>
      </c>
      <c r="I297" s="17" t="s">
        <v>74</v>
      </c>
    </row>
    <row r="301" spans="6:12" x14ac:dyDescent="0.35">
      <c r="I301" s="17" t="s">
        <v>71</v>
      </c>
    </row>
    <row r="303" spans="6:12" x14ac:dyDescent="0.35">
      <c r="G303" s="16" t="s">
        <v>67</v>
      </c>
      <c r="J303" s="14" t="s">
        <v>68</v>
      </c>
    </row>
    <row r="305" spans="11:11" x14ac:dyDescent="0.35">
      <c r="K305" s="14" t="s">
        <v>69</v>
      </c>
    </row>
  </sheetData>
  <mergeCells count="12">
    <mergeCell ref="D277:M277"/>
    <mergeCell ref="A120:G120"/>
    <mergeCell ref="A166:G166"/>
    <mergeCell ref="A192:G192"/>
    <mergeCell ref="C7:D7"/>
    <mergeCell ref="E7:F7"/>
    <mergeCell ref="G7:N7"/>
    <mergeCell ref="C17:D17"/>
    <mergeCell ref="E17:F17"/>
    <mergeCell ref="B17:B18"/>
    <mergeCell ref="A134:A135"/>
    <mergeCell ref="A136:A13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44E7-61EE-4663-B561-22A5DB392790}">
  <dimension ref="A4:U371"/>
  <sheetViews>
    <sheetView zoomScale="70" zoomScaleNormal="70" workbookViewId="0">
      <selection activeCell="M370" sqref="M370"/>
    </sheetView>
  </sheetViews>
  <sheetFormatPr baseColWidth="10" defaultRowHeight="14.5" x14ac:dyDescent="0.35"/>
  <sheetData>
    <row r="4" spans="2:6" x14ac:dyDescent="0.35">
      <c r="B4" s="35"/>
      <c r="E4" s="35"/>
    </row>
    <row r="6" spans="2:6" x14ac:dyDescent="0.35">
      <c r="C6" s="35"/>
    </row>
    <row r="7" spans="2:6" x14ac:dyDescent="0.35">
      <c r="B7" s="35"/>
      <c r="E7" s="35"/>
    </row>
    <row r="8" spans="2:6" x14ac:dyDescent="0.35">
      <c r="F8" s="35"/>
    </row>
    <row r="9" spans="2:6" x14ac:dyDescent="0.35">
      <c r="C9" s="86"/>
      <c r="E9" s="85"/>
    </row>
    <row r="10" spans="2:6" x14ac:dyDescent="0.35">
      <c r="F10" s="96">
        <v>800200</v>
      </c>
    </row>
    <row r="14" spans="2:6" x14ac:dyDescent="0.35">
      <c r="F14" s="35"/>
    </row>
    <row r="16" spans="2:6" x14ac:dyDescent="0.35">
      <c r="F16" s="35"/>
    </row>
    <row r="24" spans="2:5" x14ac:dyDescent="0.35">
      <c r="B24" s="94" t="s">
        <v>99</v>
      </c>
      <c r="E24" s="94" t="s">
        <v>98</v>
      </c>
    </row>
    <row r="34" spans="2:14" x14ac:dyDescent="0.35">
      <c r="B34" s="1"/>
      <c r="C34" s="124" t="s">
        <v>8</v>
      </c>
      <c r="D34" s="126"/>
      <c r="E34" s="124" t="s">
        <v>9</v>
      </c>
      <c r="F34" s="126"/>
      <c r="G34" s="124"/>
      <c r="H34" s="125"/>
      <c r="I34" s="125"/>
      <c r="J34" s="125"/>
      <c r="K34" s="125"/>
      <c r="L34" s="125"/>
      <c r="M34" s="125"/>
      <c r="N34" s="126"/>
    </row>
    <row r="35" spans="2:14" x14ac:dyDescent="0.35">
      <c r="B35" s="2" t="s">
        <v>10</v>
      </c>
      <c r="C35" s="2" t="s">
        <v>11</v>
      </c>
      <c r="D35" s="2" t="s">
        <v>12</v>
      </c>
      <c r="E35" s="2" t="s">
        <v>11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16</v>
      </c>
      <c r="K35" s="2" t="s">
        <v>17</v>
      </c>
      <c r="L35" s="2" t="s">
        <v>18</v>
      </c>
      <c r="M35" s="2" t="s">
        <v>19</v>
      </c>
      <c r="N35" s="2" t="s">
        <v>20</v>
      </c>
    </row>
    <row r="36" spans="2:14" x14ac:dyDescent="0.35">
      <c r="B36" s="3">
        <v>1</v>
      </c>
      <c r="C36" s="3">
        <v>-200</v>
      </c>
      <c r="D36" s="3">
        <v>-600</v>
      </c>
      <c r="E36" s="3">
        <v>800</v>
      </c>
      <c r="F36" s="3">
        <v>-600</v>
      </c>
      <c r="G36" s="3">
        <f>E36-C36</f>
        <v>1000</v>
      </c>
      <c r="H36" s="3">
        <f t="shared" ref="G36:H40" si="0">F36-D36</f>
        <v>0</v>
      </c>
      <c r="I36" s="4">
        <f>SQRT((G36*G36)+(H36*H36))</f>
        <v>1000</v>
      </c>
      <c r="J36" s="4">
        <f>G36/I36</f>
        <v>1</v>
      </c>
      <c r="K36" s="4">
        <f>H36/I36</f>
        <v>0</v>
      </c>
      <c r="L36" s="3">
        <v>20</v>
      </c>
      <c r="M36" s="3">
        <v>150000</v>
      </c>
      <c r="N36" s="26">
        <f>(L36*M36)/I36</f>
        <v>3000</v>
      </c>
    </row>
    <row r="37" spans="2:14" x14ac:dyDescent="0.35">
      <c r="B37" s="3">
        <v>2</v>
      </c>
      <c r="C37" s="3">
        <v>800</v>
      </c>
      <c r="D37" s="3">
        <v>600</v>
      </c>
      <c r="E37" s="3">
        <v>800</v>
      </c>
      <c r="F37" s="3">
        <v>200</v>
      </c>
      <c r="G37" s="3">
        <f t="shared" si="0"/>
        <v>0</v>
      </c>
      <c r="H37" s="3">
        <f t="shared" si="0"/>
        <v>-400</v>
      </c>
      <c r="I37" s="4">
        <f>SQRT(G37*G37+H37*H37)</f>
        <v>400</v>
      </c>
      <c r="J37" s="4">
        <f>G37/I37</f>
        <v>0</v>
      </c>
      <c r="K37" s="4">
        <f>H37/I37</f>
        <v>-1</v>
      </c>
      <c r="L37" s="3">
        <v>20</v>
      </c>
      <c r="M37" s="3">
        <v>150000</v>
      </c>
      <c r="N37" s="26">
        <f>(L37*M37)/I37</f>
        <v>7500</v>
      </c>
    </row>
    <row r="38" spans="2:14" x14ac:dyDescent="0.35">
      <c r="B38" s="3">
        <v>3</v>
      </c>
      <c r="C38" s="3">
        <v>800</v>
      </c>
      <c r="D38" s="3">
        <v>200</v>
      </c>
      <c r="E38" s="3">
        <v>0</v>
      </c>
      <c r="F38" s="3">
        <v>0</v>
      </c>
      <c r="G38" s="3">
        <f t="shared" si="0"/>
        <v>-800</v>
      </c>
      <c r="H38" s="3">
        <f t="shared" si="0"/>
        <v>-200</v>
      </c>
      <c r="I38" s="4">
        <f>SQRT(G38*G38+H38*H38)</f>
        <v>824.62112512353212</v>
      </c>
      <c r="J38" s="4">
        <f>G38/I38</f>
        <v>-0.97014250014533188</v>
      </c>
      <c r="K38" s="4">
        <f>H38/I38</f>
        <v>-0.24253562503633297</v>
      </c>
      <c r="L38" s="3">
        <v>20</v>
      </c>
      <c r="M38" s="3">
        <v>150000</v>
      </c>
      <c r="N38" s="26">
        <f>(L38*M38)/I38</f>
        <v>3638.0343755449944</v>
      </c>
    </row>
    <row r="39" spans="2:14" x14ac:dyDescent="0.35">
      <c r="B39" s="3">
        <v>4</v>
      </c>
      <c r="C39" s="3">
        <v>0</v>
      </c>
      <c r="D39" s="3">
        <v>0</v>
      </c>
      <c r="E39" s="3">
        <v>-200</v>
      </c>
      <c r="F39" s="3">
        <v>-600</v>
      </c>
      <c r="G39" s="3">
        <f t="shared" si="0"/>
        <v>-200</v>
      </c>
      <c r="H39" s="3">
        <f t="shared" si="0"/>
        <v>-600</v>
      </c>
      <c r="I39" s="4">
        <f>SQRT(G39*G39+H39*H39)</f>
        <v>632.45553203367592</v>
      </c>
      <c r="J39" s="4">
        <f>G39/I39</f>
        <v>-0.31622776601683789</v>
      </c>
      <c r="K39" s="4">
        <f>H39/I39</f>
        <v>-0.94868329805051377</v>
      </c>
      <c r="L39" s="3">
        <v>20</v>
      </c>
      <c r="M39" s="3">
        <v>150000</v>
      </c>
      <c r="N39" s="26">
        <f>(L39*M39)/I39</f>
        <v>4743.416490252569</v>
      </c>
    </row>
    <row r="40" spans="2:14" x14ac:dyDescent="0.35">
      <c r="B40" s="3">
        <v>5</v>
      </c>
      <c r="C40" s="3">
        <v>800</v>
      </c>
      <c r="D40" s="3">
        <v>600</v>
      </c>
      <c r="E40" s="3">
        <v>0</v>
      </c>
      <c r="F40" s="3">
        <v>0</v>
      </c>
      <c r="G40" s="3">
        <f t="shared" si="0"/>
        <v>-800</v>
      </c>
      <c r="H40" s="3">
        <f t="shared" si="0"/>
        <v>-600</v>
      </c>
      <c r="I40" s="4">
        <f>SQRT(G40*G40+H40*H40)</f>
        <v>1000</v>
      </c>
      <c r="J40" s="4">
        <f>G40/I40</f>
        <v>-0.8</v>
      </c>
      <c r="K40" s="4">
        <f>H40/I40</f>
        <v>-0.6</v>
      </c>
      <c r="L40" s="3">
        <v>20</v>
      </c>
      <c r="M40" s="3">
        <v>150000</v>
      </c>
      <c r="N40" s="26">
        <f>(L40*M40)/I40</f>
        <v>3000</v>
      </c>
    </row>
    <row r="48" spans="2:14" x14ac:dyDescent="0.35">
      <c r="B48" s="1"/>
      <c r="C48" s="124" t="s">
        <v>21</v>
      </c>
      <c r="D48" s="126"/>
      <c r="E48" s="124" t="s">
        <v>22</v>
      </c>
      <c r="F48" s="126"/>
    </row>
    <row r="49" spans="1:6" x14ac:dyDescent="0.35">
      <c r="B49" s="2" t="s">
        <v>10</v>
      </c>
      <c r="C49" s="2" t="s">
        <v>11</v>
      </c>
      <c r="D49" s="2" t="s">
        <v>12</v>
      </c>
      <c r="E49" s="2" t="s">
        <v>11</v>
      </c>
      <c r="F49" s="2" t="s">
        <v>12</v>
      </c>
    </row>
    <row r="50" spans="1:6" x14ac:dyDescent="0.35">
      <c r="B50" s="2">
        <v>1</v>
      </c>
      <c r="C50" s="5">
        <v>1</v>
      </c>
      <c r="D50" s="5">
        <v>1</v>
      </c>
      <c r="E50" s="5">
        <v>2</v>
      </c>
      <c r="F50" s="5">
        <v>2</v>
      </c>
    </row>
    <row r="51" spans="1:6" x14ac:dyDescent="0.35">
      <c r="B51" s="15">
        <v>2</v>
      </c>
      <c r="C51" s="15">
        <v>2</v>
      </c>
      <c r="D51" s="15">
        <v>2</v>
      </c>
      <c r="E51" s="15">
        <v>3</v>
      </c>
      <c r="F51" s="15">
        <v>3</v>
      </c>
    </row>
    <row r="52" spans="1:6" x14ac:dyDescent="0.35">
      <c r="B52" s="2">
        <v>3</v>
      </c>
      <c r="C52" s="5">
        <v>3</v>
      </c>
      <c r="D52" s="5">
        <v>3</v>
      </c>
      <c r="E52" s="5">
        <v>4</v>
      </c>
      <c r="F52" s="5">
        <v>4</v>
      </c>
    </row>
    <row r="53" spans="1:6" x14ac:dyDescent="0.35">
      <c r="B53" s="15">
        <v>4</v>
      </c>
      <c r="C53" s="15">
        <v>4</v>
      </c>
      <c r="D53" s="15">
        <v>4</v>
      </c>
      <c r="E53" s="15">
        <v>1</v>
      </c>
      <c r="F53" s="15">
        <v>1</v>
      </c>
    </row>
    <row r="54" spans="1:6" x14ac:dyDescent="0.35">
      <c r="B54" s="2">
        <v>5</v>
      </c>
      <c r="C54" s="5">
        <v>2</v>
      </c>
      <c r="D54" s="5">
        <v>2</v>
      </c>
      <c r="E54" s="5">
        <v>4</v>
      </c>
      <c r="F54" s="5">
        <v>4</v>
      </c>
    </row>
    <row r="58" spans="1:6" ht="14.25" customHeight="1" x14ac:dyDescent="0.35">
      <c r="A58" s="30" t="s">
        <v>23</v>
      </c>
      <c r="B58" s="1" t="str">
        <f>CONCATENATE("U",C49,C50)</f>
        <v>UX1</v>
      </c>
      <c r="C58" s="1" t="str">
        <f>CONCATENATE("U",D49,D50)</f>
        <v>UY1</v>
      </c>
      <c r="D58" s="1" t="str">
        <f>CONCATENATE("U",E49,E50)</f>
        <v>UX2</v>
      </c>
      <c r="E58" s="1" t="str">
        <f>CONCATENATE("U",F49,F50)</f>
        <v>UY2</v>
      </c>
      <c r="F58" s="1"/>
    </row>
    <row r="59" spans="1:6" ht="14.25" customHeight="1" x14ac:dyDescent="0.35">
      <c r="A59" s="31"/>
      <c r="B59" s="5">
        <f>J36*J36*N36</f>
        <v>3000</v>
      </c>
      <c r="C59" s="5">
        <f>J36*K36*N36</f>
        <v>0</v>
      </c>
      <c r="D59" s="5">
        <f>-B59</f>
        <v>-3000</v>
      </c>
      <c r="E59" s="5">
        <f>-C59</f>
        <v>0</v>
      </c>
      <c r="F59" s="1" t="str">
        <f>B58</f>
        <v>UX1</v>
      </c>
    </row>
    <row r="60" spans="1:6" ht="14.25" customHeight="1" x14ac:dyDescent="0.35">
      <c r="A60" s="31"/>
      <c r="B60" s="5">
        <f>C59</f>
        <v>0</v>
      </c>
      <c r="C60" s="5">
        <f>K36*K36*N36</f>
        <v>0</v>
      </c>
      <c r="D60" s="5">
        <f>-B60</f>
        <v>0</v>
      </c>
      <c r="E60" s="5">
        <f>-C60</f>
        <v>0</v>
      </c>
      <c r="F60" s="1" t="str">
        <f>C58</f>
        <v>UY1</v>
      </c>
    </row>
    <row r="61" spans="1:6" ht="14.25" customHeight="1" x14ac:dyDescent="0.35">
      <c r="A61" s="31"/>
      <c r="B61" s="5">
        <f>D59</f>
        <v>-3000</v>
      </c>
      <c r="C61" s="5">
        <f>E59</f>
        <v>0</v>
      </c>
      <c r="D61" s="5">
        <f>B59</f>
        <v>3000</v>
      </c>
      <c r="E61" s="5">
        <f>C59</f>
        <v>0</v>
      </c>
      <c r="F61" s="1" t="str">
        <f>D58</f>
        <v>UX2</v>
      </c>
    </row>
    <row r="62" spans="1:6" ht="14.25" customHeight="1" x14ac:dyDescent="0.35">
      <c r="A62" s="32"/>
      <c r="B62" s="5">
        <f>D60</f>
        <v>0</v>
      </c>
      <c r="C62" s="5">
        <f>E60</f>
        <v>0</v>
      </c>
      <c r="D62" s="5">
        <f>B60</f>
        <v>0</v>
      </c>
      <c r="E62" s="5">
        <f>C60</f>
        <v>0</v>
      </c>
      <c r="F62" s="1" t="str">
        <f>E58</f>
        <v>UY2</v>
      </c>
    </row>
    <row r="66" spans="2:10" x14ac:dyDescent="0.35">
      <c r="B66" s="1" t="s">
        <v>4</v>
      </c>
      <c r="C66" s="1" t="s">
        <v>5</v>
      </c>
      <c r="D66" s="1" t="s">
        <v>6</v>
      </c>
      <c r="E66" s="1" t="s">
        <v>7</v>
      </c>
      <c r="F66" s="1" t="s">
        <v>1</v>
      </c>
      <c r="G66" s="1" t="s">
        <v>3</v>
      </c>
      <c r="H66" s="1" t="s">
        <v>0</v>
      </c>
      <c r="I66" s="1" t="s">
        <v>2</v>
      </c>
      <c r="J66" s="1"/>
    </row>
    <row r="67" spans="2:10" x14ac:dyDescent="0.35">
      <c r="B67" s="3">
        <f t="shared" ref="B67:E70" si="1">B59</f>
        <v>3000</v>
      </c>
      <c r="C67" s="3">
        <f t="shared" si="1"/>
        <v>0</v>
      </c>
      <c r="D67" s="3">
        <f t="shared" si="1"/>
        <v>-3000</v>
      </c>
      <c r="E67" s="3">
        <f t="shared" si="1"/>
        <v>0</v>
      </c>
      <c r="F67" s="3"/>
      <c r="G67" s="3"/>
      <c r="H67" s="3"/>
      <c r="I67" s="3"/>
      <c r="J67" s="1" t="str">
        <f>B66</f>
        <v>UX1</v>
      </c>
    </row>
    <row r="68" spans="2:10" x14ac:dyDescent="0.35">
      <c r="B68" s="3">
        <f t="shared" si="1"/>
        <v>0</v>
      </c>
      <c r="C68" s="3">
        <f t="shared" si="1"/>
        <v>0</v>
      </c>
      <c r="D68" s="3">
        <f t="shared" si="1"/>
        <v>0</v>
      </c>
      <c r="E68" s="3">
        <f t="shared" si="1"/>
        <v>0</v>
      </c>
      <c r="F68" s="3"/>
      <c r="G68" s="3"/>
      <c r="H68" s="3"/>
      <c r="I68" s="3"/>
      <c r="J68" s="1" t="str">
        <f>C66</f>
        <v>UY1</v>
      </c>
    </row>
    <row r="69" spans="2:10" x14ac:dyDescent="0.35">
      <c r="B69" s="3">
        <f t="shared" si="1"/>
        <v>-3000</v>
      </c>
      <c r="C69" s="3">
        <f t="shared" si="1"/>
        <v>0</v>
      </c>
      <c r="D69" s="3">
        <f t="shared" si="1"/>
        <v>3000</v>
      </c>
      <c r="E69" s="3">
        <f t="shared" si="1"/>
        <v>0</v>
      </c>
      <c r="F69" s="3"/>
      <c r="G69" s="3"/>
      <c r="H69" s="3"/>
      <c r="I69" s="3"/>
      <c r="J69" s="1" t="str">
        <f>D66</f>
        <v>UX2</v>
      </c>
    </row>
    <row r="70" spans="2:10" x14ac:dyDescent="0.35">
      <c r="B70" s="3">
        <f t="shared" si="1"/>
        <v>0</v>
      </c>
      <c r="C70" s="3">
        <f t="shared" si="1"/>
        <v>0</v>
      </c>
      <c r="D70" s="3">
        <f t="shared" si="1"/>
        <v>0</v>
      </c>
      <c r="E70" s="3">
        <f t="shared" si="1"/>
        <v>0</v>
      </c>
      <c r="F70" s="3"/>
      <c r="G70" s="3"/>
      <c r="H70" s="3"/>
      <c r="I70" s="3"/>
      <c r="J70" s="1" t="str">
        <f>E66</f>
        <v>UY2</v>
      </c>
    </row>
    <row r="71" spans="2:10" x14ac:dyDescent="0.35">
      <c r="B71" s="3"/>
      <c r="C71" s="3"/>
      <c r="D71" s="3"/>
      <c r="E71" s="3"/>
      <c r="F71" s="3"/>
      <c r="G71" s="3"/>
      <c r="H71" s="3"/>
      <c r="I71" s="3"/>
      <c r="J71" s="1" t="str">
        <f>F66</f>
        <v>UX3</v>
      </c>
    </row>
    <row r="72" spans="2:10" x14ac:dyDescent="0.35">
      <c r="B72" s="3"/>
      <c r="C72" s="3"/>
      <c r="D72" s="3"/>
      <c r="E72" s="3"/>
      <c r="F72" s="3"/>
      <c r="G72" s="3"/>
      <c r="H72" s="3"/>
      <c r="I72" s="3"/>
      <c r="J72" s="1" t="str">
        <f>G66</f>
        <v>UY3</v>
      </c>
    </row>
    <row r="73" spans="2:10" x14ac:dyDescent="0.35">
      <c r="B73" s="3"/>
      <c r="C73" s="3"/>
      <c r="D73" s="3"/>
      <c r="E73" s="3"/>
      <c r="F73" s="3"/>
      <c r="G73" s="3"/>
      <c r="H73" s="3"/>
      <c r="I73" s="3"/>
      <c r="J73" s="1" t="str">
        <f>H66</f>
        <v>UX4</v>
      </c>
    </row>
    <row r="74" spans="2:10" x14ac:dyDescent="0.35">
      <c r="B74" s="3"/>
      <c r="C74" s="3"/>
      <c r="D74" s="3"/>
      <c r="E74" s="3"/>
      <c r="F74" s="3"/>
      <c r="G74" s="3"/>
      <c r="H74" s="3"/>
      <c r="I74" s="3"/>
      <c r="J74" s="1" t="str">
        <f>I66</f>
        <v>UY4</v>
      </c>
    </row>
    <row r="83" spans="1:10" ht="14.25" customHeight="1" x14ac:dyDescent="0.35">
      <c r="A83" s="30" t="s">
        <v>24</v>
      </c>
      <c r="B83" s="1" t="str">
        <f>CONCATENATE("U",C49,C51)</f>
        <v>UX2</v>
      </c>
      <c r="C83" s="1" t="str">
        <f>CONCATENATE("U",D49,D51)</f>
        <v>UY2</v>
      </c>
      <c r="D83" s="1" t="str">
        <f>CONCATENATE("U",E49,E51)</f>
        <v>UX3</v>
      </c>
      <c r="E83" s="1" t="str">
        <f>CONCATENATE("U",F49,F51)</f>
        <v>UY3</v>
      </c>
      <c r="F83" s="1"/>
    </row>
    <row r="84" spans="1:10" ht="14.25" customHeight="1" x14ac:dyDescent="0.35">
      <c r="A84" s="31"/>
      <c r="B84" s="3">
        <f>J37*J37*N37</f>
        <v>0</v>
      </c>
      <c r="C84" s="3">
        <f>J37*K37*N37</f>
        <v>0</v>
      </c>
      <c r="D84" s="3">
        <f>-B84</f>
        <v>0</v>
      </c>
      <c r="E84" s="3">
        <f>-C84</f>
        <v>0</v>
      </c>
      <c r="F84" s="1" t="str">
        <f>B83</f>
        <v>UX2</v>
      </c>
    </row>
    <row r="85" spans="1:10" ht="14.25" customHeight="1" x14ac:dyDescent="0.35">
      <c r="A85" s="31"/>
      <c r="B85" s="3">
        <f>C84</f>
        <v>0</v>
      </c>
      <c r="C85" s="3">
        <f>K37*K37*N37</f>
        <v>7500</v>
      </c>
      <c r="D85" s="3">
        <f>-B85</f>
        <v>0</v>
      </c>
      <c r="E85" s="3">
        <f>-C85</f>
        <v>-7500</v>
      </c>
      <c r="F85" s="1" t="str">
        <f>C83</f>
        <v>UY2</v>
      </c>
    </row>
    <row r="86" spans="1:10" ht="14.25" customHeight="1" x14ac:dyDescent="0.35">
      <c r="A86" s="31"/>
      <c r="B86" s="3">
        <f>D84</f>
        <v>0</v>
      </c>
      <c r="C86" s="3">
        <f>E84</f>
        <v>0</v>
      </c>
      <c r="D86" s="3">
        <f>B84</f>
        <v>0</v>
      </c>
      <c r="E86" s="3">
        <f>C84</f>
        <v>0</v>
      </c>
      <c r="F86" s="1" t="str">
        <f>D83</f>
        <v>UX3</v>
      </c>
    </row>
    <row r="87" spans="1:10" ht="14.25" customHeight="1" x14ac:dyDescent="0.35">
      <c r="A87" s="32"/>
      <c r="B87" s="3">
        <f>D85</f>
        <v>0</v>
      </c>
      <c r="C87" s="3">
        <f>E85</f>
        <v>-7500</v>
      </c>
      <c r="D87" s="3">
        <f>B85</f>
        <v>0</v>
      </c>
      <c r="E87" s="3">
        <f>C85</f>
        <v>7500</v>
      </c>
      <c r="F87" s="1" t="str">
        <f>E83</f>
        <v>UY3</v>
      </c>
    </row>
    <row r="91" spans="1:10" x14ac:dyDescent="0.35">
      <c r="B91" s="1" t="s">
        <v>4</v>
      </c>
      <c r="C91" s="1" t="s">
        <v>5</v>
      </c>
      <c r="D91" s="1" t="s">
        <v>6</v>
      </c>
      <c r="E91" s="1" t="s">
        <v>7</v>
      </c>
      <c r="F91" s="1" t="s">
        <v>1</v>
      </c>
      <c r="G91" s="1" t="s">
        <v>3</v>
      </c>
      <c r="H91" s="1" t="s">
        <v>0</v>
      </c>
      <c r="I91" s="1" t="s">
        <v>2</v>
      </c>
      <c r="J91" s="1"/>
    </row>
    <row r="92" spans="1:10" x14ac:dyDescent="0.35">
      <c r="B92" s="3"/>
      <c r="C92" s="3"/>
      <c r="D92" s="3"/>
      <c r="E92" s="3"/>
      <c r="F92" s="3"/>
      <c r="G92" s="3"/>
      <c r="H92" s="3"/>
      <c r="I92" s="3"/>
      <c r="J92" s="1" t="str">
        <f>B91</f>
        <v>UX1</v>
      </c>
    </row>
    <row r="93" spans="1:10" x14ac:dyDescent="0.35">
      <c r="B93" s="3"/>
      <c r="C93" s="3"/>
      <c r="D93" s="3"/>
      <c r="E93" s="3"/>
      <c r="F93" s="3"/>
      <c r="G93" s="3"/>
      <c r="H93" s="3"/>
      <c r="I93" s="3"/>
      <c r="J93" s="1" t="str">
        <f>C91</f>
        <v>UY1</v>
      </c>
    </row>
    <row r="94" spans="1:10" x14ac:dyDescent="0.35">
      <c r="B94" s="3"/>
      <c r="C94" s="3"/>
      <c r="D94" s="3">
        <f t="shared" ref="D94:G97" si="2">B84</f>
        <v>0</v>
      </c>
      <c r="E94" s="3">
        <f t="shared" si="2"/>
        <v>0</v>
      </c>
      <c r="F94" s="3">
        <f t="shared" si="2"/>
        <v>0</v>
      </c>
      <c r="G94" s="3">
        <f t="shared" si="2"/>
        <v>0</v>
      </c>
      <c r="H94" s="3"/>
      <c r="I94" s="3"/>
      <c r="J94" s="1" t="str">
        <f>D91</f>
        <v>UX2</v>
      </c>
    </row>
    <row r="95" spans="1:10" x14ac:dyDescent="0.35">
      <c r="B95" s="3"/>
      <c r="C95" s="3"/>
      <c r="D95" s="3">
        <f t="shared" si="2"/>
        <v>0</v>
      </c>
      <c r="E95" s="3">
        <f t="shared" si="2"/>
        <v>7500</v>
      </c>
      <c r="F95" s="3">
        <f t="shared" si="2"/>
        <v>0</v>
      </c>
      <c r="G95" s="3">
        <f t="shared" si="2"/>
        <v>-7500</v>
      </c>
      <c r="H95" s="3"/>
      <c r="I95" s="3"/>
      <c r="J95" s="1" t="str">
        <f>E91</f>
        <v>UY2</v>
      </c>
    </row>
    <row r="96" spans="1:10" x14ac:dyDescent="0.35">
      <c r="B96" s="3"/>
      <c r="C96" s="3"/>
      <c r="D96" s="3">
        <f t="shared" si="2"/>
        <v>0</v>
      </c>
      <c r="E96" s="3">
        <f t="shared" si="2"/>
        <v>0</v>
      </c>
      <c r="F96" s="3">
        <f t="shared" si="2"/>
        <v>0</v>
      </c>
      <c r="G96" s="3">
        <f t="shared" si="2"/>
        <v>0</v>
      </c>
      <c r="H96" s="3"/>
      <c r="I96" s="3"/>
      <c r="J96" s="1" t="str">
        <f>F91</f>
        <v>UX3</v>
      </c>
    </row>
    <row r="97" spans="1:10" x14ac:dyDescent="0.35">
      <c r="B97" s="3"/>
      <c r="C97" s="3"/>
      <c r="D97" s="3">
        <f t="shared" si="2"/>
        <v>0</v>
      </c>
      <c r="E97" s="3">
        <f t="shared" si="2"/>
        <v>-7500</v>
      </c>
      <c r="F97" s="3">
        <f t="shared" si="2"/>
        <v>0</v>
      </c>
      <c r="G97" s="3">
        <f t="shared" si="2"/>
        <v>7500</v>
      </c>
      <c r="H97" s="3"/>
      <c r="I97" s="3"/>
      <c r="J97" s="1" t="str">
        <f>G91</f>
        <v>UY3</v>
      </c>
    </row>
    <row r="98" spans="1:10" x14ac:dyDescent="0.35">
      <c r="B98" s="3"/>
      <c r="C98" s="3"/>
      <c r="D98" s="3"/>
      <c r="E98" s="3"/>
      <c r="F98" s="3"/>
      <c r="G98" s="3"/>
      <c r="H98" s="3"/>
      <c r="I98" s="3"/>
      <c r="J98" s="1" t="str">
        <f>H91</f>
        <v>UX4</v>
      </c>
    </row>
    <row r="99" spans="1:10" x14ac:dyDescent="0.35">
      <c r="B99" s="3"/>
      <c r="C99" s="3"/>
      <c r="D99" s="3"/>
      <c r="E99" s="3"/>
      <c r="F99" s="3"/>
      <c r="G99" s="3"/>
      <c r="H99" s="3"/>
      <c r="I99" s="3"/>
      <c r="J99" s="1" t="str">
        <f>I91</f>
        <v>UY4</v>
      </c>
    </row>
    <row r="108" spans="1:10" ht="14.25" customHeight="1" x14ac:dyDescent="0.35">
      <c r="A108" s="30" t="s">
        <v>25</v>
      </c>
      <c r="B108" s="1" t="str">
        <f>CONCATENATE("U",C49,C52)</f>
        <v>UX3</v>
      </c>
      <c r="C108" s="1" t="str">
        <f>CONCATENATE("U",D49,D52)</f>
        <v>UY3</v>
      </c>
      <c r="D108" s="1" t="str">
        <f>CONCATENATE("U",E49,E52)</f>
        <v>UX4</v>
      </c>
      <c r="E108" s="1" t="str">
        <f>CONCATENATE("U",F49,F52)</f>
        <v>UY4</v>
      </c>
      <c r="F108" s="1"/>
    </row>
    <row r="109" spans="1:10" ht="14.25" customHeight="1" x14ac:dyDescent="0.35">
      <c r="A109" s="31"/>
      <c r="B109" s="3">
        <f>J38*J38*N38</f>
        <v>3424.0323534541121</v>
      </c>
      <c r="C109" s="3">
        <f>J38*K38*N38</f>
        <v>856.00808836352803</v>
      </c>
      <c r="D109" s="3">
        <f>-B109</f>
        <v>-3424.0323534541121</v>
      </c>
      <c r="E109" s="3">
        <f>-C109</f>
        <v>-856.00808836352803</v>
      </c>
      <c r="F109" s="1" t="str">
        <f>B108</f>
        <v>UX3</v>
      </c>
    </row>
    <row r="110" spans="1:10" ht="14.25" customHeight="1" x14ac:dyDescent="0.35">
      <c r="A110" s="31"/>
      <c r="B110" s="3">
        <f>C109</f>
        <v>856.00808836352803</v>
      </c>
      <c r="C110" s="3">
        <f>K38*K38*N38</f>
        <v>214.00202209088201</v>
      </c>
      <c r="D110" s="3">
        <f>-B110</f>
        <v>-856.00808836352803</v>
      </c>
      <c r="E110" s="3">
        <f>-C110</f>
        <v>-214.00202209088201</v>
      </c>
      <c r="F110" s="1" t="str">
        <f>C108</f>
        <v>UY3</v>
      </c>
    </row>
    <row r="111" spans="1:10" ht="14.25" customHeight="1" x14ac:dyDescent="0.35">
      <c r="A111" s="31"/>
      <c r="B111" s="3">
        <f>D109</f>
        <v>-3424.0323534541121</v>
      </c>
      <c r="C111" s="3">
        <f>E109</f>
        <v>-856.00808836352803</v>
      </c>
      <c r="D111" s="3">
        <f>B109</f>
        <v>3424.0323534541121</v>
      </c>
      <c r="E111" s="3">
        <f>C109</f>
        <v>856.00808836352803</v>
      </c>
      <c r="F111" s="1" t="str">
        <f>D108</f>
        <v>UX4</v>
      </c>
    </row>
    <row r="112" spans="1:10" ht="14.25" customHeight="1" x14ac:dyDescent="0.35">
      <c r="A112" s="32"/>
      <c r="B112" s="3">
        <f>D110</f>
        <v>-856.00808836352803</v>
      </c>
      <c r="C112" s="3">
        <f>E110</f>
        <v>-214.00202209088201</v>
      </c>
      <c r="D112" s="3">
        <f>B110</f>
        <v>856.00808836352803</v>
      </c>
      <c r="E112" s="3">
        <f>C110</f>
        <v>214.00202209088201</v>
      </c>
      <c r="F112" s="1" t="str">
        <f>E108</f>
        <v>UY4</v>
      </c>
    </row>
    <row r="116" spans="2:10" x14ac:dyDescent="0.35">
      <c r="B116" s="1" t="s">
        <v>4</v>
      </c>
      <c r="C116" s="1" t="s">
        <v>5</v>
      </c>
      <c r="D116" s="1" t="s">
        <v>6</v>
      </c>
      <c r="E116" s="1" t="s">
        <v>7</v>
      </c>
      <c r="F116" s="1" t="s">
        <v>1</v>
      </c>
      <c r="G116" s="1" t="s">
        <v>3</v>
      </c>
      <c r="H116" s="1" t="s">
        <v>0</v>
      </c>
      <c r="I116" s="1" t="s">
        <v>2</v>
      </c>
      <c r="J116" s="1"/>
    </row>
    <row r="117" spans="2:10" x14ac:dyDescent="0.35">
      <c r="B117" s="3"/>
      <c r="C117" s="3"/>
      <c r="D117" s="3"/>
      <c r="E117" s="3"/>
      <c r="F117" s="3"/>
      <c r="G117" s="3"/>
      <c r="H117" s="3"/>
      <c r="I117" s="3"/>
      <c r="J117" s="1" t="str">
        <f>B116</f>
        <v>UX1</v>
      </c>
    </row>
    <row r="118" spans="2:10" x14ac:dyDescent="0.35">
      <c r="B118" s="3"/>
      <c r="C118" s="3"/>
      <c r="D118" s="3"/>
      <c r="E118" s="3"/>
      <c r="F118" s="3"/>
      <c r="G118" s="3"/>
      <c r="H118" s="3"/>
      <c r="I118" s="3"/>
      <c r="J118" s="1" t="str">
        <f>C116</f>
        <v>UY1</v>
      </c>
    </row>
    <row r="119" spans="2:10" x14ac:dyDescent="0.35">
      <c r="B119" s="3"/>
      <c r="C119" s="3"/>
      <c r="D119" s="3"/>
      <c r="E119" s="3"/>
      <c r="F119" s="3"/>
      <c r="G119" s="3"/>
      <c r="H119" s="3"/>
      <c r="I119" s="3"/>
      <c r="J119" s="1" t="str">
        <f>D116</f>
        <v>UX2</v>
      </c>
    </row>
    <row r="120" spans="2:10" x14ac:dyDescent="0.35">
      <c r="B120" s="3"/>
      <c r="C120" s="3"/>
      <c r="D120" s="3"/>
      <c r="E120" s="3"/>
      <c r="F120" s="3"/>
      <c r="G120" s="3"/>
      <c r="H120" s="3"/>
      <c r="I120" s="3"/>
      <c r="J120" s="1" t="str">
        <f>E116</f>
        <v>UY2</v>
      </c>
    </row>
    <row r="121" spans="2:10" x14ac:dyDescent="0.35">
      <c r="B121" s="3"/>
      <c r="C121" s="3"/>
      <c r="D121" s="3"/>
      <c r="E121" s="3"/>
      <c r="F121" s="3">
        <f t="shared" ref="F121:I124" si="3">B109</f>
        <v>3424.0323534541121</v>
      </c>
      <c r="G121" s="3">
        <f t="shared" si="3"/>
        <v>856.00808836352803</v>
      </c>
      <c r="H121" s="3">
        <f t="shared" si="3"/>
        <v>-3424.0323534541121</v>
      </c>
      <c r="I121" s="3">
        <f t="shared" si="3"/>
        <v>-856.00808836352803</v>
      </c>
      <c r="J121" s="1" t="str">
        <f>F116</f>
        <v>UX3</v>
      </c>
    </row>
    <row r="122" spans="2:10" x14ac:dyDescent="0.35">
      <c r="B122" s="3"/>
      <c r="C122" s="3"/>
      <c r="D122" s="3"/>
      <c r="E122" s="3"/>
      <c r="F122" s="3">
        <f t="shared" si="3"/>
        <v>856.00808836352803</v>
      </c>
      <c r="G122" s="3">
        <f t="shared" si="3"/>
        <v>214.00202209088201</v>
      </c>
      <c r="H122" s="3">
        <f t="shared" si="3"/>
        <v>-856.00808836352803</v>
      </c>
      <c r="I122" s="3">
        <f t="shared" si="3"/>
        <v>-214.00202209088201</v>
      </c>
      <c r="J122" s="1" t="str">
        <f>G116</f>
        <v>UY3</v>
      </c>
    </row>
    <row r="123" spans="2:10" x14ac:dyDescent="0.35">
      <c r="B123" s="3"/>
      <c r="C123" s="3"/>
      <c r="D123" s="3"/>
      <c r="E123" s="3"/>
      <c r="F123" s="3">
        <f t="shared" si="3"/>
        <v>-3424.0323534541121</v>
      </c>
      <c r="G123" s="3">
        <f t="shared" si="3"/>
        <v>-856.00808836352803</v>
      </c>
      <c r="H123" s="3">
        <f t="shared" si="3"/>
        <v>3424.0323534541121</v>
      </c>
      <c r="I123" s="3">
        <f t="shared" si="3"/>
        <v>856.00808836352803</v>
      </c>
      <c r="J123" s="1" t="str">
        <f>H116</f>
        <v>UX4</v>
      </c>
    </row>
    <row r="124" spans="2:10" x14ac:dyDescent="0.35">
      <c r="B124" s="3"/>
      <c r="C124" s="3"/>
      <c r="D124" s="3"/>
      <c r="E124" s="3"/>
      <c r="F124" s="3">
        <f t="shared" si="3"/>
        <v>-856.00808836352803</v>
      </c>
      <c r="G124" s="3">
        <f t="shared" si="3"/>
        <v>-214.00202209088201</v>
      </c>
      <c r="H124" s="3">
        <f t="shared" si="3"/>
        <v>856.00808836352803</v>
      </c>
      <c r="I124" s="3">
        <f t="shared" si="3"/>
        <v>214.00202209088201</v>
      </c>
      <c r="J124" s="1" t="str">
        <f>I116</f>
        <v>UY4</v>
      </c>
    </row>
    <row r="131" spans="1:10" ht="14.25" customHeight="1" x14ac:dyDescent="0.35">
      <c r="A131" s="30" t="s">
        <v>26</v>
      </c>
      <c r="B131" s="1" t="str">
        <f>CONCATENATE("U",C49,C53)</f>
        <v>UX4</v>
      </c>
      <c r="C131" s="1" t="str">
        <f>CONCATENATE("U",D49,D53)</f>
        <v>UY4</v>
      </c>
      <c r="D131" s="1" t="str">
        <f>CONCATENATE("U",E49,E53)</f>
        <v>UX1</v>
      </c>
      <c r="E131" s="1" t="str">
        <f>CONCATENATE("U",F49,F53)</f>
        <v>UY1</v>
      </c>
      <c r="F131" s="1"/>
    </row>
    <row r="132" spans="1:10" ht="14.25" customHeight="1" x14ac:dyDescent="0.35">
      <c r="A132" s="31"/>
      <c r="B132" s="3">
        <f>J39*J39*N39</f>
        <v>474.34164902525674</v>
      </c>
      <c r="C132" s="3">
        <f>J39*K39*N39</f>
        <v>1423.0249470757703</v>
      </c>
      <c r="D132" s="3">
        <f>-B132</f>
        <v>-474.34164902525674</v>
      </c>
      <c r="E132" s="3">
        <f>-C132</f>
        <v>-1423.0249470757703</v>
      </c>
      <c r="F132" s="1" t="str">
        <f>B131</f>
        <v>UX4</v>
      </c>
    </row>
    <row r="133" spans="1:10" ht="14.25" customHeight="1" x14ac:dyDescent="0.35">
      <c r="A133" s="31"/>
      <c r="B133" s="3">
        <f>C132</f>
        <v>1423.0249470757703</v>
      </c>
      <c r="C133" s="3">
        <f>K39*K39*N39</f>
        <v>4269.0748412273115</v>
      </c>
      <c r="D133" s="3">
        <f>-B133</f>
        <v>-1423.0249470757703</v>
      </c>
      <c r="E133" s="3">
        <f>-C133</f>
        <v>-4269.0748412273115</v>
      </c>
      <c r="F133" s="1" t="str">
        <f>C131</f>
        <v>UY4</v>
      </c>
    </row>
    <row r="134" spans="1:10" ht="14.25" customHeight="1" x14ac:dyDescent="0.35">
      <c r="A134" s="31"/>
      <c r="B134" s="3">
        <f>D132</f>
        <v>-474.34164902525674</v>
      </c>
      <c r="C134" s="3">
        <f>E132</f>
        <v>-1423.0249470757703</v>
      </c>
      <c r="D134" s="3">
        <f>B132</f>
        <v>474.34164902525674</v>
      </c>
      <c r="E134" s="3">
        <f>C132</f>
        <v>1423.0249470757703</v>
      </c>
      <c r="F134" s="1" t="str">
        <f>D131</f>
        <v>UX1</v>
      </c>
    </row>
    <row r="135" spans="1:10" ht="14.25" customHeight="1" x14ac:dyDescent="0.35">
      <c r="A135" s="32"/>
      <c r="B135" s="3">
        <f>D133</f>
        <v>-1423.0249470757703</v>
      </c>
      <c r="C135" s="3">
        <f>E133</f>
        <v>-4269.0748412273115</v>
      </c>
      <c r="D135" s="3">
        <f>B133</f>
        <v>1423.0249470757703</v>
      </c>
      <c r="E135" s="3">
        <f>C133</f>
        <v>4269.0748412273115</v>
      </c>
      <c r="F135" s="1" t="str">
        <f>E131</f>
        <v>UY1</v>
      </c>
    </row>
    <row r="139" spans="1:10" x14ac:dyDescent="0.35">
      <c r="B139" s="1" t="s">
        <v>4</v>
      </c>
      <c r="C139" s="1" t="s">
        <v>5</v>
      </c>
      <c r="D139" s="1" t="s">
        <v>6</v>
      </c>
      <c r="E139" s="1" t="s">
        <v>7</v>
      </c>
      <c r="F139" s="1" t="s">
        <v>1</v>
      </c>
      <c r="G139" s="1" t="s">
        <v>3</v>
      </c>
      <c r="H139" s="1" t="s">
        <v>0</v>
      </c>
      <c r="I139" s="1" t="s">
        <v>2</v>
      </c>
      <c r="J139" s="1"/>
    </row>
    <row r="140" spans="1:10" x14ac:dyDescent="0.35">
      <c r="B140" s="3">
        <f>D134</f>
        <v>474.34164902525674</v>
      </c>
      <c r="C140" s="3">
        <f>E134</f>
        <v>1423.0249470757703</v>
      </c>
      <c r="D140" s="3"/>
      <c r="E140" s="3"/>
      <c r="F140" s="3"/>
      <c r="G140" s="3"/>
      <c r="H140" s="3">
        <f>B134</f>
        <v>-474.34164902525674</v>
      </c>
      <c r="I140" s="3">
        <f>C134</f>
        <v>-1423.0249470757703</v>
      </c>
      <c r="J140" s="1" t="str">
        <f>B139</f>
        <v>UX1</v>
      </c>
    </row>
    <row r="141" spans="1:10" x14ac:dyDescent="0.35">
      <c r="B141" s="3">
        <f>D135</f>
        <v>1423.0249470757703</v>
      </c>
      <c r="C141" s="3">
        <f>E135</f>
        <v>4269.0748412273115</v>
      </c>
      <c r="D141" s="3"/>
      <c r="E141" s="3"/>
      <c r="F141" s="3"/>
      <c r="G141" s="3"/>
      <c r="H141" s="3">
        <f>B135</f>
        <v>-1423.0249470757703</v>
      </c>
      <c r="I141" s="3">
        <f>C135</f>
        <v>-4269.0748412273115</v>
      </c>
      <c r="J141" s="1" t="str">
        <f>C139</f>
        <v>UY1</v>
      </c>
    </row>
    <row r="142" spans="1:10" x14ac:dyDescent="0.35">
      <c r="B142" s="3"/>
      <c r="C142" s="3"/>
      <c r="D142" s="3"/>
      <c r="E142" s="3"/>
      <c r="F142" s="3"/>
      <c r="G142" s="3"/>
      <c r="H142" s="3"/>
      <c r="I142" s="3"/>
      <c r="J142" s="1" t="str">
        <f>D139</f>
        <v>UX2</v>
      </c>
    </row>
    <row r="143" spans="1:10" x14ac:dyDescent="0.35">
      <c r="B143" s="3"/>
      <c r="C143" s="3"/>
      <c r="D143" s="3"/>
      <c r="E143" s="3"/>
      <c r="F143" s="3"/>
      <c r="G143" s="3"/>
      <c r="H143" s="3"/>
      <c r="I143" s="3"/>
      <c r="J143" s="1" t="str">
        <f>E139</f>
        <v>UY2</v>
      </c>
    </row>
    <row r="144" spans="1:10" x14ac:dyDescent="0.35">
      <c r="B144" s="3"/>
      <c r="C144" s="3"/>
      <c r="D144" s="3"/>
      <c r="E144" s="3"/>
      <c r="F144" s="3"/>
      <c r="G144" s="3"/>
      <c r="H144" s="3"/>
      <c r="I144" s="3"/>
      <c r="J144" s="1" t="str">
        <f>F139</f>
        <v>UX3</v>
      </c>
    </row>
    <row r="145" spans="1:10" x14ac:dyDescent="0.35">
      <c r="B145" s="3"/>
      <c r="C145" s="3"/>
      <c r="D145" s="3"/>
      <c r="E145" s="3"/>
      <c r="F145" s="3"/>
      <c r="G145" s="3"/>
      <c r="H145" s="3"/>
      <c r="I145" s="3"/>
      <c r="J145" s="1" t="str">
        <f>G139</f>
        <v>UY3</v>
      </c>
    </row>
    <row r="146" spans="1:10" x14ac:dyDescent="0.35">
      <c r="B146" s="3">
        <f>D132</f>
        <v>-474.34164902525674</v>
      </c>
      <c r="C146" s="3">
        <f>E132</f>
        <v>-1423.0249470757703</v>
      </c>
      <c r="D146" s="3"/>
      <c r="E146" s="3"/>
      <c r="F146" s="3"/>
      <c r="G146" s="3"/>
      <c r="H146" s="3">
        <f>B132</f>
        <v>474.34164902525674</v>
      </c>
      <c r="I146" s="3">
        <f>C132</f>
        <v>1423.0249470757703</v>
      </c>
      <c r="J146" s="1" t="str">
        <f>H139</f>
        <v>UX4</v>
      </c>
    </row>
    <row r="147" spans="1:10" x14ac:dyDescent="0.35">
      <c r="B147" s="3">
        <f>D133</f>
        <v>-1423.0249470757703</v>
      </c>
      <c r="C147" s="3">
        <f>E133</f>
        <v>-4269.0748412273115</v>
      </c>
      <c r="D147" s="3"/>
      <c r="E147" s="3"/>
      <c r="F147" s="3"/>
      <c r="G147" s="3"/>
      <c r="H147" s="3">
        <f>B133</f>
        <v>1423.0249470757703</v>
      </c>
      <c r="I147" s="3">
        <f>C133</f>
        <v>4269.0748412273115</v>
      </c>
      <c r="J147" s="1" t="str">
        <f>I139</f>
        <v>UY4</v>
      </c>
    </row>
    <row r="153" spans="1:10" ht="14.25" customHeight="1" x14ac:dyDescent="0.35">
      <c r="A153" s="30" t="s">
        <v>27</v>
      </c>
      <c r="B153" s="1" t="str">
        <f>CONCATENATE("U",C49,C54)</f>
        <v>UX2</v>
      </c>
      <c r="C153" s="1" t="str">
        <f>CONCATENATE("U",D49,D54)</f>
        <v>UY2</v>
      </c>
      <c r="D153" s="1" t="str">
        <f>CONCATENATE("U",E49,E54)</f>
        <v>UX4</v>
      </c>
      <c r="E153" s="1" t="str">
        <f>CONCATENATE("U",F49,F54)</f>
        <v>UY4</v>
      </c>
      <c r="F153" s="1"/>
    </row>
    <row r="154" spans="1:10" ht="14.25" customHeight="1" x14ac:dyDescent="0.35">
      <c r="A154" s="31"/>
      <c r="B154" s="3">
        <f>J40*J40*N40</f>
        <v>1920.0000000000005</v>
      </c>
      <c r="C154" s="3">
        <f>J40*K40*N40</f>
        <v>1440</v>
      </c>
      <c r="D154" s="3">
        <f>-B154</f>
        <v>-1920.0000000000005</v>
      </c>
      <c r="E154" s="3">
        <f>-C154</f>
        <v>-1440</v>
      </c>
      <c r="F154" s="1" t="str">
        <f>B153</f>
        <v>UX2</v>
      </c>
    </row>
    <row r="155" spans="1:10" ht="14.25" customHeight="1" x14ac:dyDescent="0.35">
      <c r="A155" s="31"/>
      <c r="B155" s="3">
        <f>C154</f>
        <v>1440</v>
      </c>
      <c r="C155" s="3">
        <f>K40*K40*N40</f>
        <v>1080</v>
      </c>
      <c r="D155" s="3">
        <f>-B155</f>
        <v>-1440</v>
      </c>
      <c r="E155" s="3">
        <f>-C155</f>
        <v>-1080</v>
      </c>
      <c r="F155" s="1" t="str">
        <f>C153</f>
        <v>UY2</v>
      </c>
    </row>
    <row r="156" spans="1:10" ht="14.25" customHeight="1" x14ac:dyDescent="0.35">
      <c r="A156" s="31"/>
      <c r="B156" s="3">
        <f>D154</f>
        <v>-1920.0000000000005</v>
      </c>
      <c r="C156" s="3">
        <f>E154</f>
        <v>-1440</v>
      </c>
      <c r="D156" s="3">
        <f>B154</f>
        <v>1920.0000000000005</v>
      </c>
      <c r="E156" s="3">
        <f>C154</f>
        <v>1440</v>
      </c>
      <c r="F156" s="1" t="str">
        <f>D153</f>
        <v>UX4</v>
      </c>
    </row>
    <row r="157" spans="1:10" ht="14.25" customHeight="1" x14ac:dyDescent="0.35">
      <c r="A157" s="32"/>
      <c r="B157" s="3">
        <f>D155</f>
        <v>-1440</v>
      </c>
      <c r="C157" s="3">
        <f>E155</f>
        <v>-1080</v>
      </c>
      <c r="D157" s="3">
        <f>B155</f>
        <v>1440</v>
      </c>
      <c r="E157" s="3">
        <f>C155</f>
        <v>1080</v>
      </c>
      <c r="F157" s="1" t="str">
        <f>E153</f>
        <v>UY4</v>
      </c>
    </row>
    <row r="161" spans="2:10" x14ac:dyDescent="0.35">
      <c r="B161" s="1" t="s">
        <v>4</v>
      </c>
      <c r="C161" s="1" t="s">
        <v>5</v>
      </c>
      <c r="D161" s="1" t="s">
        <v>6</v>
      </c>
      <c r="E161" s="1" t="s">
        <v>7</v>
      </c>
      <c r="F161" s="1" t="s">
        <v>1</v>
      </c>
      <c r="G161" s="1" t="s">
        <v>3</v>
      </c>
      <c r="H161" s="1" t="s">
        <v>0</v>
      </c>
      <c r="I161" s="1" t="s">
        <v>2</v>
      </c>
      <c r="J161" s="1"/>
    </row>
    <row r="162" spans="2:10" x14ac:dyDescent="0.35">
      <c r="B162" s="3"/>
      <c r="C162" s="3"/>
      <c r="D162" s="3"/>
      <c r="E162" s="3"/>
      <c r="F162" s="3"/>
      <c r="G162" s="3"/>
      <c r="H162" s="3"/>
      <c r="I162" s="3"/>
      <c r="J162" s="1" t="str">
        <f>B161</f>
        <v>UX1</v>
      </c>
    </row>
    <row r="163" spans="2:10" x14ac:dyDescent="0.35">
      <c r="B163" s="3"/>
      <c r="C163" s="3"/>
      <c r="D163" s="3"/>
      <c r="E163" s="3"/>
      <c r="F163" s="3"/>
      <c r="G163" s="3"/>
      <c r="H163" s="3"/>
      <c r="I163" s="3"/>
      <c r="J163" s="1" t="str">
        <f>C161</f>
        <v>UY1</v>
      </c>
    </row>
    <row r="164" spans="2:10" x14ac:dyDescent="0.35">
      <c r="B164" s="3"/>
      <c r="C164" s="3"/>
      <c r="D164" s="3">
        <f>B154</f>
        <v>1920.0000000000005</v>
      </c>
      <c r="E164" s="3">
        <f>C154</f>
        <v>1440</v>
      </c>
      <c r="F164" s="3"/>
      <c r="G164" s="3"/>
      <c r="H164" s="3">
        <f>D154</f>
        <v>-1920.0000000000005</v>
      </c>
      <c r="I164" s="3">
        <f>E154</f>
        <v>-1440</v>
      </c>
      <c r="J164" s="1" t="str">
        <f>D161</f>
        <v>UX2</v>
      </c>
    </row>
    <row r="165" spans="2:10" x14ac:dyDescent="0.35">
      <c r="B165" s="3"/>
      <c r="C165" s="3"/>
      <c r="D165" s="3">
        <f>B155</f>
        <v>1440</v>
      </c>
      <c r="E165" s="3">
        <f>C155</f>
        <v>1080</v>
      </c>
      <c r="F165" s="3"/>
      <c r="G165" s="3"/>
      <c r="H165" s="3">
        <f>D155</f>
        <v>-1440</v>
      </c>
      <c r="I165" s="3">
        <f>E155</f>
        <v>-1080</v>
      </c>
      <c r="J165" s="1" t="str">
        <f>E161</f>
        <v>UY2</v>
      </c>
    </row>
    <row r="166" spans="2:10" x14ac:dyDescent="0.35">
      <c r="B166" s="3"/>
      <c r="C166" s="3"/>
      <c r="D166" s="3"/>
      <c r="E166" s="3"/>
      <c r="F166" s="3"/>
      <c r="G166" s="3"/>
      <c r="H166" s="3"/>
      <c r="I166" s="3"/>
      <c r="J166" s="1" t="str">
        <f>F161</f>
        <v>UX3</v>
      </c>
    </row>
    <row r="167" spans="2:10" x14ac:dyDescent="0.35">
      <c r="B167" s="3"/>
      <c r="C167" s="3"/>
      <c r="D167" s="3"/>
      <c r="E167" s="3"/>
      <c r="F167" s="3"/>
      <c r="G167" s="3"/>
      <c r="H167" s="3"/>
      <c r="I167" s="3"/>
      <c r="J167" s="1" t="str">
        <f>G161</f>
        <v>UY3</v>
      </c>
    </row>
    <row r="168" spans="2:10" x14ac:dyDescent="0.35">
      <c r="B168" s="3"/>
      <c r="C168" s="3"/>
      <c r="D168" s="3">
        <f>B156</f>
        <v>-1920.0000000000005</v>
      </c>
      <c r="E168" s="3">
        <f>C156</f>
        <v>-1440</v>
      </c>
      <c r="F168" s="3"/>
      <c r="G168" s="3"/>
      <c r="H168" s="3">
        <f>D156</f>
        <v>1920.0000000000005</v>
      </c>
      <c r="I168" s="3">
        <f>E156</f>
        <v>1440</v>
      </c>
      <c r="J168" s="1" t="str">
        <f>H161</f>
        <v>UX4</v>
      </c>
    </row>
    <row r="169" spans="2:10" x14ac:dyDescent="0.35">
      <c r="B169" s="3"/>
      <c r="C169" s="3"/>
      <c r="D169" s="3">
        <f>B157</f>
        <v>-1440</v>
      </c>
      <c r="E169" s="3">
        <f>C157</f>
        <v>-1080</v>
      </c>
      <c r="F169" s="3"/>
      <c r="G169" s="3"/>
      <c r="H169" s="3">
        <f>D157</f>
        <v>1440</v>
      </c>
      <c r="I169" s="3">
        <f>E157</f>
        <v>1080</v>
      </c>
      <c r="J169" s="1" t="str">
        <f>I161</f>
        <v>UY4</v>
      </c>
    </row>
    <row r="174" spans="2:10" x14ac:dyDescent="0.35">
      <c r="D174" s="130" t="s">
        <v>28</v>
      </c>
      <c r="E174" s="130"/>
      <c r="F174" s="130"/>
      <c r="G174" s="130"/>
    </row>
    <row r="175" spans="2:10" x14ac:dyDescent="0.35">
      <c r="B175" s="1" t="s">
        <v>4</v>
      </c>
      <c r="C175" s="1" t="s">
        <v>5</v>
      </c>
      <c r="D175" s="1" t="s">
        <v>6</v>
      </c>
      <c r="E175" s="1" t="s">
        <v>7</v>
      </c>
      <c r="F175" s="1" t="s">
        <v>1</v>
      </c>
      <c r="G175" s="1" t="s">
        <v>3</v>
      </c>
      <c r="H175" s="1" t="s">
        <v>0</v>
      </c>
      <c r="I175" s="1" t="s">
        <v>2</v>
      </c>
      <c r="J175" s="1"/>
    </row>
    <row r="176" spans="2:10" x14ac:dyDescent="0.35">
      <c r="B176" s="6">
        <f t="shared" ref="B176:I183" si="4">B162+B140+B117+B92+B67</f>
        <v>3474.3416490252566</v>
      </c>
      <c r="C176" s="3">
        <f t="shared" si="4"/>
        <v>1423.0249470757703</v>
      </c>
      <c r="D176" s="3">
        <f t="shared" si="4"/>
        <v>-3000</v>
      </c>
      <c r="E176" s="3">
        <f t="shared" si="4"/>
        <v>0</v>
      </c>
      <c r="F176" s="3">
        <f t="shared" si="4"/>
        <v>0</v>
      </c>
      <c r="G176" s="3">
        <f t="shared" si="4"/>
        <v>0</v>
      </c>
      <c r="H176" s="3">
        <f t="shared" si="4"/>
        <v>-474.34164902525674</v>
      </c>
      <c r="I176" s="3">
        <f t="shared" si="4"/>
        <v>-1423.0249470757703</v>
      </c>
      <c r="J176" s="1" t="str">
        <f>B175</f>
        <v>UX1</v>
      </c>
    </row>
    <row r="177" spans="2:11" x14ac:dyDescent="0.35">
      <c r="B177" s="3">
        <f t="shared" si="4"/>
        <v>1423.0249470757703</v>
      </c>
      <c r="C177" s="6">
        <f t="shared" si="4"/>
        <v>4269.0748412273115</v>
      </c>
      <c r="D177" s="3">
        <f t="shared" si="4"/>
        <v>0</v>
      </c>
      <c r="E177" s="3">
        <f t="shared" si="4"/>
        <v>0</v>
      </c>
      <c r="F177" s="3">
        <f t="shared" si="4"/>
        <v>0</v>
      </c>
      <c r="G177" s="3">
        <f t="shared" si="4"/>
        <v>0</v>
      </c>
      <c r="H177" s="3">
        <f t="shared" si="4"/>
        <v>-1423.0249470757703</v>
      </c>
      <c r="I177" s="3">
        <f t="shared" si="4"/>
        <v>-4269.0748412273115</v>
      </c>
      <c r="J177" s="1" t="str">
        <f>C175</f>
        <v>UY1</v>
      </c>
    </row>
    <row r="178" spans="2:11" x14ac:dyDescent="0.35">
      <c r="B178" s="3">
        <f t="shared" si="4"/>
        <v>-3000</v>
      </c>
      <c r="C178" s="3">
        <f t="shared" si="4"/>
        <v>0</v>
      </c>
      <c r="D178" s="6">
        <f t="shared" si="4"/>
        <v>4920</v>
      </c>
      <c r="E178" s="3">
        <f t="shared" si="4"/>
        <v>1440</v>
      </c>
      <c r="F178" s="3">
        <f t="shared" si="4"/>
        <v>0</v>
      </c>
      <c r="G178" s="3">
        <f t="shared" si="4"/>
        <v>0</v>
      </c>
      <c r="H178" s="3">
        <f t="shared" si="4"/>
        <v>-1920.0000000000005</v>
      </c>
      <c r="I178" s="3">
        <f t="shared" si="4"/>
        <v>-1440</v>
      </c>
      <c r="J178" s="1" t="str">
        <f>D175</f>
        <v>UX2</v>
      </c>
    </row>
    <row r="179" spans="2:11" x14ac:dyDescent="0.35">
      <c r="B179" s="3">
        <f t="shared" si="4"/>
        <v>0</v>
      </c>
      <c r="C179" s="3">
        <f t="shared" si="4"/>
        <v>0</v>
      </c>
      <c r="D179" s="3">
        <f t="shared" si="4"/>
        <v>1440</v>
      </c>
      <c r="E179" s="6">
        <f t="shared" si="4"/>
        <v>8580</v>
      </c>
      <c r="F179" s="3">
        <f t="shared" si="4"/>
        <v>0</v>
      </c>
      <c r="G179" s="3">
        <f t="shared" si="4"/>
        <v>-7500</v>
      </c>
      <c r="H179" s="3">
        <f t="shared" si="4"/>
        <v>-1440</v>
      </c>
      <c r="I179" s="3">
        <f t="shared" si="4"/>
        <v>-1080</v>
      </c>
      <c r="J179" s="1" t="str">
        <f>E175</f>
        <v>UY2</v>
      </c>
    </row>
    <row r="180" spans="2:11" x14ac:dyDescent="0.35">
      <c r="B180" s="3">
        <f t="shared" si="4"/>
        <v>0</v>
      </c>
      <c r="C180" s="3">
        <f t="shared" si="4"/>
        <v>0</v>
      </c>
      <c r="D180" s="3">
        <f t="shared" si="4"/>
        <v>0</v>
      </c>
      <c r="E180" s="3">
        <f t="shared" si="4"/>
        <v>0</v>
      </c>
      <c r="F180" s="6">
        <f t="shared" si="4"/>
        <v>3424.0323534541121</v>
      </c>
      <c r="G180" s="3">
        <f t="shared" si="4"/>
        <v>856.00808836352803</v>
      </c>
      <c r="H180" s="3">
        <f t="shared" si="4"/>
        <v>-3424.0323534541121</v>
      </c>
      <c r="I180" s="3">
        <f t="shared" si="4"/>
        <v>-856.00808836352803</v>
      </c>
      <c r="J180" s="1" t="str">
        <f>F175</f>
        <v>UX3</v>
      </c>
    </row>
    <row r="181" spans="2:11" x14ac:dyDescent="0.35">
      <c r="B181" s="3">
        <f t="shared" si="4"/>
        <v>0</v>
      </c>
      <c r="C181" s="3">
        <f t="shared" si="4"/>
        <v>0</v>
      </c>
      <c r="D181" s="3">
        <f t="shared" si="4"/>
        <v>0</v>
      </c>
      <c r="E181" s="3">
        <f t="shared" si="4"/>
        <v>-7500</v>
      </c>
      <c r="F181" s="3">
        <f t="shared" si="4"/>
        <v>856.00808836352803</v>
      </c>
      <c r="G181" s="6">
        <f t="shared" si="4"/>
        <v>7714.0020220908818</v>
      </c>
      <c r="H181" s="3">
        <f t="shared" si="4"/>
        <v>-856.00808836352803</v>
      </c>
      <c r="I181" s="3">
        <f t="shared" si="4"/>
        <v>-214.00202209088201</v>
      </c>
      <c r="J181" s="1" t="str">
        <f>G175</f>
        <v>UY3</v>
      </c>
    </row>
    <row r="182" spans="2:11" x14ac:dyDescent="0.35">
      <c r="B182" s="3">
        <f t="shared" si="4"/>
        <v>-474.34164902525674</v>
      </c>
      <c r="C182" s="3">
        <f t="shared" si="4"/>
        <v>-1423.0249470757703</v>
      </c>
      <c r="D182" s="3">
        <f t="shared" si="4"/>
        <v>-1920.0000000000005</v>
      </c>
      <c r="E182" s="3">
        <f t="shared" si="4"/>
        <v>-1440</v>
      </c>
      <c r="F182" s="3">
        <f t="shared" si="4"/>
        <v>-3424.0323534541121</v>
      </c>
      <c r="G182" s="3">
        <f t="shared" si="4"/>
        <v>-856.00808836352803</v>
      </c>
      <c r="H182" s="6">
        <f t="shared" si="4"/>
        <v>5818.3740024793697</v>
      </c>
      <c r="I182" s="3">
        <f t="shared" si="4"/>
        <v>3719.0330354392981</v>
      </c>
      <c r="J182" s="1" t="str">
        <f>H175</f>
        <v>UX4</v>
      </c>
    </row>
    <row r="183" spans="2:11" x14ac:dyDescent="0.35">
      <c r="B183" s="3">
        <f t="shared" si="4"/>
        <v>-1423.0249470757703</v>
      </c>
      <c r="C183" s="3">
        <f t="shared" si="4"/>
        <v>-4269.0748412273115</v>
      </c>
      <c r="D183" s="3">
        <f t="shared" si="4"/>
        <v>-1440</v>
      </c>
      <c r="E183" s="3">
        <f t="shared" si="4"/>
        <v>-1080</v>
      </c>
      <c r="F183" s="3">
        <f t="shared" si="4"/>
        <v>-856.00808836352803</v>
      </c>
      <c r="G183" s="3">
        <f t="shared" si="4"/>
        <v>-214.00202209088201</v>
      </c>
      <c r="H183" s="3">
        <f t="shared" si="4"/>
        <v>3719.0330354392981</v>
      </c>
      <c r="I183" s="6">
        <f t="shared" si="4"/>
        <v>5563.0768633181933</v>
      </c>
      <c r="J183" s="1" t="str">
        <f>I175</f>
        <v>UY4</v>
      </c>
    </row>
    <row r="189" spans="2:11" x14ac:dyDescent="0.35">
      <c r="B189" s="131" t="s">
        <v>29</v>
      </c>
      <c r="C189" s="132"/>
      <c r="D189" s="132"/>
      <c r="E189" s="132"/>
      <c r="F189" s="132"/>
    </row>
    <row r="190" spans="2:11" x14ac:dyDescent="0.35">
      <c r="B190" s="8" t="s">
        <v>30</v>
      </c>
      <c r="C190" s="8" t="str">
        <f t="shared" ref="C190:C197" si="5">J176</f>
        <v>UX1</v>
      </c>
      <c r="D190" s="9"/>
      <c r="E190" s="8">
        <v>2000</v>
      </c>
      <c r="F190" s="8" t="str">
        <f t="shared" ref="F190:F197" si="6">C190</f>
        <v>UX1</v>
      </c>
      <c r="I190" s="8" t="s">
        <v>30</v>
      </c>
      <c r="K190">
        <v>2000</v>
      </c>
    </row>
    <row r="191" spans="2:11" x14ac:dyDescent="0.35">
      <c r="B191" s="10" t="s">
        <v>31</v>
      </c>
      <c r="C191" s="8" t="str">
        <f t="shared" si="5"/>
        <v>UY1</v>
      </c>
      <c r="D191" s="9"/>
      <c r="E191" s="10">
        <v>-1000</v>
      </c>
      <c r="F191" s="10" t="str">
        <f t="shared" si="6"/>
        <v>UY1</v>
      </c>
      <c r="I191" s="10" t="s">
        <v>31</v>
      </c>
      <c r="K191">
        <v>-1000</v>
      </c>
    </row>
    <row r="192" spans="2:11" x14ac:dyDescent="0.35">
      <c r="B192" s="10" t="s">
        <v>32</v>
      </c>
      <c r="C192" s="8" t="str">
        <f t="shared" si="5"/>
        <v>UX2</v>
      </c>
      <c r="D192" s="9" t="s">
        <v>33</v>
      </c>
      <c r="E192" s="8" t="s">
        <v>32</v>
      </c>
      <c r="F192" s="10" t="str">
        <f t="shared" si="6"/>
        <v>UX2</v>
      </c>
      <c r="I192" s="10" t="s">
        <v>32</v>
      </c>
      <c r="K192" t="str">
        <f>I192</f>
        <v>C2X</v>
      </c>
    </row>
    <row r="193" spans="2:11" x14ac:dyDescent="0.35">
      <c r="B193" s="10" t="s">
        <v>34</v>
      </c>
      <c r="C193" s="8" t="str">
        <f t="shared" si="5"/>
        <v>UY2</v>
      </c>
      <c r="D193" s="9"/>
      <c r="E193" s="10" t="s">
        <v>34</v>
      </c>
      <c r="F193" s="10" t="str">
        <f t="shared" si="6"/>
        <v>UY2</v>
      </c>
      <c r="I193" s="10" t="s">
        <v>34</v>
      </c>
      <c r="K193" t="str">
        <f>I193</f>
        <v>C2Y</v>
      </c>
    </row>
    <row r="194" spans="2:11" x14ac:dyDescent="0.35">
      <c r="B194" s="10" t="s">
        <v>35</v>
      </c>
      <c r="C194" s="8" t="str">
        <f t="shared" si="5"/>
        <v>UX3</v>
      </c>
      <c r="D194" s="9"/>
      <c r="E194" s="10">
        <v>1000</v>
      </c>
      <c r="F194" s="10" t="str">
        <f t="shared" si="6"/>
        <v>UX3</v>
      </c>
      <c r="I194" s="10" t="s">
        <v>35</v>
      </c>
      <c r="K194">
        <v>1000</v>
      </c>
    </row>
    <row r="195" spans="2:11" x14ac:dyDescent="0.35">
      <c r="B195" s="10" t="s">
        <v>36</v>
      </c>
      <c r="C195" s="8" t="str">
        <f t="shared" si="5"/>
        <v>UY3</v>
      </c>
      <c r="D195" s="9"/>
      <c r="E195" s="10">
        <v>-2000</v>
      </c>
      <c r="F195" s="10" t="str">
        <f t="shared" si="6"/>
        <v>UY3</v>
      </c>
      <c r="I195" s="10" t="s">
        <v>36</v>
      </c>
      <c r="K195">
        <v>-2000</v>
      </c>
    </row>
    <row r="196" spans="2:11" x14ac:dyDescent="0.35">
      <c r="B196" s="10" t="s">
        <v>37</v>
      </c>
      <c r="C196" s="8" t="str">
        <f t="shared" si="5"/>
        <v>UX4</v>
      </c>
      <c r="E196" s="8" t="s">
        <v>37</v>
      </c>
      <c r="F196" s="10" t="str">
        <f t="shared" si="6"/>
        <v>UX4</v>
      </c>
      <c r="I196" s="10" t="s">
        <v>37</v>
      </c>
      <c r="K196" t="str">
        <f>I196</f>
        <v>C4X</v>
      </c>
    </row>
    <row r="197" spans="2:11" x14ac:dyDescent="0.35">
      <c r="B197" s="10" t="s">
        <v>38</v>
      </c>
      <c r="C197" s="8" t="str">
        <f t="shared" si="5"/>
        <v>UY4</v>
      </c>
      <c r="E197" s="10" t="s">
        <v>38</v>
      </c>
      <c r="F197" s="10" t="str">
        <f t="shared" si="6"/>
        <v>UY4</v>
      </c>
      <c r="I197" s="10" t="s">
        <v>38</v>
      </c>
      <c r="K197" t="str">
        <f>I197</f>
        <v>C4Y</v>
      </c>
    </row>
    <row r="205" spans="2:11" x14ac:dyDescent="0.35">
      <c r="B205" s="135" t="s">
        <v>39</v>
      </c>
      <c r="C205" s="136"/>
      <c r="D205" s="136"/>
      <c r="E205" s="136"/>
      <c r="F205" s="137"/>
    </row>
    <row r="206" spans="2:11" x14ac:dyDescent="0.35">
      <c r="B206" s="8" t="s">
        <v>40</v>
      </c>
      <c r="C206" s="8" t="str">
        <f t="shared" ref="C206:C213" si="7">C190</f>
        <v>UX1</v>
      </c>
      <c r="D206" s="9"/>
      <c r="E206" s="8" t="s">
        <v>40</v>
      </c>
      <c r="F206" s="8" t="str">
        <f t="shared" ref="F206:F213" si="8">C206</f>
        <v>UX1</v>
      </c>
      <c r="I206" s="8" t="s">
        <v>40</v>
      </c>
      <c r="K206" s="9" t="str">
        <f>I206</f>
        <v>D1X</v>
      </c>
    </row>
    <row r="207" spans="2:11" x14ac:dyDescent="0.35">
      <c r="B207" s="10" t="s">
        <v>41</v>
      </c>
      <c r="C207" s="8" t="str">
        <f t="shared" si="7"/>
        <v>UY1</v>
      </c>
      <c r="D207" s="9"/>
      <c r="E207" s="8" t="s">
        <v>41</v>
      </c>
      <c r="F207" s="10" t="str">
        <f t="shared" si="8"/>
        <v>UY1</v>
      </c>
      <c r="I207" s="10" t="s">
        <v>41</v>
      </c>
      <c r="K207" s="9" t="str">
        <f>I207</f>
        <v>D1Y</v>
      </c>
    </row>
    <row r="208" spans="2:11" x14ac:dyDescent="0.35">
      <c r="B208" s="10" t="s">
        <v>42</v>
      </c>
      <c r="C208" s="8" t="str">
        <f t="shared" si="7"/>
        <v>UX2</v>
      </c>
      <c r="D208" s="9" t="s">
        <v>33</v>
      </c>
      <c r="E208" s="10">
        <v>0</v>
      </c>
      <c r="F208" s="10" t="str">
        <f t="shared" si="8"/>
        <v>UX2</v>
      </c>
      <c r="I208" s="10" t="s">
        <v>42</v>
      </c>
      <c r="K208" s="9">
        <v>0</v>
      </c>
    </row>
    <row r="209" spans="2:12" x14ac:dyDescent="0.35">
      <c r="B209" s="10" t="s">
        <v>43</v>
      </c>
      <c r="C209" s="8" t="str">
        <f t="shared" si="7"/>
        <v>UY2</v>
      </c>
      <c r="D209" s="9"/>
      <c r="E209" s="10">
        <v>0</v>
      </c>
      <c r="F209" s="10" t="str">
        <f t="shared" si="8"/>
        <v>UY2</v>
      </c>
      <c r="I209" s="10" t="s">
        <v>43</v>
      </c>
      <c r="K209" s="9">
        <v>0</v>
      </c>
    </row>
    <row r="210" spans="2:12" x14ac:dyDescent="0.35">
      <c r="B210" s="10" t="s">
        <v>44</v>
      </c>
      <c r="C210" s="8" t="str">
        <f t="shared" si="7"/>
        <v>UX3</v>
      </c>
      <c r="D210" s="9"/>
      <c r="E210" s="10" t="str">
        <f>B210</f>
        <v>D3X</v>
      </c>
      <c r="F210" s="10" t="str">
        <f t="shared" si="8"/>
        <v>UX3</v>
      </c>
      <c r="I210" s="10" t="s">
        <v>44</v>
      </c>
      <c r="K210" s="9" t="str">
        <f>I210</f>
        <v>D3X</v>
      </c>
    </row>
    <row r="211" spans="2:12" x14ac:dyDescent="0.35">
      <c r="B211" s="10" t="s">
        <v>45</v>
      </c>
      <c r="C211" s="8" t="str">
        <f t="shared" si="7"/>
        <v>UY3</v>
      </c>
      <c r="D211" s="9"/>
      <c r="E211" s="10" t="str">
        <f>B211</f>
        <v>D3Y</v>
      </c>
      <c r="F211" s="10" t="str">
        <f t="shared" si="8"/>
        <v>UY3</v>
      </c>
      <c r="I211" s="10" t="s">
        <v>45</v>
      </c>
      <c r="K211" s="9" t="str">
        <f>I211</f>
        <v>D3Y</v>
      </c>
    </row>
    <row r="212" spans="2:12" x14ac:dyDescent="0.35">
      <c r="B212" s="10" t="s">
        <v>46</v>
      </c>
      <c r="C212" s="8" t="str">
        <f t="shared" si="7"/>
        <v>UX4</v>
      </c>
      <c r="E212" s="10">
        <v>0</v>
      </c>
      <c r="F212" s="10" t="str">
        <f t="shared" si="8"/>
        <v>UX4</v>
      </c>
      <c r="I212" s="10" t="s">
        <v>46</v>
      </c>
      <c r="K212" s="9">
        <v>0</v>
      </c>
    </row>
    <row r="213" spans="2:12" x14ac:dyDescent="0.35">
      <c r="B213" s="10" t="s">
        <v>47</v>
      </c>
      <c r="C213" s="8" t="str">
        <f t="shared" si="7"/>
        <v>UY4</v>
      </c>
      <c r="E213" s="10">
        <v>0</v>
      </c>
      <c r="F213" s="10" t="str">
        <f t="shared" si="8"/>
        <v>UY4</v>
      </c>
      <c r="I213" s="10" t="s">
        <v>47</v>
      </c>
      <c r="K213" s="9">
        <v>0</v>
      </c>
    </row>
    <row r="219" spans="2:12" x14ac:dyDescent="0.35">
      <c r="B219" s="127" t="s">
        <v>48</v>
      </c>
      <c r="C219" s="128"/>
      <c r="D219" s="128"/>
      <c r="E219" s="128"/>
      <c r="F219" s="128"/>
      <c r="G219" s="128"/>
      <c r="H219" s="128"/>
      <c r="I219" s="128"/>
      <c r="J219" s="128"/>
      <c r="K219" s="129"/>
    </row>
    <row r="220" spans="2:12" x14ac:dyDescent="0.35">
      <c r="B220" s="8">
        <f t="shared" ref="B220:B227" si="9">E190</f>
        <v>2000</v>
      </c>
      <c r="C220" s="9"/>
      <c r="D220" s="101">
        <f t="shared" ref="D220:K227" si="10">B176</f>
        <v>3474.3416490252566</v>
      </c>
      <c r="E220" s="101">
        <f t="shared" si="10"/>
        <v>1423.0249470757703</v>
      </c>
      <c r="F220" s="106">
        <f t="shared" si="10"/>
        <v>-3000</v>
      </c>
      <c r="G220" s="106">
        <f t="shared" si="10"/>
        <v>0</v>
      </c>
      <c r="H220" s="101">
        <f t="shared" si="10"/>
        <v>0</v>
      </c>
      <c r="I220" s="101">
        <f t="shared" si="10"/>
        <v>0</v>
      </c>
      <c r="J220" s="106">
        <f t="shared" si="10"/>
        <v>-474.34164902525674</v>
      </c>
      <c r="K220" s="106">
        <f t="shared" si="10"/>
        <v>-1423.0249470757703</v>
      </c>
      <c r="L220" s="102" t="str">
        <f t="shared" ref="L220:L227" si="11">E206</f>
        <v>D1X</v>
      </c>
    </row>
    <row r="221" spans="2:12" x14ac:dyDescent="0.35">
      <c r="B221" s="8">
        <f t="shared" si="9"/>
        <v>-1000</v>
      </c>
      <c r="C221" s="9"/>
      <c r="D221" s="101">
        <f t="shared" si="10"/>
        <v>1423.0249470757703</v>
      </c>
      <c r="E221" s="101">
        <f t="shared" si="10"/>
        <v>4269.0748412273115</v>
      </c>
      <c r="F221" s="106">
        <f t="shared" si="10"/>
        <v>0</v>
      </c>
      <c r="G221" s="106">
        <f t="shared" si="10"/>
        <v>0</v>
      </c>
      <c r="H221" s="101">
        <f t="shared" si="10"/>
        <v>0</v>
      </c>
      <c r="I221" s="101">
        <f t="shared" si="10"/>
        <v>0</v>
      </c>
      <c r="J221" s="106">
        <f t="shared" si="10"/>
        <v>-1423.0249470757703</v>
      </c>
      <c r="K221" s="106">
        <f t="shared" si="10"/>
        <v>-4269.0748412273115</v>
      </c>
      <c r="L221" s="102" t="str">
        <f t="shared" si="11"/>
        <v>D1Y</v>
      </c>
    </row>
    <row r="222" spans="2:12" x14ac:dyDescent="0.35">
      <c r="B222" s="103" t="str">
        <f t="shared" si="9"/>
        <v>C2X</v>
      </c>
      <c r="C222" s="97"/>
      <c r="D222" s="104">
        <f t="shared" si="10"/>
        <v>-3000</v>
      </c>
      <c r="E222" s="104">
        <f t="shared" si="10"/>
        <v>0</v>
      </c>
      <c r="F222" s="106">
        <f t="shared" si="10"/>
        <v>4920</v>
      </c>
      <c r="G222" s="106">
        <f t="shared" si="10"/>
        <v>1440</v>
      </c>
      <c r="H222" s="104">
        <f t="shared" si="10"/>
        <v>0</v>
      </c>
      <c r="I222" s="104">
        <f t="shared" si="10"/>
        <v>0</v>
      </c>
      <c r="J222" s="106">
        <f t="shared" si="10"/>
        <v>-1920.0000000000005</v>
      </c>
      <c r="K222" s="106">
        <f t="shared" si="10"/>
        <v>-1440</v>
      </c>
      <c r="L222" s="105">
        <f t="shared" si="11"/>
        <v>0</v>
      </c>
    </row>
    <row r="223" spans="2:12" x14ac:dyDescent="0.35">
      <c r="B223" s="103" t="str">
        <f t="shared" si="9"/>
        <v>C2Y</v>
      </c>
      <c r="C223" s="97" t="s">
        <v>33</v>
      </c>
      <c r="D223" s="104">
        <f t="shared" si="10"/>
        <v>0</v>
      </c>
      <c r="E223" s="104">
        <f t="shared" si="10"/>
        <v>0</v>
      </c>
      <c r="F223" s="106">
        <f t="shared" si="10"/>
        <v>1440</v>
      </c>
      <c r="G223" s="106">
        <f t="shared" si="10"/>
        <v>8580</v>
      </c>
      <c r="H223" s="104">
        <f t="shared" si="10"/>
        <v>0</v>
      </c>
      <c r="I223" s="104">
        <f t="shared" si="10"/>
        <v>-7500</v>
      </c>
      <c r="J223" s="106">
        <f t="shared" si="10"/>
        <v>-1440</v>
      </c>
      <c r="K223" s="106">
        <f t="shared" si="10"/>
        <v>-1080</v>
      </c>
      <c r="L223" s="105">
        <f t="shared" si="11"/>
        <v>0</v>
      </c>
    </row>
    <row r="224" spans="2:12" x14ac:dyDescent="0.35">
      <c r="B224" s="8">
        <f t="shared" si="9"/>
        <v>1000</v>
      </c>
      <c r="C224" s="9"/>
      <c r="D224" s="101">
        <f t="shared" si="10"/>
        <v>0</v>
      </c>
      <c r="E224" s="101">
        <f t="shared" si="10"/>
        <v>0</v>
      </c>
      <c r="F224" s="106">
        <f t="shared" si="10"/>
        <v>0</v>
      </c>
      <c r="G224" s="106">
        <f t="shared" si="10"/>
        <v>0</v>
      </c>
      <c r="H224" s="101">
        <f t="shared" si="10"/>
        <v>3424.0323534541121</v>
      </c>
      <c r="I224" s="101">
        <f t="shared" si="10"/>
        <v>856.00808836352803</v>
      </c>
      <c r="J224" s="106">
        <f t="shared" si="10"/>
        <v>-3424.0323534541121</v>
      </c>
      <c r="K224" s="106">
        <f t="shared" si="10"/>
        <v>-856.00808836352803</v>
      </c>
      <c r="L224" s="102" t="str">
        <f t="shared" si="11"/>
        <v>D3X</v>
      </c>
    </row>
    <row r="225" spans="2:12" x14ac:dyDescent="0.35">
      <c r="B225" s="8">
        <f t="shared" si="9"/>
        <v>-2000</v>
      </c>
      <c r="C225" s="9"/>
      <c r="D225" s="101">
        <f t="shared" si="10"/>
        <v>0</v>
      </c>
      <c r="E225" s="101">
        <f t="shared" si="10"/>
        <v>0</v>
      </c>
      <c r="F225" s="106">
        <f t="shared" si="10"/>
        <v>0</v>
      </c>
      <c r="G225" s="106">
        <f t="shared" si="10"/>
        <v>-7500</v>
      </c>
      <c r="H225" s="101">
        <f t="shared" si="10"/>
        <v>856.00808836352803</v>
      </c>
      <c r="I225" s="101">
        <f t="shared" si="10"/>
        <v>7714.0020220908818</v>
      </c>
      <c r="J225" s="106">
        <f t="shared" si="10"/>
        <v>-856.00808836352803</v>
      </c>
      <c r="K225" s="106">
        <f t="shared" si="10"/>
        <v>-214.00202209088201</v>
      </c>
      <c r="L225" s="102" t="str">
        <f t="shared" si="11"/>
        <v>D3Y</v>
      </c>
    </row>
    <row r="226" spans="2:12" x14ac:dyDescent="0.35">
      <c r="B226" s="103" t="str">
        <f t="shared" si="9"/>
        <v>C4X</v>
      </c>
      <c r="C226" s="14"/>
      <c r="D226" s="104">
        <f t="shared" si="10"/>
        <v>-474.34164902525674</v>
      </c>
      <c r="E226" s="104">
        <f t="shared" si="10"/>
        <v>-1423.0249470757703</v>
      </c>
      <c r="F226" s="106">
        <f t="shared" si="10"/>
        <v>-1920.0000000000005</v>
      </c>
      <c r="G226" s="106">
        <f t="shared" si="10"/>
        <v>-1440</v>
      </c>
      <c r="H226" s="104">
        <f t="shared" si="10"/>
        <v>-3424.0323534541121</v>
      </c>
      <c r="I226" s="104">
        <f t="shared" si="10"/>
        <v>-856.00808836352803</v>
      </c>
      <c r="J226" s="106">
        <f t="shared" si="10"/>
        <v>5818.3740024793697</v>
      </c>
      <c r="K226" s="106">
        <f t="shared" si="10"/>
        <v>3719.0330354392981</v>
      </c>
      <c r="L226" s="105">
        <f t="shared" si="11"/>
        <v>0</v>
      </c>
    </row>
    <row r="227" spans="2:12" x14ac:dyDescent="0.35">
      <c r="B227" s="103" t="str">
        <f t="shared" si="9"/>
        <v>C4Y</v>
      </c>
      <c r="C227" s="14"/>
      <c r="D227" s="104">
        <f t="shared" si="10"/>
        <v>-1423.0249470757703</v>
      </c>
      <c r="E227" s="104">
        <f t="shared" si="10"/>
        <v>-4269.0748412273115</v>
      </c>
      <c r="F227" s="106">
        <f t="shared" si="10"/>
        <v>-1440</v>
      </c>
      <c r="G227" s="106">
        <f t="shared" si="10"/>
        <v>-1080</v>
      </c>
      <c r="H227" s="104">
        <f t="shared" si="10"/>
        <v>-856.00808836352803</v>
      </c>
      <c r="I227" s="104">
        <f t="shared" si="10"/>
        <v>-214.00202209088201</v>
      </c>
      <c r="J227" s="106">
        <f t="shared" si="10"/>
        <v>3719.0330354392981</v>
      </c>
      <c r="K227" s="106">
        <f t="shared" si="10"/>
        <v>5563.0768633181933</v>
      </c>
      <c r="L227" s="105">
        <f t="shared" si="11"/>
        <v>0</v>
      </c>
    </row>
    <row r="233" spans="2:12" x14ac:dyDescent="0.35">
      <c r="B233" t="s">
        <v>49</v>
      </c>
    </row>
    <row r="235" spans="2:12" x14ac:dyDescent="0.35">
      <c r="B235" s="3">
        <f>+B220</f>
        <v>2000</v>
      </c>
      <c r="D235" s="26">
        <f>+D220</f>
        <v>3474.3416490252566</v>
      </c>
      <c r="E235" s="26">
        <f>+E220</f>
        <v>1423.0249470757703</v>
      </c>
      <c r="F235" s="26">
        <f>+H220</f>
        <v>0</v>
      </c>
      <c r="G235" s="26">
        <f>+I220</f>
        <v>0</v>
      </c>
      <c r="H235" s="20"/>
      <c r="J235" s="107" t="str">
        <f>L220</f>
        <v>D1X</v>
      </c>
    </row>
    <row r="236" spans="2:12" x14ac:dyDescent="0.35">
      <c r="B236" s="3">
        <f>+B221</f>
        <v>-1000</v>
      </c>
      <c r="D236" s="26">
        <f>+D221</f>
        <v>1423.0249470757703</v>
      </c>
      <c r="E236" s="26">
        <f>+E221</f>
        <v>4269.0748412273115</v>
      </c>
      <c r="F236" s="26">
        <f>+H221</f>
        <v>0</v>
      </c>
      <c r="G236" s="26">
        <f>+I221</f>
        <v>0</v>
      </c>
      <c r="H236" s="20"/>
      <c r="J236" s="107" t="str">
        <f>L221</f>
        <v>D1Y</v>
      </c>
    </row>
    <row r="237" spans="2:12" x14ac:dyDescent="0.35">
      <c r="B237" s="3">
        <f>+B224</f>
        <v>1000</v>
      </c>
      <c r="C237" t="s">
        <v>33</v>
      </c>
      <c r="D237" s="26">
        <f>+D224</f>
        <v>0</v>
      </c>
      <c r="E237" s="26">
        <f>+E224</f>
        <v>0</v>
      </c>
      <c r="F237" s="26">
        <f>+H224</f>
        <v>3424.0323534541121</v>
      </c>
      <c r="G237" s="26">
        <f>+I224</f>
        <v>856.00808836352803</v>
      </c>
      <c r="H237" s="20"/>
      <c r="I237" t="s">
        <v>50</v>
      </c>
      <c r="J237" s="107" t="str">
        <f>L224</f>
        <v>D3X</v>
      </c>
    </row>
    <row r="238" spans="2:12" x14ac:dyDescent="0.35">
      <c r="B238" s="3">
        <f>+B225</f>
        <v>-2000</v>
      </c>
      <c r="D238" s="26">
        <f>+D225</f>
        <v>0</v>
      </c>
      <c r="E238" s="26">
        <f>+E225</f>
        <v>0</v>
      </c>
      <c r="F238" s="26">
        <f>+H225</f>
        <v>856.00808836352803</v>
      </c>
      <c r="G238" s="26">
        <f>+I225</f>
        <v>7714.0020220908818</v>
      </c>
      <c r="H238" s="20"/>
      <c r="J238" s="107" t="str">
        <f>L225</f>
        <v>D3Y</v>
      </c>
    </row>
    <row r="239" spans="2:12" x14ac:dyDescent="0.35">
      <c r="B239" s="19"/>
      <c r="D239" s="20"/>
      <c r="E239" s="20"/>
      <c r="F239" s="20"/>
      <c r="G239" s="20"/>
      <c r="H239" s="20"/>
      <c r="J239" s="21"/>
    </row>
    <row r="243" spans="2:10" x14ac:dyDescent="0.35">
      <c r="B243" s="21" t="str">
        <f>J235</f>
        <v>D1X</v>
      </c>
      <c r="D243" s="19">
        <f t="array" ref="D243:G246">+MINVERSE(D235:G238)</f>
        <v>3.3333333333333338E-4</v>
      </c>
      <c r="E243" s="19">
        <v>-1.111111111111111E-4</v>
      </c>
      <c r="F243" s="19">
        <v>0</v>
      </c>
      <c r="G243" s="19">
        <v>0</v>
      </c>
      <c r="H243" s="19"/>
      <c r="J243" s="19">
        <f>B235</f>
        <v>2000</v>
      </c>
    </row>
    <row r="244" spans="2:10" x14ac:dyDescent="0.35">
      <c r="B244" s="21" t="str">
        <f>J236</f>
        <v>D1Y</v>
      </c>
      <c r="D244" s="19">
        <v>-1.111111111111111E-4</v>
      </c>
      <c r="E244" s="19">
        <v>2.7127982667913924E-4</v>
      </c>
      <c r="F244" s="19">
        <v>0</v>
      </c>
      <c r="G244" s="19">
        <v>0</v>
      </c>
      <c r="H244" s="19"/>
      <c r="J244" s="19">
        <f>B236</f>
        <v>-1000</v>
      </c>
    </row>
    <row r="245" spans="2:10" x14ac:dyDescent="0.35">
      <c r="B245" s="21" t="str">
        <f>J237</f>
        <v>D3X</v>
      </c>
      <c r="C245" t="s">
        <v>33</v>
      </c>
      <c r="D245" s="19">
        <v>0</v>
      </c>
      <c r="E245" s="19">
        <v>0</v>
      </c>
      <c r="F245" s="19">
        <v>3.0038664848125105E-4</v>
      </c>
      <c r="G245" s="19">
        <v>-3.3333333333333335E-5</v>
      </c>
      <c r="H245" s="19"/>
      <c r="I245" t="s">
        <v>50</v>
      </c>
      <c r="J245" s="19">
        <f>B237</f>
        <v>1000</v>
      </c>
    </row>
    <row r="246" spans="2:10" x14ac:dyDescent="0.35">
      <c r="B246" s="21" t="str">
        <f>J238</f>
        <v>D3Y</v>
      </c>
      <c r="D246" s="19">
        <v>0</v>
      </c>
      <c r="E246" s="19">
        <v>0</v>
      </c>
      <c r="F246" s="19">
        <v>-3.3333333333333335E-5</v>
      </c>
      <c r="G246" s="19">
        <v>1.3333333333333334E-4</v>
      </c>
      <c r="H246" s="19"/>
      <c r="J246" s="19">
        <f>B238</f>
        <v>-2000</v>
      </c>
    </row>
    <row r="247" spans="2:10" x14ac:dyDescent="0.35">
      <c r="B247" s="21">
        <f>J239</f>
        <v>0</v>
      </c>
      <c r="D247" s="19"/>
      <c r="E247" s="19"/>
      <c r="F247" s="19"/>
      <c r="G247" s="19"/>
      <c r="H247" s="19"/>
      <c r="J247" s="19"/>
    </row>
    <row r="251" spans="2:10" x14ac:dyDescent="0.35">
      <c r="B251" s="22" t="str">
        <f>B243</f>
        <v>D1X</v>
      </c>
      <c r="D251" s="23">
        <f t="array" ref="D251:D254">+MMULT(_xlfn.ANCHORARRAY(D243),J243:J246)</f>
        <v>0.7777777777777779</v>
      </c>
    </row>
    <row r="252" spans="2:10" x14ac:dyDescent="0.35">
      <c r="B252" s="22" t="str">
        <f>B244</f>
        <v>D1Y</v>
      </c>
      <c r="D252" s="23">
        <v>-0.49350204890136146</v>
      </c>
    </row>
    <row r="253" spans="2:10" x14ac:dyDescent="0.35">
      <c r="B253" s="22" t="str">
        <f>B245</f>
        <v>D3X</v>
      </c>
      <c r="C253" t="s">
        <v>33</v>
      </c>
      <c r="D253" s="23">
        <v>0.36705331514791772</v>
      </c>
    </row>
    <row r="254" spans="2:10" x14ac:dyDescent="0.35">
      <c r="B254" s="22" t="str">
        <f>B246</f>
        <v>D3Y</v>
      </c>
      <c r="D254" s="23">
        <v>-0.3</v>
      </c>
    </row>
    <row r="255" spans="2:10" x14ac:dyDescent="0.35">
      <c r="B255" s="22"/>
      <c r="D255" s="23"/>
    </row>
    <row r="259" spans="2:10" x14ac:dyDescent="0.35">
      <c r="B259" t="s">
        <v>51</v>
      </c>
    </row>
    <row r="261" spans="2:10" x14ac:dyDescent="0.35">
      <c r="B261" s="15" t="str">
        <f>+B222</f>
        <v>C2X</v>
      </c>
      <c r="D261" s="24">
        <f>+D222</f>
        <v>-3000</v>
      </c>
      <c r="E261" s="24">
        <f>+E222</f>
        <v>0</v>
      </c>
      <c r="F261" s="24">
        <f>+H222</f>
        <v>0</v>
      </c>
      <c r="G261" s="24">
        <f>+I222</f>
        <v>0</v>
      </c>
      <c r="H261" s="24"/>
      <c r="J261" s="20">
        <f>D251</f>
        <v>0.7777777777777779</v>
      </c>
    </row>
    <row r="262" spans="2:10" x14ac:dyDescent="0.35">
      <c r="B262" s="15" t="str">
        <f>+B223</f>
        <v>C2Y</v>
      </c>
      <c r="D262" s="24">
        <f>+D223</f>
        <v>0</v>
      </c>
      <c r="E262" s="24">
        <f>+E223</f>
        <v>0</v>
      </c>
      <c r="F262" s="24">
        <f>+H223</f>
        <v>0</v>
      </c>
      <c r="G262" s="24">
        <f>+I223</f>
        <v>-7500</v>
      </c>
      <c r="H262" s="24"/>
      <c r="I262" t="s">
        <v>50</v>
      </c>
      <c r="J262" s="20">
        <f>D252</f>
        <v>-0.49350204890136146</v>
      </c>
    </row>
    <row r="263" spans="2:10" x14ac:dyDescent="0.35">
      <c r="B263" s="15" t="str">
        <f>+B226</f>
        <v>C4X</v>
      </c>
      <c r="D263" s="24">
        <f>+D226</f>
        <v>-474.34164902525674</v>
      </c>
      <c r="E263" s="24">
        <f>+E226</f>
        <v>-1423.0249470757703</v>
      </c>
      <c r="F263" s="24">
        <f>+H226</f>
        <v>-3424.0323534541121</v>
      </c>
      <c r="G263" s="24">
        <f>+I226</f>
        <v>-856.00808836352803</v>
      </c>
      <c r="H263" s="24"/>
      <c r="J263" s="20">
        <f>D253</f>
        <v>0.36705331514791772</v>
      </c>
    </row>
    <row r="264" spans="2:10" x14ac:dyDescent="0.35">
      <c r="B264" s="15" t="str">
        <f>+B227</f>
        <v>C4Y</v>
      </c>
      <c r="D264" s="24">
        <f>+D227</f>
        <v>-1423.0249470757703</v>
      </c>
      <c r="E264" s="24">
        <f>+E227</f>
        <v>-4269.0748412273115</v>
      </c>
      <c r="F264" s="24">
        <f>+H227</f>
        <v>-856.00808836352803</v>
      </c>
      <c r="G264" s="24">
        <f>+I227</f>
        <v>-214.00202209088201</v>
      </c>
      <c r="J264" s="20">
        <f>D254</f>
        <v>-0.3</v>
      </c>
    </row>
    <row r="265" spans="2:10" x14ac:dyDescent="0.35">
      <c r="J265" s="20"/>
    </row>
    <row r="266" spans="2:10" x14ac:dyDescent="0.35">
      <c r="B266" s="11"/>
    </row>
    <row r="267" spans="2:10" x14ac:dyDescent="0.35">
      <c r="B267" s="11"/>
    </row>
    <row r="268" spans="2:10" x14ac:dyDescent="0.35">
      <c r="B268" s="15" t="str">
        <f>+B261</f>
        <v>C2X</v>
      </c>
      <c r="D268" s="18">
        <f t="array" ref="D268:D271">+MMULT(D261:G264,J261:J264)</f>
        <v>-2333.3333333333335</v>
      </c>
    </row>
    <row r="269" spans="2:10" x14ac:dyDescent="0.35">
      <c r="B269" s="15" t="str">
        <f>+B262</f>
        <v>C2Y</v>
      </c>
      <c r="D269" s="18">
        <v>2250</v>
      </c>
    </row>
    <row r="270" spans="2:10" x14ac:dyDescent="0.35">
      <c r="B270" s="15" t="str">
        <f>+B263</f>
        <v>C4X</v>
      </c>
      <c r="D270" s="18">
        <v>-666.66666666666697</v>
      </c>
    </row>
    <row r="271" spans="2:10" x14ac:dyDescent="0.35">
      <c r="B271" s="15" t="str">
        <f>+B264</f>
        <v>C4Y</v>
      </c>
      <c r="D271">
        <v>749.99999999999966</v>
      </c>
    </row>
    <row r="273" spans="2:8" x14ac:dyDescent="0.35">
      <c r="B273" t="s">
        <v>52</v>
      </c>
      <c r="F273" t="s">
        <v>53</v>
      </c>
    </row>
    <row r="275" spans="2:8" x14ac:dyDescent="0.35">
      <c r="F275" s="11"/>
    </row>
    <row r="276" spans="2:8" x14ac:dyDescent="0.35">
      <c r="B276" s="3" t="str">
        <f t="shared" ref="B276:B283" si="12">C206</f>
        <v>UX1</v>
      </c>
      <c r="C276" s="19">
        <f>+D251</f>
        <v>0.7777777777777779</v>
      </c>
      <c r="F276" s="15" t="str">
        <f>B268</f>
        <v>C2X</v>
      </c>
      <c r="H276" s="18">
        <f>D268</f>
        <v>-2333.3333333333335</v>
      </c>
    </row>
    <row r="277" spans="2:8" x14ac:dyDescent="0.35">
      <c r="B277" s="3" t="str">
        <f t="shared" si="12"/>
        <v>UY1</v>
      </c>
      <c r="C277" s="19">
        <v>0</v>
      </c>
      <c r="F277" s="15" t="str">
        <f>B269</f>
        <v>C2Y</v>
      </c>
      <c r="G277" t="s">
        <v>33</v>
      </c>
      <c r="H277" s="18">
        <f>D269</f>
        <v>2250</v>
      </c>
    </row>
    <row r="278" spans="2:8" x14ac:dyDescent="0.35">
      <c r="B278" s="3" t="str">
        <f t="shared" si="12"/>
        <v>UX2</v>
      </c>
      <c r="C278" s="19">
        <v>0</v>
      </c>
      <c r="F278" s="15" t="str">
        <f>B270</f>
        <v>C4X</v>
      </c>
      <c r="H278" s="18">
        <f>D270</f>
        <v>-666.66666666666697</v>
      </c>
    </row>
    <row r="279" spans="2:8" x14ac:dyDescent="0.35">
      <c r="B279" s="3" t="str">
        <f t="shared" si="12"/>
        <v>UY2</v>
      </c>
      <c r="C279" s="19">
        <v>0</v>
      </c>
      <c r="F279" s="15" t="str">
        <f>B271</f>
        <v>C4Y</v>
      </c>
      <c r="H279" s="18">
        <f>D271</f>
        <v>749.99999999999966</v>
      </c>
    </row>
    <row r="280" spans="2:8" x14ac:dyDescent="0.35">
      <c r="B280" s="3" t="str">
        <f t="shared" si="12"/>
        <v>UX3</v>
      </c>
      <c r="C280" s="19">
        <f>+D252</f>
        <v>-0.49350204890136146</v>
      </c>
    </row>
    <row r="281" spans="2:8" x14ac:dyDescent="0.35">
      <c r="B281" s="3" t="str">
        <f t="shared" si="12"/>
        <v>UY3</v>
      </c>
      <c r="C281" s="19">
        <f>+D253</f>
        <v>0.36705331514791772</v>
      </c>
    </row>
    <row r="282" spans="2:8" x14ac:dyDescent="0.35">
      <c r="B282" s="3" t="str">
        <f t="shared" si="12"/>
        <v>UX4</v>
      </c>
      <c r="C282" s="19">
        <f>+D254</f>
        <v>-0.3</v>
      </c>
    </row>
    <row r="283" spans="2:8" x14ac:dyDescent="0.35">
      <c r="B283" s="3" t="str">
        <f t="shared" si="12"/>
        <v>UY4</v>
      </c>
      <c r="C283" s="19">
        <f>+D255</f>
        <v>0</v>
      </c>
    </row>
    <row r="290" spans="2:12" x14ac:dyDescent="0.35">
      <c r="B290" t="s">
        <v>54</v>
      </c>
    </row>
    <row r="291" spans="2:12" x14ac:dyDescent="0.35">
      <c r="K291" s="19">
        <f>C276</f>
        <v>0.7777777777777779</v>
      </c>
      <c r="L291" s="3" t="str">
        <f>B276</f>
        <v>UX1</v>
      </c>
    </row>
    <row r="292" spans="2:12" x14ac:dyDescent="0.35">
      <c r="K292" s="19">
        <f>C277</f>
        <v>0</v>
      </c>
      <c r="L292" s="3" t="str">
        <f>B277</f>
        <v>UY1</v>
      </c>
    </row>
    <row r="293" spans="2:12" x14ac:dyDescent="0.35">
      <c r="C293" t="s">
        <v>55</v>
      </c>
      <c r="D293" s="12">
        <f>N36</f>
        <v>3000</v>
      </c>
      <c r="F293" s="4">
        <f>J36</f>
        <v>1</v>
      </c>
      <c r="G293" s="4">
        <f>K36</f>
        <v>0</v>
      </c>
      <c r="H293" s="4">
        <f>-F293</f>
        <v>-1</v>
      </c>
      <c r="I293" s="4">
        <f>-G293</f>
        <v>0</v>
      </c>
      <c r="K293" s="19">
        <f>C278</f>
        <v>0</v>
      </c>
      <c r="L293" s="3" t="str">
        <f>B278</f>
        <v>UX2</v>
      </c>
    </row>
    <row r="294" spans="2:12" x14ac:dyDescent="0.35">
      <c r="K294" s="19">
        <f>C279</f>
        <v>0</v>
      </c>
      <c r="L294" s="3" t="str">
        <f>B279</f>
        <v>UY2</v>
      </c>
    </row>
    <row r="296" spans="2:12" x14ac:dyDescent="0.35">
      <c r="C296" s="13" t="s">
        <v>55</v>
      </c>
      <c r="D296" s="13">
        <f>MMULT(F293:I293,K291:K294)</f>
        <v>0.7777777777777779</v>
      </c>
      <c r="E296" s="13" t="s">
        <v>56</v>
      </c>
      <c r="F296" t="s">
        <v>50</v>
      </c>
      <c r="G296" s="12">
        <f>D293</f>
        <v>3000</v>
      </c>
    </row>
    <row r="298" spans="2:12" x14ac:dyDescent="0.35">
      <c r="C298" s="14" t="s">
        <v>55</v>
      </c>
      <c r="D298" s="14">
        <f>D296*D293</f>
        <v>2333.3333333333335</v>
      </c>
      <c r="E298" s="14" t="s">
        <v>56</v>
      </c>
    </row>
    <row r="300" spans="2:12" x14ac:dyDescent="0.35">
      <c r="K300" s="11"/>
      <c r="L300" s="11"/>
    </row>
    <row r="301" spans="2:12" x14ac:dyDescent="0.35">
      <c r="K301" s="19">
        <f>C278</f>
        <v>0</v>
      </c>
      <c r="L301" s="15" t="str">
        <f>B278</f>
        <v>UX2</v>
      </c>
    </row>
    <row r="302" spans="2:12" x14ac:dyDescent="0.35">
      <c r="K302" s="19">
        <f>C279</f>
        <v>0</v>
      </c>
      <c r="L302" s="15" t="str">
        <f>B279</f>
        <v>UY2</v>
      </c>
    </row>
    <row r="303" spans="2:12" x14ac:dyDescent="0.35">
      <c r="C303" t="s">
        <v>57</v>
      </c>
      <c r="D303" s="12">
        <f>N37</f>
        <v>7500</v>
      </c>
      <c r="F303" s="4">
        <f>J37</f>
        <v>0</v>
      </c>
      <c r="G303" s="4">
        <f>K37</f>
        <v>-1</v>
      </c>
      <c r="H303" s="4">
        <f>-F303</f>
        <v>0</v>
      </c>
      <c r="I303" s="4">
        <f>-G303</f>
        <v>1</v>
      </c>
      <c r="K303" s="19">
        <f>C280</f>
        <v>-0.49350204890136146</v>
      </c>
      <c r="L303" s="15" t="str">
        <f>B280</f>
        <v>UX3</v>
      </c>
    </row>
    <row r="304" spans="2:12" x14ac:dyDescent="0.35">
      <c r="K304" s="19">
        <f>C281</f>
        <v>0.36705331514791772</v>
      </c>
      <c r="L304" s="15" t="str">
        <f>B281</f>
        <v>UY3</v>
      </c>
    </row>
    <row r="305" spans="3:13" x14ac:dyDescent="0.35">
      <c r="K305" s="11"/>
      <c r="L305" s="11"/>
    </row>
    <row r="306" spans="3:13" x14ac:dyDescent="0.35">
      <c r="C306" s="13" t="s">
        <v>57</v>
      </c>
      <c r="D306" s="13">
        <f>MMULT(F303:I303,K301:K304)</f>
        <v>0.36705331514791772</v>
      </c>
      <c r="E306" s="13" t="s">
        <v>56</v>
      </c>
      <c r="F306" t="s">
        <v>50</v>
      </c>
      <c r="G306" s="12">
        <f>D303</f>
        <v>7500</v>
      </c>
      <c r="K306" s="11"/>
      <c r="L306" s="11"/>
    </row>
    <row r="307" spans="3:13" x14ac:dyDescent="0.35">
      <c r="K307" s="11"/>
      <c r="L307" s="11"/>
    </row>
    <row r="308" spans="3:13" x14ac:dyDescent="0.35">
      <c r="C308" s="14" t="s">
        <v>57</v>
      </c>
      <c r="D308" s="14">
        <f>D306*D303</f>
        <v>2752.8998636093829</v>
      </c>
      <c r="E308" s="14" t="s">
        <v>56</v>
      </c>
    </row>
    <row r="310" spans="3:13" x14ac:dyDescent="0.35">
      <c r="K310" s="11"/>
      <c r="L310" s="11"/>
      <c r="M310" s="11"/>
    </row>
    <row r="311" spans="3:13" x14ac:dyDescent="0.35">
      <c r="K311" s="19">
        <f>C280</f>
        <v>-0.49350204890136146</v>
      </c>
      <c r="L311" s="15" t="str">
        <f>B280</f>
        <v>UX3</v>
      </c>
      <c r="M311" s="11"/>
    </row>
    <row r="312" spans="3:13" x14ac:dyDescent="0.35">
      <c r="K312" s="19">
        <f>C281</f>
        <v>0.36705331514791772</v>
      </c>
      <c r="L312" s="15" t="str">
        <f>B281</f>
        <v>UY3</v>
      </c>
      <c r="M312" s="11"/>
    </row>
    <row r="313" spans="3:13" x14ac:dyDescent="0.35">
      <c r="C313" t="s">
        <v>58</v>
      </c>
      <c r="D313" s="12">
        <f>N38</f>
        <v>3638.0343755449944</v>
      </c>
      <c r="F313" s="4">
        <f>J38</f>
        <v>-0.97014250014533188</v>
      </c>
      <c r="G313" s="4">
        <f>K38</f>
        <v>-0.24253562503633297</v>
      </c>
      <c r="H313" s="4">
        <f>-F313</f>
        <v>0.97014250014533188</v>
      </c>
      <c r="I313" s="4">
        <f>-G313</f>
        <v>0.24253562503633297</v>
      </c>
      <c r="K313" s="19">
        <f>C282</f>
        <v>-0.3</v>
      </c>
      <c r="L313" s="15" t="str">
        <f>B282</f>
        <v>UX4</v>
      </c>
      <c r="M313" s="11"/>
    </row>
    <row r="314" spans="3:13" x14ac:dyDescent="0.35">
      <c r="K314" s="19">
        <f>C283</f>
        <v>0</v>
      </c>
      <c r="L314" s="15" t="str">
        <f>B283</f>
        <v>UY4</v>
      </c>
      <c r="M314" s="11"/>
    </row>
    <row r="315" spans="3:13" x14ac:dyDescent="0.35">
      <c r="K315" s="11"/>
      <c r="L315" s="11"/>
      <c r="M315" s="11"/>
    </row>
    <row r="316" spans="3:13" x14ac:dyDescent="0.35">
      <c r="C316" s="13" t="s">
        <v>58</v>
      </c>
      <c r="D316" s="13">
        <f>MMULT(F313:I313,K311:K314)</f>
        <v>9.870105629335274E-2</v>
      </c>
      <c r="E316" s="13" t="s">
        <v>56</v>
      </c>
      <c r="F316" t="s">
        <v>50</v>
      </c>
      <c r="G316" s="12">
        <f>D313</f>
        <v>3638.0343755449944</v>
      </c>
      <c r="K316" s="11"/>
      <c r="L316" s="11"/>
      <c r="M316" s="11"/>
    </row>
    <row r="318" spans="3:13" x14ac:dyDescent="0.35">
      <c r="C318" s="14" t="s">
        <v>58</v>
      </c>
      <c r="D318" s="14">
        <f>D316*D313</f>
        <v>359.0778356978189</v>
      </c>
      <c r="E318" s="14"/>
    </row>
    <row r="319" spans="3:13" x14ac:dyDescent="0.35">
      <c r="K319" s="11"/>
      <c r="L319" s="11"/>
    </row>
    <row r="320" spans="3:13" x14ac:dyDescent="0.35">
      <c r="K320" s="19">
        <f>C282</f>
        <v>-0.3</v>
      </c>
      <c r="L320" s="15" t="str">
        <f>B282</f>
        <v>UX4</v>
      </c>
    </row>
    <row r="321" spans="3:21" x14ac:dyDescent="0.35">
      <c r="K321" s="19">
        <f>C283</f>
        <v>0</v>
      </c>
      <c r="L321" s="15" t="str">
        <f>B283</f>
        <v>UY4</v>
      </c>
    </row>
    <row r="322" spans="3:21" x14ac:dyDescent="0.35">
      <c r="C322" t="s">
        <v>59</v>
      </c>
      <c r="D322" s="12">
        <f>N39</f>
        <v>4743.416490252569</v>
      </c>
      <c r="F322" s="4">
        <f>J39</f>
        <v>-0.31622776601683789</v>
      </c>
      <c r="G322" s="4">
        <f>K39</f>
        <v>-0.94868329805051377</v>
      </c>
      <c r="H322" s="4">
        <f>-F322</f>
        <v>0.31622776601683789</v>
      </c>
      <c r="I322" s="4">
        <f>-G322</f>
        <v>0.94868329805051377</v>
      </c>
      <c r="K322" s="19">
        <f>C276</f>
        <v>0.7777777777777779</v>
      </c>
      <c r="L322" s="15" t="str">
        <f>B276</f>
        <v>UX1</v>
      </c>
    </row>
    <row r="323" spans="3:21" x14ac:dyDescent="0.35">
      <c r="K323" s="19">
        <f>C277</f>
        <v>0</v>
      </c>
      <c r="L323" s="15" t="str">
        <f>B277</f>
        <v>UY1</v>
      </c>
    </row>
    <row r="324" spans="3:21" x14ac:dyDescent="0.35">
      <c r="K324" s="11"/>
      <c r="L324" s="11"/>
    </row>
    <row r="325" spans="3:21" x14ac:dyDescent="0.35">
      <c r="C325" s="13" t="s">
        <v>59</v>
      </c>
      <c r="D325" s="13">
        <f>MMULT(F322:I322,K320:K323)</f>
        <v>0.34082325892925863</v>
      </c>
      <c r="E325" s="13" t="s">
        <v>56</v>
      </c>
      <c r="F325" s="12" t="s">
        <v>50</v>
      </c>
      <c r="G325" s="12">
        <f>D322</f>
        <v>4743.416490252569</v>
      </c>
    </row>
    <row r="328" spans="3:21" x14ac:dyDescent="0.35">
      <c r="C328" s="14" t="s">
        <v>59</v>
      </c>
      <c r="D328" s="14">
        <f>D325*D322</f>
        <v>1616.6666666666665</v>
      </c>
      <c r="E328" s="14" t="s">
        <v>56</v>
      </c>
    </row>
    <row r="329" spans="3:21" x14ac:dyDescent="0.35">
      <c r="K329" s="11"/>
      <c r="L329" s="11"/>
      <c r="M329" s="11"/>
      <c r="N329" s="11"/>
    </row>
    <row r="330" spans="3:21" x14ac:dyDescent="0.35">
      <c r="K330" s="11"/>
      <c r="L330" s="11"/>
      <c r="M330" s="11"/>
      <c r="N330" s="11"/>
      <c r="U330" t="s">
        <v>60</v>
      </c>
    </row>
    <row r="331" spans="3:21" x14ac:dyDescent="0.35">
      <c r="K331" s="19">
        <f>C278</f>
        <v>0</v>
      </c>
      <c r="L331" s="15" t="str">
        <f>B278</f>
        <v>UX2</v>
      </c>
      <c r="M331" s="11"/>
      <c r="N331" s="11"/>
      <c r="U331" t="s">
        <v>61</v>
      </c>
    </row>
    <row r="332" spans="3:21" x14ac:dyDescent="0.35">
      <c r="K332" s="19">
        <f>C279</f>
        <v>0</v>
      </c>
      <c r="L332" s="15" t="str">
        <f>B279</f>
        <v>UY2</v>
      </c>
      <c r="N332" s="11"/>
      <c r="U332" t="s">
        <v>62</v>
      </c>
    </row>
    <row r="333" spans="3:21" x14ac:dyDescent="0.35">
      <c r="C333" t="s">
        <v>63</v>
      </c>
      <c r="D333" s="12">
        <f>N40</f>
        <v>3000</v>
      </c>
      <c r="F333" s="4">
        <f>J40</f>
        <v>-0.8</v>
      </c>
      <c r="G333" s="4">
        <f>K40</f>
        <v>-0.6</v>
      </c>
      <c r="H333" s="4">
        <f>-F333</f>
        <v>0.8</v>
      </c>
      <c r="I333" s="4">
        <f>-G333</f>
        <v>0.6</v>
      </c>
      <c r="K333" s="19">
        <f>C282</f>
        <v>-0.3</v>
      </c>
      <c r="L333" s="15" t="str">
        <f>B282</f>
        <v>UX4</v>
      </c>
      <c r="M333" s="11"/>
      <c r="N333" s="11"/>
      <c r="U333" t="s">
        <v>64</v>
      </c>
    </row>
    <row r="334" spans="3:21" x14ac:dyDescent="0.35">
      <c r="K334" s="19">
        <f>C283</f>
        <v>0</v>
      </c>
      <c r="L334" s="15" t="str">
        <f>B283</f>
        <v>UY4</v>
      </c>
      <c r="M334" s="11"/>
      <c r="N334" s="11"/>
      <c r="U334" t="s">
        <v>65</v>
      </c>
    </row>
    <row r="335" spans="3:21" x14ac:dyDescent="0.35">
      <c r="K335" s="11"/>
      <c r="L335" s="11"/>
      <c r="M335" s="11"/>
      <c r="N335" s="11"/>
    </row>
    <row r="336" spans="3:21" x14ac:dyDescent="0.35">
      <c r="C336" s="13" t="s">
        <v>63</v>
      </c>
      <c r="D336" s="13">
        <f>MMULT(F333:I333,K331:K334)</f>
        <v>-0.24</v>
      </c>
      <c r="E336" s="13" t="s">
        <v>56</v>
      </c>
      <c r="F336" t="s">
        <v>50</v>
      </c>
      <c r="G336" s="12">
        <f>D333</f>
        <v>3000</v>
      </c>
      <c r="K336" s="11"/>
      <c r="L336" s="11"/>
      <c r="M336" s="11"/>
      <c r="N336" s="11"/>
    </row>
    <row r="338" spans="3:13" x14ac:dyDescent="0.35">
      <c r="C338" s="14" t="s">
        <v>63</v>
      </c>
      <c r="D338" s="14">
        <f>D336*D333</f>
        <v>-720</v>
      </c>
      <c r="E338" s="14" t="s">
        <v>56</v>
      </c>
    </row>
    <row r="344" spans="3:13" x14ac:dyDescent="0.35">
      <c r="D344" s="108" t="s">
        <v>66</v>
      </c>
      <c r="E344" s="108"/>
      <c r="F344" s="108"/>
      <c r="G344" s="108"/>
      <c r="H344" s="108"/>
      <c r="I344" s="108"/>
      <c r="J344" s="108"/>
      <c r="K344" s="108"/>
      <c r="L344" s="108"/>
      <c r="M344" s="108"/>
    </row>
    <row r="347" spans="3:13" x14ac:dyDescent="0.35">
      <c r="F347" s="35"/>
      <c r="I347" s="35"/>
    </row>
    <row r="349" spans="3:13" x14ac:dyDescent="0.35">
      <c r="G349" s="35"/>
    </row>
    <row r="350" spans="3:13" x14ac:dyDescent="0.35">
      <c r="F350" s="35"/>
      <c r="I350" s="35"/>
    </row>
    <row r="351" spans="3:13" x14ac:dyDescent="0.35">
      <c r="J351" s="35"/>
    </row>
    <row r="352" spans="3:13" x14ac:dyDescent="0.35">
      <c r="G352" s="14" t="s">
        <v>106</v>
      </c>
      <c r="I352" s="85"/>
    </row>
    <row r="353" spans="5:10" x14ac:dyDescent="0.35">
      <c r="J353" s="96">
        <v>800200</v>
      </c>
    </row>
    <row r="355" spans="5:10" x14ac:dyDescent="0.35">
      <c r="H355" s="95" t="s">
        <v>105</v>
      </c>
    </row>
    <row r="356" spans="5:10" x14ac:dyDescent="0.35">
      <c r="E356" s="133" t="s">
        <v>104</v>
      </c>
      <c r="F356" s="133"/>
    </row>
    <row r="357" spans="5:10" x14ac:dyDescent="0.35">
      <c r="J357" s="35"/>
    </row>
    <row r="360" spans="5:10" x14ac:dyDescent="0.35">
      <c r="J360" s="17" t="s">
        <v>103</v>
      </c>
    </row>
    <row r="361" spans="5:10" x14ac:dyDescent="0.35">
      <c r="G361" s="95" t="s">
        <v>102</v>
      </c>
    </row>
    <row r="363" spans="5:10" x14ac:dyDescent="0.35">
      <c r="F363" s="134" t="s">
        <v>101</v>
      </c>
      <c r="G363" s="134"/>
    </row>
    <row r="366" spans="5:10" x14ac:dyDescent="0.35">
      <c r="H366" s="95" t="s">
        <v>100</v>
      </c>
    </row>
    <row r="367" spans="5:10" x14ac:dyDescent="0.35">
      <c r="F367" s="94" t="s">
        <v>99</v>
      </c>
      <c r="I367" s="94" t="s">
        <v>98</v>
      </c>
    </row>
    <row r="370" spans="9:11" x14ac:dyDescent="0.35">
      <c r="K370" s="14" t="s">
        <v>97</v>
      </c>
    </row>
    <row r="371" spans="9:11" x14ac:dyDescent="0.35">
      <c r="I371" s="14" t="s">
        <v>96</v>
      </c>
    </row>
  </sheetData>
  <mergeCells count="12">
    <mergeCell ref="E356:F356"/>
    <mergeCell ref="F363:G363"/>
    <mergeCell ref="C48:D48"/>
    <mergeCell ref="E48:F48"/>
    <mergeCell ref="B205:F205"/>
    <mergeCell ref="G34:N34"/>
    <mergeCell ref="E34:F34"/>
    <mergeCell ref="C34:D34"/>
    <mergeCell ref="B219:K219"/>
    <mergeCell ref="D344:M344"/>
    <mergeCell ref="D174:G174"/>
    <mergeCell ref="B189:F1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 1 </vt:lpstr>
      <vt:lpstr>PREGUNTA 2</vt:lpstr>
      <vt:lpstr>PREGUNTA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RONALD HUANCA HUILLCA</dc:creator>
  <cp:lastModifiedBy>Reynaldo Puelles Oruro</cp:lastModifiedBy>
  <dcterms:created xsi:type="dcterms:W3CDTF">2026-01-28T13:46:59Z</dcterms:created>
  <dcterms:modified xsi:type="dcterms:W3CDTF">2026-09-30T15:37:06Z</dcterms:modified>
</cp:coreProperties>
</file>