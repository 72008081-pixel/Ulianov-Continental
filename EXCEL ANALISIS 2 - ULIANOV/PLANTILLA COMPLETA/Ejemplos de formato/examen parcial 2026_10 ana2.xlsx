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5F44601-0AE2-4C84-B9D6-C66185043C58}" xr6:coauthVersionLast="47" xr6:coauthVersionMax="47" xr10:uidLastSave="{00000000-0000-0000-0000-000000000000}"/>
  <bookViews>
    <workbookView xWindow="-120" yWindow="-120" windowWidth="20730" windowHeight="11160" xr2:uid="{E538E2E0-03A4-4A5E-B5D0-B124272866D2}"/>
  </bookViews>
  <sheets>
    <sheet name="PRIMERA PARTE_PARCIAL 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6" i="1" l="1" a="1"/>
  <c r="D168" i="1"/>
  <c r="D167" i="1"/>
  <c r="D166" i="1"/>
  <c r="D165" i="1"/>
  <c r="D163" i="1"/>
  <c r="D151" i="1"/>
  <c r="D149" i="1"/>
  <c r="D148" i="1"/>
  <c r="B176" i="1" s="1" a="1"/>
  <c r="G139" i="1"/>
  <c r="F139" i="1"/>
  <c r="G138" i="1"/>
  <c r="F138" i="1"/>
  <c r="M133" i="1"/>
  <c r="L133" i="1"/>
  <c r="P132" i="1" a="1"/>
  <c r="M132" i="1"/>
  <c r="L132" i="1"/>
  <c r="N117" i="1" a="1"/>
  <c r="I109" i="1"/>
  <c r="H109" i="1"/>
  <c r="G109" i="1"/>
  <c r="F109" i="1"/>
  <c r="J110" i="1" s="1" a="1"/>
  <c r="N96" i="1" a="1"/>
  <c r="I88" i="1"/>
  <c r="H88" i="1"/>
  <c r="G88" i="1"/>
  <c r="F88" i="1"/>
  <c r="J89" i="1" s="1" a="1"/>
  <c r="N76" i="1" a="1"/>
  <c r="I68" i="1"/>
  <c r="H68" i="1"/>
  <c r="G68" i="1"/>
  <c r="F68" i="1"/>
  <c r="J69" i="1" s="1" a="1"/>
  <c r="N54" i="1" a="1"/>
  <c r="I46" i="1"/>
  <c r="H46" i="1"/>
  <c r="G46" i="1"/>
  <c r="F46" i="1"/>
  <c r="J47" i="1" s="1" a="1"/>
  <c r="N32" i="1" a="1"/>
  <c r="I24" i="1"/>
  <c r="H24" i="1"/>
  <c r="G24" i="1"/>
  <c r="F24" i="1"/>
  <c r="J25" i="1" s="1" a="1"/>
  <c r="H10" i="1"/>
  <c r="G10" i="1"/>
  <c r="H9" i="1"/>
  <c r="G9" i="1"/>
  <c r="H8" i="1"/>
  <c r="G8" i="1"/>
  <c r="H7" i="1"/>
  <c r="G7" i="1"/>
  <c r="H6" i="1"/>
  <c r="G6" i="1"/>
  <c r="N176" i="1" l="1"/>
  <c r="N179" i="1"/>
  <c r="N182" i="1"/>
  <c r="N181" i="1"/>
  <c r="N180" i="1"/>
  <c r="J189" i="1" s="1" a="1"/>
  <c r="N177" i="1"/>
  <c r="N178" i="1"/>
  <c r="J188" i="1" s="1"/>
  <c r="N183" i="1"/>
  <c r="B176" i="1"/>
  <c r="B177" i="1"/>
  <c r="B178" i="1"/>
  <c r="B188" i="1" s="1"/>
  <c r="B179" i="1"/>
  <c r="B216" i="1" s="1"/>
  <c r="B180" i="1"/>
  <c r="B181" i="1"/>
  <c r="B182" i="1"/>
  <c r="B183" i="1"/>
  <c r="P139" i="1"/>
  <c r="P137" i="1"/>
  <c r="P135" i="1"/>
  <c r="P134" i="1"/>
  <c r="P133" i="1"/>
  <c r="P141" i="1"/>
  <c r="P136" i="1"/>
  <c r="P132" i="1"/>
  <c r="P138" i="1"/>
  <c r="P140" i="1"/>
  <c r="N122" i="1"/>
  <c r="N118" i="1"/>
  <c r="N121" i="1"/>
  <c r="N123" i="1"/>
  <c r="N120" i="1"/>
  <c r="N119" i="1"/>
  <c r="N117" i="1"/>
  <c r="N125" i="1"/>
  <c r="N126" i="1"/>
  <c r="N124" i="1"/>
  <c r="J111" i="1"/>
  <c r="J113" i="1"/>
  <c r="J110" i="1"/>
  <c r="J112" i="1"/>
  <c r="N103" i="1"/>
  <c r="N99" i="1"/>
  <c r="N102" i="1"/>
  <c r="N96" i="1"/>
  <c r="N101" i="1"/>
  <c r="N98" i="1"/>
  <c r="N104" i="1"/>
  <c r="N100" i="1"/>
  <c r="N97" i="1"/>
  <c r="N105" i="1"/>
  <c r="J89" i="1"/>
  <c r="J90" i="1"/>
  <c r="J91" i="1"/>
  <c r="J92" i="1"/>
  <c r="N78" i="1"/>
  <c r="N77" i="1"/>
  <c r="N76" i="1"/>
  <c r="N82" i="1"/>
  <c r="N85" i="1"/>
  <c r="N84" i="1"/>
  <c r="N83" i="1"/>
  <c r="N81" i="1"/>
  <c r="N80" i="1"/>
  <c r="N79" i="1"/>
  <c r="J70" i="1"/>
  <c r="J71" i="1"/>
  <c r="J72" i="1"/>
  <c r="J69" i="1"/>
  <c r="N57" i="1"/>
  <c r="N63" i="1"/>
  <c r="N59" i="1"/>
  <c r="N54" i="1"/>
  <c r="N55" i="1"/>
  <c r="N56" i="1"/>
  <c r="N60" i="1"/>
  <c r="N62" i="1"/>
  <c r="N61" i="1"/>
  <c r="N58" i="1"/>
  <c r="J47" i="1"/>
  <c r="J50" i="1"/>
  <c r="J48" i="1"/>
  <c r="J49" i="1"/>
  <c r="N41" i="1"/>
  <c r="N38" i="1"/>
  <c r="N32" i="1"/>
  <c r="N33" i="1"/>
  <c r="N40" i="1"/>
  <c r="N39" i="1"/>
  <c r="N37" i="1"/>
  <c r="N36" i="1"/>
  <c r="N35" i="1"/>
  <c r="N34" i="1"/>
  <c r="J26" i="1"/>
  <c r="J27" i="1"/>
  <c r="J25" i="1"/>
  <c r="J28" i="1"/>
  <c r="I10" i="1"/>
  <c r="J10" i="1" s="1"/>
  <c r="I9" i="1"/>
  <c r="J9" i="1" s="1"/>
  <c r="I8" i="1"/>
  <c r="J8" i="1"/>
  <c r="I7" i="1"/>
  <c r="J7" i="1" s="1"/>
  <c r="I6" i="1"/>
  <c r="J6" i="1" s="1"/>
  <c r="J189" i="1" l="1"/>
  <c r="J192" i="1"/>
  <c r="B199" i="1" s="1"/>
  <c r="J190" i="1"/>
  <c r="J191" i="1"/>
  <c r="D296" i="1"/>
  <c r="F296" i="1" s="1"/>
  <c r="K10" i="1"/>
  <c r="N10" i="1"/>
  <c r="K9" i="1"/>
  <c r="N9" i="1"/>
  <c r="D282" i="1"/>
  <c r="F282" i="1" s="1"/>
  <c r="K8" i="1"/>
  <c r="N8" i="1"/>
  <c r="D269" i="1"/>
  <c r="F269" i="1" s="1"/>
  <c r="K7" i="1"/>
  <c r="N7" i="1"/>
  <c r="D256" i="1"/>
  <c r="F256" i="1" s="1"/>
  <c r="K6" i="1"/>
  <c r="N6" i="1"/>
  <c r="D244" i="1"/>
  <c r="F244" i="1" s="1"/>
  <c r="B214" i="1" a="1"/>
  <c r="B189" i="1" a="1"/>
  <c r="E296" i="1" l="1"/>
  <c r="G296" i="1" s="1"/>
  <c r="D111" i="1"/>
  <c r="G111" i="1" s="1"/>
  <c r="I111" i="1" s="1"/>
  <c r="B299" i="1"/>
  <c r="E282" i="1"/>
  <c r="G282" i="1" s="1"/>
  <c r="D91" i="1"/>
  <c r="G90" i="1" s="1"/>
  <c r="I90" i="1" s="1"/>
  <c r="B285" i="1"/>
  <c r="E269" i="1"/>
  <c r="G269" i="1" s="1"/>
  <c r="D71" i="1"/>
  <c r="G70" i="1" s="1"/>
  <c r="I70" i="1" s="1"/>
  <c r="B272" i="1"/>
  <c r="G48" i="1"/>
  <c r="I48" i="1" s="1"/>
  <c r="E256" i="1"/>
  <c r="G256" i="1" s="1"/>
  <c r="D48" i="1"/>
  <c r="B259" i="1"/>
  <c r="E244" i="1"/>
  <c r="G244" i="1" s="1"/>
  <c r="D27" i="1"/>
  <c r="G26" i="1" s="1"/>
  <c r="I26" i="1" s="1"/>
  <c r="B247" i="1"/>
  <c r="B215" i="1"/>
  <c r="B214" i="1"/>
  <c r="B220" i="1" s="1" a="1"/>
  <c r="B190" i="1"/>
  <c r="B189" i="1"/>
  <c r="B192" i="1"/>
  <c r="B191" i="1"/>
  <c r="B195" i="1" a="1"/>
  <c r="G110" i="1" l="1"/>
  <c r="F110" i="1"/>
  <c r="G89" i="1"/>
  <c r="F89" i="1"/>
  <c r="F69" i="1"/>
  <c r="G69" i="1"/>
  <c r="F47" i="1"/>
  <c r="G47" i="1"/>
  <c r="F25" i="1"/>
  <c r="G25" i="1"/>
  <c r="B220" i="1"/>
  <c r="B221" i="1"/>
  <c r="B222" i="1"/>
  <c r="B196" i="1"/>
  <c r="B197" i="1"/>
  <c r="B195" i="1"/>
  <c r="B204" i="1" s="1" a="1"/>
  <c r="B198" i="1"/>
  <c r="J195" i="1" a="1"/>
  <c r="F111" i="1" l="1"/>
  <c r="H111" i="1" s="1"/>
  <c r="I110" i="1"/>
  <c r="H112" i="1" a="1"/>
  <c r="H110" i="1"/>
  <c r="L123" i="1" a="1"/>
  <c r="F90" i="1"/>
  <c r="H90" i="1" s="1"/>
  <c r="I89" i="1"/>
  <c r="H91" i="1" a="1"/>
  <c r="J100" i="1" a="1"/>
  <c r="H89" i="1"/>
  <c r="H69" i="1"/>
  <c r="F70" i="1"/>
  <c r="I69" i="1"/>
  <c r="H47" i="1"/>
  <c r="F48" i="1"/>
  <c r="I47" i="1"/>
  <c r="H25" i="1"/>
  <c r="F26" i="1"/>
  <c r="I25" i="1"/>
  <c r="B208" i="1"/>
  <c r="B207" i="1"/>
  <c r="B206" i="1"/>
  <c r="B204" i="1"/>
  <c r="B205" i="1"/>
  <c r="J195" i="1"/>
  <c r="J197" i="1"/>
  <c r="J199" i="1"/>
  <c r="J196" i="1"/>
  <c r="J198" i="1"/>
  <c r="I113" i="1" l="1"/>
  <c r="I112" i="1"/>
  <c r="H113" i="1"/>
  <c r="H112" i="1"/>
  <c r="H119" i="1" s="1" a="1"/>
  <c r="F112" i="1" a="1"/>
  <c r="H123" i="1" a="1"/>
  <c r="M123" i="1"/>
  <c r="M124" i="1"/>
  <c r="L123" i="1"/>
  <c r="L124" i="1"/>
  <c r="I91" i="1"/>
  <c r="H92" i="1"/>
  <c r="H91" i="1"/>
  <c r="I92" i="1"/>
  <c r="J101" i="1"/>
  <c r="K100" i="1"/>
  <c r="J100" i="1"/>
  <c r="K101" i="1"/>
  <c r="L100" i="1" a="1"/>
  <c r="F91" i="1" a="1"/>
  <c r="F71" i="1" a="1"/>
  <c r="H80" i="1" a="1"/>
  <c r="J54" i="1" a="1"/>
  <c r="F49" i="1" a="1"/>
  <c r="H32" i="1" a="1"/>
  <c r="F27" i="1" a="1"/>
  <c r="H70" i="1"/>
  <c r="H71" i="1" a="1"/>
  <c r="J80" i="1" a="1"/>
  <c r="H48" i="1"/>
  <c r="H49" i="1" a="1"/>
  <c r="F54" i="1" a="1"/>
  <c r="H26" i="1"/>
  <c r="F32" i="1" a="1"/>
  <c r="H27" i="1" a="1"/>
  <c r="H119" i="1" l="1"/>
  <c r="I119" i="1"/>
  <c r="H120" i="1"/>
  <c r="I120" i="1"/>
  <c r="F112" i="1"/>
  <c r="F113" i="1"/>
  <c r="G113" i="1"/>
  <c r="G112" i="1"/>
  <c r="H123" i="1"/>
  <c r="H138" i="1" s="1"/>
  <c r="I123" i="1"/>
  <c r="I138" i="1" s="1"/>
  <c r="H124" i="1"/>
  <c r="H139" i="1" s="1"/>
  <c r="I124" i="1"/>
  <c r="I139" i="1" s="1"/>
  <c r="M101" i="1"/>
  <c r="M137" i="1" s="1"/>
  <c r="L100" i="1"/>
  <c r="L136" i="1" s="1"/>
  <c r="M100" i="1"/>
  <c r="M136" i="1" s="1"/>
  <c r="L101" i="1"/>
  <c r="L137" i="1" s="1"/>
  <c r="F91" i="1"/>
  <c r="F92" i="1"/>
  <c r="G92" i="1"/>
  <c r="G91" i="1"/>
  <c r="F71" i="1"/>
  <c r="G71" i="1"/>
  <c r="F72" i="1"/>
  <c r="G72" i="1"/>
  <c r="H80" i="1"/>
  <c r="H136" i="1" s="1"/>
  <c r="I80" i="1"/>
  <c r="I136" i="1" s="1"/>
  <c r="H81" i="1"/>
  <c r="H137" i="1" s="1"/>
  <c r="I81" i="1"/>
  <c r="I137" i="1" s="1"/>
  <c r="J54" i="1"/>
  <c r="J132" i="1" s="1"/>
  <c r="K54" i="1"/>
  <c r="K132" i="1" s="1"/>
  <c r="J55" i="1"/>
  <c r="J133" i="1" s="1"/>
  <c r="K55" i="1"/>
  <c r="K133" i="1" s="1"/>
  <c r="F49" i="1"/>
  <c r="G49" i="1"/>
  <c r="F50" i="1"/>
  <c r="G50" i="1"/>
  <c r="H32" i="1"/>
  <c r="H132" i="1" s="1"/>
  <c r="H33" i="1"/>
  <c r="H133" i="1" s="1"/>
  <c r="I32" i="1"/>
  <c r="I132" i="1" s="1"/>
  <c r="I33" i="1"/>
  <c r="I133" i="1" s="1"/>
  <c r="F27" i="1"/>
  <c r="G27" i="1"/>
  <c r="F28" i="1"/>
  <c r="G28" i="1"/>
  <c r="I72" i="1"/>
  <c r="I71" i="1"/>
  <c r="H71" i="1"/>
  <c r="H72" i="1"/>
  <c r="K81" i="1"/>
  <c r="J81" i="1"/>
  <c r="K80" i="1"/>
  <c r="J80" i="1"/>
  <c r="I50" i="1"/>
  <c r="H50" i="1"/>
  <c r="I49" i="1"/>
  <c r="H49" i="1"/>
  <c r="J58" i="1" s="1" a="1"/>
  <c r="G54" i="1"/>
  <c r="F55" i="1"/>
  <c r="G55" i="1"/>
  <c r="F54" i="1"/>
  <c r="G33" i="1"/>
  <c r="G133" i="1" s="1"/>
  <c r="F32" i="1"/>
  <c r="F132" i="1" s="1"/>
  <c r="G32" i="1"/>
  <c r="G132" i="1" s="1"/>
  <c r="F33" i="1"/>
  <c r="F133" i="1" s="1"/>
  <c r="I28" i="1"/>
  <c r="H28" i="1"/>
  <c r="I27" i="1"/>
  <c r="H27" i="1"/>
  <c r="H34" i="1" s="1" a="1"/>
  <c r="L102" i="1" a="1"/>
  <c r="J58" i="1" l="1"/>
  <c r="J136" i="1" s="1"/>
  <c r="K58" i="1"/>
  <c r="K136" i="1" s="1"/>
  <c r="J59" i="1"/>
  <c r="J137" i="1" s="1"/>
  <c r="K59" i="1"/>
  <c r="K137" i="1" s="1"/>
  <c r="I34" i="1"/>
  <c r="I35" i="1"/>
  <c r="H34" i="1"/>
  <c r="H35" i="1"/>
  <c r="M103" i="1"/>
  <c r="M139" i="1" s="1"/>
  <c r="L103" i="1"/>
  <c r="L139" i="1" s="1"/>
  <c r="M102" i="1"/>
  <c r="M138" i="1" s="1"/>
  <c r="L102" i="1"/>
  <c r="L138" i="1" s="1"/>
  <c r="L119" i="1" a="1"/>
  <c r="J102" i="1" a="1"/>
  <c r="J78" i="1" a="1"/>
  <c r="F58" i="1" a="1"/>
  <c r="F34" i="1" a="1"/>
  <c r="H78" i="1" a="1"/>
  <c r="M120" i="1" l="1"/>
  <c r="M135" i="1" s="1"/>
  <c r="L120" i="1"/>
  <c r="L135" i="1" s="1"/>
  <c r="M119" i="1"/>
  <c r="M134" i="1" s="1"/>
  <c r="L119" i="1"/>
  <c r="L134" i="1" s="1"/>
  <c r="K103" i="1"/>
  <c r="K139" i="1" s="1"/>
  <c r="J103" i="1"/>
  <c r="J139" i="1" s="1"/>
  <c r="K102" i="1"/>
  <c r="K138" i="1" s="1"/>
  <c r="J102" i="1"/>
  <c r="J138" i="1" s="1"/>
  <c r="K79" i="1"/>
  <c r="K135" i="1" s="1"/>
  <c r="J79" i="1"/>
  <c r="J135" i="1" s="1"/>
  <c r="K78" i="1"/>
  <c r="K134" i="1" s="1"/>
  <c r="J78" i="1"/>
  <c r="J134" i="1" s="1"/>
  <c r="G59" i="1"/>
  <c r="G137" i="1" s="1"/>
  <c r="G58" i="1"/>
  <c r="G136" i="1" s="1"/>
  <c r="F58" i="1"/>
  <c r="F136" i="1" s="1"/>
  <c r="F59" i="1"/>
  <c r="F137" i="1" s="1"/>
  <c r="G35" i="1"/>
  <c r="G135" i="1" s="1"/>
  <c r="F35" i="1"/>
  <c r="F135" i="1" s="1"/>
  <c r="G34" i="1"/>
  <c r="G134" i="1" s="1"/>
  <c r="F34" i="1"/>
  <c r="F134" i="1" s="1"/>
  <c r="I79" i="1"/>
  <c r="I135" i="1" s="1"/>
  <c r="H79" i="1"/>
  <c r="H135" i="1" s="1"/>
  <c r="I78" i="1"/>
  <c r="I134" i="1" s="1"/>
  <c r="H78" i="1"/>
  <c r="H134" i="1" s="1"/>
  <c r="E176" i="1" l="1" a="1"/>
  <c r="E176" i="1" l="1"/>
  <c r="F176" i="1"/>
  <c r="G176" i="1"/>
  <c r="H176" i="1"/>
  <c r="I176" i="1"/>
  <c r="J176" i="1"/>
  <c r="K176" i="1"/>
  <c r="L176" i="1"/>
  <c r="E177" i="1"/>
  <c r="F177" i="1"/>
  <c r="G177" i="1"/>
  <c r="H177" i="1"/>
  <c r="I177" i="1"/>
  <c r="J177" i="1"/>
  <c r="K177" i="1"/>
  <c r="L177" i="1"/>
  <c r="E178" i="1"/>
  <c r="F178" i="1"/>
  <c r="G178" i="1"/>
  <c r="D188" i="1" s="1"/>
  <c r="H178" i="1"/>
  <c r="I178" i="1"/>
  <c r="E188" i="1" s="1" a="1"/>
  <c r="J178" i="1"/>
  <c r="K178" i="1"/>
  <c r="L178" i="1"/>
  <c r="E179" i="1"/>
  <c r="F179" i="1"/>
  <c r="G179" i="1"/>
  <c r="D216" i="1" s="1"/>
  <c r="H179" i="1"/>
  <c r="J179" i="1"/>
  <c r="K179" i="1"/>
  <c r="E181" i="1"/>
  <c r="F181" i="1"/>
  <c r="E182" i="1"/>
  <c r="G182" i="1"/>
  <c r="H182" i="1"/>
  <c r="K182" i="1"/>
  <c r="L182" i="1"/>
  <c r="L183" i="1"/>
  <c r="I179" i="1"/>
  <c r="E216" i="1" s="1" a="1"/>
  <c r="F180" i="1"/>
  <c r="H181" i="1"/>
  <c r="I182" i="1"/>
  <c r="G183" i="1"/>
  <c r="I183" i="1"/>
  <c r="K183" i="1"/>
  <c r="L179" i="1"/>
  <c r="E180" i="1"/>
  <c r="G180" i="1"/>
  <c r="H180" i="1"/>
  <c r="I180" i="1"/>
  <c r="J180" i="1"/>
  <c r="K180" i="1"/>
  <c r="L180" i="1"/>
  <c r="G181" i="1"/>
  <c r="I181" i="1"/>
  <c r="J181" i="1"/>
  <c r="K181" i="1"/>
  <c r="L181" i="1"/>
  <c r="F182" i="1"/>
  <c r="J182" i="1"/>
  <c r="E183" i="1"/>
  <c r="F183" i="1"/>
  <c r="H183" i="1"/>
  <c r="J183" i="1"/>
  <c r="H188" i="1" l="1"/>
  <c r="G188" i="1"/>
  <c r="F188" i="1"/>
  <c r="E188" i="1"/>
  <c r="H216" i="1"/>
  <c r="F216" i="1"/>
  <c r="E216" i="1"/>
  <c r="G216" i="1"/>
  <c r="D214" i="1" a="1"/>
  <c r="E214" i="1" a="1"/>
  <c r="E189" i="1" a="1"/>
  <c r="D189" i="1" a="1"/>
  <c r="D215" i="1" l="1"/>
  <c r="D214" i="1"/>
  <c r="F214" i="1"/>
  <c r="E214" i="1"/>
  <c r="E215" i="1"/>
  <c r="G215" i="1"/>
  <c r="H215" i="1"/>
  <c r="G214" i="1"/>
  <c r="H214" i="1"/>
  <c r="F215" i="1"/>
  <c r="E189" i="1"/>
  <c r="F189" i="1"/>
  <c r="H189" i="1"/>
  <c r="G190" i="1"/>
  <c r="E191" i="1"/>
  <c r="G191" i="1"/>
  <c r="H192" i="1"/>
  <c r="G189" i="1"/>
  <c r="E190" i="1"/>
  <c r="F190" i="1"/>
  <c r="H190" i="1"/>
  <c r="F191" i="1"/>
  <c r="H191" i="1"/>
  <c r="E192" i="1"/>
  <c r="F192" i="1"/>
  <c r="G192" i="1"/>
  <c r="D189" i="1"/>
  <c r="D195" i="1" s="1" a="1"/>
  <c r="D190" i="1"/>
  <c r="D191" i="1"/>
  <c r="D192" i="1"/>
  <c r="F199" i="1" l="1"/>
  <c r="D199" i="1"/>
  <c r="H198" i="1"/>
  <c r="G198" i="1"/>
  <c r="E198" i="1"/>
  <c r="G197" i="1"/>
  <c r="F197" i="1"/>
  <c r="E197" i="1"/>
  <c r="G196" i="1"/>
  <c r="F196" i="1"/>
  <c r="E196" i="1"/>
  <c r="D196" i="1"/>
  <c r="D195" i="1"/>
  <c r="H197" i="1"/>
  <c r="H196" i="1"/>
  <c r="F195" i="1"/>
  <c r="E195" i="1"/>
  <c r="H199" i="1"/>
  <c r="G199" i="1"/>
  <c r="E199" i="1"/>
  <c r="F198" i="1"/>
  <c r="D198" i="1"/>
  <c r="D197" i="1"/>
  <c r="H195" i="1"/>
  <c r="G195" i="1"/>
  <c r="D204" i="1" l="1" a="1"/>
  <c r="D207" i="1" l="1"/>
  <c r="B236" i="1" s="1"/>
  <c r="D208" i="1"/>
  <c r="B237" i="1" s="1"/>
  <c r="D206" i="1"/>
  <c r="B235" i="1" s="1"/>
  <c r="D205" i="1"/>
  <c r="B234" i="1" s="1"/>
  <c r="D204" i="1"/>
  <c r="J295" i="1" l="1" a="1"/>
  <c r="J283" i="1" a="1"/>
  <c r="J257" i="1" a="1"/>
  <c r="J268" i="1" a="1"/>
  <c r="J281" i="1" a="1"/>
  <c r="J214" i="1" a="1"/>
  <c r="B232" i="1"/>
  <c r="J295" i="1" l="1"/>
  <c r="J296" i="1"/>
  <c r="J283" i="1"/>
  <c r="J284" i="1"/>
  <c r="J257" i="1"/>
  <c r="D263" i="1" s="1"/>
  <c r="J258" i="1"/>
  <c r="J268" i="1"/>
  <c r="J269" i="1"/>
  <c r="J281" i="1"/>
  <c r="D289" i="1" s="1"/>
  <c r="J282" i="1"/>
  <c r="J214" i="1"/>
  <c r="J217" i="1"/>
  <c r="J215" i="1"/>
  <c r="J216" i="1"/>
  <c r="J218" i="1"/>
  <c r="J270" i="1" a="1"/>
  <c r="J297" i="1" a="1"/>
  <c r="J245" i="1" a="1"/>
  <c r="J270" i="1" l="1"/>
  <c r="J271" i="1"/>
  <c r="J298" i="1"/>
  <c r="J297" i="1"/>
  <c r="J245" i="1"/>
  <c r="D251" i="1" s="1"/>
  <c r="J246" i="1"/>
  <c r="D303" i="1"/>
  <c r="D276" i="1"/>
  <c r="D220" i="1" a="1"/>
  <c r="D221" i="1" l="1"/>
  <c r="D220" i="1"/>
  <c r="D222" i="1"/>
</calcChain>
</file>

<file path=xl/sharedStrings.xml><?xml version="1.0" encoding="utf-8"?>
<sst xmlns="http://schemas.openxmlformats.org/spreadsheetml/2006/main" count="202" uniqueCount="76">
  <si>
    <t>EXAMEN PARCIAL ANALISIS ESTRUCTURAL</t>
  </si>
  <si>
    <t>BARRA</t>
  </si>
  <si>
    <t>NUDO INICIAL</t>
  </si>
  <si>
    <t>NUDO FINAL</t>
  </si>
  <si>
    <t>Dx</t>
  </si>
  <si>
    <t>Dy</t>
  </si>
  <si>
    <t>L(cm)</t>
  </si>
  <si>
    <t>Cx</t>
  </si>
  <si>
    <t>Cy</t>
  </si>
  <si>
    <t>A(cm2)</t>
  </si>
  <si>
    <t>E(kgf/cm2)</t>
  </si>
  <si>
    <t>AE/L</t>
  </si>
  <si>
    <t>Xi</t>
  </si>
  <si>
    <t>Yi</t>
  </si>
  <si>
    <t>Xf</t>
  </si>
  <si>
    <t>Yf</t>
  </si>
  <si>
    <t>GRADOS DE LIBERTAD INICIO</t>
  </si>
  <si>
    <t>GRADOS DE LIBERTAD FIN</t>
  </si>
  <si>
    <t>X</t>
  </si>
  <si>
    <t>Y</t>
  </si>
  <si>
    <t>MATRIZ DE RIGIDEZ DE CADA BARRA}</t>
  </si>
  <si>
    <t>BARRA 1</t>
  </si>
  <si>
    <t>k1=</t>
  </si>
  <si>
    <t>U1X</t>
  </si>
  <si>
    <t>U1Y</t>
  </si>
  <si>
    <t>U2X</t>
  </si>
  <si>
    <t>U2Y</t>
  </si>
  <si>
    <t>U3X</t>
  </si>
  <si>
    <t>U3Y</t>
  </si>
  <si>
    <t>U4X</t>
  </si>
  <si>
    <t>U4Y</t>
  </si>
  <si>
    <t>BARRA 2</t>
  </si>
  <si>
    <t>k2=</t>
  </si>
  <si>
    <t>BARRA 3</t>
  </si>
  <si>
    <t>k3=</t>
  </si>
  <si>
    <t>BARRA 4</t>
  </si>
  <si>
    <t>k4=</t>
  </si>
  <si>
    <t>BARRA 5</t>
  </si>
  <si>
    <t>k5=</t>
  </si>
  <si>
    <t>MATRIZ DE ARMADURA GLOBAL</t>
  </si>
  <si>
    <t>MATRIZ DE CARGAS</t>
  </si>
  <si>
    <t>C1X</t>
  </si>
  <si>
    <t>C1Y</t>
  </si>
  <si>
    <t>C2X</t>
  </si>
  <si>
    <t>C2Y</t>
  </si>
  <si>
    <t>C3X</t>
  </si>
  <si>
    <t>=</t>
  </si>
  <si>
    <t>C3Y</t>
  </si>
  <si>
    <t>C4X</t>
  </si>
  <si>
    <t>C4Y</t>
  </si>
  <si>
    <t>MATRIZ DE DESPLAZAMIENTOS</t>
  </si>
  <si>
    <t>D1X</t>
  </si>
  <si>
    <t>D1Y</t>
  </si>
  <si>
    <t>D2X</t>
  </si>
  <si>
    <t>D2Y</t>
  </si>
  <si>
    <t>D3X</t>
  </si>
  <si>
    <t>D3Y</t>
  </si>
  <si>
    <t>D4X</t>
  </si>
  <si>
    <t>D4Y</t>
  </si>
  <si>
    <t>ECUACION MATRICIAL</t>
  </si>
  <si>
    <t>Q=K*D</t>
  </si>
  <si>
    <t>ECUACION MATRICIAL REDUCIDA PARA EL CALCULO DE DESPLAZAMIENTO</t>
  </si>
  <si>
    <t>cm</t>
  </si>
  <si>
    <t>ECUACION MATRICIAL REDUCIDA PARA EL CALCULO DE LAS REACCIONES</t>
  </si>
  <si>
    <t>CALCULO DE FUERZAS INTERNAS</t>
  </si>
  <si>
    <t>RESUMEN DE DESPLAZAMIENTOS</t>
  </si>
  <si>
    <t>F1=</t>
  </si>
  <si>
    <t>-Cx</t>
  </si>
  <si>
    <t>-Cy</t>
  </si>
  <si>
    <t>AE/L=</t>
  </si>
  <si>
    <t>TRACCION</t>
  </si>
  <si>
    <t>F2=</t>
  </si>
  <si>
    <t>COMPRESION</t>
  </si>
  <si>
    <t>F3=</t>
  </si>
  <si>
    <t>F4=</t>
  </si>
  <si>
    <t>F5=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</si>
</sst>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2" fillId="2" borderId="0" xfId="0" applyFont="1" applyFill="1"/>
    <xf numFmtId="2" fontId="0" fillId="0" borderId="0" xfId="0" applyNumberFormat="1"/>
    <xf numFmtId="0" fontId="0" fillId="0" borderId="2" xfId="0" applyBorder="1"/>
    <xf numFmtId="0" fontId="0" fillId="2" borderId="0" xfId="0" applyFill="1"/>
    <xf numFmtId="0" fontId="1" fillId="3" borderId="1" xfId="0" applyFont="1" applyFill="1" applyBorder="1"/>
    <xf numFmtId="0" fontId="3" fillId="3" borderId="1" xfId="0" applyFont="1" applyFill="1" applyBorder="1"/>
    <xf numFmtId="0" fontId="0" fillId="0" borderId="3" xfId="0" applyBorder="1"/>
    <xf numFmtId="2" fontId="1" fillId="3" borderId="1" xfId="0" applyNumberFormat="1" applyFont="1" applyFill="1" applyBorder="1"/>
    <xf numFmtId="2" fontId="0" fillId="0" borderId="3" xfId="0" applyNumberFormat="1" applyBorder="1"/>
    <xf numFmtId="2" fontId="0" fillId="0" borderId="2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2" borderId="0" xfId="0" applyNumberFormat="1" applyFill="1"/>
    <xf numFmtId="0" fontId="0" fillId="0" borderId="0" xfId="0" applyAlignment="1">
      <alignment horizontal="center" vertical="center"/>
    </xf>
    <xf numFmtId="49" fontId="0" fillId="0" borderId="1" xfId="0" applyNumberFormat="1" applyBorder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148</xdr:row>
      <xdr:rowOff>19050</xdr:rowOff>
    </xdr:from>
    <xdr:to>
      <xdr:col>14</xdr:col>
      <xdr:colOff>221726</xdr:colOff>
      <xdr:row>172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EE8BC5-9C29-47A8-BEA3-44FC0F644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8825" y="28213050"/>
          <a:ext cx="5527151" cy="4581525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133350</xdr:colOff>
      <xdr:row>260</xdr:row>
      <xdr:rowOff>31619</xdr:rowOff>
    </xdr:from>
    <xdr:to>
      <xdr:col>17</xdr:col>
      <xdr:colOff>200025</xdr:colOff>
      <xdr:row>280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3A90B7-CD65-412E-A10B-6AF67A4A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49561619"/>
          <a:ext cx="4638675" cy="3845056"/>
        </a:xfrm>
        <a:prstGeom prst="rect">
          <a:avLst/>
        </a:prstGeom>
      </xdr:spPr>
    </xdr:pic>
    <xdr:clientData/>
  </xdr:twoCellAnchor>
  <xdr:twoCellAnchor editAs="oneCell">
    <xdr:from>
      <xdr:col>15</xdr:col>
      <xdr:colOff>428625</xdr:colOff>
      <xdr:row>4</xdr:row>
      <xdr:rowOff>114300</xdr:rowOff>
    </xdr:from>
    <xdr:to>
      <xdr:col>22</xdr:col>
      <xdr:colOff>585408</xdr:colOff>
      <xdr:row>28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5668BF-F860-4D39-9F9B-2F0C8F8F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5" y="876300"/>
          <a:ext cx="5490783" cy="446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CB8C-42A7-4902-8700-B36C3F8D374A}">
  <dimension ref="A2:P303"/>
  <sheetViews>
    <sheetView tabSelected="1" topLeftCell="A279" zoomScale="85" zoomScaleNormal="85" workbookViewId="0">
      <selection activeCell="O8" sqref="O8"/>
    </sheetView>
  </sheetViews>
  <sheetFormatPr baseColWidth="10" defaultRowHeight="15" x14ac:dyDescent="0.25"/>
  <cols>
    <col min="4" max="4" width="16.85546875" customWidth="1"/>
    <col min="5" max="6" width="11.5703125" bestFit="1" customWidth="1"/>
    <col min="7" max="7" width="12.7109375" bestFit="1" customWidth="1"/>
    <col min="8" max="8" width="11.5703125" bestFit="1" customWidth="1"/>
  </cols>
  <sheetData>
    <row r="2" spans="1:14" x14ac:dyDescent="0.25">
      <c r="A2" s="1" t="s">
        <v>0</v>
      </c>
    </row>
    <row r="4" spans="1:14" x14ac:dyDescent="0.25">
      <c r="B4" s="2" t="s">
        <v>1</v>
      </c>
      <c r="C4" s="2" t="s">
        <v>2</v>
      </c>
      <c r="D4" s="2"/>
      <c r="E4" s="2" t="s">
        <v>3</v>
      </c>
      <c r="F4" s="2"/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</row>
    <row r="5" spans="1:14" x14ac:dyDescent="0.25">
      <c r="B5" s="2"/>
      <c r="C5" s="3" t="s">
        <v>12</v>
      </c>
      <c r="D5" s="3" t="s">
        <v>13</v>
      </c>
      <c r="E5" s="3" t="s">
        <v>14</v>
      </c>
      <c r="F5" s="3" t="s">
        <v>15</v>
      </c>
      <c r="G5" s="2"/>
      <c r="H5" s="2"/>
      <c r="I5" s="2"/>
      <c r="J5" s="2"/>
      <c r="K5" s="2"/>
      <c r="L5" s="2"/>
      <c r="M5" s="2"/>
      <c r="N5" s="2"/>
    </row>
    <row r="6" spans="1:14" x14ac:dyDescent="0.25">
      <c r="B6" s="4">
        <v>1</v>
      </c>
      <c r="C6" s="4">
        <v>0</v>
      </c>
      <c r="D6" s="4">
        <v>0</v>
      </c>
      <c r="E6" s="4">
        <v>1000</v>
      </c>
      <c r="F6" s="4">
        <v>0</v>
      </c>
      <c r="G6" s="4">
        <f>E6-C6</f>
        <v>1000</v>
      </c>
      <c r="H6" s="4">
        <f>F6-D6</f>
        <v>0</v>
      </c>
      <c r="I6" s="5">
        <f>SQRT(POWER(G6,2)+POWER(H6,2))</f>
        <v>1000</v>
      </c>
      <c r="J6" s="5">
        <f>G6/I6</f>
        <v>1</v>
      </c>
      <c r="K6" s="5">
        <f>H6/I6</f>
        <v>0</v>
      </c>
      <c r="L6" s="4">
        <v>16</v>
      </c>
      <c r="M6" s="4">
        <v>120000</v>
      </c>
      <c r="N6" s="6">
        <f>L6*M6/I6</f>
        <v>1920</v>
      </c>
    </row>
    <row r="7" spans="1:14" x14ac:dyDescent="0.25">
      <c r="B7" s="4">
        <v>2</v>
      </c>
      <c r="C7" s="4">
        <v>0</v>
      </c>
      <c r="D7" s="4">
        <v>0</v>
      </c>
      <c r="E7" s="4">
        <v>200</v>
      </c>
      <c r="F7" s="4">
        <v>400</v>
      </c>
      <c r="G7" s="4">
        <f t="shared" ref="G7:H10" si="0">E7-C7</f>
        <v>200</v>
      </c>
      <c r="H7" s="4">
        <f t="shared" si="0"/>
        <v>400</v>
      </c>
      <c r="I7" s="5">
        <f t="shared" ref="I7:I10" si="1">SQRT(POWER(G7,2)+POWER(H7,2))</f>
        <v>447.21359549995793</v>
      </c>
      <c r="J7" s="5">
        <f t="shared" ref="J7:J10" si="2">G7/I7</f>
        <v>0.44721359549995793</v>
      </c>
      <c r="K7" s="5">
        <f t="shared" ref="K7:K10" si="3">H7/I7</f>
        <v>0.89442719099991586</v>
      </c>
      <c r="L7" s="4">
        <v>16</v>
      </c>
      <c r="M7" s="4">
        <v>120000</v>
      </c>
      <c r="N7" s="6">
        <f t="shared" ref="N7:N10" si="4">L7*M7/I7</f>
        <v>4293.250516799596</v>
      </c>
    </row>
    <row r="8" spans="1:14" x14ac:dyDescent="0.25">
      <c r="B8" s="4">
        <v>3</v>
      </c>
      <c r="C8" s="4">
        <v>200</v>
      </c>
      <c r="D8" s="4">
        <v>400</v>
      </c>
      <c r="E8" s="4">
        <v>1000</v>
      </c>
      <c r="F8" s="4">
        <v>0</v>
      </c>
      <c r="G8" s="4">
        <f t="shared" si="0"/>
        <v>800</v>
      </c>
      <c r="H8" s="4">
        <f t="shared" si="0"/>
        <v>-400</v>
      </c>
      <c r="I8" s="5">
        <f t="shared" si="1"/>
        <v>894.42719099991587</v>
      </c>
      <c r="J8" s="5">
        <f t="shared" si="2"/>
        <v>0.89442719099991586</v>
      </c>
      <c r="K8" s="5">
        <f t="shared" si="3"/>
        <v>-0.44721359549995793</v>
      </c>
      <c r="L8" s="4">
        <v>16</v>
      </c>
      <c r="M8" s="4">
        <v>120000</v>
      </c>
      <c r="N8" s="6">
        <f t="shared" si="4"/>
        <v>2146.625258399798</v>
      </c>
    </row>
    <row r="9" spans="1:14" x14ac:dyDescent="0.25">
      <c r="B9" s="4">
        <v>4</v>
      </c>
      <c r="C9" s="4">
        <v>200</v>
      </c>
      <c r="D9" s="4">
        <v>400</v>
      </c>
      <c r="E9" s="4">
        <v>800</v>
      </c>
      <c r="F9" s="4">
        <v>800</v>
      </c>
      <c r="G9" s="4">
        <f t="shared" si="0"/>
        <v>600</v>
      </c>
      <c r="H9" s="4">
        <f t="shared" si="0"/>
        <v>400</v>
      </c>
      <c r="I9" s="5">
        <f t="shared" si="1"/>
        <v>721.11025509279784</v>
      </c>
      <c r="J9" s="5">
        <f t="shared" si="2"/>
        <v>0.83205029433784372</v>
      </c>
      <c r="K9" s="5">
        <f t="shared" si="3"/>
        <v>0.55470019622522915</v>
      </c>
      <c r="L9" s="4">
        <v>16</v>
      </c>
      <c r="M9" s="4">
        <v>120000</v>
      </c>
      <c r="N9" s="6">
        <f t="shared" si="4"/>
        <v>2662.5609418811</v>
      </c>
    </row>
    <row r="10" spans="1:14" x14ac:dyDescent="0.25">
      <c r="B10" s="4">
        <v>5</v>
      </c>
      <c r="C10" s="4">
        <v>800</v>
      </c>
      <c r="D10" s="4">
        <v>800</v>
      </c>
      <c r="E10" s="4">
        <v>1000</v>
      </c>
      <c r="F10" s="4">
        <v>0</v>
      </c>
      <c r="G10" s="4">
        <f t="shared" si="0"/>
        <v>200</v>
      </c>
      <c r="H10" s="4">
        <f t="shared" si="0"/>
        <v>-800</v>
      </c>
      <c r="I10" s="5">
        <f t="shared" si="1"/>
        <v>824.62112512353212</v>
      </c>
      <c r="J10" s="5">
        <f t="shared" si="2"/>
        <v>0.24253562503633297</v>
      </c>
      <c r="K10" s="5">
        <f t="shared" si="3"/>
        <v>-0.97014250014533188</v>
      </c>
      <c r="L10" s="4">
        <v>16</v>
      </c>
      <c r="M10" s="4">
        <v>120000</v>
      </c>
      <c r="N10" s="6">
        <f t="shared" si="4"/>
        <v>2328.3420003487963</v>
      </c>
    </row>
    <row r="13" spans="1:14" x14ac:dyDescent="0.25">
      <c r="B13" s="2" t="s">
        <v>1</v>
      </c>
      <c r="C13" s="2" t="s">
        <v>16</v>
      </c>
      <c r="D13" s="2"/>
      <c r="E13" s="2" t="s">
        <v>17</v>
      </c>
      <c r="F13" s="2"/>
    </row>
    <row r="14" spans="1:14" x14ac:dyDescent="0.25">
      <c r="B14" s="2"/>
      <c r="C14" s="3" t="s">
        <v>18</v>
      </c>
      <c r="D14" s="3" t="s">
        <v>19</v>
      </c>
      <c r="E14" s="3" t="s">
        <v>18</v>
      </c>
      <c r="F14" s="3" t="s">
        <v>19</v>
      </c>
    </row>
    <row r="15" spans="1:14" x14ac:dyDescent="0.25">
      <c r="B15" s="4">
        <v>1</v>
      </c>
      <c r="C15" s="4">
        <v>1</v>
      </c>
      <c r="D15" s="4">
        <v>1</v>
      </c>
      <c r="E15" s="4">
        <v>2</v>
      </c>
      <c r="F15" s="4">
        <v>2</v>
      </c>
    </row>
    <row r="16" spans="1:14" x14ac:dyDescent="0.25">
      <c r="B16" s="4">
        <v>2</v>
      </c>
      <c r="C16" s="4">
        <v>1</v>
      </c>
      <c r="D16" s="4">
        <v>1</v>
      </c>
      <c r="E16" s="4">
        <v>3</v>
      </c>
      <c r="F16" s="4">
        <v>3</v>
      </c>
    </row>
    <row r="17" spans="2:14" x14ac:dyDescent="0.25">
      <c r="B17" s="4">
        <v>3</v>
      </c>
      <c r="C17" s="4">
        <v>3</v>
      </c>
      <c r="D17" s="4">
        <v>3</v>
      </c>
      <c r="E17" s="4">
        <v>2</v>
      </c>
      <c r="F17" s="4">
        <v>2</v>
      </c>
    </row>
    <row r="18" spans="2:14" x14ac:dyDescent="0.25">
      <c r="B18" s="4">
        <v>4</v>
      </c>
      <c r="C18" s="4">
        <v>3</v>
      </c>
      <c r="D18" s="4">
        <v>3</v>
      </c>
      <c r="E18" s="4">
        <v>4</v>
      </c>
      <c r="F18" s="4">
        <v>4</v>
      </c>
    </row>
    <row r="19" spans="2:14" x14ac:dyDescent="0.25">
      <c r="B19" s="4">
        <v>5</v>
      </c>
      <c r="C19" s="4">
        <v>4</v>
      </c>
      <c r="D19" s="4">
        <v>4</v>
      </c>
      <c r="E19" s="4">
        <v>2</v>
      </c>
      <c r="F19" s="4">
        <v>2</v>
      </c>
    </row>
    <row r="22" spans="2:14" x14ac:dyDescent="0.25">
      <c r="B22" t="s">
        <v>20</v>
      </c>
    </row>
    <row r="24" spans="2:14" x14ac:dyDescent="0.25">
      <c r="B24" s="7" t="s">
        <v>21</v>
      </c>
      <c r="F24" s="3" t="str">
        <f>CONCATENATE("U",C15,C14)</f>
        <v>U1X</v>
      </c>
      <c r="G24" s="3" t="str">
        <f t="shared" ref="G24:I24" si="5">CONCATENATE("U",D15,D14)</f>
        <v>U1Y</v>
      </c>
      <c r="H24" s="3" t="str">
        <f t="shared" si="5"/>
        <v>U2X</v>
      </c>
      <c r="I24" s="3" t="str">
        <f t="shared" si="5"/>
        <v>U2Y</v>
      </c>
      <c r="J24" s="4"/>
    </row>
    <row r="25" spans="2:14" x14ac:dyDescent="0.25">
      <c r="F25" s="4">
        <f>J6*J6*D27</f>
        <v>1920</v>
      </c>
      <c r="G25" s="4">
        <f>J6*K6*D27</f>
        <v>0</v>
      </c>
      <c r="H25" s="4">
        <f>-F25</f>
        <v>-1920</v>
      </c>
      <c r="I25" s="4">
        <f>-G25</f>
        <v>0</v>
      </c>
      <c r="J25" s="3" t="str">
        <f t="array" ref="J25:J28">TRANSPOSE(F24:I24)</f>
        <v>U1X</v>
      </c>
    </row>
    <row r="26" spans="2:14" x14ac:dyDescent="0.25">
      <c r="D26" s="1" t="s">
        <v>11</v>
      </c>
      <c r="F26" s="4">
        <f>G25</f>
        <v>0</v>
      </c>
      <c r="G26" s="4">
        <f>K6*K6*D27</f>
        <v>0</v>
      </c>
      <c r="H26" s="4">
        <f>-F26</f>
        <v>0</v>
      </c>
      <c r="I26" s="4">
        <f>-G26</f>
        <v>0</v>
      </c>
      <c r="J26" s="3" t="str">
        <v>U1Y</v>
      </c>
    </row>
    <row r="27" spans="2:14" x14ac:dyDescent="0.25">
      <c r="C27" t="s">
        <v>22</v>
      </c>
      <c r="D27" s="8">
        <f>N6</f>
        <v>1920</v>
      </c>
      <c r="F27" s="4">
        <f t="array" ref="F27:G28">H25:I26</f>
        <v>-1920</v>
      </c>
      <c r="G27" s="4">
        <v>0</v>
      </c>
      <c r="H27" s="4">
        <f t="array" ref="H27:I28">F25:G26</f>
        <v>1920</v>
      </c>
      <c r="I27" s="4">
        <v>0</v>
      </c>
      <c r="J27" s="3" t="str">
        <v>U2X</v>
      </c>
    </row>
    <row r="28" spans="2:14" x14ac:dyDescent="0.25">
      <c r="F28" s="4">
        <v>0</v>
      </c>
      <c r="G28" s="4">
        <v>0</v>
      </c>
      <c r="H28" s="4">
        <v>0</v>
      </c>
      <c r="I28" s="4">
        <v>0</v>
      </c>
      <c r="J28" s="3" t="str">
        <v>U2Y</v>
      </c>
    </row>
    <row r="31" spans="2:14" x14ac:dyDescent="0.25">
      <c r="F31" s="4" t="s">
        <v>23</v>
      </c>
      <c r="G31" s="4" t="s">
        <v>24</v>
      </c>
      <c r="H31" s="4" t="s">
        <v>25</v>
      </c>
      <c r="I31" s="4" t="s">
        <v>26</v>
      </c>
      <c r="J31" s="4" t="s">
        <v>27</v>
      </c>
      <c r="K31" s="4" t="s">
        <v>28</v>
      </c>
      <c r="L31" s="4" t="s">
        <v>29</v>
      </c>
      <c r="M31" s="4" t="s">
        <v>30</v>
      </c>
      <c r="N31" s="4"/>
    </row>
    <row r="32" spans="2:14" x14ac:dyDescent="0.25">
      <c r="F32" s="4">
        <f t="array" ref="F32:G33">F25:G26</f>
        <v>1920</v>
      </c>
      <c r="G32" s="4">
        <v>0</v>
      </c>
      <c r="H32" s="4">
        <f t="array" ref="H32:I33">H25:I26</f>
        <v>-1920</v>
      </c>
      <c r="I32" s="4">
        <v>0</v>
      </c>
      <c r="J32" s="4"/>
      <c r="K32" s="4"/>
      <c r="L32" s="4"/>
      <c r="M32" s="4"/>
      <c r="N32" s="4" t="str">
        <f t="array" ref="N32:N41">TRANSPOSE(F31:M31)</f>
        <v>U1X</v>
      </c>
    </row>
    <row r="33" spans="2:14" x14ac:dyDescent="0.25">
      <c r="F33" s="4">
        <v>0</v>
      </c>
      <c r="G33" s="4">
        <v>0</v>
      </c>
      <c r="H33" s="4">
        <v>0</v>
      </c>
      <c r="I33" s="4">
        <v>0</v>
      </c>
      <c r="J33" s="4"/>
      <c r="K33" s="4"/>
      <c r="L33" s="4"/>
      <c r="M33" s="4"/>
      <c r="N33" s="4" t="str">
        <v>U1Y</v>
      </c>
    </row>
    <row r="34" spans="2:14" x14ac:dyDescent="0.25">
      <c r="F34" s="4">
        <f t="array" ref="F34:G35">F27:G28</f>
        <v>-1920</v>
      </c>
      <c r="G34" s="4">
        <v>0</v>
      </c>
      <c r="H34" s="4">
        <f t="array" ref="H34:I35">H27:I28</f>
        <v>1920</v>
      </c>
      <c r="I34" s="4">
        <v>0</v>
      </c>
      <c r="J34" s="4"/>
      <c r="K34" s="4"/>
      <c r="L34" s="4"/>
      <c r="M34" s="4"/>
      <c r="N34" s="4" t="str">
        <v>U2X</v>
      </c>
    </row>
    <row r="35" spans="2:14" x14ac:dyDescent="0.25">
      <c r="F35" s="4">
        <v>0</v>
      </c>
      <c r="G35" s="4">
        <v>0</v>
      </c>
      <c r="H35" s="4">
        <v>0</v>
      </c>
      <c r="I35" s="4">
        <v>0</v>
      </c>
      <c r="J35" s="4"/>
      <c r="K35" s="4"/>
      <c r="L35" s="4"/>
      <c r="M35" s="4"/>
      <c r="N35" s="4" t="str">
        <v>U2Y</v>
      </c>
    </row>
    <row r="36" spans="2:14" x14ac:dyDescent="0.25">
      <c r="F36" s="4"/>
      <c r="G36" s="4"/>
      <c r="H36" s="4"/>
      <c r="I36" s="4"/>
      <c r="J36" s="4"/>
      <c r="K36" s="4"/>
      <c r="L36" s="4"/>
      <c r="M36" s="4"/>
      <c r="N36" s="4" t="str">
        <v>U3X</v>
      </c>
    </row>
    <row r="37" spans="2:14" x14ac:dyDescent="0.25">
      <c r="F37" s="4"/>
      <c r="G37" s="4"/>
      <c r="H37" s="4"/>
      <c r="I37" s="4"/>
      <c r="J37" s="4"/>
      <c r="K37" s="4"/>
      <c r="L37" s="4"/>
      <c r="M37" s="4"/>
      <c r="N37" s="4" t="str">
        <v>U3Y</v>
      </c>
    </row>
    <row r="38" spans="2:14" x14ac:dyDescent="0.25">
      <c r="F38" s="4"/>
      <c r="G38" s="4"/>
      <c r="H38" s="4"/>
      <c r="I38" s="4"/>
      <c r="J38" s="4"/>
      <c r="K38" s="4"/>
      <c r="L38" s="4"/>
      <c r="M38" s="4"/>
      <c r="N38" s="4" t="str">
        <v>U4X</v>
      </c>
    </row>
    <row r="39" spans="2:14" x14ac:dyDescent="0.25">
      <c r="F39" s="4"/>
      <c r="G39" s="4"/>
      <c r="H39" s="4"/>
      <c r="I39" s="4"/>
      <c r="J39" s="4"/>
      <c r="K39" s="4"/>
      <c r="L39" s="4"/>
      <c r="M39" s="4"/>
      <c r="N39" s="4" t="str">
        <v>U4Y</v>
      </c>
    </row>
    <row r="40" spans="2:14" x14ac:dyDescent="0.25">
      <c r="F40" s="9"/>
      <c r="G40" s="9"/>
      <c r="H40" s="9"/>
      <c r="I40" s="9"/>
      <c r="J40" s="9"/>
      <c r="K40" s="9"/>
      <c r="L40" s="9"/>
      <c r="M40" s="9"/>
      <c r="N40" s="9" t="e">
        <v>#N/A</v>
      </c>
    </row>
    <row r="41" spans="2:14" x14ac:dyDescent="0.25">
      <c r="N41" t="e">
        <v>#N/A</v>
      </c>
    </row>
    <row r="45" spans="2:14" x14ac:dyDescent="0.25">
      <c r="B45" s="7" t="s">
        <v>31</v>
      </c>
    </row>
    <row r="46" spans="2:14" x14ac:dyDescent="0.25">
      <c r="F46" s="4" t="str">
        <f>CONCATENATE("U",C16,C14)</f>
        <v>U1X</v>
      </c>
      <c r="G46" s="4" t="str">
        <f>CONCATENATE("U",D16,D14)</f>
        <v>U1Y</v>
      </c>
      <c r="H46" s="4" t="str">
        <f>CONCATENATE("U",E16,E14)</f>
        <v>U3X</v>
      </c>
      <c r="I46" s="4" t="str">
        <f>CONCATENATE("U",F16,F14)</f>
        <v>U3Y</v>
      </c>
      <c r="J46" s="4"/>
    </row>
    <row r="47" spans="2:14" x14ac:dyDescent="0.25">
      <c r="F47" s="6">
        <f>J7*J7*D48</f>
        <v>858.65010335991917</v>
      </c>
      <c r="G47" s="6">
        <f>J7*K7*D48</f>
        <v>1717.3002067198383</v>
      </c>
      <c r="H47" s="6">
        <f>-F47</f>
        <v>-858.65010335991917</v>
      </c>
      <c r="I47" s="6">
        <f>-G47</f>
        <v>-1717.3002067198383</v>
      </c>
      <c r="J47" s="4" t="str">
        <f t="array" ref="J47:J50">TRANSPOSE(F46:I46)</f>
        <v>U1X</v>
      </c>
    </row>
    <row r="48" spans="2:14" x14ac:dyDescent="0.25">
      <c r="C48" t="s">
        <v>32</v>
      </c>
      <c r="D48" s="8">
        <f>N7</f>
        <v>4293.250516799596</v>
      </c>
      <c r="F48" s="6">
        <f>G47</f>
        <v>1717.3002067198383</v>
      </c>
      <c r="G48" s="6">
        <f>K7*K7*D48</f>
        <v>3434.6004134396767</v>
      </c>
      <c r="H48" s="6">
        <f>-F48</f>
        <v>-1717.3002067198383</v>
      </c>
      <c r="I48" s="6">
        <f>-G48</f>
        <v>-3434.6004134396767</v>
      </c>
      <c r="J48" s="4" t="str">
        <v>U1Y</v>
      </c>
    </row>
    <row r="49" spans="6:14" x14ac:dyDescent="0.25">
      <c r="F49" s="6">
        <f t="array" ref="F49:G50">H47:I48</f>
        <v>-858.65010335991917</v>
      </c>
      <c r="G49" s="6">
        <v>-1717.3002067198383</v>
      </c>
      <c r="H49" s="6">
        <f t="array" ref="H49:I50">F47:G48</f>
        <v>858.65010335991917</v>
      </c>
      <c r="I49" s="6">
        <v>1717.3002067198383</v>
      </c>
      <c r="J49" s="4" t="str">
        <v>U3X</v>
      </c>
    </row>
    <row r="50" spans="6:14" x14ac:dyDescent="0.25">
      <c r="F50" s="6">
        <v>-1717.3002067198383</v>
      </c>
      <c r="G50" s="6">
        <v>-3434.6004134396767</v>
      </c>
      <c r="H50" s="6">
        <v>1717.3002067198383</v>
      </c>
      <c r="I50" s="6">
        <v>3434.6004134396767</v>
      </c>
      <c r="J50" s="4" t="str">
        <v>U3Y</v>
      </c>
    </row>
    <row r="53" spans="6:14" x14ac:dyDescent="0.25">
      <c r="F53" s="4" t="s">
        <v>23</v>
      </c>
      <c r="G53" s="4" t="s">
        <v>24</v>
      </c>
      <c r="H53" s="4" t="s">
        <v>25</v>
      </c>
      <c r="I53" s="4" t="s">
        <v>26</v>
      </c>
      <c r="J53" s="4" t="s">
        <v>27</v>
      </c>
      <c r="K53" s="4" t="s">
        <v>28</v>
      </c>
      <c r="L53" s="4" t="s">
        <v>29</v>
      </c>
      <c r="M53" s="4" t="s">
        <v>30</v>
      </c>
      <c r="N53" s="4"/>
    </row>
    <row r="54" spans="6:14" x14ac:dyDescent="0.25">
      <c r="F54" s="4">
        <f t="array" ref="F54:G55">F47:G48</f>
        <v>858.65010335991917</v>
      </c>
      <c r="G54" s="4">
        <v>1717.3002067198383</v>
      </c>
      <c r="H54" s="4"/>
      <c r="I54" s="4"/>
      <c r="J54" s="4">
        <f t="array" ref="J54:K55">H47:I48</f>
        <v>-858.65010335991917</v>
      </c>
      <c r="K54" s="4">
        <v>-1717.3002067198383</v>
      </c>
      <c r="L54" s="4"/>
      <c r="M54" s="4"/>
      <c r="N54" s="4" t="str">
        <f t="array" ref="N54:N63">TRANSPOSE(F53:M53)</f>
        <v>U1X</v>
      </c>
    </row>
    <row r="55" spans="6:14" x14ac:dyDescent="0.25">
      <c r="F55" s="4">
        <v>1717.3002067198383</v>
      </c>
      <c r="G55" s="4">
        <v>3434.6004134396767</v>
      </c>
      <c r="H55" s="4"/>
      <c r="I55" s="4"/>
      <c r="J55" s="4">
        <v>-1717.3002067198383</v>
      </c>
      <c r="K55" s="4">
        <v>-3434.6004134396767</v>
      </c>
      <c r="L55" s="4"/>
      <c r="M55" s="4"/>
      <c r="N55" s="4" t="str">
        <v>U1Y</v>
      </c>
    </row>
    <row r="56" spans="6:14" x14ac:dyDescent="0.25">
      <c r="F56" s="4"/>
      <c r="G56" s="4"/>
      <c r="H56" s="4"/>
      <c r="I56" s="4"/>
      <c r="J56" s="4"/>
      <c r="K56" s="4"/>
      <c r="L56" s="4"/>
      <c r="M56" s="4"/>
      <c r="N56" s="4" t="str">
        <v>U2X</v>
      </c>
    </row>
    <row r="57" spans="6:14" x14ac:dyDescent="0.25">
      <c r="F57" s="4"/>
      <c r="G57" s="4"/>
      <c r="H57" s="4"/>
      <c r="I57" s="4"/>
      <c r="J57" s="4"/>
      <c r="K57" s="4"/>
      <c r="L57" s="4"/>
      <c r="M57" s="4"/>
      <c r="N57" s="4" t="str">
        <v>U2Y</v>
      </c>
    </row>
    <row r="58" spans="6:14" x14ac:dyDescent="0.25">
      <c r="F58" s="4">
        <f t="array" ref="F58:G59">F49:G50</f>
        <v>-858.65010335991917</v>
      </c>
      <c r="G58" s="4">
        <v>-1717.3002067198383</v>
      </c>
      <c r="H58" s="4"/>
      <c r="I58" s="4"/>
      <c r="J58" s="4">
        <f t="array" ref="J58:K59">H49:I50</f>
        <v>858.65010335991917</v>
      </c>
      <c r="K58" s="4">
        <v>1717.3002067198383</v>
      </c>
      <c r="L58" s="4"/>
      <c r="M58" s="4"/>
      <c r="N58" s="4" t="str">
        <v>U3X</v>
      </c>
    </row>
    <row r="59" spans="6:14" x14ac:dyDescent="0.25">
      <c r="F59" s="4">
        <v>-1717.3002067198383</v>
      </c>
      <c r="G59" s="4">
        <v>-3434.6004134396767</v>
      </c>
      <c r="H59" s="4"/>
      <c r="I59" s="4"/>
      <c r="J59" s="4">
        <v>1717.3002067198383</v>
      </c>
      <c r="K59" s="4">
        <v>3434.6004134396767</v>
      </c>
      <c r="L59" s="4"/>
      <c r="M59" s="4"/>
      <c r="N59" s="4" t="str">
        <v>U3Y</v>
      </c>
    </row>
    <row r="60" spans="6:14" x14ac:dyDescent="0.25">
      <c r="F60" s="4"/>
      <c r="G60" s="4"/>
      <c r="H60" s="4"/>
      <c r="I60" s="4"/>
      <c r="J60" s="4"/>
      <c r="K60" s="4"/>
      <c r="L60" s="4"/>
      <c r="M60" s="4"/>
      <c r="N60" s="4" t="str">
        <v>U4X</v>
      </c>
    </row>
    <row r="61" spans="6:14" x14ac:dyDescent="0.25">
      <c r="F61" s="4"/>
      <c r="G61" s="4"/>
      <c r="H61" s="4"/>
      <c r="I61" s="4"/>
      <c r="J61" s="4"/>
      <c r="K61" s="4"/>
      <c r="L61" s="4"/>
      <c r="M61" s="4"/>
      <c r="N61" s="4" t="str">
        <v>U4Y</v>
      </c>
    </row>
    <row r="62" spans="6:14" x14ac:dyDescent="0.25">
      <c r="F62" s="9"/>
      <c r="G62" s="9"/>
      <c r="H62" s="9"/>
      <c r="I62" s="9"/>
      <c r="J62" s="9"/>
      <c r="K62" s="9"/>
      <c r="L62" s="9"/>
      <c r="M62" s="9"/>
      <c r="N62" s="9" t="e">
        <v>#N/A</v>
      </c>
    </row>
    <row r="63" spans="6:14" x14ac:dyDescent="0.25">
      <c r="N63" t="e">
        <v>#N/A</v>
      </c>
    </row>
    <row r="67" spans="2:14" x14ac:dyDescent="0.25">
      <c r="B67" s="7" t="s">
        <v>33</v>
      </c>
    </row>
    <row r="68" spans="2:14" x14ac:dyDescent="0.25">
      <c r="F68" s="4" t="str">
        <f>CONCATENATE("U",C17,C14)</f>
        <v>U3X</v>
      </c>
      <c r="G68" s="4" t="str">
        <f>CONCATENATE("U",D17,D14)</f>
        <v>U3Y</v>
      </c>
      <c r="H68" s="4" t="str">
        <f>CONCATENATE("U",E17,E14)</f>
        <v>U2X</v>
      </c>
      <c r="I68" s="4" t="str">
        <f>CONCATENATE("U",F17,F14)</f>
        <v>U2Y</v>
      </c>
      <c r="J68" s="4"/>
    </row>
    <row r="69" spans="2:14" x14ac:dyDescent="0.25">
      <c r="F69" s="6">
        <f>J8*J8*D71</f>
        <v>1717.3002067198383</v>
      </c>
      <c r="G69" s="6">
        <f>J8*K8*D71</f>
        <v>-858.65010335991917</v>
      </c>
      <c r="H69" s="6">
        <f>-F69</f>
        <v>-1717.3002067198383</v>
      </c>
      <c r="I69" s="6">
        <f>-G69</f>
        <v>858.65010335991917</v>
      </c>
      <c r="J69" s="4" t="str">
        <f t="array" ref="J69:J72">TRANSPOSE(F68:I68)</f>
        <v>U3X</v>
      </c>
    </row>
    <row r="70" spans="2:14" x14ac:dyDescent="0.25">
      <c r="F70" s="6">
        <f>G69</f>
        <v>-858.65010335991917</v>
      </c>
      <c r="G70" s="6">
        <f>K8*K8*D71</f>
        <v>429.32505167995959</v>
      </c>
      <c r="H70" s="6">
        <f>-F70</f>
        <v>858.65010335991917</v>
      </c>
      <c r="I70" s="6">
        <f>-G70</f>
        <v>-429.32505167995959</v>
      </c>
      <c r="J70" s="4" t="str">
        <v>U3Y</v>
      </c>
    </row>
    <row r="71" spans="2:14" x14ac:dyDescent="0.25">
      <c r="C71" t="s">
        <v>34</v>
      </c>
      <c r="D71" s="8">
        <f>N8</f>
        <v>2146.625258399798</v>
      </c>
      <c r="F71" s="6">
        <f t="array" ref="F71:G72">H69:I70</f>
        <v>-1717.3002067198383</v>
      </c>
      <c r="G71" s="6">
        <v>858.65010335991917</v>
      </c>
      <c r="H71" s="6">
        <f t="array" ref="H71:I72">F69:G70</f>
        <v>1717.3002067198383</v>
      </c>
      <c r="I71" s="6">
        <v>-858.65010335991917</v>
      </c>
      <c r="J71" s="4" t="str">
        <v>U2X</v>
      </c>
    </row>
    <row r="72" spans="2:14" x14ac:dyDescent="0.25">
      <c r="F72" s="6">
        <v>858.65010335991917</v>
      </c>
      <c r="G72" s="6">
        <v>-429.32505167995959</v>
      </c>
      <c r="H72" s="6">
        <v>-858.65010335991917</v>
      </c>
      <c r="I72" s="6">
        <v>429.32505167995959</v>
      </c>
      <c r="J72" s="4" t="str">
        <v>U2Y</v>
      </c>
    </row>
    <row r="75" spans="2:14" x14ac:dyDescent="0.25">
      <c r="F75" s="4" t="s">
        <v>23</v>
      </c>
      <c r="G75" s="4" t="s">
        <v>24</v>
      </c>
      <c r="H75" s="4" t="s">
        <v>25</v>
      </c>
      <c r="I75" s="4" t="s">
        <v>26</v>
      </c>
      <c r="J75" s="4" t="s">
        <v>27</v>
      </c>
      <c r="K75" s="4" t="s">
        <v>28</v>
      </c>
      <c r="L75" s="4" t="s">
        <v>29</v>
      </c>
      <c r="M75" s="4" t="s">
        <v>30</v>
      </c>
      <c r="N75" s="4"/>
    </row>
    <row r="76" spans="2:14" x14ac:dyDescent="0.25">
      <c r="F76" s="4"/>
      <c r="G76" s="4"/>
      <c r="H76" s="4"/>
      <c r="I76" s="4"/>
      <c r="J76" s="4"/>
      <c r="K76" s="4"/>
      <c r="L76" s="4"/>
      <c r="M76" s="4"/>
      <c r="N76" s="4" t="str">
        <f t="array" ref="N76:N85">TRANSPOSE(F75:M75)</f>
        <v>U1X</v>
      </c>
    </row>
    <row r="77" spans="2:14" x14ac:dyDescent="0.25">
      <c r="F77" s="4"/>
      <c r="G77" s="4"/>
      <c r="H77" s="4"/>
      <c r="I77" s="4"/>
      <c r="J77" s="4"/>
      <c r="K77" s="4"/>
      <c r="L77" s="4"/>
      <c r="M77" s="4"/>
      <c r="N77" s="4" t="str">
        <v>U1Y</v>
      </c>
    </row>
    <row r="78" spans="2:14" x14ac:dyDescent="0.25">
      <c r="F78" s="4"/>
      <c r="G78" s="4"/>
      <c r="H78" s="4">
        <f t="array" ref="H78:I79">H71:I72</f>
        <v>1717.3002067198383</v>
      </c>
      <c r="I78" s="4">
        <v>-858.65010335991917</v>
      </c>
      <c r="J78" s="6">
        <f t="array" ref="J78:K79">F71:G72</f>
        <v>-1717.3002067198383</v>
      </c>
      <c r="K78" s="4">
        <v>858.65010335991917</v>
      </c>
      <c r="L78" s="4"/>
      <c r="M78" s="4"/>
      <c r="N78" s="4" t="str">
        <v>U2X</v>
      </c>
    </row>
    <row r="79" spans="2:14" x14ac:dyDescent="0.25">
      <c r="F79" s="4"/>
      <c r="G79" s="4"/>
      <c r="H79" s="4">
        <v>-858.65010335991917</v>
      </c>
      <c r="I79" s="4">
        <v>429.32505167995959</v>
      </c>
      <c r="J79" s="4">
        <v>858.65010335991917</v>
      </c>
      <c r="K79" s="4">
        <v>-429.32505167995959</v>
      </c>
      <c r="L79" s="4"/>
      <c r="M79" s="4"/>
      <c r="N79" s="4" t="str">
        <v>U2Y</v>
      </c>
    </row>
    <row r="80" spans="2:14" x14ac:dyDescent="0.25">
      <c r="F80" s="4"/>
      <c r="G80" s="4"/>
      <c r="H80">
        <f t="array" ref="H80:I81">H69:I70</f>
        <v>-1717.3002067198383</v>
      </c>
      <c r="I80" s="4">
        <v>858.65010335991917</v>
      </c>
      <c r="J80" s="4">
        <f t="array" ref="J80:K81">F69:G70</f>
        <v>1717.3002067198383</v>
      </c>
      <c r="K80" s="4">
        <v>-858.65010335991917</v>
      </c>
      <c r="L80" s="4"/>
      <c r="M80" s="4"/>
      <c r="N80" s="4" t="str">
        <v>U3X</v>
      </c>
    </row>
    <row r="81" spans="2:14" x14ac:dyDescent="0.25">
      <c r="F81" s="4"/>
      <c r="G81" s="4"/>
      <c r="H81" s="4">
        <v>858.65010335991917</v>
      </c>
      <c r="I81" s="4">
        <v>-429.32505167995959</v>
      </c>
      <c r="J81" s="4">
        <v>-858.65010335991917</v>
      </c>
      <c r="K81" s="4">
        <v>429.32505167995959</v>
      </c>
      <c r="L81" s="4"/>
      <c r="M81" s="4"/>
      <c r="N81" s="4" t="str">
        <v>U3Y</v>
      </c>
    </row>
    <row r="82" spans="2:14" x14ac:dyDescent="0.25">
      <c r="F82" s="4"/>
      <c r="G82" s="4"/>
      <c r="H82" s="4"/>
      <c r="I82" s="4"/>
      <c r="J82" s="4"/>
      <c r="K82" s="4"/>
      <c r="L82" s="4"/>
      <c r="M82" s="4"/>
      <c r="N82" s="4" t="str">
        <v>U4X</v>
      </c>
    </row>
    <row r="83" spans="2:14" x14ac:dyDescent="0.25">
      <c r="F83" s="4"/>
      <c r="G83" s="4"/>
      <c r="H83" s="4"/>
      <c r="I83" s="4"/>
      <c r="J83" s="4"/>
      <c r="K83" s="4"/>
      <c r="L83" s="4"/>
      <c r="M83" s="4"/>
      <c r="N83" s="4" t="str">
        <v>U4Y</v>
      </c>
    </row>
    <row r="84" spans="2:14" x14ac:dyDescent="0.25">
      <c r="F84" s="9"/>
      <c r="G84" s="9"/>
      <c r="H84" s="9"/>
      <c r="I84" s="9"/>
      <c r="J84" s="9"/>
      <c r="K84" s="9"/>
      <c r="L84" s="9"/>
      <c r="M84" s="9"/>
      <c r="N84" s="9" t="e">
        <v>#N/A</v>
      </c>
    </row>
    <row r="85" spans="2:14" x14ac:dyDescent="0.25">
      <c r="N85" t="e">
        <v>#N/A</v>
      </c>
    </row>
    <row r="88" spans="2:14" x14ac:dyDescent="0.25">
      <c r="B88" s="10" t="s">
        <v>35</v>
      </c>
      <c r="F88" s="4" t="str">
        <f>CONCATENATE("U",C18,C14)</f>
        <v>U3X</v>
      </c>
      <c r="G88" s="4" t="str">
        <f t="shared" ref="G88:I88" si="6">CONCATENATE("U",D18,D14)</f>
        <v>U3Y</v>
      </c>
      <c r="H88" s="4" t="str">
        <f t="shared" si="6"/>
        <v>U4X</v>
      </c>
      <c r="I88" s="4" t="str">
        <f t="shared" si="6"/>
        <v>U4Y</v>
      </c>
      <c r="J88" s="4"/>
    </row>
    <row r="89" spans="2:14" x14ac:dyDescent="0.25">
      <c r="F89" s="6">
        <f>J9*J9*D91</f>
        <v>1843.3114213023002</v>
      </c>
      <c r="G89" s="6">
        <f>J9*K9*D91</f>
        <v>1228.8742808682</v>
      </c>
      <c r="H89" s="6">
        <f>-F89</f>
        <v>-1843.3114213023002</v>
      </c>
      <c r="I89" s="6">
        <f>-G89</f>
        <v>-1228.8742808682</v>
      </c>
      <c r="J89" s="4" t="str">
        <f t="array" ref="J89:J92">TRANSPOSE(F88:I88)</f>
        <v>U3X</v>
      </c>
    </row>
    <row r="90" spans="2:14" x14ac:dyDescent="0.25">
      <c r="F90" s="6">
        <f>G89</f>
        <v>1228.8742808682</v>
      </c>
      <c r="G90" s="6">
        <f>K9*K9*D91</f>
        <v>819.2495205788</v>
      </c>
      <c r="H90" s="6">
        <f>-F90</f>
        <v>-1228.8742808682</v>
      </c>
      <c r="I90" s="6">
        <f>-G90</f>
        <v>-819.2495205788</v>
      </c>
      <c r="J90" s="4" t="str">
        <v>U3Y</v>
      </c>
    </row>
    <row r="91" spans="2:14" x14ac:dyDescent="0.25">
      <c r="C91" t="s">
        <v>36</v>
      </c>
      <c r="D91" s="8">
        <f>N9</f>
        <v>2662.5609418811</v>
      </c>
      <c r="F91" s="6">
        <f t="array" ref="F91:G92">H89:I90</f>
        <v>-1843.3114213023002</v>
      </c>
      <c r="G91" s="6">
        <v>-1228.8742808682</v>
      </c>
      <c r="H91" s="6">
        <f t="array" ref="H91:I92">F89:G90</f>
        <v>1843.3114213023002</v>
      </c>
      <c r="I91" s="6">
        <v>1228.8742808682</v>
      </c>
      <c r="J91" s="4" t="str">
        <v>U4X</v>
      </c>
    </row>
    <row r="92" spans="2:14" x14ac:dyDescent="0.25">
      <c r="F92" s="6">
        <v>-1228.8742808682</v>
      </c>
      <c r="G92" s="6">
        <v>-819.2495205788</v>
      </c>
      <c r="H92" s="6">
        <v>1228.8742808682</v>
      </c>
      <c r="I92" s="6">
        <v>819.2495205788</v>
      </c>
      <c r="J92" s="4" t="str">
        <v>U4Y</v>
      </c>
    </row>
    <row r="95" spans="2:14" x14ac:dyDescent="0.25">
      <c r="F95" s="4" t="s">
        <v>23</v>
      </c>
      <c r="G95" s="4" t="s">
        <v>24</v>
      </c>
      <c r="H95" s="4" t="s">
        <v>25</v>
      </c>
      <c r="I95" s="4" t="s">
        <v>26</v>
      </c>
      <c r="J95" s="4" t="s">
        <v>27</v>
      </c>
      <c r="K95" s="4" t="s">
        <v>28</v>
      </c>
      <c r="L95" s="4" t="s">
        <v>29</v>
      </c>
      <c r="M95" s="4" t="s">
        <v>30</v>
      </c>
      <c r="N95" s="4"/>
    </row>
    <row r="96" spans="2:14" x14ac:dyDescent="0.25">
      <c r="F96" s="4"/>
      <c r="G96" s="4"/>
      <c r="H96" s="4"/>
      <c r="I96" s="4"/>
      <c r="J96" s="4"/>
      <c r="K96" s="4"/>
      <c r="L96" s="4"/>
      <c r="M96" s="4"/>
      <c r="N96" s="4" t="str">
        <f t="array" ref="N96:N105">TRANSPOSE(F95:M95)</f>
        <v>U1X</v>
      </c>
    </row>
    <row r="97" spans="2:14" x14ac:dyDescent="0.25">
      <c r="F97" s="4"/>
      <c r="G97" s="4"/>
      <c r="H97" s="4"/>
      <c r="I97" s="4"/>
      <c r="J97" s="4"/>
      <c r="K97" s="4"/>
      <c r="L97" s="4"/>
      <c r="M97" s="4"/>
      <c r="N97" s="4" t="str">
        <v>U1Y</v>
      </c>
    </row>
    <row r="98" spans="2:14" x14ac:dyDescent="0.25">
      <c r="F98" s="4"/>
      <c r="G98" s="4"/>
      <c r="H98" s="4"/>
      <c r="I98" s="4"/>
      <c r="J98" s="6"/>
      <c r="K98" s="4"/>
      <c r="L98" s="4"/>
      <c r="M98" s="4"/>
      <c r="N98" s="4" t="str">
        <v>U2X</v>
      </c>
    </row>
    <row r="99" spans="2:14" x14ac:dyDescent="0.25">
      <c r="F99" s="4"/>
      <c r="G99" s="4"/>
      <c r="H99" s="4"/>
      <c r="I99" s="4"/>
      <c r="J99" s="4"/>
      <c r="K99" s="4"/>
      <c r="L99" s="4"/>
      <c r="M99" s="4"/>
      <c r="N99" s="4" t="str">
        <v>U2Y</v>
      </c>
    </row>
    <row r="100" spans="2:14" x14ac:dyDescent="0.25">
      <c r="F100" s="4"/>
      <c r="G100" s="4"/>
      <c r="I100" s="4"/>
      <c r="J100" s="4">
        <f t="array" ref="J100:K101">F89:G90</f>
        <v>1843.3114213023002</v>
      </c>
      <c r="K100" s="4">
        <v>1228.8742808682</v>
      </c>
      <c r="L100" s="4">
        <f t="array" ref="L100:M101">H89:I90</f>
        <v>-1843.3114213023002</v>
      </c>
      <c r="M100" s="4">
        <v>-1228.8742808682</v>
      </c>
      <c r="N100" s="4" t="str">
        <v>U3X</v>
      </c>
    </row>
    <row r="101" spans="2:14" x14ac:dyDescent="0.25">
      <c r="F101" s="4"/>
      <c r="G101" s="4"/>
      <c r="H101" s="4"/>
      <c r="I101" s="4"/>
      <c r="J101" s="4">
        <v>1228.8742808682</v>
      </c>
      <c r="K101" s="4">
        <v>819.2495205788</v>
      </c>
      <c r="L101" s="4">
        <v>-1228.8742808682</v>
      </c>
      <c r="M101" s="4">
        <v>-819.2495205788</v>
      </c>
      <c r="N101" s="4" t="str">
        <v>U3Y</v>
      </c>
    </row>
    <row r="102" spans="2:14" x14ac:dyDescent="0.25">
      <c r="F102" s="4"/>
      <c r="G102" s="4"/>
      <c r="H102" s="4"/>
      <c r="I102" s="4"/>
      <c r="J102" s="4">
        <f t="array" ref="J102:K103">F91:G92</f>
        <v>-1843.3114213023002</v>
      </c>
      <c r="K102" s="4">
        <v>-1228.8742808682</v>
      </c>
      <c r="L102" s="4">
        <f t="array" ref="L102:M103">H91:I92</f>
        <v>1843.3114213023002</v>
      </c>
      <c r="M102" s="4">
        <v>1228.8742808682</v>
      </c>
      <c r="N102" s="4" t="str">
        <v>U4X</v>
      </c>
    </row>
    <row r="103" spans="2:14" x14ac:dyDescent="0.25">
      <c r="F103" s="4"/>
      <c r="G103" s="4"/>
      <c r="H103" s="4"/>
      <c r="I103" s="4"/>
      <c r="J103" s="4">
        <v>-1228.8742808682</v>
      </c>
      <c r="K103" s="4">
        <v>-819.2495205788</v>
      </c>
      <c r="L103" s="4">
        <v>1228.8742808682</v>
      </c>
      <c r="M103" s="4">
        <v>819.2495205788</v>
      </c>
      <c r="N103" s="4" t="str">
        <v>U4Y</v>
      </c>
    </row>
    <row r="104" spans="2:14" x14ac:dyDescent="0.25">
      <c r="F104" s="9"/>
      <c r="G104" s="9"/>
      <c r="H104" s="9"/>
      <c r="I104" s="9"/>
      <c r="J104" s="9"/>
      <c r="K104" s="9"/>
      <c r="L104" s="9"/>
      <c r="M104" s="9"/>
      <c r="N104" s="9" t="e">
        <v>#N/A</v>
      </c>
    </row>
    <row r="105" spans="2:14" x14ac:dyDescent="0.25">
      <c r="N105" t="e">
        <v>#N/A</v>
      </c>
    </row>
    <row r="108" spans="2:14" x14ac:dyDescent="0.25">
      <c r="B108" s="10" t="s">
        <v>37</v>
      </c>
    </row>
    <row r="109" spans="2:14" x14ac:dyDescent="0.25">
      <c r="F109" s="4" t="str">
        <f>CONCATENATE("U",C19,C14)</f>
        <v>U4X</v>
      </c>
      <c r="G109" s="4" t="str">
        <f t="shared" ref="G109:I109" si="7">CONCATENATE("U",D19,D14)</f>
        <v>U4Y</v>
      </c>
      <c r="H109" s="4" t="str">
        <f t="shared" si="7"/>
        <v>U2X</v>
      </c>
      <c r="I109" s="4" t="str">
        <f t="shared" si="7"/>
        <v>U2Y</v>
      </c>
      <c r="J109" s="4"/>
    </row>
    <row r="110" spans="2:14" x14ac:dyDescent="0.25">
      <c r="F110" s="6">
        <f>J10*J10*D111</f>
        <v>136.96129413816448</v>
      </c>
      <c r="G110" s="6">
        <f>J10*K10*D111</f>
        <v>-547.8451765526579</v>
      </c>
      <c r="H110" s="6">
        <f>-F110</f>
        <v>-136.96129413816448</v>
      </c>
      <c r="I110" s="6">
        <f>-G110</f>
        <v>547.8451765526579</v>
      </c>
      <c r="J110" s="4" t="str">
        <f t="array" ref="J110:J113">TRANSPOSE(F109:I109)</f>
        <v>U4X</v>
      </c>
    </row>
    <row r="111" spans="2:14" x14ac:dyDescent="0.25">
      <c r="C111" t="s">
        <v>38</v>
      </c>
      <c r="D111" s="8">
        <f>N10</f>
        <v>2328.3420003487963</v>
      </c>
      <c r="F111" s="6">
        <f>G110</f>
        <v>-547.8451765526579</v>
      </c>
      <c r="G111" s="6">
        <f>K10*K10*D111</f>
        <v>2191.3807062106316</v>
      </c>
      <c r="H111" s="6">
        <f>-F111</f>
        <v>547.8451765526579</v>
      </c>
      <c r="I111" s="6">
        <f>-G111</f>
        <v>-2191.3807062106316</v>
      </c>
      <c r="J111" s="4" t="str">
        <v>U4Y</v>
      </c>
    </row>
    <row r="112" spans="2:14" x14ac:dyDescent="0.25">
      <c r="F112" s="6">
        <f t="array" ref="F112:G113">H110:I111</f>
        <v>-136.96129413816448</v>
      </c>
      <c r="G112" s="6">
        <v>547.8451765526579</v>
      </c>
      <c r="H112" s="8">
        <f t="array" ref="H112:I113">F110:G111</f>
        <v>136.96129413816448</v>
      </c>
      <c r="I112" s="6">
        <v>-547.8451765526579</v>
      </c>
      <c r="J112" s="4" t="str">
        <v>U2X</v>
      </c>
    </row>
    <row r="113" spans="6:14" x14ac:dyDescent="0.25">
      <c r="F113" s="6">
        <v>547.8451765526579</v>
      </c>
      <c r="G113" s="6">
        <v>-2191.3807062106316</v>
      </c>
      <c r="H113" s="6">
        <v>-547.8451765526579</v>
      </c>
      <c r="I113" s="6">
        <v>2191.3807062106316</v>
      </c>
      <c r="J113" s="4" t="str">
        <v>U2Y</v>
      </c>
    </row>
    <row r="116" spans="6:14" x14ac:dyDescent="0.25">
      <c r="F116" s="4" t="s">
        <v>23</v>
      </c>
      <c r="G116" s="4" t="s">
        <v>24</v>
      </c>
      <c r="H116" s="4" t="s">
        <v>25</v>
      </c>
      <c r="I116" s="4" t="s">
        <v>26</v>
      </c>
      <c r="J116" s="4" t="s">
        <v>27</v>
      </c>
      <c r="K116" s="4" t="s">
        <v>28</v>
      </c>
      <c r="L116" s="4" t="s">
        <v>29</v>
      </c>
      <c r="M116" s="4" t="s">
        <v>30</v>
      </c>
      <c r="N116" s="4"/>
    </row>
    <row r="117" spans="6:14" x14ac:dyDescent="0.25">
      <c r="F117" s="4"/>
      <c r="G117" s="4"/>
      <c r="H117" s="4"/>
      <c r="I117" s="4"/>
      <c r="J117" s="4"/>
      <c r="K117" s="4"/>
      <c r="L117" s="4"/>
      <c r="M117" s="4"/>
      <c r="N117" s="4" t="str">
        <f t="array" ref="N117:N126">TRANSPOSE(F116:M116)</f>
        <v>U1X</v>
      </c>
    </row>
    <row r="118" spans="6:14" x14ac:dyDescent="0.25">
      <c r="F118" s="4"/>
      <c r="G118" s="4"/>
      <c r="H118" s="4"/>
      <c r="I118" s="4"/>
      <c r="J118" s="4"/>
      <c r="K118" s="4"/>
      <c r="L118" s="4"/>
      <c r="M118" s="4"/>
      <c r="N118" s="4" t="str">
        <v>U1Y</v>
      </c>
    </row>
    <row r="119" spans="6:14" x14ac:dyDescent="0.25">
      <c r="F119" s="4"/>
      <c r="G119" s="4"/>
      <c r="H119" s="4">
        <f t="array" ref="H119:I120">H112:I113</f>
        <v>136.96129413816448</v>
      </c>
      <c r="I119" s="4">
        <v>-547.8451765526579</v>
      </c>
      <c r="J119" s="6"/>
      <c r="K119" s="4"/>
      <c r="L119" s="4">
        <f t="array" ref="L119:M120">F112:G113</f>
        <v>-136.96129413816448</v>
      </c>
      <c r="M119" s="4">
        <v>547.8451765526579</v>
      </c>
      <c r="N119" s="4" t="str">
        <v>U2X</v>
      </c>
    </row>
    <row r="120" spans="6:14" x14ac:dyDescent="0.25">
      <c r="F120" s="4"/>
      <c r="G120" s="4"/>
      <c r="H120" s="4">
        <v>-547.8451765526579</v>
      </c>
      <c r="I120" s="4">
        <v>2191.3807062106316</v>
      </c>
      <c r="J120" s="4"/>
      <c r="K120" s="4"/>
      <c r="L120" s="4">
        <v>547.8451765526579</v>
      </c>
      <c r="M120" s="4">
        <v>-2191.3807062106316</v>
      </c>
      <c r="N120" s="4" t="str">
        <v>U2Y</v>
      </c>
    </row>
    <row r="121" spans="6:14" x14ac:dyDescent="0.25">
      <c r="F121" s="4"/>
      <c r="G121" s="4"/>
      <c r="I121" s="4"/>
      <c r="J121" s="4"/>
      <c r="K121" s="4"/>
      <c r="L121" s="4"/>
      <c r="M121" s="4"/>
      <c r="N121" s="4" t="str">
        <v>U3X</v>
      </c>
    </row>
    <row r="122" spans="6:14" x14ac:dyDescent="0.25">
      <c r="F122" s="4"/>
      <c r="G122" s="4"/>
      <c r="H122" s="4"/>
      <c r="I122" s="4"/>
      <c r="J122" s="4"/>
      <c r="K122" s="4"/>
      <c r="L122" s="4"/>
      <c r="M122" s="4"/>
      <c r="N122" s="4" t="str">
        <v>U3Y</v>
      </c>
    </row>
    <row r="123" spans="6:14" x14ac:dyDescent="0.25">
      <c r="F123" s="4"/>
      <c r="G123" s="4"/>
      <c r="H123" s="4">
        <f t="array" ref="H123:I124">H110:I111</f>
        <v>-136.96129413816448</v>
      </c>
      <c r="I123" s="4">
        <v>547.8451765526579</v>
      </c>
      <c r="J123" s="4"/>
      <c r="K123" s="4"/>
      <c r="L123" s="4">
        <f t="array" ref="L123:M124">F110:G111</f>
        <v>136.96129413816448</v>
      </c>
      <c r="M123" s="4">
        <v>-547.8451765526579</v>
      </c>
      <c r="N123" s="4" t="str">
        <v>U4X</v>
      </c>
    </row>
    <row r="124" spans="6:14" x14ac:dyDescent="0.25">
      <c r="F124" s="4"/>
      <c r="G124" s="4"/>
      <c r="H124" s="4">
        <v>547.8451765526579</v>
      </c>
      <c r="I124" s="4">
        <v>-2191.3807062106316</v>
      </c>
      <c r="J124" s="4"/>
      <c r="K124" s="4"/>
      <c r="L124" s="4">
        <v>-547.8451765526579</v>
      </c>
      <c r="M124" s="4">
        <v>2191.3807062106316</v>
      </c>
      <c r="N124" s="4" t="str">
        <v>U4Y</v>
      </c>
    </row>
    <row r="125" spans="6:14" x14ac:dyDescent="0.25">
      <c r="F125" s="9"/>
      <c r="G125" s="9"/>
      <c r="H125" s="9"/>
      <c r="I125" s="9"/>
      <c r="J125" s="9"/>
      <c r="K125" s="9"/>
      <c r="L125" s="9"/>
      <c r="M125" s="9"/>
      <c r="N125" s="9" t="e">
        <v>#N/A</v>
      </c>
    </row>
    <row r="126" spans="6:14" x14ac:dyDescent="0.25">
      <c r="N126" t="e">
        <v>#N/A</v>
      </c>
    </row>
    <row r="129" spans="2:16" x14ac:dyDescent="0.25">
      <c r="B129" s="1" t="s">
        <v>39</v>
      </c>
    </row>
    <row r="131" spans="2:16" x14ac:dyDescent="0.25">
      <c r="F131" s="11" t="s">
        <v>23</v>
      </c>
      <c r="G131" s="11" t="s">
        <v>24</v>
      </c>
      <c r="H131" s="11" t="s">
        <v>25</v>
      </c>
      <c r="I131" s="11" t="s">
        <v>26</v>
      </c>
      <c r="J131" s="11" t="s">
        <v>27</v>
      </c>
      <c r="K131" s="11" t="s">
        <v>28</v>
      </c>
      <c r="L131" s="11" t="s">
        <v>29</v>
      </c>
      <c r="M131" s="11" t="s">
        <v>30</v>
      </c>
      <c r="N131" s="12"/>
      <c r="O131" s="13"/>
    </row>
    <row r="132" spans="2:16" x14ac:dyDescent="0.25">
      <c r="F132" s="6">
        <f>F32+F54+F76+F96+F117</f>
        <v>2778.6501033599193</v>
      </c>
      <c r="G132" s="6">
        <f t="shared" ref="G132:M132" si="8">G32+G54+G76+G96+G117</f>
        <v>1717.3002067198383</v>
      </c>
      <c r="H132" s="6">
        <f t="shared" si="8"/>
        <v>-1920</v>
      </c>
      <c r="I132" s="6">
        <f t="shared" si="8"/>
        <v>0</v>
      </c>
      <c r="J132" s="6">
        <f t="shared" si="8"/>
        <v>-858.65010335991917</v>
      </c>
      <c r="K132" s="6">
        <f t="shared" si="8"/>
        <v>-1717.3002067198383</v>
      </c>
      <c r="L132" s="6">
        <f t="shared" si="8"/>
        <v>0</v>
      </c>
      <c r="M132" s="6">
        <f t="shared" si="8"/>
        <v>0</v>
      </c>
      <c r="N132" s="14" t="s">
        <v>23</v>
      </c>
      <c r="O132" s="15"/>
      <c r="P132" t="str">
        <f t="array" ref="P132:P141">TRANSPOSE(F131:O131)</f>
        <v>U1X</v>
      </c>
    </row>
    <row r="133" spans="2:16" x14ac:dyDescent="0.25">
      <c r="F133" s="6">
        <f t="shared" ref="F133:M139" si="9">F33+F55+F77+F97+F118</f>
        <v>1717.3002067198383</v>
      </c>
      <c r="G133" s="6">
        <f t="shared" si="9"/>
        <v>3434.6004134396767</v>
      </c>
      <c r="H133" s="6">
        <f t="shared" si="9"/>
        <v>0</v>
      </c>
      <c r="I133" s="6">
        <f t="shared" si="9"/>
        <v>0</v>
      </c>
      <c r="J133" s="6">
        <f t="shared" si="9"/>
        <v>-1717.3002067198383</v>
      </c>
      <c r="K133" s="6">
        <f t="shared" si="9"/>
        <v>-3434.6004134396767</v>
      </c>
      <c r="L133" s="6">
        <f t="shared" si="9"/>
        <v>0</v>
      </c>
      <c r="M133" s="6">
        <f t="shared" si="9"/>
        <v>0</v>
      </c>
      <c r="N133" s="14" t="s">
        <v>24</v>
      </c>
      <c r="O133" s="15"/>
      <c r="P133" t="str">
        <v>U1Y</v>
      </c>
    </row>
    <row r="134" spans="2:16" x14ac:dyDescent="0.25">
      <c r="F134" s="6">
        <f t="shared" si="9"/>
        <v>-1920</v>
      </c>
      <c r="G134" s="6">
        <f t="shared" si="9"/>
        <v>0</v>
      </c>
      <c r="H134" s="6">
        <f t="shared" si="9"/>
        <v>3774.2615008580033</v>
      </c>
      <c r="I134" s="6">
        <f t="shared" si="9"/>
        <v>-1406.4952799125772</v>
      </c>
      <c r="J134" s="6">
        <f t="shared" si="9"/>
        <v>-1717.3002067198383</v>
      </c>
      <c r="K134" s="6">
        <f t="shared" si="9"/>
        <v>858.65010335991917</v>
      </c>
      <c r="L134" s="6">
        <f t="shared" si="9"/>
        <v>-136.96129413816448</v>
      </c>
      <c r="M134" s="6">
        <f t="shared" si="9"/>
        <v>547.8451765526579</v>
      </c>
      <c r="N134" s="14" t="s">
        <v>25</v>
      </c>
      <c r="O134" s="15"/>
      <c r="P134" t="str">
        <v>U2X</v>
      </c>
    </row>
    <row r="135" spans="2:16" x14ac:dyDescent="0.25">
      <c r="F135" s="6">
        <f t="shared" si="9"/>
        <v>0</v>
      </c>
      <c r="G135" s="6">
        <f t="shared" si="9"/>
        <v>0</v>
      </c>
      <c r="H135" s="6">
        <f t="shared" si="9"/>
        <v>-1406.4952799125772</v>
      </c>
      <c r="I135" s="6">
        <f t="shared" si="9"/>
        <v>2620.705757890591</v>
      </c>
      <c r="J135" s="6">
        <f t="shared" si="9"/>
        <v>858.65010335991917</v>
      </c>
      <c r="K135" s="6">
        <f t="shared" si="9"/>
        <v>-429.32505167995959</v>
      </c>
      <c r="L135" s="6">
        <f t="shared" si="9"/>
        <v>547.8451765526579</v>
      </c>
      <c r="M135" s="6">
        <f t="shared" si="9"/>
        <v>-2191.3807062106316</v>
      </c>
      <c r="N135" s="14" t="s">
        <v>26</v>
      </c>
      <c r="O135" s="15"/>
      <c r="P135" t="str">
        <v>U2Y</v>
      </c>
    </row>
    <row r="136" spans="2:16" x14ac:dyDescent="0.25">
      <c r="F136" s="6">
        <f t="shared" si="9"/>
        <v>-858.65010335991917</v>
      </c>
      <c r="G136" s="6">
        <f t="shared" si="9"/>
        <v>-1717.3002067198383</v>
      </c>
      <c r="H136" s="6">
        <f t="shared" si="9"/>
        <v>-1717.3002067198383</v>
      </c>
      <c r="I136" s="6">
        <f t="shared" si="9"/>
        <v>858.65010335991917</v>
      </c>
      <c r="J136" s="6">
        <f t="shared" si="9"/>
        <v>4419.2617313820574</v>
      </c>
      <c r="K136" s="6">
        <f t="shared" si="9"/>
        <v>2087.5243842281193</v>
      </c>
      <c r="L136" s="6">
        <f t="shared" si="9"/>
        <v>-1843.3114213023002</v>
      </c>
      <c r="M136" s="6">
        <f t="shared" si="9"/>
        <v>-1228.8742808682</v>
      </c>
      <c r="N136" s="14" t="s">
        <v>27</v>
      </c>
      <c r="O136" s="15"/>
      <c r="P136" t="str">
        <v>U3X</v>
      </c>
    </row>
    <row r="137" spans="2:16" x14ac:dyDescent="0.25">
      <c r="F137" s="6">
        <f t="shared" si="9"/>
        <v>-1717.3002067198383</v>
      </c>
      <c r="G137" s="6">
        <f t="shared" si="9"/>
        <v>-3434.6004134396767</v>
      </c>
      <c r="H137" s="6">
        <f t="shared" si="9"/>
        <v>858.65010335991917</v>
      </c>
      <c r="I137" s="6">
        <f t="shared" si="9"/>
        <v>-429.32505167995959</v>
      </c>
      <c r="J137" s="6">
        <f t="shared" si="9"/>
        <v>2087.5243842281193</v>
      </c>
      <c r="K137" s="6">
        <f t="shared" si="9"/>
        <v>4683.1749856984361</v>
      </c>
      <c r="L137" s="6">
        <f t="shared" si="9"/>
        <v>-1228.8742808682</v>
      </c>
      <c r="M137" s="6">
        <f t="shared" si="9"/>
        <v>-819.2495205788</v>
      </c>
      <c r="N137" s="14" t="s">
        <v>28</v>
      </c>
      <c r="O137" s="15"/>
      <c r="P137" t="str">
        <v>U3Y</v>
      </c>
    </row>
    <row r="138" spans="2:16" x14ac:dyDescent="0.25">
      <c r="F138" s="6">
        <f t="shared" si="9"/>
        <v>0</v>
      </c>
      <c r="G138" s="6">
        <f t="shared" si="9"/>
        <v>0</v>
      </c>
      <c r="H138" s="6">
        <f t="shared" si="9"/>
        <v>-136.96129413816448</v>
      </c>
      <c r="I138" s="6">
        <f t="shared" si="9"/>
        <v>547.8451765526579</v>
      </c>
      <c r="J138" s="6">
        <f t="shared" si="9"/>
        <v>-1843.3114213023002</v>
      </c>
      <c r="K138" s="6">
        <f t="shared" si="9"/>
        <v>-1228.8742808682</v>
      </c>
      <c r="L138" s="6">
        <f t="shared" si="9"/>
        <v>1980.2727154404647</v>
      </c>
      <c r="M138" s="6">
        <f t="shared" si="9"/>
        <v>681.0291043155421</v>
      </c>
      <c r="N138" s="14" t="s">
        <v>29</v>
      </c>
      <c r="O138" s="15"/>
      <c r="P138" t="str">
        <v>U4X</v>
      </c>
    </row>
    <row r="139" spans="2:16" x14ac:dyDescent="0.25">
      <c r="F139" s="6">
        <f t="shared" si="9"/>
        <v>0</v>
      </c>
      <c r="G139" s="6">
        <f t="shared" si="9"/>
        <v>0</v>
      </c>
      <c r="H139" s="6">
        <f t="shared" si="9"/>
        <v>547.8451765526579</v>
      </c>
      <c r="I139" s="6">
        <f t="shared" si="9"/>
        <v>-2191.3807062106316</v>
      </c>
      <c r="J139" s="6">
        <f t="shared" si="9"/>
        <v>-1228.8742808682</v>
      </c>
      <c r="K139" s="6">
        <f t="shared" si="9"/>
        <v>-819.2495205788</v>
      </c>
      <c r="L139" s="6">
        <f t="shared" si="9"/>
        <v>681.0291043155421</v>
      </c>
      <c r="M139" s="6">
        <f t="shared" si="9"/>
        <v>3010.6302267894316</v>
      </c>
      <c r="N139" s="14" t="s">
        <v>30</v>
      </c>
      <c r="O139" s="15"/>
      <c r="P139" t="str">
        <v>U4Y</v>
      </c>
    </row>
    <row r="140" spans="2:16" x14ac:dyDescent="0.25">
      <c r="F140" s="16"/>
      <c r="G140" s="16"/>
      <c r="H140" s="16"/>
      <c r="I140" s="16"/>
      <c r="J140" s="16"/>
      <c r="K140" s="16"/>
      <c r="L140" s="16"/>
      <c r="M140" s="16"/>
      <c r="N140" s="16"/>
      <c r="O140" s="8"/>
      <c r="P140">
        <v>0</v>
      </c>
    </row>
    <row r="141" spans="2:16" x14ac:dyDescent="0.25">
      <c r="F141" s="8"/>
      <c r="G141" s="8"/>
      <c r="H141" s="8"/>
      <c r="I141" s="8"/>
      <c r="J141" s="8"/>
      <c r="K141" s="8"/>
      <c r="L141" s="8"/>
      <c r="M141" s="8"/>
      <c r="N141" s="8"/>
      <c r="O141" s="8"/>
      <c r="P141">
        <v>0</v>
      </c>
    </row>
    <row r="145" spans="2:4" x14ac:dyDescent="0.25">
      <c r="B145" s="1" t="s">
        <v>40</v>
      </c>
    </row>
    <row r="148" spans="2:4" x14ac:dyDescent="0.25">
      <c r="B148" s="4" t="s">
        <v>41</v>
      </c>
      <c r="D148" s="17" t="str">
        <f>B148</f>
        <v>C1X</v>
      </c>
    </row>
    <row r="149" spans="2:4" x14ac:dyDescent="0.25">
      <c r="B149" s="4" t="s">
        <v>42</v>
      </c>
      <c r="D149" s="17" t="str">
        <f>B149</f>
        <v>C1Y</v>
      </c>
    </row>
    <row r="150" spans="2:4" x14ac:dyDescent="0.25">
      <c r="B150" s="4" t="s">
        <v>43</v>
      </c>
      <c r="D150" s="17">
        <v>0</v>
      </c>
    </row>
    <row r="151" spans="2:4" x14ac:dyDescent="0.25">
      <c r="B151" s="4" t="s">
        <v>44</v>
      </c>
      <c r="D151" s="17" t="str">
        <f>B151</f>
        <v>C2Y</v>
      </c>
    </row>
    <row r="152" spans="2:4" x14ac:dyDescent="0.25">
      <c r="B152" s="4" t="s">
        <v>45</v>
      </c>
      <c r="C152" t="s">
        <v>46</v>
      </c>
      <c r="D152" s="17">
        <v>7800</v>
      </c>
    </row>
    <row r="153" spans="2:4" x14ac:dyDescent="0.25">
      <c r="B153" s="4" t="s">
        <v>47</v>
      </c>
      <c r="D153" s="17">
        <v>-7800</v>
      </c>
    </row>
    <row r="154" spans="2:4" x14ac:dyDescent="0.25">
      <c r="B154" s="4" t="s">
        <v>48</v>
      </c>
      <c r="D154" s="17">
        <v>6000</v>
      </c>
    </row>
    <row r="155" spans="2:4" x14ac:dyDescent="0.25">
      <c r="B155" s="4" t="s">
        <v>49</v>
      </c>
      <c r="D155" s="17">
        <v>-6000</v>
      </c>
    </row>
    <row r="159" spans="2:4" x14ac:dyDescent="0.25">
      <c r="B159" s="1" t="s">
        <v>50</v>
      </c>
    </row>
    <row r="161" spans="2:14" x14ac:dyDescent="0.25">
      <c r="B161" s="4" t="s">
        <v>51</v>
      </c>
      <c r="D161" s="17">
        <v>0</v>
      </c>
    </row>
    <row r="162" spans="2:14" x14ac:dyDescent="0.25">
      <c r="B162" s="4" t="s">
        <v>52</v>
      </c>
      <c r="D162" s="17">
        <v>0</v>
      </c>
    </row>
    <row r="163" spans="2:14" x14ac:dyDescent="0.25">
      <c r="B163" s="4" t="s">
        <v>53</v>
      </c>
      <c r="D163" s="17" t="str">
        <f>B163</f>
        <v>D2X</v>
      </c>
    </row>
    <row r="164" spans="2:14" x14ac:dyDescent="0.25">
      <c r="B164" s="4" t="s">
        <v>54</v>
      </c>
      <c r="D164" s="17">
        <v>0</v>
      </c>
    </row>
    <row r="165" spans="2:14" x14ac:dyDescent="0.25">
      <c r="B165" s="4" t="s">
        <v>55</v>
      </c>
      <c r="C165" t="s">
        <v>46</v>
      </c>
      <c r="D165" s="17" t="str">
        <f>B165</f>
        <v>D3X</v>
      </c>
    </row>
    <row r="166" spans="2:14" x14ac:dyDescent="0.25">
      <c r="B166" s="4" t="s">
        <v>56</v>
      </c>
      <c r="D166" s="17" t="str">
        <f>B166</f>
        <v>D3Y</v>
      </c>
    </row>
    <row r="167" spans="2:14" x14ac:dyDescent="0.25">
      <c r="B167" s="4" t="s">
        <v>57</v>
      </c>
      <c r="D167" s="17" t="str">
        <f>B167</f>
        <v>D4X</v>
      </c>
    </row>
    <row r="168" spans="2:14" x14ac:dyDescent="0.25">
      <c r="B168" s="4" t="s">
        <v>58</v>
      </c>
      <c r="D168" s="17" t="str">
        <f>B168</f>
        <v>D4Y</v>
      </c>
    </row>
    <row r="172" spans="2:14" x14ac:dyDescent="0.25">
      <c r="B172" t="s">
        <v>59</v>
      </c>
      <c r="E172" t="s">
        <v>60</v>
      </c>
    </row>
    <row r="176" spans="2:14" x14ac:dyDescent="0.25">
      <c r="B176" s="18" t="str">
        <f t="array" ref="B176:B183">D148:D155</f>
        <v>C1X</v>
      </c>
      <c r="C176" s="10"/>
      <c r="D176" s="10"/>
      <c r="E176" s="19">
        <f t="array" ref="E176:L183">F132:M139</f>
        <v>2778.6501033599193</v>
      </c>
      <c r="F176" s="19">
        <v>1717.3002067198383</v>
      </c>
      <c r="G176" s="19">
        <v>-1920</v>
      </c>
      <c r="H176" s="19">
        <v>0</v>
      </c>
      <c r="I176" s="19">
        <v>-858.65010335991917</v>
      </c>
      <c r="J176" s="19">
        <v>-1717.3002067198383</v>
      </c>
      <c r="K176" s="19">
        <v>0</v>
      </c>
      <c r="L176" s="19">
        <v>0</v>
      </c>
      <c r="M176" s="10"/>
      <c r="N176" s="18">
        <f t="array" ref="N176:N183">D161:D168</f>
        <v>0</v>
      </c>
    </row>
    <row r="177" spans="2:14" x14ac:dyDescent="0.25">
      <c r="B177" s="18" t="str">
        <v>C1Y</v>
      </c>
      <c r="C177" s="10"/>
      <c r="D177" s="10"/>
      <c r="E177" s="19">
        <v>1717.3002067198383</v>
      </c>
      <c r="F177" s="19">
        <v>3434.6004134396767</v>
      </c>
      <c r="G177" s="19">
        <v>0</v>
      </c>
      <c r="H177" s="19">
        <v>0</v>
      </c>
      <c r="I177" s="19">
        <v>-1717.3002067198383</v>
      </c>
      <c r="J177" s="19">
        <v>-3434.6004134396767</v>
      </c>
      <c r="K177" s="19">
        <v>0</v>
      </c>
      <c r="L177" s="19">
        <v>0</v>
      </c>
      <c r="M177" s="10"/>
      <c r="N177" s="18">
        <v>0</v>
      </c>
    </row>
    <row r="178" spans="2:14" x14ac:dyDescent="0.25">
      <c r="B178" s="17">
        <v>0</v>
      </c>
      <c r="E178" s="19">
        <v>-1920</v>
      </c>
      <c r="F178" s="19">
        <v>0</v>
      </c>
      <c r="G178" s="20">
        <v>3774.2615008580033</v>
      </c>
      <c r="H178" s="19">
        <v>-1406.4952799125772</v>
      </c>
      <c r="I178" s="20">
        <v>-1717.3002067198383</v>
      </c>
      <c r="J178" s="20">
        <v>858.65010335991917</v>
      </c>
      <c r="K178" s="20">
        <v>-136.96129413816448</v>
      </c>
      <c r="L178" s="20">
        <v>547.8451765526579</v>
      </c>
      <c r="N178" s="17" t="str">
        <v>D2X</v>
      </c>
    </row>
    <row r="179" spans="2:14" x14ac:dyDescent="0.25">
      <c r="B179" s="18" t="str">
        <v>C2Y</v>
      </c>
      <c r="C179" s="10" t="s">
        <v>46</v>
      </c>
      <c r="D179" s="10"/>
      <c r="E179" s="19">
        <v>0</v>
      </c>
      <c r="F179" s="19">
        <v>0</v>
      </c>
      <c r="G179" s="19">
        <v>-1406.4952799125772</v>
      </c>
      <c r="H179" s="19">
        <v>2620.705757890591</v>
      </c>
      <c r="I179" s="19">
        <v>858.65010335991917</v>
      </c>
      <c r="J179" s="19">
        <v>-429.32505167995959</v>
      </c>
      <c r="K179" s="19">
        <v>547.8451765526579</v>
      </c>
      <c r="L179" s="19">
        <v>-2191.3807062106316</v>
      </c>
      <c r="M179" s="10"/>
      <c r="N179" s="18">
        <v>0</v>
      </c>
    </row>
    <row r="180" spans="2:14" x14ac:dyDescent="0.25">
      <c r="B180" s="17">
        <v>7800</v>
      </c>
      <c r="E180" s="19">
        <v>-858.65010335991917</v>
      </c>
      <c r="F180" s="19">
        <v>-1717.3002067198383</v>
      </c>
      <c r="G180" s="20">
        <v>-1717.3002067198383</v>
      </c>
      <c r="H180" s="19">
        <v>858.65010335991917</v>
      </c>
      <c r="I180" s="20">
        <v>4419.2617313820574</v>
      </c>
      <c r="J180" s="20">
        <v>2087.5243842281193</v>
      </c>
      <c r="K180" s="20">
        <v>-1843.3114213023002</v>
      </c>
      <c r="L180" s="20">
        <v>-1228.8742808682</v>
      </c>
      <c r="N180" s="17" t="str">
        <v>D3X</v>
      </c>
    </row>
    <row r="181" spans="2:14" x14ac:dyDescent="0.25">
      <c r="B181" s="17">
        <v>-7800</v>
      </c>
      <c r="E181" s="19">
        <v>-1717.3002067198383</v>
      </c>
      <c r="F181" s="19">
        <v>-3434.6004134396767</v>
      </c>
      <c r="G181" s="20">
        <v>858.65010335991917</v>
      </c>
      <c r="H181" s="19">
        <v>-429.32505167995959</v>
      </c>
      <c r="I181" s="20">
        <v>2087.5243842281193</v>
      </c>
      <c r="J181" s="20">
        <v>4683.1749856984361</v>
      </c>
      <c r="K181" s="20">
        <v>-1228.8742808682</v>
      </c>
      <c r="L181" s="20">
        <v>-819.2495205788</v>
      </c>
      <c r="N181" s="17" t="str">
        <v>D3Y</v>
      </c>
    </row>
    <row r="182" spans="2:14" x14ac:dyDescent="0.25">
      <c r="B182" s="17">
        <v>6000</v>
      </c>
      <c r="E182" s="19">
        <v>0</v>
      </c>
      <c r="F182" s="19">
        <v>0</v>
      </c>
      <c r="G182" s="20">
        <v>-136.96129413816448</v>
      </c>
      <c r="H182" s="19">
        <v>547.8451765526579</v>
      </c>
      <c r="I182" s="20">
        <v>-1843.3114213023002</v>
      </c>
      <c r="J182" s="20">
        <v>-1228.8742808682</v>
      </c>
      <c r="K182" s="20">
        <v>1980.2727154404647</v>
      </c>
      <c r="L182" s="20">
        <v>681.0291043155421</v>
      </c>
      <c r="N182" s="17" t="str">
        <v>D4X</v>
      </c>
    </row>
    <row r="183" spans="2:14" x14ac:dyDescent="0.25">
      <c r="B183" s="17">
        <v>-6000</v>
      </c>
      <c r="E183" s="19">
        <v>0</v>
      </c>
      <c r="F183" s="19">
        <v>0</v>
      </c>
      <c r="G183" s="20">
        <v>547.8451765526579</v>
      </c>
      <c r="H183" s="19">
        <v>-2191.3807062106316</v>
      </c>
      <c r="I183" s="20">
        <v>-1228.8742808682</v>
      </c>
      <c r="J183" s="20">
        <v>-819.2495205788</v>
      </c>
      <c r="K183" s="20">
        <v>681.0291043155421</v>
      </c>
      <c r="L183" s="20">
        <v>3010.6302267894316</v>
      </c>
      <c r="N183" s="17" t="str">
        <v>D4Y</v>
      </c>
    </row>
    <row r="186" spans="2:14" x14ac:dyDescent="0.25">
      <c r="B186" t="s">
        <v>61</v>
      </c>
    </row>
    <row r="188" spans="2:14" x14ac:dyDescent="0.25">
      <c r="B188" s="4">
        <f>B178</f>
        <v>0</v>
      </c>
      <c r="D188" s="6">
        <f>G178</f>
        <v>3774.2615008580033</v>
      </c>
      <c r="E188" s="4">
        <f t="array" ref="E188:H188">I178:L178</f>
        <v>-1717.3002067198383</v>
      </c>
      <c r="F188" s="4">
        <v>858.65010335991917</v>
      </c>
      <c r="G188" s="4">
        <v>-136.96129413816448</v>
      </c>
      <c r="H188" s="4">
        <v>547.8451765526579</v>
      </c>
      <c r="J188" t="str">
        <f>N178</f>
        <v>D2X</v>
      </c>
    </row>
    <row r="189" spans="2:14" x14ac:dyDescent="0.25">
      <c r="B189" s="4">
        <f t="array" ref="B189:B192">B180:B183</f>
        <v>7800</v>
      </c>
      <c r="D189" s="4">
        <f t="array" ref="D189:D192">G180:G183</f>
        <v>-1717.3002067198383</v>
      </c>
      <c r="E189" s="6">
        <f t="array" ref="E189:H192">I180:L183</f>
        <v>4419.2617313820574</v>
      </c>
      <c r="F189" s="6">
        <v>2087.5243842281193</v>
      </c>
      <c r="G189" s="6">
        <v>-1843.3114213023002</v>
      </c>
      <c r="H189" s="6">
        <v>-1228.8742808682</v>
      </c>
      <c r="J189" t="str">
        <f t="array" ref="J189:J192">N180:N183</f>
        <v>D3X</v>
      </c>
    </row>
    <row r="190" spans="2:14" x14ac:dyDescent="0.25">
      <c r="B190" s="4">
        <v>-7800</v>
      </c>
      <c r="C190" t="s">
        <v>46</v>
      </c>
      <c r="D190" s="4">
        <v>858.65010335991917</v>
      </c>
      <c r="E190" s="6">
        <v>2087.5243842281193</v>
      </c>
      <c r="F190" s="6">
        <v>4683.1749856984361</v>
      </c>
      <c r="G190" s="6">
        <v>-1228.8742808682</v>
      </c>
      <c r="H190" s="6">
        <v>-819.2495205788</v>
      </c>
      <c r="J190" t="str">
        <v>D3Y</v>
      </c>
    </row>
    <row r="191" spans="2:14" x14ac:dyDescent="0.25">
      <c r="B191" s="4">
        <v>6000</v>
      </c>
      <c r="D191" s="4">
        <v>-136.96129413816448</v>
      </c>
      <c r="E191" s="6">
        <v>-1843.3114213023002</v>
      </c>
      <c r="F191" s="6">
        <v>-1228.8742808682</v>
      </c>
      <c r="G191" s="6">
        <v>1980.2727154404647</v>
      </c>
      <c r="H191" s="6">
        <v>681.0291043155421</v>
      </c>
      <c r="J191" t="str">
        <v>D4X</v>
      </c>
    </row>
    <row r="192" spans="2:14" x14ac:dyDescent="0.25">
      <c r="B192" s="4">
        <v>-6000</v>
      </c>
      <c r="D192" s="4">
        <v>547.8451765526579</v>
      </c>
      <c r="E192" s="6">
        <v>-1228.8742808682</v>
      </c>
      <c r="F192" s="6">
        <v>-819.2495205788</v>
      </c>
      <c r="G192" s="6">
        <v>681.0291043155421</v>
      </c>
      <c r="H192" s="6">
        <v>3010.6302267894316</v>
      </c>
      <c r="J192" t="str">
        <v>D4Y</v>
      </c>
    </row>
    <row r="195" spans="2:10" x14ac:dyDescent="0.25">
      <c r="B195" s="4" t="str">
        <f t="array" ref="B195:B198">J188:J192</f>
        <v>D2X</v>
      </c>
      <c r="D195" s="4">
        <f t="array" ref="D195:H199">MINVERSE(D188:H192)</f>
        <v>5.2083333333333343E-4</v>
      </c>
      <c r="E195" s="4">
        <v>4.1666666666666675E-4</v>
      </c>
      <c r="F195" s="4">
        <v>-2.0833333333333343E-4</v>
      </c>
      <c r="G195" s="4">
        <v>3.1250000000000006E-4</v>
      </c>
      <c r="H195" s="4">
        <v>-5.208333333333333E-5</v>
      </c>
      <c r="J195" s="17">
        <f t="array" ref="J195:J199">B188:B192</f>
        <v>0</v>
      </c>
    </row>
    <row r="196" spans="2:10" x14ac:dyDescent="0.25">
      <c r="B196" s="4" t="str">
        <v>D3X</v>
      </c>
      <c r="C196" t="s">
        <v>46</v>
      </c>
      <c r="D196" s="4">
        <v>4.166666666666668E-4</v>
      </c>
      <c r="E196" s="4">
        <v>7.5259607911454414E-4</v>
      </c>
      <c r="F196" s="4">
        <v>-2.5983616572915804E-4</v>
      </c>
      <c r="G196" s="4">
        <v>5.5612835406247142E-4</v>
      </c>
      <c r="H196" s="4">
        <v>3.4865421848951156E-5</v>
      </c>
      <c r="J196" s="17">
        <v>7800</v>
      </c>
    </row>
    <row r="197" spans="2:10" x14ac:dyDescent="0.25">
      <c r="B197" s="4" t="str">
        <v>D3Y</v>
      </c>
      <c r="D197" s="4">
        <v>-2.083333333333334E-4</v>
      </c>
      <c r="E197" s="4">
        <v>-2.5983616572915804E-4</v>
      </c>
      <c r="F197" s="4">
        <v>3.6284183052080711E-4</v>
      </c>
      <c r="G197" s="4">
        <v>-4.514042937500764E-5</v>
      </c>
      <c r="H197" s="4">
        <v>4.0798225989581471E-5</v>
      </c>
      <c r="J197" s="17">
        <v>-7800</v>
      </c>
    </row>
    <row r="198" spans="2:10" x14ac:dyDescent="0.25">
      <c r="B198" s="4" t="str">
        <v>D4X</v>
      </c>
      <c r="D198" s="4">
        <v>3.1250000000000011E-4</v>
      </c>
      <c r="E198" s="4">
        <v>5.5612835406247153E-4</v>
      </c>
      <c r="F198" s="4">
        <v>-4.514042937500764E-5</v>
      </c>
      <c r="G198" s="4">
        <v>1.0431094109303019E-3</v>
      </c>
      <c r="H198" s="4">
        <v>-7.8109535792350964E-5</v>
      </c>
      <c r="J198" s="17">
        <v>6000</v>
      </c>
    </row>
    <row r="199" spans="2:10" x14ac:dyDescent="0.25">
      <c r="B199" s="4" t="str">
        <f>J192</f>
        <v>D4Y</v>
      </c>
      <c r="D199" s="4">
        <v>-5.2083333333333357E-5</v>
      </c>
      <c r="E199" s="4">
        <v>3.4865421848951115E-5</v>
      </c>
      <c r="F199" s="4">
        <v>4.0798225989581471E-5</v>
      </c>
      <c r="G199" s="4">
        <v>-7.8109535792351018E-5</v>
      </c>
      <c r="H199" s="4">
        <v>3.8463628217263535E-4</v>
      </c>
      <c r="J199" s="17">
        <v>-6000</v>
      </c>
    </row>
    <row r="204" spans="2:10" x14ac:dyDescent="0.25">
      <c r="B204" s="4" t="str">
        <f t="array" ref="B204:B208">B195:B199</f>
        <v>D2X</v>
      </c>
      <c r="D204" s="21">
        <f t="array" ref="D204:D208">MMULT(D195:H199,J195:J199)</f>
        <v>7.0625000000000018</v>
      </c>
      <c r="E204" t="s">
        <v>62</v>
      </c>
    </row>
    <row r="205" spans="2:10" x14ac:dyDescent="0.25">
      <c r="B205" s="4" t="str">
        <v>D3X</v>
      </c>
      <c r="D205" s="21">
        <v>11.024549103061998</v>
      </c>
      <c r="E205" t="s">
        <v>62</v>
      </c>
    </row>
    <row r="206" spans="2:10" x14ac:dyDescent="0.25">
      <c r="B206" s="4" t="str">
        <v>D3Y</v>
      </c>
      <c r="C206" t="s">
        <v>46</v>
      </c>
      <c r="D206" s="21">
        <v>-5.3725203029372635</v>
      </c>
      <c r="E206" t="s">
        <v>62</v>
      </c>
    </row>
    <row r="207" spans="2:10" x14ac:dyDescent="0.25">
      <c r="B207" s="4" t="str">
        <v>D4X</v>
      </c>
      <c r="D207" s="21">
        <v>11.417210191148255</v>
      </c>
      <c r="E207" t="s">
        <v>62</v>
      </c>
    </row>
    <row r="208" spans="2:10" x14ac:dyDescent="0.25">
      <c r="B208" s="4" t="str">
        <v>D4Y</v>
      </c>
      <c r="D208" s="21">
        <v>-2.8227507800868352</v>
      </c>
      <c r="E208" t="s">
        <v>62</v>
      </c>
    </row>
    <row r="211" spans="2:10" x14ac:dyDescent="0.25">
      <c r="B211" t="s">
        <v>63</v>
      </c>
    </row>
    <row r="214" spans="2:10" x14ac:dyDescent="0.25">
      <c r="B214" s="17" t="str">
        <f t="array" ref="B214:B215">B176:B177</f>
        <v>C1X</v>
      </c>
      <c r="D214" s="6">
        <f t="array" ref="D214:D215">G176:G177</f>
        <v>-1920</v>
      </c>
      <c r="E214" s="4">
        <f t="array" ref="E214:H215">I176:L177</f>
        <v>-858.65010335991917</v>
      </c>
      <c r="F214" s="4">
        <v>-1717.3002067198383</v>
      </c>
      <c r="G214" s="4">
        <v>0</v>
      </c>
      <c r="H214" s="4">
        <v>0</v>
      </c>
      <c r="J214" s="4">
        <f t="array" ref="J214:J218">D204:D208</f>
        <v>7.0625000000000018</v>
      </c>
    </row>
    <row r="215" spans="2:10" x14ac:dyDescent="0.25">
      <c r="B215" s="17" t="str">
        <v>C1Y</v>
      </c>
      <c r="C215" t="s">
        <v>46</v>
      </c>
      <c r="D215" s="4">
        <v>0</v>
      </c>
      <c r="E215" s="4">
        <v>-1717.3002067198383</v>
      </c>
      <c r="F215" s="4">
        <v>-3434.6004134396767</v>
      </c>
      <c r="G215" s="4">
        <v>0</v>
      </c>
      <c r="H215" s="4">
        <v>0</v>
      </c>
      <c r="J215" s="4">
        <v>11.024549103061998</v>
      </c>
    </row>
    <row r="216" spans="2:10" x14ac:dyDescent="0.25">
      <c r="B216" s="17" t="str">
        <f>B179</f>
        <v>C2Y</v>
      </c>
      <c r="D216" s="6">
        <f>G179</f>
        <v>-1406.4952799125772</v>
      </c>
      <c r="E216" s="4">
        <f t="array" ref="E216:H216">I179:L179</f>
        <v>858.65010335991917</v>
      </c>
      <c r="F216" s="4">
        <v>-429.32505167995959</v>
      </c>
      <c r="G216" s="4">
        <v>547.8451765526579</v>
      </c>
      <c r="H216" s="4">
        <v>-2191.3807062106316</v>
      </c>
      <c r="J216" s="4">
        <v>-5.3725203029372635</v>
      </c>
    </row>
    <row r="217" spans="2:10" x14ac:dyDescent="0.25">
      <c r="B217" s="22"/>
      <c r="J217" s="4">
        <v>11.417210191148255</v>
      </c>
    </row>
    <row r="218" spans="2:10" x14ac:dyDescent="0.25">
      <c r="B218" s="22"/>
      <c r="J218" s="4">
        <v>-2.8227507800868352</v>
      </c>
    </row>
    <row r="220" spans="2:10" x14ac:dyDescent="0.25">
      <c r="B220" t="str">
        <f t="array" ref="B220:B222">B214:B216</f>
        <v>C1X</v>
      </c>
      <c r="D220">
        <f t="array" ref="D220:D222">MMULT(D214:H216,J214:J218)</f>
        <v>-13800.000000000002</v>
      </c>
    </row>
    <row r="221" spans="2:10" x14ac:dyDescent="0.25">
      <c r="B221" t="str">
        <v>C1Y</v>
      </c>
      <c r="C221" t="s">
        <v>46</v>
      </c>
      <c r="D221">
        <v>-479.99999999999636</v>
      </c>
    </row>
    <row r="222" spans="2:10" x14ac:dyDescent="0.25">
      <c r="B222" t="str">
        <v>C2Y</v>
      </c>
      <c r="D222">
        <v>14280.000000000005</v>
      </c>
    </row>
    <row r="225" spans="2:3" x14ac:dyDescent="0.25">
      <c r="B225" s="1" t="s">
        <v>64</v>
      </c>
    </row>
    <row r="228" spans="2:3" x14ac:dyDescent="0.25">
      <c r="B228" t="s">
        <v>65</v>
      </c>
    </row>
    <row r="230" spans="2:3" x14ac:dyDescent="0.25">
      <c r="B230" s="4">
        <v>0</v>
      </c>
      <c r="C230" s="4" t="s">
        <v>23</v>
      </c>
    </row>
    <row r="231" spans="2:3" x14ac:dyDescent="0.25">
      <c r="B231" s="4">
        <v>0</v>
      </c>
      <c r="C231" s="4" t="s">
        <v>24</v>
      </c>
    </row>
    <row r="232" spans="2:3" x14ac:dyDescent="0.25">
      <c r="B232" s="5">
        <f>D204</f>
        <v>7.0625000000000018</v>
      </c>
      <c r="C232" s="4" t="s">
        <v>25</v>
      </c>
    </row>
    <row r="233" spans="2:3" x14ac:dyDescent="0.25">
      <c r="B233" s="4">
        <v>0</v>
      </c>
      <c r="C233" s="4" t="s">
        <v>26</v>
      </c>
    </row>
    <row r="234" spans="2:3" x14ac:dyDescent="0.25">
      <c r="B234" s="5">
        <f>D205</f>
        <v>11.024549103061998</v>
      </c>
      <c r="C234" s="4" t="s">
        <v>27</v>
      </c>
    </row>
    <row r="235" spans="2:3" x14ac:dyDescent="0.25">
      <c r="B235" s="5">
        <f>D206</f>
        <v>-5.3725203029372635</v>
      </c>
      <c r="C235" s="4" t="s">
        <v>28</v>
      </c>
    </row>
    <row r="236" spans="2:3" x14ac:dyDescent="0.25">
      <c r="B236" s="5">
        <f>D207</f>
        <v>11.417210191148255</v>
      </c>
      <c r="C236" s="4" t="s">
        <v>29</v>
      </c>
    </row>
    <row r="237" spans="2:3" x14ac:dyDescent="0.25">
      <c r="B237" s="5">
        <f>D208</f>
        <v>-2.8227507800868352</v>
      </c>
      <c r="C237" s="4" t="s">
        <v>30</v>
      </c>
    </row>
    <row r="240" spans="2:3" x14ac:dyDescent="0.25">
      <c r="B240" t="s">
        <v>21</v>
      </c>
    </row>
    <row r="243" spans="2:10" x14ac:dyDescent="0.25">
      <c r="B243" t="s">
        <v>66</v>
      </c>
      <c r="D243" s="23" t="s">
        <v>67</v>
      </c>
      <c r="E243" s="23" t="s">
        <v>68</v>
      </c>
      <c r="F243" s="23" t="s">
        <v>7</v>
      </c>
      <c r="G243" s="23" t="s">
        <v>8</v>
      </c>
      <c r="I243" s="23" t="s">
        <v>23</v>
      </c>
      <c r="J243" s="4">
        <v>0</v>
      </c>
    </row>
    <row r="244" spans="2:10" x14ac:dyDescent="0.25">
      <c r="D244" s="5">
        <f>-J6</f>
        <v>-1</v>
      </c>
      <c r="E244" s="5">
        <f>-K6</f>
        <v>0</v>
      </c>
      <c r="F244" s="5">
        <f>-D244</f>
        <v>1</v>
      </c>
      <c r="G244" s="5">
        <f>-E244</f>
        <v>0</v>
      </c>
      <c r="I244" s="4" t="s">
        <v>24</v>
      </c>
      <c r="J244" s="4">
        <v>0</v>
      </c>
    </row>
    <row r="245" spans="2:10" x14ac:dyDescent="0.25">
      <c r="I245" s="4" t="s">
        <v>25</v>
      </c>
      <c r="J245" s="4">
        <f t="array" ref="J245:J246">B232:B233</f>
        <v>7.0625000000000018</v>
      </c>
    </row>
    <row r="246" spans="2:10" x14ac:dyDescent="0.25">
      <c r="B246" t="s">
        <v>69</v>
      </c>
      <c r="I246" s="4" t="s">
        <v>26</v>
      </c>
      <c r="J246" s="4">
        <v>0</v>
      </c>
    </row>
    <row r="247" spans="2:10" x14ac:dyDescent="0.25">
      <c r="B247" s="8">
        <f>N6</f>
        <v>1920</v>
      </c>
    </row>
    <row r="251" spans="2:10" x14ac:dyDescent="0.25">
      <c r="C251" s="10" t="s">
        <v>66</v>
      </c>
      <c r="D251" s="10">
        <f>B247*MMULT(D244:G244,J243:J246)</f>
        <v>13560.000000000004</v>
      </c>
      <c r="E251" t="s">
        <v>70</v>
      </c>
    </row>
    <row r="253" spans="2:10" x14ac:dyDescent="0.25">
      <c r="B253" s="1" t="s">
        <v>31</v>
      </c>
    </row>
    <row r="255" spans="2:10" x14ac:dyDescent="0.25">
      <c r="B255" t="s">
        <v>71</v>
      </c>
      <c r="D255" s="23" t="s">
        <v>67</v>
      </c>
      <c r="E255" s="23" t="s">
        <v>68</v>
      </c>
      <c r="F255" s="23" t="s">
        <v>7</v>
      </c>
      <c r="G255" s="23" t="s">
        <v>8</v>
      </c>
      <c r="I255" s="23" t="s">
        <v>23</v>
      </c>
      <c r="J255" s="4">
        <v>0</v>
      </c>
    </row>
    <row r="256" spans="2:10" x14ac:dyDescent="0.25">
      <c r="D256" s="5">
        <f>-J7</f>
        <v>-0.44721359549995793</v>
      </c>
      <c r="E256" s="5">
        <f>-K7</f>
        <v>-0.89442719099991586</v>
      </c>
      <c r="F256" s="5">
        <f>-D256</f>
        <v>0.44721359549995793</v>
      </c>
      <c r="G256" s="5">
        <f>-E256</f>
        <v>0.89442719099991586</v>
      </c>
      <c r="I256" s="4" t="s">
        <v>24</v>
      </c>
      <c r="J256" s="4">
        <v>0</v>
      </c>
    </row>
    <row r="257" spans="2:10" x14ac:dyDescent="0.25">
      <c r="I257" s="4" t="s">
        <v>27</v>
      </c>
      <c r="J257" s="4">
        <f t="array" ref="J257:J258">B234:B235</f>
        <v>11.024549103061998</v>
      </c>
    </row>
    <row r="258" spans="2:10" x14ac:dyDescent="0.25">
      <c r="B258" t="s">
        <v>69</v>
      </c>
      <c r="I258" s="4" t="s">
        <v>28</v>
      </c>
      <c r="J258" s="4">
        <v>-5.3725203029372635</v>
      </c>
    </row>
    <row r="259" spans="2:10" x14ac:dyDescent="0.25">
      <c r="B259" s="8">
        <f>N7</f>
        <v>4293.250516799596</v>
      </c>
    </row>
    <row r="263" spans="2:10" x14ac:dyDescent="0.25">
      <c r="C263" s="10" t="s">
        <v>71</v>
      </c>
      <c r="D263" s="24">
        <f>B259*MMULT(D256:G256,J255:J258)</f>
        <v>536.65631459994563</v>
      </c>
      <c r="E263" t="s">
        <v>72</v>
      </c>
    </row>
    <row r="266" spans="2:10" x14ac:dyDescent="0.25">
      <c r="B266" s="1" t="s">
        <v>33</v>
      </c>
    </row>
    <row r="268" spans="2:10" x14ac:dyDescent="0.25">
      <c r="B268" t="s">
        <v>73</v>
      </c>
      <c r="D268" s="23" t="s">
        <v>67</v>
      </c>
      <c r="E268" s="23" t="s">
        <v>68</v>
      </c>
      <c r="F268" s="23" t="s">
        <v>7</v>
      </c>
      <c r="G268" s="23" t="s">
        <v>8</v>
      </c>
      <c r="I268" s="23" t="s">
        <v>27</v>
      </c>
      <c r="J268" s="4">
        <f t="array" ref="J268:J269">B234:B235</f>
        <v>11.024549103061998</v>
      </c>
    </row>
    <row r="269" spans="2:10" x14ac:dyDescent="0.25">
      <c r="D269" s="5">
        <f>-J8</f>
        <v>-0.89442719099991586</v>
      </c>
      <c r="E269" s="5">
        <f>-K8</f>
        <v>0.44721359549995793</v>
      </c>
      <c r="F269" s="5">
        <f>-D269</f>
        <v>0.89442719099991586</v>
      </c>
      <c r="G269" s="5">
        <f>-E269</f>
        <v>-0.44721359549995793</v>
      </c>
      <c r="I269" s="4" t="s">
        <v>28</v>
      </c>
      <c r="J269" s="4">
        <v>-5.3725203029372635</v>
      </c>
    </row>
    <row r="270" spans="2:10" x14ac:dyDescent="0.25">
      <c r="I270" s="4" t="s">
        <v>25</v>
      </c>
      <c r="J270" s="4">
        <f t="array" ref="J270:J271">B232:B233</f>
        <v>7.0625000000000018</v>
      </c>
    </row>
    <row r="271" spans="2:10" x14ac:dyDescent="0.25">
      <c r="B271" t="s">
        <v>69</v>
      </c>
      <c r="I271" s="4" t="s">
        <v>26</v>
      </c>
      <c r="J271" s="4">
        <v>0</v>
      </c>
    </row>
    <row r="272" spans="2:10" x14ac:dyDescent="0.25">
      <c r="B272" s="8">
        <f>N8</f>
        <v>2146.625258399798</v>
      </c>
    </row>
    <row r="276" spans="2:10" x14ac:dyDescent="0.25">
      <c r="C276" s="10" t="s">
        <v>73</v>
      </c>
      <c r="D276" s="24">
        <f>B272*MMULT(D269:G269,J268:J271)</f>
        <v>-12764.753768698803</v>
      </c>
      <c r="E276" t="s">
        <v>72</v>
      </c>
    </row>
    <row r="279" spans="2:10" x14ac:dyDescent="0.25">
      <c r="B279" s="1" t="s">
        <v>35</v>
      </c>
    </row>
    <row r="281" spans="2:10" x14ac:dyDescent="0.25">
      <c r="B281" t="s">
        <v>74</v>
      </c>
      <c r="D281" s="23" t="s">
        <v>67</v>
      </c>
      <c r="E281" s="23" t="s">
        <v>68</v>
      </c>
      <c r="F281" s="23" t="s">
        <v>7</v>
      </c>
      <c r="G281" s="23" t="s">
        <v>8</v>
      </c>
      <c r="I281" s="23" t="s">
        <v>27</v>
      </c>
      <c r="J281" s="4">
        <f t="array" ref="J281:J282">B234:B235</f>
        <v>11.024549103061998</v>
      </c>
    </row>
    <row r="282" spans="2:10" x14ac:dyDescent="0.25">
      <c r="D282" s="5">
        <f>-J9</f>
        <v>-0.83205029433784372</v>
      </c>
      <c r="E282" s="5">
        <f>-K9</f>
        <v>-0.55470019622522915</v>
      </c>
      <c r="F282" s="5">
        <f>-D282</f>
        <v>0.83205029433784372</v>
      </c>
      <c r="G282" s="5">
        <f>-E282</f>
        <v>0.55470019622522915</v>
      </c>
      <c r="I282" s="4" t="s">
        <v>28</v>
      </c>
      <c r="J282" s="4">
        <v>-5.3725203029372635</v>
      </c>
    </row>
    <row r="283" spans="2:10" x14ac:dyDescent="0.25">
      <c r="I283" s="4" t="s">
        <v>29</v>
      </c>
      <c r="J283" s="4">
        <f t="array" ref="J283:J284">B236:B237</f>
        <v>11.417210191148255</v>
      </c>
    </row>
    <row r="284" spans="2:10" x14ac:dyDescent="0.25">
      <c r="B284" t="s">
        <v>69</v>
      </c>
      <c r="I284" s="4" t="s">
        <v>30</v>
      </c>
      <c r="J284" s="4">
        <v>-2.8227507800868352</v>
      </c>
    </row>
    <row r="285" spans="2:10" x14ac:dyDescent="0.25">
      <c r="B285" s="8">
        <f>N9</f>
        <v>2662.5609418811</v>
      </c>
    </row>
    <row r="289" spans="2:10" x14ac:dyDescent="0.25">
      <c r="C289" s="10" t="s">
        <v>74</v>
      </c>
      <c r="D289" s="10">
        <f>B285*MMULT(D282:G282,J281:J284)</f>
        <v>4635.7087827394171</v>
      </c>
      <c r="E289" t="s">
        <v>70</v>
      </c>
    </row>
    <row r="293" spans="2:10" x14ac:dyDescent="0.25">
      <c r="B293" s="1" t="s">
        <v>37</v>
      </c>
    </row>
    <row r="295" spans="2:10" x14ac:dyDescent="0.25">
      <c r="B295" t="s">
        <v>75</v>
      </c>
      <c r="D295" s="23" t="s">
        <v>67</v>
      </c>
      <c r="E295" s="23" t="s">
        <v>68</v>
      </c>
      <c r="F295" s="23" t="s">
        <v>7</v>
      </c>
      <c r="G295" s="23" t="s">
        <v>8</v>
      </c>
      <c r="I295" s="23" t="s">
        <v>29</v>
      </c>
      <c r="J295" s="4">
        <f t="array" ref="J295:J296">B236:B237</f>
        <v>11.417210191148255</v>
      </c>
    </row>
    <row r="296" spans="2:10" x14ac:dyDescent="0.25">
      <c r="D296" s="5">
        <f>-J10</f>
        <v>-0.24253562503633297</v>
      </c>
      <c r="E296" s="5">
        <f>-K10</f>
        <v>0.97014250014533188</v>
      </c>
      <c r="F296" s="5">
        <f>-D296</f>
        <v>0.24253562503633297</v>
      </c>
      <c r="G296" s="5">
        <f>-E296</f>
        <v>-0.97014250014533188</v>
      </c>
      <c r="I296" s="4" t="s">
        <v>30</v>
      </c>
      <c r="J296" s="4">
        <v>-2.8227507800868352</v>
      </c>
    </row>
    <row r="297" spans="2:10" x14ac:dyDescent="0.25">
      <c r="I297" s="4" t="s">
        <v>25</v>
      </c>
      <c r="J297" s="4">
        <f t="array" ref="J297:J298">B232:B233</f>
        <v>7.0625000000000018</v>
      </c>
    </row>
    <row r="298" spans="2:10" x14ac:dyDescent="0.25">
      <c r="B298" t="s">
        <v>69</v>
      </c>
      <c r="I298" s="4" t="s">
        <v>26</v>
      </c>
      <c r="J298" s="4">
        <v>0</v>
      </c>
    </row>
    <row r="299" spans="2:10" x14ac:dyDescent="0.25">
      <c r="B299" s="8">
        <f>N10</f>
        <v>2328.3420003487963</v>
      </c>
    </row>
    <row r="303" spans="2:10" x14ac:dyDescent="0.25">
      <c r="C303" s="10" t="s">
        <v>75</v>
      </c>
      <c r="D303" s="10">
        <f>B299*MMULT(D296:G296,J295:J298)</f>
        <v>-8835.226340609277</v>
      </c>
      <c r="E303" t="s">
        <v>72</v>
      </c>
    </row>
  </sheetData>
  <mergeCells count="14">
    <mergeCell ref="J4:J5"/>
    <mergeCell ref="K4:K5"/>
    <mergeCell ref="L4:L5"/>
    <mergeCell ref="M4:M5"/>
    <mergeCell ref="N4:N5"/>
    <mergeCell ref="B13:B14"/>
    <mergeCell ref="C13:D13"/>
    <mergeCell ref="E13:F13"/>
    <mergeCell ref="B4:B5"/>
    <mergeCell ref="C4:D4"/>
    <mergeCell ref="E4:F4"/>
    <mergeCell ref="G4:G5"/>
    <mergeCell ref="H4:H5"/>
    <mergeCell ref="I4:I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PRIMERA PARTE_PARCIAL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MILLER VILLAMONTE KADAGAND</dc:creator>
  <cp:lastModifiedBy>ALBERTO MILLER VILLAMONTE KADAGAND</cp:lastModifiedBy>
  <dcterms:created xsi:type="dcterms:W3CDTF">2026-09-30T11:35:34Z</dcterms:created>
  <dcterms:modified xsi:type="dcterms:W3CDTF">2026-09-30T11:36:00Z</dcterms:modified>
</cp:coreProperties>
</file>