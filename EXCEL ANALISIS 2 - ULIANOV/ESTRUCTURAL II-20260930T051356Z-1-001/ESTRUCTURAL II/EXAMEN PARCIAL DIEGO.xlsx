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RA SIMPLE" sheetId="1" r:id="rId4"/>
    <sheet state="visible" name="ARMADURA N°1" sheetId="2" r:id="rId5"/>
    <sheet state="visible" name="ARMADURA N°1 (hiper)" sheetId="3" r:id="rId6"/>
    <sheet state="visible" name="BARRA" sheetId="4" r:id="rId7"/>
    <sheet state="visible" name="Hoja1" sheetId="5" r:id="rId8"/>
  </sheets>
  <definedNames/>
  <calcPr/>
  <extLst>
    <ext uri="GoogleSheetsCustomDataVersion2">
      <go:sheetsCustomData xmlns:go="http://customooxmlschemas.google.com/" r:id="rId9" roundtripDataChecksum="66YQKnUJrwYebIu9XkM8GGI0dZq+gCgTvzQFCTz16oI="/>
    </ext>
  </extLst>
</workbook>
</file>

<file path=xl/sharedStrings.xml><?xml version="1.0" encoding="utf-8"?>
<sst xmlns="http://schemas.openxmlformats.org/spreadsheetml/2006/main" count="350" uniqueCount="75">
  <si>
    <t>BARRA</t>
  </si>
  <si>
    <t>Nudo Inicio</t>
  </si>
  <si>
    <t>Nudo Final</t>
  </si>
  <si>
    <t>Dx</t>
  </si>
  <si>
    <t>Dy</t>
  </si>
  <si>
    <t>L</t>
  </si>
  <si>
    <t>Cosx</t>
  </si>
  <si>
    <t>Cosy</t>
  </si>
  <si>
    <t>A</t>
  </si>
  <si>
    <t>E</t>
  </si>
  <si>
    <t>AE/L</t>
  </si>
  <si>
    <t>Xi</t>
  </si>
  <si>
    <t>Yi</t>
  </si>
  <si>
    <t>Xf</t>
  </si>
  <si>
    <t>Yf</t>
  </si>
  <si>
    <t>Ida</t>
  </si>
  <si>
    <t>vuelta</t>
  </si>
  <si>
    <t>*</t>
  </si>
  <si>
    <t>Grado de Libertar Inicio</t>
  </si>
  <si>
    <t>Grado de Libertad Fin</t>
  </si>
  <si>
    <t>X</t>
  </si>
  <si>
    <t>Y</t>
  </si>
  <si>
    <t>k=</t>
  </si>
  <si>
    <t>BARRA 1</t>
  </si>
  <si>
    <t>U1X</t>
  </si>
  <si>
    <t>U1Y</t>
  </si>
  <si>
    <t>U2X</t>
  </si>
  <si>
    <t>U2Y</t>
  </si>
  <si>
    <t>U3X</t>
  </si>
  <si>
    <t>U3Y</t>
  </si>
  <si>
    <t>K1=</t>
  </si>
  <si>
    <t>BARRA 2</t>
  </si>
  <si>
    <t>K11=</t>
  </si>
  <si>
    <t>K21=</t>
  </si>
  <si>
    <t>K2=</t>
  </si>
  <si>
    <t>BARRA 3</t>
  </si>
  <si>
    <t>K12=</t>
  </si>
  <si>
    <t>K22=</t>
  </si>
  <si>
    <t>K3=</t>
  </si>
  <si>
    <t>BARRA 4</t>
  </si>
  <si>
    <t>MATRIZ DE ARMADURA</t>
  </si>
  <si>
    <t>K31=</t>
  </si>
  <si>
    <t>K41=</t>
  </si>
  <si>
    <t>K armadura=</t>
  </si>
  <si>
    <t>MATRIZ DE CARGA</t>
  </si>
  <si>
    <t>C1X</t>
  </si>
  <si>
    <t>C1Y</t>
  </si>
  <si>
    <t>C2X</t>
  </si>
  <si>
    <t>P</t>
  </si>
  <si>
    <t>C2Y</t>
  </si>
  <si>
    <t>=</t>
  </si>
  <si>
    <t>C3X</t>
  </si>
  <si>
    <t>C3Y</t>
  </si>
  <si>
    <t>K32=</t>
  </si>
  <si>
    <t>K42=</t>
  </si>
  <si>
    <t>MATRIZ DE DESPLAZAMIENTO</t>
  </si>
  <si>
    <t>D1X</t>
  </si>
  <si>
    <t>D1Y</t>
  </si>
  <si>
    <t>D2X</t>
  </si>
  <si>
    <t>D=</t>
  </si>
  <si>
    <t>D2Y</t>
  </si>
  <si>
    <t>D3X</t>
  </si>
  <si>
    <t>D3Y</t>
  </si>
  <si>
    <t>ECUACIÓN MATRICIAL</t>
  </si>
  <si>
    <t xml:space="preserve">Asi mismo se anulan las columnas </t>
  </si>
  <si>
    <t>Se anula las que en el desplazamiento sea 00</t>
  </si>
  <si>
    <t>Ecuación matricial reducida para el calculo de los desplazamientos</t>
  </si>
  <si>
    <t>Matriz de DESPLAZAMIENTO</t>
  </si>
  <si>
    <t>Ecuación matricial reducida para el calculo de los REACCIONES</t>
  </si>
  <si>
    <t>Calculo de fuerzas en cada barra</t>
  </si>
  <si>
    <t>F1=</t>
  </si>
  <si>
    <t>(TRACCIÓN)</t>
  </si>
  <si>
    <t>F2=</t>
  </si>
  <si>
    <t>(CONTRACCIÓN)</t>
  </si>
  <si>
    <t>F3=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</si>
</sst>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3">
    <font>
      <sz val="11.0"/>
      <color theme="1"/>
      <name val="Calibri"/>
      <scheme val="minor"/>
    </font>
    <font>
      <sz val="11.0"/>
      <color theme="0"/>
      <name val="Calibri"/>
    </font>
    <font>
      <b/>
      <sz val="11.0"/>
      <color theme="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2" xfId="0" applyFont="1" applyNumberFormat="1"/>
    <xf borderId="0" fillId="0" fontId="2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2" xfId="0" applyFont="1" applyNumberFormat="1"/>
    <xf borderId="0" fillId="0" fontId="2" numFmtId="13" xfId="0" applyFont="1" applyNumberFormat="1"/>
    <xf borderId="0" fillId="0" fontId="2" numFmtId="0" xfId="0" applyAlignment="1" applyFont="1">
      <alignment horizontal="center" shrinkToFit="0" wrapText="1"/>
    </xf>
    <xf borderId="0" fillId="0" fontId="1" numFmtId="2" xfId="0" applyAlignment="1" applyFont="1" applyNumberFormat="1">
      <alignment horizontal="center"/>
    </xf>
    <xf borderId="0" fillId="0" fontId="1" numFmtId="165" xfId="0" applyFont="1" applyNumberFormat="1"/>
    <xf borderId="0" fillId="0" fontId="1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361950</xdr:colOff>
      <xdr:row>47</xdr:row>
      <xdr:rowOff>95250</xdr:rowOff>
    </xdr:from>
    <xdr:ext cx="38100" cy="1733550"/>
    <xdr:grpSp>
      <xdr:nvGrpSpPr>
        <xdr:cNvPr id="2" name="Shape 2"/>
        <xdr:cNvGrpSpPr/>
      </xdr:nvGrpSpPr>
      <xdr:grpSpPr>
        <a:xfrm>
          <a:off x="5341238" y="2913225"/>
          <a:ext cx="9525" cy="1733550"/>
          <a:chOff x="5341238" y="2913225"/>
          <a:chExt cx="9525" cy="1733550"/>
        </a:xfrm>
      </xdr:grpSpPr>
      <xdr:cxnSp>
        <xdr:nvCxnSpPr>
          <xdr:cNvPr id="3" name="Shape 3"/>
          <xdr:cNvCxnSpPr/>
        </xdr:nvCxnSpPr>
        <xdr:spPr>
          <a:xfrm>
            <a:off x="5341238" y="2913225"/>
            <a:ext cx="9525" cy="1733550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161925</xdr:colOff>
      <xdr:row>51</xdr:row>
      <xdr:rowOff>133350</xdr:rowOff>
    </xdr:from>
    <xdr:ext cx="2105025" cy="38100"/>
    <xdr:grpSp>
      <xdr:nvGrpSpPr>
        <xdr:cNvPr id="2" name="Shape 2"/>
        <xdr:cNvGrpSpPr/>
      </xdr:nvGrpSpPr>
      <xdr:grpSpPr>
        <a:xfrm>
          <a:off x="4293488" y="3780000"/>
          <a:ext cx="2105025" cy="0"/>
          <a:chOff x="4293488" y="3780000"/>
          <a:chExt cx="2105025" cy="0"/>
        </a:xfrm>
      </xdr:grpSpPr>
      <xdr:cxnSp>
        <xdr:nvCxnSpPr>
          <xdr:cNvPr id="4" name="Shape 4"/>
          <xdr:cNvCxnSpPr/>
        </xdr:nvCxnSpPr>
        <xdr:spPr>
          <a:xfrm>
            <a:off x="4293488" y="3780000"/>
            <a:ext cx="2105025" cy="0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381000</xdr:colOff>
      <xdr:row>30</xdr:row>
      <xdr:rowOff>142875</xdr:rowOff>
    </xdr:from>
    <xdr:ext cx="885825" cy="790575"/>
    <xdr:grpSp>
      <xdr:nvGrpSpPr>
        <xdr:cNvPr id="2" name="Shape 2"/>
        <xdr:cNvGrpSpPr/>
      </xdr:nvGrpSpPr>
      <xdr:grpSpPr>
        <a:xfrm>
          <a:off x="4912613" y="3394238"/>
          <a:ext cx="866775" cy="771525"/>
          <a:chOff x="4912613" y="3394238"/>
          <a:chExt cx="866775" cy="771525"/>
        </a:xfrm>
      </xdr:grpSpPr>
      <xdr:cxnSp>
        <xdr:nvCxnSpPr>
          <xdr:cNvPr id="5" name="Shape 5"/>
          <xdr:cNvCxnSpPr/>
        </xdr:nvCxnSpPr>
        <xdr:spPr>
          <a:xfrm>
            <a:off x="4912613" y="3394238"/>
            <a:ext cx="866775" cy="771525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133350</xdr:colOff>
      <xdr:row>30</xdr:row>
      <xdr:rowOff>104775</xdr:rowOff>
    </xdr:from>
    <xdr:ext cx="1190625" cy="866775"/>
    <xdr:grpSp>
      <xdr:nvGrpSpPr>
        <xdr:cNvPr id="2" name="Shape 2"/>
        <xdr:cNvGrpSpPr/>
      </xdr:nvGrpSpPr>
      <xdr:grpSpPr>
        <a:xfrm>
          <a:off x="4760213" y="3356138"/>
          <a:ext cx="1171575" cy="847725"/>
          <a:chOff x="4760213" y="3356138"/>
          <a:chExt cx="1171575" cy="847725"/>
        </a:xfrm>
      </xdr:grpSpPr>
      <xdr:cxnSp>
        <xdr:nvCxnSpPr>
          <xdr:cNvPr id="6" name="Shape 6"/>
          <xdr:cNvCxnSpPr/>
        </xdr:nvCxnSpPr>
        <xdr:spPr>
          <a:xfrm flipH="1" rot="10800000">
            <a:off x="4760213" y="3356138"/>
            <a:ext cx="1171575" cy="847725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"/>
            <a:headEnd len="med" w="med" type="triangle"/>
            <a:tailEnd len="med" w="med" type="triangl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4.25" customHeight="1">
      <c r="A2" s="1"/>
      <c r="B2" s="2" t="s">
        <v>0</v>
      </c>
      <c r="C2" s="3" t="s">
        <v>1</v>
      </c>
      <c r="E2" s="3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1"/>
      <c r="P2" s="1"/>
      <c r="Q2" s="1"/>
      <c r="R2" s="1"/>
    </row>
    <row r="3" ht="14.25" customHeight="1">
      <c r="A3" s="1"/>
      <c r="C3" s="4" t="s">
        <v>11</v>
      </c>
      <c r="D3" s="4" t="s">
        <v>12</v>
      </c>
      <c r="E3" s="4" t="s">
        <v>13</v>
      </c>
      <c r="F3" s="4" t="s">
        <v>14</v>
      </c>
      <c r="O3" s="1"/>
      <c r="P3" s="1"/>
      <c r="Q3" s="1"/>
      <c r="R3" s="1"/>
    </row>
    <row r="4" ht="14.25" customHeight="1">
      <c r="A4" s="1"/>
      <c r="B4" s="3">
        <v>1.0</v>
      </c>
      <c r="C4" s="4">
        <v>200.0</v>
      </c>
      <c r="D4" s="4">
        <v>-100.0</v>
      </c>
      <c r="E4" s="4">
        <v>500.0</v>
      </c>
      <c r="F4" s="4">
        <v>600.0</v>
      </c>
      <c r="G4" s="4">
        <f t="shared" ref="G4:H4" si="1">E4-C4</f>
        <v>300</v>
      </c>
      <c r="H4" s="4">
        <f t="shared" si="1"/>
        <v>700</v>
      </c>
      <c r="I4" s="5">
        <f t="shared" ref="I4:I11" si="3">SQRT(G4^2+H4^2)</f>
        <v>761.5773106</v>
      </c>
      <c r="J4" s="6">
        <f t="shared" ref="J4:J11" si="4">G4/I4</f>
        <v>0.3939192986</v>
      </c>
      <c r="K4" s="6">
        <f t="shared" ref="K4:K11" si="5">H4/I4</f>
        <v>0.91914503</v>
      </c>
      <c r="L4" s="4">
        <v>1.0</v>
      </c>
      <c r="M4" s="4">
        <v>1.0</v>
      </c>
      <c r="N4" s="4">
        <f t="shared" ref="N4:N11" si="6">(L4*M4)/I4</f>
        <v>0.001313064329</v>
      </c>
      <c r="O4" s="1" t="s">
        <v>15</v>
      </c>
      <c r="P4" s="1"/>
      <c r="Q4" s="1"/>
      <c r="R4" s="1"/>
    </row>
    <row r="5" ht="14.25" customHeight="1">
      <c r="A5" s="1"/>
      <c r="B5" s="3">
        <v>1.0</v>
      </c>
      <c r="C5" s="4">
        <v>500.0</v>
      </c>
      <c r="D5" s="4">
        <v>600.0</v>
      </c>
      <c r="E5" s="4">
        <v>200.0</v>
      </c>
      <c r="F5" s="4">
        <v>-100.0</v>
      </c>
      <c r="G5" s="4">
        <f t="shared" ref="G5:H5" si="2">E5-C5</f>
        <v>-300</v>
      </c>
      <c r="H5" s="4">
        <f t="shared" si="2"/>
        <v>-700</v>
      </c>
      <c r="I5" s="5">
        <f t="shared" si="3"/>
        <v>761.5773106</v>
      </c>
      <c r="J5" s="6">
        <f t="shared" si="4"/>
        <v>-0.3939192986</v>
      </c>
      <c r="K5" s="6">
        <f t="shared" si="5"/>
        <v>-0.91914503</v>
      </c>
      <c r="L5" s="4">
        <v>1.0</v>
      </c>
      <c r="M5" s="4">
        <v>1.0</v>
      </c>
      <c r="N5" s="4">
        <f t="shared" si="6"/>
        <v>0.001313064329</v>
      </c>
      <c r="O5" s="1" t="s">
        <v>16</v>
      </c>
      <c r="P5" s="1"/>
      <c r="Q5" s="1"/>
      <c r="R5" s="1"/>
    </row>
    <row r="6" ht="14.25" customHeight="1">
      <c r="A6" s="1"/>
      <c r="B6" s="3">
        <v>2.0</v>
      </c>
      <c r="C6" s="4">
        <v>0.0</v>
      </c>
      <c r="D6" s="4">
        <v>800.0</v>
      </c>
      <c r="E6" s="4">
        <v>1000.0</v>
      </c>
      <c r="F6" s="4">
        <v>-500.0</v>
      </c>
      <c r="G6" s="4">
        <f t="shared" ref="G6:H6" si="7">E6-C6</f>
        <v>1000</v>
      </c>
      <c r="H6" s="4">
        <f t="shared" si="7"/>
        <v>-1300</v>
      </c>
      <c r="I6" s="5">
        <f t="shared" si="3"/>
        <v>1640.121947</v>
      </c>
      <c r="J6" s="6">
        <f t="shared" si="4"/>
        <v>0.6097107608</v>
      </c>
      <c r="K6" s="6">
        <f t="shared" si="5"/>
        <v>-0.7926239891</v>
      </c>
      <c r="L6" s="4">
        <v>1.0</v>
      </c>
      <c r="M6" s="4">
        <v>1.0</v>
      </c>
      <c r="N6" s="4">
        <f t="shared" si="6"/>
        <v>0.0006097107608</v>
      </c>
      <c r="O6" s="1"/>
      <c r="P6" s="1"/>
      <c r="Q6" s="1"/>
      <c r="R6" s="1"/>
    </row>
    <row r="7" ht="14.25" customHeight="1">
      <c r="A7" s="1"/>
      <c r="B7" s="3">
        <v>2.0</v>
      </c>
      <c r="C7" s="4">
        <v>1000.0</v>
      </c>
      <c r="D7" s="4">
        <v>-500.0</v>
      </c>
      <c r="E7" s="4">
        <v>0.0</v>
      </c>
      <c r="F7" s="4">
        <v>800.0</v>
      </c>
      <c r="G7" s="4">
        <f t="shared" ref="G7:H7" si="8">E7-C7</f>
        <v>-1000</v>
      </c>
      <c r="H7" s="4">
        <f t="shared" si="8"/>
        <v>1300</v>
      </c>
      <c r="I7" s="5">
        <f t="shared" si="3"/>
        <v>1640.121947</v>
      </c>
      <c r="J7" s="6">
        <f t="shared" si="4"/>
        <v>-0.6097107608</v>
      </c>
      <c r="K7" s="6">
        <f t="shared" si="5"/>
        <v>0.7926239891</v>
      </c>
      <c r="L7" s="4">
        <v>1.0</v>
      </c>
      <c r="M7" s="4">
        <v>1.0</v>
      </c>
      <c r="N7" s="4">
        <f t="shared" si="6"/>
        <v>0.0006097107608</v>
      </c>
      <c r="O7" s="1"/>
      <c r="P7" s="1"/>
      <c r="Q7" s="1"/>
      <c r="R7" s="1"/>
    </row>
    <row r="8" ht="14.25" customHeight="1">
      <c r="A8" s="1"/>
      <c r="B8" s="3">
        <v>3.0</v>
      </c>
      <c r="C8" s="4">
        <v>200.0</v>
      </c>
      <c r="D8" s="4">
        <v>-400.0</v>
      </c>
      <c r="E8" s="4">
        <v>1000.0</v>
      </c>
      <c r="F8" s="4">
        <v>-400.0</v>
      </c>
      <c r="G8" s="4">
        <f t="shared" ref="G8:H8" si="9">E8-C8</f>
        <v>800</v>
      </c>
      <c r="H8" s="4">
        <f t="shared" si="9"/>
        <v>0</v>
      </c>
      <c r="I8" s="5">
        <f t="shared" si="3"/>
        <v>800</v>
      </c>
      <c r="J8" s="6">
        <f t="shared" si="4"/>
        <v>1</v>
      </c>
      <c r="K8" s="6">
        <f t="shared" si="5"/>
        <v>0</v>
      </c>
      <c r="L8" s="4">
        <v>1.0</v>
      </c>
      <c r="M8" s="4">
        <v>1.0</v>
      </c>
      <c r="N8" s="4">
        <f t="shared" si="6"/>
        <v>0.00125</v>
      </c>
      <c r="O8" s="1"/>
      <c r="P8" s="1"/>
      <c r="Q8" s="1"/>
      <c r="R8" s="1"/>
    </row>
    <row r="9" ht="14.25" customHeight="1">
      <c r="A9" s="1"/>
      <c r="B9" s="3">
        <v>3.0</v>
      </c>
      <c r="C9" s="4">
        <f t="shared" ref="C9:D9" si="10">E8</f>
        <v>1000</v>
      </c>
      <c r="D9" s="4">
        <f t="shared" si="10"/>
        <v>-400</v>
      </c>
      <c r="E9" s="4">
        <f t="shared" ref="E9:F9" si="11">C8</f>
        <v>200</v>
      </c>
      <c r="F9" s="4">
        <f t="shared" si="11"/>
        <v>-400</v>
      </c>
      <c r="G9" s="4">
        <f t="shared" ref="G9:H9" si="12">E9-C9</f>
        <v>-800</v>
      </c>
      <c r="H9" s="4">
        <f t="shared" si="12"/>
        <v>0</v>
      </c>
      <c r="I9" s="5">
        <f t="shared" si="3"/>
        <v>800</v>
      </c>
      <c r="J9" s="6">
        <f t="shared" si="4"/>
        <v>-1</v>
      </c>
      <c r="K9" s="6">
        <f t="shared" si="5"/>
        <v>0</v>
      </c>
      <c r="L9" s="4">
        <v>1.0</v>
      </c>
      <c r="M9" s="4">
        <v>1.0</v>
      </c>
      <c r="N9" s="4">
        <f t="shared" si="6"/>
        <v>0.00125</v>
      </c>
      <c r="O9" s="1"/>
      <c r="P9" s="1"/>
      <c r="Q9" s="1"/>
      <c r="R9" s="1"/>
    </row>
    <row r="10" ht="14.25" customHeight="1">
      <c r="A10" s="1"/>
      <c r="B10" s="3">
        <v>4.0</v>
      </c>
      <c r="C10" s="4">
        <v>400.0</v>
      </c>
      <c r="D10" s="4">
        <v>800.0</v>
      </c>
      <c r="E10" s="4">
        <v>400.0</v>
      </c>
      <c r="F10" s="4">
        <v>-200.0</v>
      </c>
      <c r="G10" s="4">
        <f t="shared" ref="G10:H10" si="13">E10-C10</f>
        <v>0</v>
      </c>
      <c r="H10" s="4">
        <f t="shared" si="13"/>
        <v>-1000</v>
      </c>
      <c r="I10" s="5">
        <f t="shared" si="3"/>
        <v>1000</v>
      </c>
      <c r="J10" s="6">
        <f t="shared" si="4"/>
        <v>0</v>
      </c>
      <c r="K10" s="6">
        <f t="shared" si="5"/>
        <v>-1</v>
      </c>
      <c r="L10" s="4">
        <v>1.0</v>
      </c>
      <c r="M10" s="4">
        <v>1.0</v>
      </c>
      <c r="N10" s="4">
        <f t="shared" si="6"/>
        <v>0.001</v>
      </c>
      <c r="O10" s="1"/>
      <c r="P10" s="1"/>
      <c r="Q10" s="1"/>
      <c r="R10" s="1"/>
    </row>
    <row r="11" ht="14.25" customHeight="1">
      <c r="A11" s="1"/>
      <c r="B11" s="3">
        <v>4.0</v>
      </c>
      <c r="C11" s="4">
        <f t="shared" ref="C11:D11" si="14">E10</f>
        <v>400</v>
      </c>
      <c r="D11" s="4">
        <f t="shared" si="14"/>
        <v>-200</v>
      </c>
      <c r="E11" s="4">
        <f t="shared" ref="E11:F11" si="15">C10</f>
        <v>400</v>
      </c>
      <c r="F11" s="4">
        <f t="shared" si="15"/>
        <v>800</v>
      </c>
      <c r="G11" s="4">
        <f t="shared" ref="G11:H11" si="16">E11-C11</f>
        <v>0</v>
      </c>
      <c r="H11" s="4">
        <f t="shared" si="16"/>
        <v>1000</v>
      </c>
      <c r="I11" s="5">
        <f t="shared" si="3"/>
        <v>1000</v>
      </c>
      <c r="J11" s="6">
        <f t="shared" si="4"/>
        <v>0</v>
      </c>
      <c r="K11" s="6">
        <f t="shared" si="5"/>
        <v>1</v>
      </c>
      <c r="L11" s="4">
        <v>1.0</v>
      </c>
      <c r="M11" s="4">
        <v>1.0</v>
      </c>
      <c r="N11" s="4">
        <f t="shared" si="6"/>
        <v>0.001</v>
      </c>
      <c r="O11" s="1"/>
      <c r="P11" s="1"/>
      <c r="Q11" s="1"/>
      <c r="R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14.25" customHeight="1">
      <c r="A14" s="1"/>
      <c r="B14" s="2" t="s">
        <v>0</v>
      </c>
      <c r="C14" s="3" t="s">
        <v>18</v>
      </c>
      <c r="E14" s="3" t="s">
        <v>19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14.25" customHeight="1">
      <c r="A15" s="1"/>
      <c r="C15" s="3" t="s">
        <v>20</v>
      </c>
      <c r="D15" s="3" t="s">
        <v>21</v>
      </c>
      <c r="E15" s="3" t="s">
        <v>20</v>
      </c>
      <c r="F15" s="3" t="s">
        <v>21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14.25" customHeight="1">
      <c r="A16" s="1"/>
      <c r="B16" s="3">
        <v>1.0</v>
      </c>
      <c r="C16" s="4">
        <v>1.0</v>
      </c>
      <c r="D16" s="4">
        <v>1.0</v>
      </c>
      <c r="E16" s="4">
        <v>2.0</v>
      </c>
      <c r="F16" s="4">
        <v>2.0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14.25" customHeight="1">
      <c r="A17" s="1"/>
      <c r="B17" s="3">
        <v>1.0</v>
      </c>
      <c r="C17" s="4">
        <v>2.0</v>
      </c>
      <c r="D17" s="4">
        <v>2.0</v>
      </c>
      <c r="E17" s="4">
        <v>1.0</v>
      </c>
      <c r="F17" s="4">
        <v>1.0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14.25" customHeight="1">
      <c r="A18" s="1"/>
      <c r="B18" s="3">
        <v>2.0</v>
      </c>
      <c r="C18" s="4">
        <v>1.0</v>
      </c>
      <c r="D18" s="4">
        <v>1.0</v>
      </c>
      <c r="E18" s="4">
        <v>2.0</v>
      </c>
      <c r="F18" s="4">
        <v>2.0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4.25" customHeight="1">
      <c r="A19" s="1"/>
      <c r="B19" s="3">
        <v>2.0</v>
      </c>
      <c r="C19" s="4">
        <v>2.0</v>
      </c>
      <c r="D19" s="4">
        <v>2.0</v>
      </c>
      <c r="E19" s="4">
        <v>1.0</v>
      </c>
      <c r="F19" s="4">
        <v>1.0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14.25" customHeight="1">
      <c r="A20" s="1"/>
      <c r="B20" s="3">
        <v>3.0</v>
      </c>
      <c r="C20" s="4">
        <v>1.0</v>
      </c>
      <c r="D20" s="4">
        <v>1.0</v>
      </c>
      <c r="E20" s="4">
        <v>2.0</v>
      </c>
      <c r="F20" s="4">
        <v>2.0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4.25" customHeight="1">
      <c r="A21" s="1"/>
      <c r="B21" s="3">
        <v>3.0</v>
      </c>
      <c r="C21" s="4">
        <v>2.0</v>
      </c>
      <c r="D21" s="4">
        <v>2.0</v>
      </c>
      <c r="E21" s="4">
        <v>1.0</v>
      </c>
      <c r="F21" s="4">
        <v>1.0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4.25" customHeight="1">
      <c r="A22" s="1"/>
      <c r="B22" s="3">
        <v>4.0</v>
      </c>
      <c r="C22" s="4">
        <v>1.0</v>
      </c>
      <c r="D22" s="4">
        <v>1.0</v>
      </c>
      <c r="E22" s="4">
        <v>2.0</v>
      </c>
      <c r="F22" s="4">
        <v>2.0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14.25" customHeight="1">
      <c r="A23" s="1"/>
      <c r="B23" s="3">
        <v>4.0</v>
      </c>
      <c r="C23" s="4">
        <v>2.0</v>
      </c>
      <c r="D23" s="4">
        <v>2.0</v>
      </c>
      <c r="E23" s="4">
        <v>1.0</v>
      </c>
      <c r="F23" s="4">
        <v>1.0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14.25" customHeight="1">
      <c r="A26" s="3" t="s">
        <v>23</v>
      </c>
      <c r="I26" s="1"/>
      <c r="J26" s="3" t="s">
        <v>31</v>
      </c>
      <c r="R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4.25" customHeight="1">
      <c r="A28" s="1"/>
      <c r="B28" s="1"/>
      <c r="C28" s="3" t="str">
        <f t="shared" ref="C28:F28" si="17">CONCATENATE("U",C16,C15)</f>
        <v>U1X</v>
      </c>
      <c r="D28" s="3" t="str">
        <f t="shared" si="17"/>
        <v>U1Y</v>
      </c>
      <c r="E28" s="3" t="str">
        <f t="shared" si="17"/>
        <v>U2X</v>
      </c>
      <c r="F28" s="3" t="str">
        <f t="shared" si="17"/>
        <v>U2Y</v>
      </c>
      <c r="G28" s="1"/>
      <c r="H28" s="1"/>
      <c r="I28" s="1"/>
      <c r="J28" s="1"/>
      <c r="K28" s="1"/>
      <c r="L28" s="3" t="str">
        <f t="shared" ref="L28:O28" si="18">CONCATENATE("U",C18,C15)</f>
        <v>U1X</v>
      </c>
      <c r="M28" s="3" t="str">
        <f t="shared" si="18"/>
        <v>U1Y</v>
      </c>
      <c r="N28" s="3" t="str">
        <f t="shared" si="18"/>
        <v>U2X</v>
      </c>
      <c r="O28" s="3" t="str">
        <f t="shared" si="18"/>
        <v>U2Y</v>
      </c>
      <c r="P28" s="1"/>
      <c r="Q28" s="1"/>
      <c r="R28" s="1"/>
    </row>
    <row r="29" ht="14.25" customHeight="1">
      <c r="A29" s="1"/>
      <c r="B29" s="1"/>
      <c r="C29" s="11">
        <f>J4^2</f>
        <v>0.1551724138</v>
      </c>
      <c r="D29" s="11">
        <f>J4*K4</f>
        <v>0.3620689655</v>
      </c>
      <c r="E29" s="11">
        <f t="shared" ref="E29:F29" si="19">-1*C29</f>
        <v>-0.1551724138</v>
      </c>
      <c r="F29" s="11">
        <f t="shared" si="19"/>
        <v>-0.3620689655</v>
      </c>
      <c r="G29" s="4" t="str">
        <f>C28</f>
        <v>U1X</v>
      </c>
      <c r="H29" s="1"/>
      <c r="I29" s="1"/>
      <c r="J29" s="1"/>
      <c r="K29" s="1"/>
      <c r="L29" s="11">
        <f>J6^2</f>
        <v>0.3717472119</v>
      </c>
      <c r="M29" s="11">
        <f>J6*K6</f>
        <v>-0.4832713755</v>
      </c>
      <c r="N29" s="11">
        <f t="shared" ref="N29:O29" si="20">-1*L29</f>
        <v>-0.3717472119</v>
      </c>
      <c r="O29" s="11">
        <f t="shared" si="20"/>
        <v>0.4832713755</v>
      </c>
      <c r="P29" s="4" t="str">
        <f>L28</f>
        <v>U1X</v>
      </c>
      <c r="Q29" s="1"/>
      <c r="R29" s="1"/>
    </row>
    <row r="30" ht="14.25" customHeight="1">
      <c r="A30" s="4" t="s">
        <v>32</v>
      </c>
      <c r="B30" s="1">
        <f>N4</f>
        <v>0.001313064329</v>
      </c>
      <c r="C30" s="11">
        <f>D29</f>
        <v>0.3620689655</v>
      </c>
      <c r="D30" s="11">
        <f>K4^2</f>
        <v>0.8448275862</v>
      </c>
      <c r="E30" s="11">
        <f t="shared" ref="E30:F30" si="21">-1*C30</f>
        <v>-0.3620689655</v>
      </c>
      <c r="F30" s="11">
        <f t="shared" si="21"/>
        <v>-0.8448275862</v>
      </c>
      <c r="G30" s="4" t="str">
        <f>D28</f>
        <v>U1Y</v>
      </c>
      <c r="H30" s="1"/>
      <c r="I30" s="1"/>
      <c r="J30" s="4" t="s">
        <v>33</v>
      </c>
      <c r="K30" s="1">
        <f>N6</f>
        <v>0.0006097107608</v>
      </c>
      <c r="L30" s="11">
        <f>M29</f>
        <v>-0.4832713755</v>
      </c>
      <c r="M30" s="11">
        <f>K6^2</f>
        <v>0.6282527881</v>
      </c>
      <c r="N30" s="11">
        <f t="shared" ref="N30:O30" si="22">-1*L30</f>
        <v>0.4832713755</v>
      </c>
      <c r="O30" s="11">
        <f t="shared" si="22"/>
        <v>-0.6282527881</v>
      </c>
      <c r="P30" s="4" t="str">
        <f>M28</f>
        <v>U1Y</v>
      </c>
      <c r="Q30" s="1"/>
      <c r="R30" s="1"/>
    </row>
    <row r="31" ht="14.25" customHeight="1">
      <c r="A31" s="1"/>
      <c r="B31" s="1"/>
      <c r="C31" s="11">
        <f t="shared" ref="C31:D31" si="23">E29</f>
        <v>-0.1551724138</v>
      </c>
      <c r="D31" s="11">
        <f t="shared" si="23"/>
        <v>-0.3620689655</v>
      </c>
      <c r="E31" s="11">
        <f t="shared" ref="E31:F31" si="24">C29</f>
        <v>0.1551724138</v>
      </c>
      <c r="F31" s="11">
        <f t="shared" si="24"/>
        <v>0.3620689655</v>
      </c>
      <c r="G31" s="4" t="str">
        <f>E28</f>
        <v>U2X</v>
      </c>
      <c r="H31" s="1"/>
      <c r="I31" s="1"/>
      <c r="J31" s="1"/>
      <c r="K31" s="1"/>
      <c r="L31" s="11">
        <f t="shared" ref="L31:M31" si="25">N29</f>
        <v>-0.3717472119</v>
      </c>
      <c r="M31" s="11">
        <f t="shared" si="25"/>
        <v>0.4832713755</v>
      </c>
      <c r="N31" s="11">
        <f t="shared" ref="N31:O31" si="26">L29</f>
        <v>0.3717472119</v>
      </c>
      <c r="O31" s="11">
        <f t="shared" si="26"/>
        <v>-0.4832713755</v>
      </c>
      <c r="P31" s="4" t="str">
        <f>N28</f>
        <v>U2X</v>
      </c>
      <c r="Q31" s="1"/>
      <c r="R31" s="1"/>
    </row>
    <row r="32" ht="14.25" customHeight="1">
      <c r="A32" s="1"/>
      <c r="B32" s="1"/>
      <c r="C32" s="11">
        <f t="shared" ref="C32:D32" si="27">E30</f>
        <v>-0.3620689655</v>
      </c>
      <c r="D32" s="11">
        <f t="shared" si="27"/>
        <v>-0.8448275862</v>
      </c>
      <c r="E32" s="11">
        <f t="shared" ref="E32:F32" si="28">C30</f>
        <v>0.3620689655</v>
      </c>
      <c r="F32" s="11">
        <f t="shared" si="28"/>
        <v>0.8448275862</v>
      </c>
      <c r="G32" s="4" t="str">
        <f>F28</f>
        <v>U2Y</v>
      </c>
      <c r="H32" s="1"/>
      <c r="I32" s="1"/>
      <c r="J32" s="1"/>
      <c r="K32" s="1"/>
      <c r="L32" s="11">
        <f t="shared" ref="L32:M32" si="29">N30</f>
        <v>0.4832713755</v>
      </c>
      <c r="M32" s="11">
        <f t="shared" si="29"/>
        <v>-0.6282527881</v>
      </c>
      <c r="N32" s="11">
        <f t="shared" ref="N32:O32" si="30">L30</f>
        <v>-0.4832713755</v>
      </c>
      <c r="O32" s="11">
        <f t="shared" si="30"/>
        <v>0.6282527881</v>
      </c>
      <c r="P32" s="4" t="str">
        <f>O28</f>
        <v>U2Y</v>
      </c>
      <c r="Q32" s="1"/>
      <c r="R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14.25" customHeight="1">
      <c r="A35" s="1"/>
      <c r="B35" s="1"/>
      <c r="C35" s="3" t="str">
        <f t="shared" ref="C35:F35" si="31">CONCATENATE("U",C17,C15)</f>
        <v>U2X</v>
      </c>
      <c r="D35" s="3" t="str">
        <f t="shared" si="31"/>
        <v>U2Y</v>
      </c>
      <c r="E35" s="3" t="str">
        <f t="shared" si="31"/>
        <v>U1X</v>
      </c>
      <c r="F35" s="3" t="str">
        <f t="shared" si="31"/>
        <v>U1Y</v>
      </c>
      <c r="G35" s="1"/>
      <c r="H35" s="1"/>
      <c r="I35" s="1"/>
      <c r="J35" s="1"/>
      <c r="K35" s="1"/>
      <c r="L35" s="3" t="str">
        <f t="shared" ref="L35:O35" si="32">CONCATENATE("U",C19,C15)</f>
        <v>U2X</v>
      </c>
      <c r="M35" s="3" t="str">
        <f t="shared" si="32"/>
        <v>U2Y</v>
      </c>
      <c r="N35" s="3" t="str">
        <f t="shared" si="32"/>
        <v>U1X</v>
      </c>
      <c r="O35" s="3" t="str">
        <f t="shared" si="32"/>
        <v>U1Y</v>
      </c>
      <c r="P35" s="1"/>
      <c r="Q35" s="1"/>
      <c r="R35" s="1"/>
    </row>
    <row r="36" ht="14.25" customHeight="1">
      <c r="A36" s="1"/>
      <c r="B36" s="1"/>
      <c r="C36" s="11">
        <f>J5^2</f>
        <v>0.1551724138</v>
      </c>
      <c r="D36" s="11">
        <f>J5*K5</f>
        <v>0.3620689655</v>
      </c>
      <c r="E36" s="11">
        <f t="shared" ref="E36:F36" si="33">-1*C36</f>
        <v>-0.1551724138</v>
      </c>
      <c r="F36" s="11">
        <f t="shared" si="33"/>
        <v>-0.3620689655</v>
      </c>
      <c r="G36" s="4" t="str">
        <f>C35</f>
        <v>U2X</v>
      </c>
      <c r="H36" s="1"/>
      <c r="I36" s="1"/>
      <c r="J36" s="1"/>
      <c r="K36" s="1"/>
      <c r="L36" s="11">
        <f>J7^2</f>
        <v>0.3717472119</v>
      </c>
      <c r="M36" s="11">
        <f>J7*K7</f>
        <v>-0.4832713755</v>
      </c>
      <c r="N36" s="11">
        <f t="shared" ref="N36:O36" si="34">-1*L36</f>
        <v>-0.3717472119</v>
      </c>
      <c r="O36" s="11">
        <f t="shared" si="34"/>
        <v>0.4832713755</v>
      </c>
      <c r="P36" s="4" t="str">
        <f>L35</f>
        <v>U2X</v>
      </c>
      <c r="Q36" s="1"/>
      <c r="R36" s="1"/>
    </row>
    <row r="37" ht="14.25" customHeight="1">
      <c r="A37" s="4" t="s">
        <v>36</v>
      </c>
      <c r="B37" s="1">
        <f>N5</f>
        <v>0.001313064329</v>
      </c>
      <c r="C37" s="11">
        <f>D36</f>
        <v>0.3620689655</v>
      </c>
      <c r="D37" s="11">
        <f>K5^2</f>
        <v>0.8448275862</v>
      </c>
      <c r="E37" s="11">
        <f t="shared" ref="E37:F37" si="35">-1*C37</f>
        <v>-0.3620689655</v>
      </c>
      <c r="F37" s="11">
        <f t="shared" si="35"/>
        <v>-0.8448275862</v>
      </c>
      <c r="G37" s="4" t="str">
        <f>D35</f>
        <v>U2Y</v>
      </c>
      <c r="H37" s="1"/>
      <c r="I37" s="1"/>
      <c r="J37" s="4" t="s">
        <v>37</v>
      </c>
      <c r="K37" s="1">
        <f>M7</f>
        <v>1</v>
      </c>
      <c r="L37" s="11">
        <f>M36</f>
        <v>-0.4832713755</v>
      </c>
      <c r="M37" s="11">
        <f>K7^2</f>
        <v>0.6282527881</v>
      </c>
      <c r="N37" s="11">
        <f t="shared" ref="N37:O37" si="36">-1*L37</f>
        <v>0.4832713755</v>
      </c>
      <c r="O37" s="11">
        <f t="shared" si="36"/>
        <v>-0.6282527881</v>
      </c>
      <c r="P37" s="4" t="str">
        <f>M35</f>
        <v>U2Y</v>
      </c>
      <c r="Q37" s="1"/>
      <c r="R37" s="1"/>
    </row>
    <row r="38" ht="14.25" customHeight="1">
      <c r="A38" s="1"/>
      <c r="B38" s="1"/>
      <c r="C38" s="11">
        <f t="shared" ref="C38:D38" si="37">E36</f>
        <v>-0.1551724138</v>
      </c>
      <c r="D38" s="11">
        <f t="shared" si="37"/>
        <v>-0.3620689655</v>
      </c>
      <c r="E38" s="11">
        <f t="shared" ref="E38:F38" si="38">C36</f>
        <v>0.1551724138</v>
      </c>
      <c r="F38" s="11">
        <f t="shared" si="38"/>
        <v>0.3620689655</v>
      </c>
      <c r="G38" s="4" t="str">
        <f>E35</f>
        <v>U1X</v>
      </c>
      <c r="H38" s="1"/>
      <c r="I38" s="1"/>
      <c r="J38" s="1"/>
      <c r="K38" s="1"/>
      <c r="L38" s="11">
        <f t="shared" ref="L38:M38" si="39">N36</f>
        <v>-0.3717472119</v>
      </c>
      <c r="M38" s="11">
        <f t="shared" si="39"/>
        <v>0.4832713755</v>
      </c>
      <c r="N38" s="11">
        <f t="shared" ref="N38:O38" si="40">L36</f>
        <v>0.3717472119</v>
      </c>
      <c r="O38" s="11">
        <f t="shared" si="40"/>
        <v>-0.4832713755</v>
      </c>
      <c r="P38" s="4" t="str">
        <f>N35</f>
        <v>U1X</v>
      </c>
      <c r="Q38" s="1"/>
      <c r="R38" s="1"/>
    </row>
    <row r="39" ht="14.25" customHeight="1">
      <c r="A39" s="1"/>
      <c r="B39" s="1"/>
      <c r="C39" s="11">
        <f t="shared" ref="C39:D39" si="41">E37</f>
        <v>-0.3620689655</v>
      </c>
      <c r="D39" s="11">
        <f t="shared" si="41"/>
        <v>-0.8448275862</v>
      </c>
      <c r="E39" s="11">
        <f t="shared" ref="E39:F39" si="42">C37</f>
        <v>0.3620689655</v>
      </c>
      <c r="F39" s="11">
        <f t="shared" si="42"/>
        <v>0.8448275862</v>
      </c>
      <c r="G39" s="4" t="str">
        <f>F35</f>
        <v>U1Y</v>
      </c>
      <c r="H39" s="1"/>
      <c r="I39" s="1"/>
      <c r="J39" s="1"/>
      <c r="K39" s="1"/>
      <c r="L39" s="11">
        <f t="shared" ref="L39:M39" si="43">N37</f>
        <v>0.4832713755</v>
      </c>
      <c r="M39" s="11">
        <f t="shared" si="43"/>
        <v>-0.6282527881</v>
      </c>
      <c r="N39" s="11">
        <f t="shared" ref="N39:O39" si="44">L37</f>
        <v>-0.4832713755</v>
      </c>
      <c r="O39" s="11">
        <f t="shared" si="44"/>
        <v>0.6282527881</v>
      </c>
      <c r="P39" s="4" t="str">
        <f>O35</f>
        <v>U1Y</v>
      </c>
      <c r="Q39" s="1"/>
      <c r="R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4.25" customHeight="1">
      <c r="A45" s="3" t="s">
        <v>35</v>
      </c>
      <c r="I45" s="1"/>
      <c r="J45" s="3" t="s">
        <v>39</v>
      </c>
      <c r="R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4.25" customHeight="1">
      <c r="A47" s="1"/>
      <c r="B47" s="1"/>
      <c r="C47" s="3" t="str">
        <f t="shared" ref="C47:F47" si="45">CONCATENATE("U",C20,C15)</f>
        <v>U1X</v>
      </c>
      <c r="D47" s="3" t="str">
        <f t="shared" si="45"/>
        <v>U1Y</v>
      </c>
      <c r="E47" s="3" t="str">
        <f t="shared" si="45"/>
        <v>U2X</v>
      </c>
      <c r="F47" s="3" t="str">
        <f t="shared" si="45"/>
        <v>U2Y</v>
      </c>
      <c r="G47" s="1"/>
      <c r="H47" s="1"/>
      <c r="I47" s="1"/>
      <c r="J47" s="1"/>
      <c r="K47" s="1"/>
      <c r="L47" s="3" t="str">
        <f t="shared" ref="L47:O47" si="46">CONCATENATE("U",C22,C15)</f>
        <v>U1X</v>
      </c>
      <c r="M47" s="3" t="str">
        <f t="shared" si="46"/>
        <v>U1Y</v>
      </c>
      <c r="N47" s="3" t="str">
        <f t="shared" si="46"/>
        <v>U2X</v>
      </c>
      <c r="O47" s="3" t="str">
        <f t="shared" si="46"/>
        <v>U2Y</v>
      </c>
      <c r="P47" s="1"/>
      <c r="Q47" s="1"/>
      <c r="R47" s="1"/>
    </row>
    <row r="48" ht="14.25" customHeight="1">
      <c r="A48" s="1"/>
      <c r="B48" s="1"/>
      <c r="C48" s="11">
        <f>J8^2</f>
        <v>1</v>
      </c>
      <c r="D48" s="11">
        <f>J8*K8</f>
        <v>0</v>
      </c>
      <c r="E48" s="11">
        <f t="shared" ref="E48:F48" si="47">-1*C48</f>
        <v>-1</v>
      </c>
      <c r="F48" s="11">
        <f t="shared" si="47"/>
        <v>0</v>
      </c>
      <c r="G48" s="4" t="str">
        <f>C47</f>
        <v>U1X</v>
      </c>
      <c r="H48" s="1"/>
      <c r="I48" s="1"/>
      <c r="J48" s="1"/>
      <c r="K48" s="1"/>
      <c r="L48" s="11">
        <f>J10^2</f>
        <v>0</v>
      </c>
      <c r="M48" s="11">
        <f>J11*K11</f>
        <v>0</v>
      </c>
      <c r="N48" s="11">
        <f t="shared" ref="N48:O48" si="48">-1*L48</f>
        <v>0</v>
      </c>
      <c r="O48" s="11">
        <f t="shared" si="48"/>
        <v>0</v>
      </c>
      <c r="P48" s="4" t="str">
        <f>L47</f>
        <v>U1X</v>
      </c>
      <c r="Q48" s="1"/>
      <c r="R48" s="1"/>
    </row>
    <row r="49" ht="14.25" customHeight="1">
      <c r="A49" s="4" t="s">
        <v>41</v>
      </c>
      <c r="B49" s="1">
        <f>N8</f>
        <v>0.00125</v>
      </c>
      <c r="C49" s="11">
        <f>D48</f>
        <v>0</v>
      </c>
      <c r="D49" s="11">
        <f>K8^2</f>
        <v>0</v>
      </c>
      <c r="E49" s="11">
        <f t="shared" ref="E49:F49" si="49">-1*C49</f>
        <v>0</v>
      </c>
      <c r="F49" s="11">
        <f t="shared" si="49"/>
        <v>0</v>
      </c>
      <c r="G49" s="4" t="str">
        <f>D47</f>
        <v>U1Y</v>
      </c>
      <c r="H49" s="1"/>
      <c r="I49" s="1"/>
      <c r="J49" s="4" t="s">
        <v>42</v>
      </c>
      <c r="K49" s="1" t="str">
        <f>W8</f>
        <v/>
      </c>
      <c r="L49" s="11">
        <f>M48</f>
        <v>0</v>
      </c>
      <c r="M49" s="11">
        <f>K11^2</f>
        <v>1</v>
      </c>
      <c r="N49" s="11">
        <f t="shared" ref="N49:O49" si="50">-1*L49</f>
        <v>0</v>
      </c>
      <c r="O49" s="11">
        <f t="shared" si="50"/>
        <v>-1</v>
      </c>
      <c r="P49" s="4" t="str">
        <f>M47</f>
        <v>U1Y</v>
      </c>
      <c r="Q49" s="1"/>
      <c r="R49" s="1"/>
    </row>
    <row r="50" ht="14.25" customHeight="1">
      <c r="A50" s="1"/>
      <c r="B50" s="1"/>
      <c r="C50" s="11">
        <f t="shared" ref="C50:D50" si="51">E48</f>
        <v>-1</v>
      </c>
      <c r="D50" s="11">
        <f t="shared" si="51"/>
        <v>0</v>
      </c>
      <c r="E50" s="11">
        <f t="shared" ref="E50:F50" si="52">C48</f>
        <v>1</v>
      </c>
      <c r="F50" s="11">
        <f t="shared" si="52"/>
        <v>0</v>
      </c>
      <c r="G50" s="4" t="str">
        <f>E47</f>
        <v>U2X</v>
      </c>
      <c r="H50" s="1"/>
      <c r="I50" s="1"/>
      <c r="J50" s="1"/>
      <c r="K50" s="1"/>
      <c r="L50" s="11">
        <f t="shared" ref="L50:M50" si="53">N48</f>
        <v>0</v>
      </c>
      <c r="M50" s="11">
        <f t="shared" si="53"/>
        <v>0</v>
      </c>
      <c r="N50" s="11">
        <f t="shared" ref="N50:O50" si="54">L48</f>
        <v>0</v>
      </c>
      <c r="O50" s="11">
        <f t="shared" si="54"/>
        <v>0</v>
      </c>
      <c r="P50" s="4" t="str">
        <f>N47</f>
        <v>U2X</v>
      </c>
      <c r="Q50" s="1"/>
      <c r="R50" s="1"/>
    </row>
    <row r="51" ht="14.25" customHeight="1">
      <c r="A51" s="1"/>
      <c r="B51" s="1"/>
      <c r="C51" s="11">
        <f t="shared" ref="C51:D51" si="55">E49</f>
        <v>0</v>
      </c>
      <c r="D51" s="11">
        <f t="shared" si="55"/>
        <v>0</v>
      </c>
      <c r="E51" s="11">
        <f t="shared" ref="E51:F51" si="56">C49</f>
        <v>0</v>
      </c>
      <c r="F51" s="11">
        <f t="shared" si="56"/>
        <v>0</v>
      </c>
      <c r="G51" s="4" t="str">
        <f>F47</f>
        <v>U2Y</v>
      </c>
      <c r="H51" s="1"/>
      <c r="I51" s="1"/>
      <c r="J51" s="1"/>
      <c r="K51" s="1"/>
      <c r="L51" s="11">
        <f t="shared" ref="L51:M51" si="57">N49</f>
        <v>0</v>
      </c>
      <c r="M51" s="11">
        <f t="shared" si="57"/>
        <v>-1</v>
      </c>
      <c r="N51" s="11">
        <f t="shared" ref="N51:O51" si="58">L49</f>
        <v>0</v>
      </c>
      <c r="O51" s="11">
        <f t="shared" si="58"/>
        <v>1</v>
      </c>
      <c r="P51" s="4" t="str">
        <f>O47</f>
        <v>U2Y</v>
      </c>
      <c r="Q51" s="1"/>
      <c r="R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4.25" customHeight="1">
      <c r="A54" s="1"/>
      <c r="B54" s="1"/>
      <c r="C54" s="3" t="str">
        <f t="shared" ref="C54:F54" si="59">CONCATENATE("U",C21,C15)</f>
        <v>U2X</v>
      </c>
      <c r="D54" s="3" t="str">
        <f t="shared" si="59"/>
        <v>U2Y</v>
      </c>
      <c r="E54" s="3" t="str">
        <f t="shared" si="59"/>
        <v>U1X</v>
      </c>
      <c r="F54" s="3" t="str">
        <f t="shared" si="59"/>
        <v>U1Y</v>
      </c>
      <c r="G54" s="1"/>
      <c r="H54" s="1"/>
      <c r="I54" s="1"/>
      <c r="J54" s="1"/>
      <c r="K54" s="1"/>
      <c r="L54" s="3" t="str">
        <f t="shared" ref="L54:O54" si="60">CONCATENATE("U",C23,C15)</f>
        <v>U2X</v>
      </c>
      <c r="M54" s="3" t="str">
        <f t="shared" si="60"/>
        <v>U2Y</v>
      </c>
      <c r="N54" s="3" t="str">
        <f t="shared" si="60"/>
        <v>U1X</v>
      </c>
      <c r="O54" s="3" t="str">
        <f t="shared" si="60"/>
        <v>U1Y</v>
      </c>
      <c r="P54" s="1"/>
      <c r="Q54" s="1"/>
      <c r="R54" s="1"/>
    </row>
    <row r="55" ht="14.25" customHeight="1">
      <c r="A55" s="1"/>
      <c r="B55" s="1"/>
      <c r="C55" s="11">
        <f>J9^2</f>
        <v>1</v>
      </c>
      <c r="D55" s="11">
        <f>J9*K9</f>
        <v>0</v>
      </c>
      <c r="E55" s="11">
        <f t="shared" ref="E55:F55" si="61">-1*C55</f>
        <v>-1</v>
      </c>
      <c r="F55" s="11">
        <f t="shared" si="61"/>
        <v>0</v>
      </c>
      <c r="G55" s="4" t="str">
        <f>C54</f>
        <v>U2X</v>
      </c>
      <c r="H55" s="1"/>
      <c r="I55" s="1"/>
      <c r="J55" s="1"/>
      <c r="K55" s="1"/>
      <c r="L55" s="11">
        <f>J11^2</f>
        <v>0</v>
      </c>
      <c r="M55" s="11">
        <f>J11*K11</f>
        <v>0</v>
      </c>
      <c r="N55" s="11">
        <f t="shared" ref="N55:O55" si="62">-1*L55</f>
        <v>0</v>
      </c>
      <c r="O55" s="11">
        <f t="shared" si="62"/>
        <v>0</v>
      </c>
      <c r="P55" s="4" t="str">
        <f>L54</f>
        <v>U2X</v>
      </c>
      <c r="Q55" s="1"/>
      <c r="R55" s="1"/>
    </row>
    <row r="56" ht="14.25" customHeight="1">
      <c r="A56" s="4" t="s">
        <v>53</v>
      </c>
      <c r="B56" s="1">
        <f>N9</f>
        <v>0.00125</v>
      </c>
      <c r="C56" s="11">
        <f>D55</f>
        <v>0</v>
      </c>
      <c r="D56" s="11">
        <f>K9^2</f>
        <v>0</v>
      </c>
      <c r="E56" s="11">
        <f t="shared" ref="E56:F56" si="63">-1*C56</f>
        <v>0</v>
      </c>
      <c r="F56" s="11">
        <f t="shared" si="63"/>
        <v>0</v>
      </c>
      <c r="G56" s="4" t="str">
        <f>D54</f>
        <v>U2Y</v>
      </c>
      <c r="H56" s="1"/>
      <c r="I56" s="1"/>
      <c r="J56" s="4" t="s">
        <v>54</v>
      </c>
      <c r="K56" s="1" t="str">
        <f>W9</f>
        <v/>
      </c>
      <c r="L56" s="11">
        <f>M55</f>
        <v>0</v>
      </c>
      <c r="M56" s="11">
        <f>K11^2</f>
        <v>1</v>
      </c>
      <c r="N56" s="11">
        <f t="shared" ref="N56:O56" si="64">-1*L56</f>
        <v>0</v>
      </c>
      <c r="O56" s="11">
        <f t="shared" si="64"/>
        <v>-1</v>
      </c>
      <c r="P56" s="4" t="str">
        <f>M54</f>
        <v>U2Y</v>
      </c>
      <c r="Q56" s="1"/>
      <c r="R56" s="1"/>
    </row>
    <row r="57" ht="14.25" customHeight="1">
      <c r="A57" s="1"/>
      <c r="B57" s="1"/>
      <c r="C57" s="11">
        <f t="shared" ref="C57:D57" si="65">E55</f>
        <v>-1</v>
      </c>
      <c r="D57" s="11">
        <f t="shared" si="65"/>
        <v>0</v>
      </c>
      <c r="E57" s="11">
        <f t="shared" ref="E57:F57" si="66">C55</f>
        <v>1</v>
      </c>
      <c r="F57" s="11">
        <f t="shared" si="66"/>
        <v>0</v>
      </c>
      <c r="G57" s="4" t="str">
        <f>E54</f>
        <v>U1X</v>
      </c>
      <c r="H57" s="1"/>
      <c r="I57" s="1"/>
      <c r="J57" s="1"/>
      <c r="K57" s="1"/>
      <c r="L57" s="11">
        <f t="shared" ref="L57:M57" si="67">N55</f>
        <v>0</v>
      </c>
      <c r="M57" s="11">
        <f t="shared" si="67"/>
        <v>0</v>
      </c>
      <c r="N57" s="11">
        <f t="shared" ref="N57:O57" si="68">L55</f>
        <v>0</v>
      </c>
      <c r="O57" s="11">
        <f t="shared" si="68"/>
        <v>0</v>
      </c>
      <c r="P57" s="4" t="str">
        <f>N54</f>
        <v>U1X</v>
      </c>
      <c r="Q57" s="1"/>
      <c r="R57" s="1"/>
    </row>
    <row r="58" ht="14.25" customHeight="1">
      <c r="A58" s="1"/>
      <c r="B58" s="1"/>
      <c r="C58" s="11">
        <f t="shared" ref="C58:D58" si="69">E56</f>
        <v>0</v>
      </c>
      <c r="D58" s="11">
        <f t="shared" si="69"/>
        <v>0</v>
      </c>
      <c r="E58" s="11">
        <f t="shared" ref="E58:F58" si="70">C56</f>
        <v>0</v>
      </c>
      <c r="F58" s="11">
        <f t="shared" si="70"/>
        <v>0</v>
      </c>
      <c r="G58" s="4" t="str">
        <f>F54</f>
        <v>U1Y</v>
      </c>
      <c r="H58" s="1"/>
      <c r="I58" s="1"/>
      <c r="J58" s="1"/>
      <c r="K58" s="1"/>
      <c r="L58" s="11">
        <f t="shared" ref="L58:M58" si="71">N56</f>
        <v>0</v>
      </c>
      <c r="M58" s="11">
        <f t="shared" si="71"/>
        <v>-1</v>
      </c>
      <c r="N58" s="11">
        <f t="shared" ref="N58:O58" si="72">L56</f>
        <v>0</v>
      </c>
      <c r="O58" s="11">
        <f t="shared" si="72"/>
        <v>1</v>
      </c>
      <c r="P58" s="4" t="str">
        <f>O54</f>
        <v>U1Y</v>
      </c>
      <c r="Q58" s="1"/>
      <c r="R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K2:K3"/>
    <mergeCell ref="L2:L3"/>
    <mergeCell ref="M2:M3"/>
    <mergeCell ref="N2:N3"/>
    <mergeCell ref="B14:B15"/>
    <mergeCell ref="C14:D14"/>
    <mergeCell ref="E14:F14"/>
    <mergeCell ref="A26:H26"/>
    <mergeCell ref="J26:Q26"/>
    <mergeCell ref="A45:H45"/>
    <mergeCell ref="J45:Q45"/>
    <mergeCell ref="B2:B3"/>
    <mergeCell ref="C2:D2"/>
    <mergeCell ref="E2:F2"/>
    <mergeCell ref="G2:G3"/>
    <mergeCell ref="H2:H3"/>
    <mergeCell ref="I2:I3"/>
    <mergeCell ref="J2:J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1.86"/>
    <col customWidth="1" min="7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4.25" customHeight="1">
      <c r="A3" s="1"/>
      <c r="B3" s="2" t="s">
        <v>0</v>
      </c>
      <c r="C3" s="3" t="s">
        <v>1</v>
      </c>
      <c r="E3" s="3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1"/>
      <c r="P3" s="1"/>
      <c r="Q3" s="1"/>
      <c r="R3" s="1"/>
      <c r="S3" s="1"/>
    </row>
    <row r="4" ht="14.25" customHeight="1">
      <c r="A4" s="1"/>
      <c r="C4" s="4" t="s">
        <v>11</v>
      </c>
      <c r="D4" s="4" t="s">
        <v>12</v>
      </c>
      <c r="E4" s="4" t="s">
        <v>13</v>
      </c>
      <c r="F4" s="4" t="s">
        <v>14</v>
      </c>
      <c r="O4" s="1"/>
      <c r="P4" s="1"/>
      <c r="Q4" s="1"/>
      <c r="R4" s="1"/>
      <c r="S4" s="1"/>
    </row>
    <row r="5" ht="14.25" customHeight="1">
      <c r="A5" s="1"/>
      <c r="B5" s="3">
        <v>1.0</v>
      </c>
      <c r="C5" s="4">
        <v>700.0</v>
      </c>
      <c r="D5" s="4">
        <v>0.0</v>
      </c>
      <c r="E5" s="4">
        <v>0.0</v>
      </c>
      <c r="F5" s="4">
        <v>0.0</v>
      </c>
      <c r="G5" s="4">
        <f t="shared" ref="G5:H5" si="1">E5-C5</f>
        <v>-700</v>
      </c>
      <c r="H5" s="4">
        <f t="shared" si="1"/>
        <v>0</v>
      </c>
      <c r="I5" s="5">
        <f t="shared" ref="I5:I7" si="3">SQRT(G5^2+H5^2)</f>
        <v>700</v>
      </c>
      <c r="J5" s="6">
        <f t="shared" ref="J5:J7" si="4">G5/I5</f>
        <v>-1</v>
      </c>
      <c r="K5" s="6">
        <f t="shared" ref="K5:K7" si="5">H5/I5</f>
        <v>0</v>
      </c>
      <c r="L5" s="4">
        <v>4.0</v>
      </c>
      <c r="M5" s="4">
        <v>150000.0</v>
      </c>
      <c r="N5" s="4">
        <f t="shared" ref="N5:N7" si="6">(L5*M5)/I5</f>
        <v>857.1428571</v>
      </c>
      <c r="O5" s="1" t="s">
        <v>15</v>
      </c>
      <c r="P5" s="1"/>
      <c r="Q5" s="1"/>
      <c r="R5" s="1"/>
      <c r="S5" s="1"/>
    </row>
    <row r="6" ht="14.25" customHeight="1">
      <c r="A6" s="1"/>
      <c r="B6" s="3">
        <v>2.0</v>
      </c>
      <c r="C6" s="4">
        <v>700.0</v>
      </c>
      <c r="D6" s="4">
        <v>0.0</v>
      </c>
      <c r="E6" s="4">
        <v>300.0</v>
      </c>
      <c r="F6" s="4">
        <v>400.0</v>
      </c>
      <c r="G6" s="4">
        <f t="shared" ref="G6:H6" si="2">E6-C6</f>
        <v>-400</v>
      </c>
      <c r="H6" s="4">
        <f t="shared" si="2"/>
        <v>400</v>
      </c>
      <c r="I6" s="5">
        <f t="shared" si="3"/>
        <v>565.6854249</v>
      </c>
      <c r="J6" s="6">
        <f t="shared" si="4"/>
        <v>-0.7071067812</v>
      </c>
      <c r="K6" s="6">
        <f t="shared" si="5"/>
        <v>0.7071067812</v>
      </c>
      <c r="L6" s="4">
        <v>4.0</v>
      </c>
      <c r="M6" s="4">
        <v>150000.0</v>
      </c>
      <c r="N6" s="4">
        <f t="shared" si="6"/>
        <v>1060.660172</v>
      </c>
      <c r="O6" s="1" t="s">
        <v>16</v>
      </c>
      <c r="P6" s="1"/>
      <c r="Q6" s="1"/>
      <c r="R6" s="1"/>
      <c r="S6" s="1"/>
    </row>
    <row r="7" ht="14.25" customHeight="1">
      <c r="A7" s="1"/>
      <c r="B7" s="3">
        <v>3.0</v>
      </c>
      <c r="C7" s="4">
        <v>0.0</v>
      </c>
      <c r="D7" s="4">
        <v>0.0</v>
      </c>
      <c r="E7" s="4">
        <v>300.0</v>
      </c>
      <c r="F7" s="4">
        <v>400.0</v>
      </c>
      <c r="G7" s="4">
        <f t="shared" ref="G7:H7" si="7">E7-C7</f>
        <v>300</v>
      </c>
      <c r="H7" s="4">
        <f t="shared" si="7"/>
        <v>400</v>
      </c>
      <c r="I7" s="5">
        <f t="shared" si="3"/>
        <v>500</v>
      </c>
      <c r="J7" s="6">
        <f t="shared" si="4"/>
        <v>0.6</v>
      </c>
      <c r="K7" s="6">
        <f t="shared" si="5"/>
        <v>0.8</v>
      </c>
      <c r="L7" s="4">
        <v>4.0</v>
      </c>
      <c r="M7" s="4">
        <v>150000.0</v>
      </c>
      <c r="N7" s="4">
        <f t="shared" si="6"/>
        <v>1200</v>
      </c>
      <c r="O7" s="1"/>
      <c r="P7" s="1"/>
      <c r="Q7" s="1"/>
      <c r="R7" s="1"/>
      <c r="S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14.25" customHeight="1">
      <c r="A10" s="1"/>
      <c r="B10" s="2" t="s">
        <v>0</v>
      </c>
      <c r="C10" s="3" t="s">
        <v>18</v>
      </c>
      <c r="E10" s="3" t="s">
        <v>19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4.25" customHeight="1">
      <c r="A11" s="1"/>
      <c r="C11" s="4" t="s">
        <v>20</v>
      </c>
      <c r="D11" s="4" t="s">
        <v>21</v>
      </c>
      <c r="E11" s="4" t="s">
        <v>20</v>
      </c>
      <c r="F11" s="4" t="s">
        <v>21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4.25" customHeight="1">
      <c r="A12" s="1"/>
      <c r="B12" s="3">
        <v>1.0</v>
      </c>
      <c r="C12" s="4">
        <v>3.0</v>
      </c>
      <c r="D12" s="4">
        <v>3.0</v>
      </c>
      <c r="E12" s="4">
        <v>2.0</v>
      </c>
      <c r="F12" s="4">
        <v>2.0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14.25" customHeight="1">
      <c r="A13" s="1"/>
      <c r="B13" s="3">
        <v>2.0</v>
      </c>
      <c r="C13" s="4">
        <v>3.0</v>
      </c>
      <c r="D13" s="4">
        <v>3.0</v>
      </c>
      <c r="E13" s="4">
        <v>1.0</v>
      </c>
      <c r="F13" s="4">
        <v>1.0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ht="14.25" customHeight="1">
      <c r="A14" s="1"/>
      <c r="B14" s="3">
        <v>3.0</v>
      </c>
      <c r="C14" s="4">
        <v>2.0</v>
      </c>
      <c r="D14" s="4">
        <v>2.0</v>
      </c>
      <c r="E14" s="4">
        <v>1.0</v>
      </c>
      <c r="F14" s="4">
        <v>1.0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14.25" customHeight="1">
      <c r="A17" s="3" t="s">
        <v>23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3" t="s">
        <v>24</v>
      </c>
      <c r="L18" s="3" t="s">
        <v>25</v>
      </c>
      <c r="M18" s="3" t="s">
        <v>26</v>
      </c>
      <c r="N18" s="3" t="s">
        <v>27</v>
      </c>
      <c r="O18" s="3" t="s">
        <v>28</v>
      </c>
      <c r="P18" s="3" t="s">
        <v>29</v>
      </c>
      <c r="Q18" s="1"/>
      <c r="R18" s="1"/>
      <c r="S18" s="1"/>
    </row>
    <row r="19" ht="14.25" customHeight="1">
      <c r="A19" s="1"/>
      <c r="B19" s="1"/>
      <c r="C19" s="3" t="str">
        <f t="shared" ref="C19:F19" si="8">CONCATENATE("U",C12,C11)</f>
        <v>U3X</v>
      </c>
      <c r="D19" s="3" t="str">
        <f t="shared" si="8"/>
        <v>U3Y</v>
      </c>
      <c r="E19" s="3" t="str">
        <f t="shared" si="8"/>
        <v>U2X</v>
      </c>
      <c r="F19" s="3" t="str">
        <f t="shared" si="8"/>
        <v>U2Y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3" t="s">
        <v>24</v>
      </c>
      <c r="R19" s="1"/>
      <c r="S19" s="1"/>
    </row>
    <row r="20" ht="14.25" customHeight="1">
      <c r="A20" s="1"/>
      <c r="B20" s="1"/>
      <c r="C20" s="5">
        <f>J5^2*N5</f>
        <v>857.1428571</v>
      </c>
      <c r="D20" s="5">
        <f>J5*K5*N5</f>
        <v>0</v>
      </c>
      <c r="E20" s="5">
        <f t="shared" ref="E20:F20" si="9">-1*C20</f>
        <v>-857.1428571</v>
      </c>
      <c r="F20" s="5">
        <f t="shared" si="9"/>
        <v>0</v>
      </c>
      <c r="G20" s="4" t="str">
        <f>C19</f>
        <v>U3X</v>
      </c>
      <c r="H20" s="1"/>
      <c r="I20" s="1"/>
      <c r="J20" s="1"/>
      <c r="K20" s="1"/>
      <c r="L20" s="1"/>
      <c r="M20" s="1"/>
      <c r="N20" s="1"/>
      <c r="O20" s="1"/>
      <c r="P20" s="1"/>
      <c r="Q20" s="3" t="s">
        <v>25</v>
      </c>
      <c r="R20" s="1"/>
      <c r="S20" s="1"/>
    </row>
    <row r="21" ht="14.25" customHeight="1">
      <c r="A21" s="4" t="s">
        <v>30</v>
      </c>
      <c r="B21" s="1"/>
      <c r="C21" s="5">
        <f>D20</f>
        <v>0</v>
      </c>
      <c r="D21" s="5">
        <f>K5^2*N5</f>
        <v>0</v>
      </c>
      <c r="E21" s="5">
        <f t="shared" ref="E21:F21" si="10">-1*C21</f>
        <v>0</v>
      </c>
      <c r="F21" s="5">
        <f t="shared" si="10"/>
        <v>0</v>
      </c>
      <c r="G21" s="4" t="str">
        <f>D19</f>
        <v>U3Y</v>
      </c>
      <c r="H21" s="1"/>
      <c r="I21" s="1"/>
      <c r="J21" s="1"/>
      <c r="K21" s="1"/>
      <c r="L21" s="1"/>
      <c r="M21" s="10">
        <f t="shared" ref="M21:N21" si="11">E22</f>
        <v>857.1428571</v>
      </c>
      <c r="N21" s="10">
        <f t="shared" si="11"/>
        <v>0</v>
      </c>
      <c r="O21" s="10">
        <f t="shared" ref="O21:P21" si="12">C22</f>
        <v>-857.1428571</v>
      </c>
      <c r="P21" s="10">
        <f t="shared" si="12"/>
        <v>0</v>
      </c>
      <c r="Q21" s="3" t="s">
        <v>26</v>
      </c>
      <c r="R21" s="1"/>
      <c r="S21" s="1"/>
    </row>
    <row r="22" ht="14.25" customHeight="1">
      <c r="A22" s="1"/>
      <c r="B22" s="1"/>
      <c r="C22" s="5">
        <f t="shared" ref="C22:D22" si="13">E20</f>
        <v>-857.1428571</v>
      </c>
      <c r="D22" s="5">
        <f t="shared" si="13"/>
        <v>0</v>
      </c>
      <c r="E22" s="5">
        <f t="shared" ref="E22:F22" si="14">C20</f>
        <v>857.1428571</v>
      </c>
      <c r="F22" s="5">
        <f t="shared" si="14"/>
        <v>0</v>
      </c>
      <c r="G22" s="4" t="str">
        <f>E19</f>
        <v>U2X</v>
      </c>
      <c r="H22" s="1"/>
      <c r="I22" s="1"/>
      <c r="J22" s="1"/>
      <c r="K22" s="1"/>
      <c r="L22" s="1"/>
      <c r="M22" s="10">
        <f t="shared" ref="M22:N22" si="15">E23</f>
        <v>0</v>
      </c>
      <c r="N22" s="10">
        <f t="shared" si="15"/>
        <v>0</v>
      </c>
      <c r="O22" s="10">
        <f t="shared" ref="O22:P22" si="16">C23</f>
        <v>0</v>
      </c>
      <c r="P22" s="10">
        <f t="shared" si="16"/>
        <v>0</v>
      </c>
      <c r="Q22" s="3" t="s">
        <v>27</v>
      </c>
      <c r="R22" s="1"/>
      <c r="S22" s="1"/>
    </row>
    <row r="23" ht="14.25" customHeight="1">
      <c r="A23" s="1"/>
      <c r="B23" s="1"/>
      <c r="C23" s="5">
        <f t="shared" ref="C23:D23" si="17">E21</f>
        <v>0</v>
      </c>
      <c r="D23" s="5">
        <f t="shared" si="17"/>
        <v>0</v>
      </c>
      <c r="E23" s="5">
        <f t="shared" ref="E23:F23" si="18">C21</f>
        <v>0</v>
      </c>
      <c r="F23" s="5">
        <f t="shared" si="18"/>
        <v>0</v>
      </c>
      <c r="G23" s="4" t="str">
        <f>F19</f>
        <v>U2Y</v>
      </c>
      <c r="H23" s="1"/>
      <c r="I23" s="1"/>
      <c r="J23" s="1"/>
      <c r="K23" s="1"/>
      <c r="L23" s="1"/>
      <c r="M23" s="10">
        <f t="shared" ref="M23:N23" si="19">E20</f>
        <v>-857.1428571</v>
      </c>
      <c r="N23" s="10">
        <f t="shared" si="19"/>
        <v>0</v>
      </c>
      <c r="O23" s="10">
        <f t="shared" ref="O23:P23" si="20">C20</f>
        <v>857.1428571</v>
      </c>
      <c r="P23" s="10">
        <f t="shared" si="20"/>
        <v>0</v>
      </c>
      <c r="Q23" s="3" t="s">
        <v>28</v>
      </c>
      <c r="R23" s="1"/>
      <c r="S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0">
        <f t="shared" ref="M24:N24" si="21">E21</f>
        <v>0</v>
      </c>
      <c r="N24" s="10">
        <f t="shared" si="21"/>
        <v>0</v>
      </c>
      <c r="O24" s="10">
        <f t="shared" ref="O24:P24" si="22">C21</f>
        <v>0</v>
      </c>
      <c r="P24" s="10">
        <f t="shared" si="22"/>
        <v>0</v>
      </c>
      <c r="Q24" s="3" t="s">
        <v>29</v>
      </c>
      <c r="R24" s="1"/>
      <c r="S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14.25" customHeight="1">
      <c r="A29" s="3" t="s">
        <v>31</v>
      </c>
      <c r="I29" s="1"/>
      <c r="J29" s="4"/>
      <c r="K29" s="1"/>
      <c r="L29" s="1"/>
      <c r="M29" s="1"/>
      <c r="N29" s="1"/>
      <c r="O29" s="1"/>
      <c r="P29" s="1"/>
      <c r="Q29" s="1"/>
      <c r="R29" s="1"/>
      <c r="S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 t="s">
        <v>24</v>
      </c>
      <c r="L30" s="3" t="s">
        <v>25</v>
      </c>
      <c r="M30" s="3" t="s">
        <v>26</v>
      </c>
      <c r="N30" s="3" t="s">
        <v>27</v>
      </c>
      <c r="O30" s="3" t="s">
        <v>28</v>
      </c>
      <c r="P30" s="3" t="s">
        <v>29</v>
      </c>
      <c r="Q30" s="1"/>
      <c r="R30" s="1"/>
      <c r="S30" s="1"/>
    </row>
    <row r="31" ht="14.25" customHeight="1">
      <c r="A31" s="1"/>
      <c r="B31" s="1"/>
      <c r="C31" s="3" t="str">
        <f t="shared" ref="C31:F31" si="23">CONCATENATE("U",C13,C11)</f>
        <v>U3X</v>
      </c>
      <c r="D31" s="3" t="str">
        <f t="shared" si="23"/>
        <v>U3Y</v>
      </c>
      <c r="E31" s="3" t="str">
        <f t="shared" si="23"/>
        <v>U1X</v>
      </c>
      <c r="F31" s="3" t="str">
        <f t="shared" si="23"/>
        <v>U1Y</v>
      </c>
      <c r="G31" s="1"/>
      <c r="H31" s="1"/>
      <c r="I31" s="1"/>
      <c r="J31" s="1"/>
      <c r="K31" s="10">
        <f t="shared" ref="K31:L31" si="24">E34</f>
        <v>530.3300859</v>
      </c>
      <c r="L31" s="10">
        <f t="shared" si="24"/>
        <v>-530.3300859</v>
      </c>
      <c r="M31" s="1"/>
      <c r="N31" s="1"/>
      <c r="O31" s="10">
        <f t="shared" ref="O31:P31" si="25">C34</f>
        <v>-530.3300859</v>
      </c>
      <c r="P31" s="10">
        <f t="shared" si="25"/>
        <v>530.3300859</v>
      </c>
      <c r="Q31" s="3" t="s">
        <v>24</v>
      </c>
      <c r="R31" s="1"/>
      <c r="S31" s="1"/>
    </row>
    <row r="32" ht="14.25" customHeight="1">
      <c r="A32" s="1"/>
      <c r="B32" s="1"/>
      <c r="C32" s="5">
        <f>J6^2*N6</f>
        <v>530.3300859</v>
      </c>
      <c r="D32" s="5">
        <f>J6*K6*N6</f>
        <v>-530.3300859</v>
      </c>
      <c r="E32" s="5">
        <f t="shared" ref="E32:F32" si="26">-1*C32</f>
        <v>-530.3300859</v>
      </c>
      <c r="F32" s="5">
        <f t="shared" si="26"/>
        <v>530.3300859</v>
      </c>
      <c r="G32" s="4" t="str">
        <f>C31</f>
        <v>U3X</v>
      </c>
      <c r="H32" s="1"/>
      <c r="I32" s="1"/>
      <c r="J32" s="1"/>
      <c r="K32" s="10">
        <f t="shared" ref="K32:L32" si="27">E35</f>
        <v>-530.3300859</v>
      </c>
      <c r="L32" s="10">
        <f t="shared" si="27"/>
        <v>530.3300859</v>
      </c>
      <c r="M32" s="1"/>
      <c r="N32" s="1"/>
      <c r="O32" s="10">
        <f t="shared" ref="O32:P32" si="28">C35</f>
        <v>530.3300859</v>
      </c>
      <c r="P32" s="10">
        <f t="shared" si="28"/>
        <v>-530.3300859</v>
      </c>
      <c r="Q32" s="3" t="s">
        <v>25</v>
      </c>
      <c r="R32" s="1"/>
      <c r="S32" s="1"/>
    </row>
    <row r="33" ht="14.25" customHeight="1">
      <c r="A33" s="4" t="s">
        <v>34</v>
      </c>
      <c r="B33" s="1"/>
      <c r="C33" s="5">
        <f>D32</f>
        <v>-530.3300859</v>
      </c>
      <c r="D33" s="5">
        <f>K6^2*N6</f>
        <v>530.3300859</v>
      </c>
      <c r="E33" s="5">
        <f t="shared" ref="E33:F33" si="29">-1*C33</f>
        <v>530.3300859</v>
      </c>
      <c r="F33" s="5">
        <f t="shared" si="29"/>
        <v>-530.3300859</v>
      </c>
      <c r="G33" s="4" t="str">
        <f>D31</f>
        <v>U3Y</v>
      </c>
      <c r="H33" s="1"/>
      <c r="I33" s="1"/>
      <c r="J33" s="4"/>
      <c r="K33" s="1"/>
      <c r="L33" s="1"/>
      <c r="M33" s="10"/>
      <c r="N33" s="10"/>
      <c r="O33" s="10"/>
      <c r="P33" s="10"/>
      <c r="Q33" s="3" t="s">
        <v>26</v>
      </c>
      <c r="R33" s="1"/>
      <c r="S33" s="1"/>
    </row>
    <row r="34" ht="14.25" customHeight="1">
      <c r="A34" s="1"/>
      <c r="B34" s="1"/>
      <c r="C34" s="5">
        <f t="shared" ref="C34:D34" si="30">E32</f>
        <v>-530.3300859</v>
      </c>
      <c r="D34" s="5">
        <f t="shared" si="30"/>
        <v>530.3300859</v>
      </c>
      <c r="E34" s="5">
        <f t="shared" ref="E34:F34" si="31">C32</f>
        <v>530.3300859</v>
      </c>
      <c r="F34" s="5">
        <f t="shared" si="31"/>
        <v>-530.3300859</v>
      </c>
      <c r="G34" s="4" t="str">
        <f>E31</f>
        <v>U1X</v>
      </c>
      <c r="H34" s="1"/>
      <c r="I34" s="1"/>
      <c r="J34" s="1"/>
      <c r="K34" s="1"/>
      <c r="L34" s="1"/>
      <c r="M34" s="10"/>
      <c r="N34" s="10"/>
      <c r="O34" s="10"/>
      <c r="P34" s="10"/>
      <c r="Q34" s="3" t="s">
        <v>27</v>
      </c>
      <c r="R34" s="1"/>
      <c r="S34" s="1"/>
    </row>
    <row r="35" ht="14.25" customHeight="1">
      <c r="A35" s="1"/>
      <c r="B35" s="1"/>
      <c r="C35" s="5">
        <f t="shared" ref="C35:D35" si="32">E33</f>
        <v>530.3300859</v>
      </c>
      <c r="D35" s="5">
        <f t="shared" si="32"/>
        <v>-530.3300859</v>
      </c>
      <c r="E35" s="5">
        <f t="shared" ref="E35:F35" si="33">C33</f>
        <v>-530.3300859</v>
      </c>
      <c r="F35" s="5">
        <f t="shared" si="33"/>
        <v>530.3300859</v>
      </c>
      <c r="G35" s="4" t="str">
        <f>F31</f>
        <v>U1Y</v>
      </c>
      <c r="H35" s="1"/>
      <c r="I35" s="1"/>
      <c r="J35" s="1"/>
      <c r="K35" s="10">
        <f t="shared" ref="K35:L35" si="34">E32</f>
        <v>-530.3300859</v>
      </c>
      <c r="L35" s="10">
        <f t="shared" si="34"/>
        <v>530.3300859</v>
      </c>
      <c r="M35" s="10"/>
      <c r="N35" s="10"/>
      <c r="O35" s="10">
        <f t="shared" ref="O35:P35" si="35">C32</f>
        <v>530.3300859</v>
      </c>
      <c r="P35" s="10">
        <f t="shared" si="35"/>
        <v>-530.3300859</v>
      </c>
      <c r="Q35" s="3" t="s">
        <v>28</v>
      </c>
      <c r="R35" s="1"/>
      <c r="S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0">
        <f t="shared" ref="K36:L36" si="36">E33</f>
        <v>530.3300859</v>
      </c>
      <c r="L36" s="10">
        <f t="shared" si="36"/>
        <v>-530.3300859</v>
      </c>
      <c r="M36" s="10"/>
      <c r="N36" s="10"/>
      <c r="O36" s="10">
        <f t="shared" ref="O36:P36" si="37">C33</f>
        <v>-530.3300859</v>
      </c>
      <c r="P36" s="10">
        <f t="shared" si="37"/>
        <v>530.3300859</v>
      </c>
      <c r="Q36" s="3" t="s">
        <v>29</v>
      </c>
      <c r="R36" s="1"/>
      <c r="S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ht="14.25" customHeight="1">
      <c r="A41" s="3" t="s">
        <v>35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3" t="s">
        <v>24</v>
      </c>
      <c r="L42" s="3" t="s">
        <v>25</v>
      </c>
      <c r="M42" s="3" t="s">
        <v>26</v>
      </c>
      <c r="N42" s="3" t="s">
        <v>27</v>
      </c>
      <c r="O42" s="3" t="s">
        <v>28</v>
      </c>
      <c r="P42" s="3" t="s">
        <v>29</v>
      </c>
      <c r="Q42" s="1"/>
      <c r="R42" s="1"/>
      <c r="S42" s="1"/>
    </row>
    <row r="43" ht="14.25" customHeight="1">
      <c r="A43" s="1"/>
      <c r="B43" s="1"/>
      <c r="C43" s="3" t="str">
        <f t="shared" ref="C43:F43" si="38">CONCATENATE("U",C14,C11)</f>
        <v>U2X</v>
      </c>
      <c r="D43" s="3" t="str">
        <f t="shared" si="38"/>
        <v>U2Y</v>
      </c>
      <c r="E43" s="3" t="str">
        <f t="shared" si="38"/>
        <v>U1X</v>
      </c>
      <c r="F43" s="3" t="str">
        <f t="shared" si="38"/>
        <v>U1Y</v>
      </c>
      <c r="G43" s="1"/>
      <c r="H43" s="1"/>
      <c r="I43" s="1"/>
      <c r="J43" s="1"/>
      <c r="K43" s="10">
        <f t="shared" ref="K43:L43" si="39">E46</f>
        <v>432</v>
      </c>
      <c r="L43" s="10">
        <f t="shared" si="39"/>
        <v>576</v>
      </c>
      <c r="M43" s="10">
        <f t="shared" ref="M43:N43" si="40">C46</f>
        <v>-432</v>
      </c>
      <c r="N43" s="10">
        <f t="shared" si="40"/>
        <v>-576</v>
      </c>
      <c r="O43" s="1"/>
      <c r="P43" s="1"/>
      <c r="Q43" s="3" t="s">
        <v>24</v>
      </c>
      <c r="R43" s="1"/>
      <c r="S43" s="1"/>
    </row>
    <row r="44" ht="14.25" customHeight="1">
      <c r="A44" s="1"/>
      <c r="B44" s="1"/>
      <c r="C44" s="5">
        <f>J7^2*N7</f>
        <v>432</v>
      </c>
      <c r="D44" s="5">
        <f>J7*K7*N7</f>
        <v>576</v>
      </c>
      <c r="E44" s="5">
        <f t="shared" ref="E44:F44" si="41">-1*C44</f>
        <v>-432</v>
      </c>
      <c r="F44" s="5">
        <f t="shared" si="41"/>
        <v>-576</v>
      </c>
      <c r="G44" s="3" t="str">
        <f>C43</f>
        <v>U2X</v>
      </c>
      <c r="H44" s="1"/>
      <c r="I44" s="1"/>
      <c r="J44" s="1"/>
      <c r="K44" s="10">
        <f t="shared" ref="K44:L44" si="42">E47</f>
        <v>576</v>
      </c>
      <c r="L44" s="10">
        <f t="shared" si="42"/>
        <v>768</v>
      </c>
      <c r="M44" s="10">
        <f t="shared" ref="M44:N44" si="43">C47</f>
        <v>-576</v>
      </c>
      <c r="N44" s="10">
        <f t="shared" si="43"/>
        <v>-768</v>
      </c>
      <c r="O44" s="1"/>
      <c r="P44" s="1"/>
      <c r="Q44" s="3" t="s">
        <v>25</v>
      </c>
      <c r="R44" s="1"/>
      <c r="S44" s="1"/>
    </row>
    <row r="45" ht="14.25" customHeight="1">
      <c r="A45" s="4" t="s">
        <v>38</v>
      </c>
      <c r="B45" s="1"/>
      <c r="C45" s="5">
        <f>D44</f>
        <v>576</v>
      </c>
      <c r="D45" s="5">
        <f>K7^2*N7</f>
        <v>768</v>
      </c>
      <c r="E45" s="5">
        <f t="shared" ref="E45:F45" si="44">-1*C45</f>
        <v>-576</v>
      </c>
      <c r="F45" s="5">
        <f t="shared" si="44"/>
        <v>-768</v>
      </c>
      <c r="G45" s="3" t="str">
        <f>D43</f>
        <v>U2Y</v>
      </c>
      <c r="H45" s="1"/>
      <c r="I45" s="1"/>
      <c r="J45" s="1"/>
      <c r="K45" s="10">
        <f t="shared" ref="K45:L45" si="45">E44</f>
        <v>-432</v>
      </c>
      <c r="L45" s="10">
        <f t="shared" si="45"/>
        <v>-576</v>
      </c>
      <c r="M45" s="10">
        <f t="shared" ref="M45:N45" si="46">C44</f>
        <v>432</v>
      </c>
      <c r="N45" s="10">
        <f t="shared" si="46"/>
        <v>576</v>
      </c>
      <c r="O45" s="10"/>
      <c r="P45" s="10"/>
      <c r="Q45" s="3" t="s">
        <v>26</v>
      </c>
      <c r="R45" s="1"/>
      <c r="S45" s="1"/>
    </row>
    <row r="46" ht="14.25" customHeight="1">
      <c r="A46" s="1"/>
      <c r="B46" s="1"/>
      <c r="C46" s="5">
        <f t="shared" ref="C46:D46" si="47">E44</f>
        <v>-432</v>
      </c>
      <c r="D46" s="5">
        <f t="shared" si="47"/>
        <v>-576</v>
      </c>
      <c r="E46" s="5">
        <f t="shared" ref="E46:F46" si="48">C44</f>
        <v>432</v>
      </c>
      <c r="F46" s="5">
        <f t="shared" si="48"/>
        <v>576</v>
      </c>
      <c r="G46" s="3" t="str">
        <f>E43</f>
        <v>U1X</v>
      </c>
      <c r="H46" s="1"/>
      <c r="I46" s="1"/>
      <c r="J46" s="1"/>
      <c r="K46" s="10">
        <f t="shared" ref="K46:L46" si="49">E45</f>
        <v>-576</v>
      </c>
      <c r="L46" s="10">
        <f t="shared" si="49"/>
        <v>-768</v>
      </c>
      <c r="M46" s="10">
        <f t="shared" ref="M46:N46" si="50">C45</f>
        <v>576</v>
      </c>
      <c r="N46" s="10">
        <f t="shared" si="50"/>
        <v>768</v>
      </c>
      <c r="O46" s="10"/>
      <c r="P46" s="10"/>
      <c r="Q46" s="3" t="s">
        <v>27</v>
      </c>
      <c r="R46" s="1"/>
      <c r="S46" s="1"/>
    </row>
    <row r="47" ht="14.25" customHeight="1">
      <c r="A47" s="1"/>
      <c r="B47" s="1"/>
      <c r="C47" s="5">
        <f t="shared" ref="C47:D47" si="51">E45</f>
        <v>-576</v>
      </c>
      <c r="D47" s="5">
        <f t="shared" si="51"/>
        <v>-768</v>
      </c>
      <c r="E47" s="5">
        <f t="shared" ref="E47:F47" si="52">C45</f>
        <v>576</v>
      </c>
      <c r="F47" s="5">
        <f t="shared" si="52"/>
        <v>768</v>
      </c>
      <c r="G47" s="3" t="str">
        <f>F43</f>
        <v>U1Y</v>
      </c>
      <c r="H47" s="1"/>
      <c r="I47" s="1"/>
      <c r="J47" s="1"/>
      <c r="K47" s="1"/>
      <c r="L47" s="1"/>
      <c r="M47" s="10"/>
      <c r="N47" s="10"/>
      <c r="O47" s="10"/>
      <c r="P47" s="10"/>
      <c r="Q47" s="3" t="s">
        <v>28</v>
      </c>
      <c r="R47" s="1"/>
      <c r="S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0"/>
      <c r="N48" s="10"/>
      <c r="O48" s="10"/>
      <c r="P48" s="10"/>
      <c r="Q48" s="3" t="s">
        <v>29</v>
      </c>
      <c r="R48" s="1"/>
      <c r="S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ht="14.25" customHeight="1">
      <c r="A54" s="3" t="s">
        <v>40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ht="14.25" customHeight="1">
      <c r="A57" s="1"/>
      <c r="B57" s="1"/>
      <c r="C57" s="1"/>
      <c r="D57" s="1"/>
      <c r="E57" s="3" t="s">
        <v>24</v>
      </c>
      <c r="F57" s="3" t="s">
        <v>25</v>
      </c>
      <c r="G57" s="3" t="s">
        <v>26</v>
      </c>
      <c r="H57" s="3" t="s">
        <v>27</v>
      </c>
      <c r="I57" s="3" t="s">
        <v>28</v>
      </c>
      <c r="J57" s="3" t="s">
        <v>29</v>
      </c>
      <c r="K57" s="1"/>
      <c r="L57" s="1"/>
      <c r="M57" s="1"/>
      <c r="N57" s="1"/>
      <c r="O57" s="1"/>
      <c r="P57" s="1"/>
      <c r="Q57" s="1"/>
      <c r="R57" s="1"/>
      <c r="S57" s="1"/>
    </row>
    <row r="58" ht="14.25" customHeight="1">
      <c r="A58" s="1"/>
      <c r="B58" s="1"/>
      <c r="C58" s="1"/>
      <c r="D58" s="1"/>
      <c r="E58" s="10">
        <f t="shared" ref="E58:J58" si="53">K19+K31+K43</f>
        <v>962.3300859</v>
      </c>
      <c r="F58" s="10">
        <f t="shared" si="53"/>
        <v>45.66991411</v>
      </c>
      <c r="G58" s="10">
        <f t="shared" si="53"/>
        <v>-432</v>
      </c>
      <c r="H58" s="10">
        <f t="shared" si="53"/>
        <v>-576</v>
      </c>
      <c r="I58" s="10">
        <f t="shared" si="53"/>
        <v>-530.3300859</v>
      </c>
      <c r="J58" s="10">
        <f t="shared" si="53"/>
        <v>530.3300859</v>
      </c>
      <c r="K58" s="3" t="s">
        <v>24</v>
      </c>
      <c r="L58" s="1"/>
      <c r="M58" s="1"/>
      <c r="N58" s="1"/>
      <c r="O58" s="1"/>
      <c r="P58" s="1"/>
      <c r="Q58" s="1"/>
      <c r="R58" s="1"/>
      <c r="S58" s="1"/>
    </row>
    <row r="59" ht="14.25" customHeight="1">
      <c r="A59" s="1"/>
      <c r="B59" s="1"/>
      <c r="C59" s="1"/>
      <c r="D59" s="1"/>
      <c r="E59" s="10">
        <f t="shared" ref="E59:J59" si="54">K20+K32+K44</f>
        <v>45.66991411</v>
      </c>
      <c r="F59" s="10">
        <f t="shared" si="54"/>
        <v>1298.330086</v>
      </c>
      <c r="G59" s="10">
        <f t="shared" si="54"/>
        <v>-576</v>
      </c>
      <c r="H59" s="10">
        <f t="shared" si="54"/>
        <v>-768</v>
      </c>
      <c r="I59" s="10">
        <f t="shared" si="54"/>
        <v>530.3300859</v>
      </c>
      <c r="J59" s="10">
        <f t="shared" si="54"/>
        <v>-530.3300859</v>
      </c>
      <c r="K59" s="3" t="s">
        <v>25</v>
      </c>
      <c r="L59" s="1"/>
      <c r="M59" s="1"/>
      <c r="N59" s="1"/>
      <c r="O59" s="1"/>
      <c r="P59" s="1"/>
      <c r="Q59" s="1"/>
      <c r="R59" s="1"/>
      <c r="S59" s="1"/>
    </row>
    <row r="60" ht="14.25" customHeight="1">
      <c r="A60" s="1"/>
      <c r="B60" s="1"/>
      <c r="C60" s="1"/>
      <c r="D60" s="4" t="s">
        <v>43</v>
      </c>
      <c r="E60" s="10">
        <f t="shared" ref="E60:J60" si="55">K21+K33+K45</f>
        <v>-432</v>
      </c>
      <c r="F60" s="10">
        <f t="shared" si="55"/>
        <v>-576</v>
      </c>
      <c r="G60" s="10">
        <f t="shared" si="55"/>
        <v>1289.142857</v>
      </c>
      <c r="H60" s="10">
        <f t="shared" si="55"/>
        <v>576</v>
      </c>
      <c r="I60" s="10">
        <f t="shared" si="55"/>
        <v>-857.1428571</v>
      </c>
      <c r="J60" s="10">
        <f t="shared" si="55"/>
        <v>0</v>
      </c>
      <c r="K60" s="3" t="s">
        <v>26</v>
      </c>
      <c r="L60" s="1"/>
      <c r="M60" s="1"/>
      <c r="N60" s="1"/>
      <c r="O60" s="1"/>
      <c r="P60" s="1"/>
      <c r="Q60" s="1"/>
      <c r="R60" s="1"/>
      <c r="S60" s="1"/>
    </row>
    <row r="61" ht="14.25" customHeight="1">
      <c r="A61" s="1"/>
      <c r="B61" s="1"/>
      <c r="C61" s="1"/>
      <c r="D61" s="1"/>
      <c r="E61" s="10">
        <f t="shared" ref="E61:J61" si="56">K22+K34+K46</f>
        <v>-576</v>
      </c>
      <c r="F61" s="10">
        <f t="shared" si="56"/>
        <v>-768</v>
      </c>
      <c r="G61" s="10">
        <f t="shared" si="56"/>
        <v>576</v>
      </c>
      <c r="H61" s="10">
        <f t="shared" si="56"/>
        <v>768</v>
      </c>
      <c r="I61" s="10">
        <f t="shared" si="56"/>
        <v>0</v>
      </c>
      <c r="J61" s="10">
        <f t="shared" si="56"/>
        <v>0</v>
      </c>
      <c r="K61" s="3" t="s">
        <v>27</v>
      </c>
      <c r="L61" s="1"/>
      <c r="M61" s="1"/>
      <c r="N61" s="1"/>
      <c r="O61" s="1"/>
      <c r="P61" s="1"/>
      <c r="Q61" s="1"/>
      <c r="R61" s="1"/>
      <c r="S61" s="1"/>
    </row>
    <row r="62" ht="14.25" customHeight="1">
      <c r="A62" s="1"/>
      <c r="B62" s="1"/>
      <c r="C62" s="1"/>
      <c r="D62" s="1"/>
      <c r="E62" s="10">
        <f t="shared" ref="E62:J62" si="57">K23+K35+K47</f>
        <v>-530.3300859</v>
      </c>
      <c r="F62" s="10">
        <f t="shared" si="57"/>
        <v>530.3300859</v>
      </c>
      <c r="G62" s="10">
        <f t="shared" si="57"/>
        <v>-857.1428571</v>
      </c>
      <c r="H62" s="10">
        <f t="shared" si="57"/>
        <v>0</v>
      </c>
      <c r="I62" s="10">
        <f t="shared" si="57"/>
        <v>1387.472943</v>
      </c>
      <c r="J62" s="10">
        <f t="shared" si="57"/>
        <v>-530.3300859</v>
      </c>
      <c r="K62" s="3" t="s">
        <v>28</v>
      </c>
      <c r="L62" s="1"/>
      <c r="M62" s="1"/>
      <c r="N62" s="1"/>
      <c r="O62" s="1"/>
      <c r="P62" s="1"/>
      <c r="Q62" s="1"/>
      <c r="R62" s="1"/>
      <c r="S62" s="1"/>
    </row>
    <row r="63" ht="14.25" customHeight="1">
      <c r="A63" s="1"/>
      <c r="B63" s="1"/>
      <c r="C63" s="1"/>
      <c r="D63" s="1"/>
      <c r="E63" s="10">
        <f t="shared" ref="E63:J63" si="58">K24+K36+K48</f>
        <v>530.3300859</v>
      </c>
      <c r="F63" s="10">
        <f t="shared" si="58"/>
        <v>-530.3300859</v>
      </c>
      <c r="G63" s="10">
        <f t="shared" si="58"/>
        <v>0</v>
      </c>
      <c r="H63" s="10">
        <f t="shared" si="58"/>
        <v>0</v>
      </c>
      <c r="I63" s="10">
        <f t="shared" si="58"/>
        <v>-530.3300859</v>
      </c>
      <c r="J63" s="10">
        <f t="shared" si="58"/>
        <v>530.3300859</v>
      </c>
      <c r="K63" s="3" t="s">
        <v>29</v>
      </c>
      <c r="L63" s="1"/>
      <c r="M63" s="1"/>
      <c r="N63" s="1"/>
      <c r="O63" s="1"/>
      <c r="P63" s="1"/>
      <c r="Q63" s="1"/>
      <c r="R63" s="1"/>
      <c r="S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ht="14.25" customHeight="1">
      <c r="A67" s="3" t="s">
        <v>44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ht="14.25" customHeight="1">
      <c r="A69" s="1"/>
      <c r="B69" s="1"/>
      <c r="C69" s="1" t="s">
        <v>45</v>
      </c>
      <c r="D69" s="1"/>
      <c r="E69" s="8">
        <v>5000.0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4.25" customHeight="1">
      <c r="A70" s="1"/>
      <c r="B70" s="1"/>
      <c r="C70" s="1" t="s">
        <v>46</v>
      </c>
      <c r="D70" s="1"/>
      <c r="E70" s="8">
        <v>-4000.0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ht="14.25" customHeight="1">
      <c r="A71" s="1"/>
      <c r="B71" s="1"/>
      <c r="C71" s="1" t="s">
        <v>47</v>
      </c>
      <c r="D71" s="4"/>
      <c r="E71" s="8" t="s">
        <v>47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ht="14.25" customHeight="1">
      <c r="A72" s="1"/>
      <c r="B72" s="1" t="s">
        <v>48</v>
      </c>
      <c r="C72" s="1" t="s">
        <v>49</v>
      </c>
      <c r="D72" s="3" t="s">
        <v>50</v>
      </c>
      <c r="E72" s="8" t="s">
        <v>49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ht="14.25" customHeight="1">
      <c r="A73" s="1"/>
      <c r="B73" s="1"/>
      <c r="C73" s="1" t="s">
        <v>51</v>
      </c>
      <c r="D73" s="4"/>
      <c r="E73" s="8">
        <v>0.0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ht="14.25" customHeight="1">
      <c r="A74" s="1"/>
      <c r="B74" s="1"/>
      <c r="C74" s="1" t="s">
        <v>52</v>
      </c>
      <c r="D74" s="4"/>
      <c r="E74" s="8" t="s">
        <v>52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ht="14.25" customHeight="1">
      <c r="A75" s="1"/>
      <c r="B75" s="1"/>
      <c r="C75" s="1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4.25" customHeight="1">
      <c r="A76" s="1"/>
      <c r="B76" s="1"/>
      <c r="C76" s="1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ht="14.25" customHeight="1">
      <c r="A77" s="1"/>
      <c r="B77" s="1"/>
      <c r="C77" s="1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ht="14.25" customHeight="1">
      <c r="A78" s="3" t="s">
        <v>55</v>
      </c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ht="14.25" customHeight="1">
      <c r="A79" s="1"/>
      <c r="B79" s="1"/>
      <c r="C79" s="1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ht="14.25" customHeight="1">
      <c r="A80" s="1"/>
      <c r="B80" s="1"/>
      <c r="C80" s="1" t="s">
        <v>56</v>
      </c>
      <c r="D80" s="4"/>
      <c r="E80" s="8" t="s">
        <v>56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ht="14.25" customHeight="1">
      <c r="A81" s="1"/>
      <c r="B81" s="1"/>
      <c r="C81" s="1" t="s">
        <v>57</v>
      </c>
      <c r="D81" s="4"/>
      <c r="E81" s="8" t="s">
        <v>57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ht="14.25" customHeight="1">
      <c r="A82" s="1"/>
      <c r="B82" s="1"/>
      <c r="C82" s="1" t="s">
        <v>58</v>
      </c>
      <c r="D82" s="4"/>
      <c r="E82" s="8">
        <v>0.0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ht="14.25" customHeight="1">
      <c r="A83" s="1"/>
      <c r="B83" s="1" t="s">
        <v>59</v>
      </c>
      <c r="C83" s="1" t="s">
        <v>60</v>
      </c>
      <c r="D83" s="3" t="s">
        <v>50</v>
      </c>
      <c r="E83" s="8">
        <v>0.0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ht="14.25" customHeight="1">
      <c r="A84" s="1"/>
      <c r="B84" s="1"/>
      <c r="C84" s="1" t="s">
        <v>61</v>
      </c>
      <c r="D84" s="1"/>
      <c r="E84" s="8" t="s">
        <v>61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ht="14.25" customHeight="1">
      <c r="A85" s="1"/>
      <c r="B85" s="1"/>
      <c r="C85" s="1" t="s">
        <v>62</v>
      </c>
      <c r="D85" s="1"/>
      <c r="E85" s="8">
        <v>0.0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ht="14.25" customHeight="1">
      <c r="A88" s="3" t="s">
        <v>63</v>
      </c>
      <c r="D88" s="1"/>
      <c r="E88" s="1"/>
      <c r="F88" s="1"/>
      <c r="G88" s="12" t="s">
        <v>64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ht="14.25" customHeight="1">
      <c r="A89" s="1"/>
      <c r="B89" s="1"/>
      <c r="C89" s="1"/>
      <c r="D89" s="1"/>
      <c r="E89" s="1"/>
      <c r="F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ht="14.25" customHeight="1">
      <c r="A91" s="1"/>
      <c r="B91" s="1"/>
      <c r="C91" s="8">
        <f t="shared" ref="C91:C96" si="60">E69</f>
        <v>5000</v>
      </c>
      <c r="D91" s="1"/>
      <c r="E91" s="10">
        <f t="shared" ref="E91:J91" si="59">E58</f>
        <v>962.3300859</v>
      </c>
      <c r="F91" s="10">
        <f t="shared" si="59"/>
        <v>45.66991411</v>
      </c>
      <c r="G91" s="10">
        <f t="shared" si="59"/>
        <v>-432</v>
      </c>
      <c r="H91" s="10">
        <f t="shared" si="59"/>
        <v>-576</v>
      </c>
      <c r="I91" s="10">
        <f t="shared" si="59"/>
        <v>-530.3300859</v>
      </c>
      <c r="J91" s="10">
        <f t="shared" si="59"/>
        <v>530.3300859</v>
      </c>
      <c r="K91" s="1"/>
      <c r="L91" s="13" t="str">
        <f t="shared" ref="L91:L96" si="62">E80</f>
        <v>D1X</v>
      </c>
      <c r="M91" s="1"/>
      <c r="N91" s="1"/>
      <c r="O91" s="1"/>
      <c r="P91" s="1"/>
      <c r="Q91" s="1"/>
      <c r="R91" s="1"/>
      <c r="S91" s="1"/>
    </row>
    <row r="92" ht="14.25" customHeight="1">
      <c r="A92" s="1"/>
      <c r="B92" s="1"/>
      <c r="C92" s="8">
        <f t="shared" si="60"/>
        <v>-4000</v>
      </c>
      <c r="D92" s="1"/>
      <c r="E92" s="10">
        <f t="shared" ref="E92:J92" si="61">E59</f>
        <v>45.66991411</v>
      </c>
      <c r="F92" s="10">
        <f t="shared" si="61"/>
        <v>1298.330086</v>
      </c>
      <c r="G92" s="10">
        <f t="shared" si="61"/>
        <v>-576</v>
      </c>
      <c r="H92" s="10">
        <f t="shared" si="61"/>
        <v>-768</v>
      </c>
      <c r="I92" s="10">
        <f t="shared" si="61"/>
        <v>530.3300859</v>
      </c>
      <c r="J92" s="10">
        <f t="shared" si="61"/>
        <v>-530.3300859</v>
      </c>
      <c r="K92" s="1"/>
      <c r="L92" s="13" t="str">
        <f t="shared" si="62"/>
        <v>D1Y</v>
      </c>
      <c r="M92" s="1"/>
      <c r="N92" s="1"/>
      <c r="O92" s="1"/>
      <c r="P92" s="1"/>
      <c r="Q92" s="1"/>
      <c r="R92" s="1"/>
      <c r="S92" s="1"/>
    </row>
    <row r="93" ht="14.25" customHeight="1">
      <c r="A93" s="1"/>
      <c r="B93" s="1"/>
      <c r="C93" s="8" t="str">
        <f t="shared" si="60"/>
        <v>C2X</v>
      </c>
      <c r="D93" s="1"/>
      <c r="E93" s="10">
        <f t="shared" ref="E93:J93" si="63">E60</f>
        <v>-432</v>
      </c>
      <c r="F93" s="10">
        <f t="shared" si="63"/>
        <v>-576</v>
      </c>
      <c r="G93" s="10">
        <f t="shared" si="63"/>
        <v>1289.142857</v>
      </c>
      <c r="H93" s="10">
        <f t="shared" si="63"/>
        <v>576</v>
      </c>
      <c r="I93" s="10">
        <f t="shared" si="63"/>
        <v>-857.1428571</v>
      </c>
      <c r="J93" s="10">
        <f t="shared" si="63"/>
        <v>0</v>
      </c>
      <c r="K93" s="1"/>
      <c r="L93" s="13">
        <f t="shared" si="62"/>
        <v>0</v>
      </c>
      <c r="M93" s="1"/>
      <c r="N93" s="12" t="s">
        <v>65</v>
      </c>
      <c r="P93" s="1"/>
      <c r="Q93" s="1"/>
      <c r="R93" s="1"/>
      <c r="S93" s="1"/>
    </row>
    <row r="94" ht="14.25" customHeight="1">
      <c r="A94" s="1"/>
      <c r="B94" s="1"/>
      <c r="C94" s="8" t="str">
        <f t="shared" si="60"/>
        <v>C2Y</v>
      </c>
      <c r="D94" s="8" t="s">
        <v>50</v>
      </c>
      <c r="E94" s="10">
        <f t="shared" ref="E94:J94" si="64">E61</f>
        <v>-576</v>
      </c>
      <c r="F94" s="10">
        <f t="shared" si="64"/>
        <v>-768</v>
      </c>
      <c r="G94" s="10">
        <f t="shared" si="64"/>
        <v>576</v>
      </c>
      <c r="H94" s="10">
        <f t="shared" si="64"/>
        <v>768</v>
      </c>
      <c r="I94" s="10">
        <f t="shared" si="64"/>
        <v>0</v>
      </c>
      <c r="J94" s="10">
        <f t="shared" si="64"/>
        <v>0</v>
      </c>
      <c r="K94" s="1"/>
      <c r="L94" s="13">
        <f t="shared" si="62"/>
        <v>0</v>
      </c>
      <c r="M94" s="1"/>
      <c r="P94" s="1"/>
      <c r="Q94" s="1"/>
      <c r="R94" s="1"/>
      <c r="S94" s="1"/>
    </row>
    <row r="95" ht="14.25" customHeight="1">
      <c r="A95" s="1"/>
      <c r="B95" s="1"/>
      <c r="C95" s="8">
        <f t="shared" si="60"/>
        <v>0</v>
      </c>
      <c r="D95" s="1"/>
      <c r="E95" s="10">
        <f t="shared" ref="E95:J95" si="65">E62</f>
        <v>-530.3300859</v>
      </c>
      <c r="F95" s="10">
        <f t="shared" si="65"/>
        <v>530.3300859</v>
      </c>
      <c r="G95" s="10">
        <f t="shared" si="65"/>
        <v>-857.1428571</v>
      </c>
      <c r="H95" s="10">
        <f t="shared" si="65"/>
        <v>0</v>
      </c>
      <c r="I95" s="10">
        <f t="shared" si="65"/>
        <v>1387.472943</v>
      </c>
      <c r="J95" s="10">
        <f t="shared" si="65"/>
        <v>-530.3300859</v>
      </c>
      <c r="K95" s="1"/>
      <c r="L95" s="13" t="str">
        <f t="shared" si="62"/>
        <v>D3X</v>
      </c>
      <c r="M95" s="1"/>
      <c r="N95" s="1"/>
      <c r="O95" s="1"/>
      <c r="P95" s="1"/>
      <c r="Q95" s="1"/>
      <c r="R95" s="1"/>
      <c r="S95" s="1"/>
    </row>
    <row r="96" ht="14.25" customHeight="1">
      <c r="A96" s="1"/>
      <c r="B96" s="1"/>
      <c r="C96" s="8" t="str">
        <f t="shared" si="60"/>
        <v>C3Y</v>
      </c>
      <c r="D96" s="1"/>
      <c r="E96" s="10">
        <f t="shared" ref="E96:J96" si="66">E63</f>
        <v>530.3300859</v>
      </c>
      <c r="F96" s="10">
        <f t="shared" si="66"/>
        <v>-530.3300859</v>
      </c>
      <c r="G96" s="10">
        <f t="shared" si="66"/>
        <v>0</v>
      </c>
      <c r="H96" s="10">
        <f t="shared" si="66"/>
        <v>0</v>
      </c>
      <c r="I96" s="10">
        <f t="shared" si="66"/>
        <v>-530.3300859</v>
      </c>
      <c r="J96" s="10">
        <f t="shared" si="66"/>
        <v>530.3300859</v>
      </c>
      <c r="K96" s="1"/>
      <c r="L96" s="13">
        <f t="shared" si="62"/>
        <v>0</v>
      </c>
      <c r="M96" s="1"/>
      <c r="N96" s="1"/>
      <c r="O96" s="1"/>
      <c r="P96" s="1"/>
      <c r="Q96" s="1"/>
      <c r="R96" s="1"/>
      <c r="S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ht="14.25" customHeight="1">
      <c r="A100" s="4" t="s">
        <v>66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ht="14.25" customHeight="1">
      <c r="A104" s="1"/>
      <c r="B104" s="1"/>
      <c r="C104" s="8">
        <v>5000.0</v>
      </c>
      <c r="D104" s="1"/>
      <c r="E104" s="10">
        <f t="shared" ref="E104:F104" si="67">E91</f>
        <v>962.3300859</v>
      </c>
      <c r="F104" s="10">
        <f t="shared" si="67"/>
        <v>45.66991411</v>
      </c>
      <c r="G104" s="10">
        <f t="shared" ref="G104:G105" si="69">I91</f>
        <v>-530.3300859</v>
      </c>
      <c r="H104" s="1"/>
      <c r="I104" s="13" t="str">
        <f t="shared" ref="I104:I105" si="70">L91</f>
        <v>D1X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ht="14.25" customHeight="1">
      <c r="A105" s="1"/>
      <c r="B105" s="1"/>
      <c r="C105" s="8">
        <v>-4000.0</v>
      </c>
      <c r="D105" s="3" t="s">
        <v>50</v>
      </c>
      <c r="E105" s="10">
        <f t="shared" ref="E105:F105" si="68">E92</f>
        <v>45.66991411</v>
      </c>
      <c r="F105" s="10">
        <f t="shared" si="68"/>
        <v>1298.330086</v>
      </c>
      <c r="G105" s="10">
        <f t="shared" si="69"/>
        <v>530.3300859</v>
      </c>
      <c r="H105" s="8" t="s">
        <v>17</v>
      </c>
      <c r="I105" s="13" t="str">
        <f t="shared" si="70"/>
        <v>D1Y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ht="14.25" customHeight="1">
      <c r="A106" s="1"/>
      <c r="B106" s="1"/>
      <c r="C106" s="8">
        <v>0.0</v>
      </c>
      <c r="D106" s="3"/>
      <c r="E106" s="10">
        <f t="shared" ref="E106:F106" si="71">E95</f>
        <v>-530.3300859</v>
      </c>
      <c r="F106" s="10">
        <f t="shared" si="71"/>
        <v>530.3300859</v>
      </c>
      <c r="G106" s="10">
        <f>I95</f>
        <v>1387.472943</v>
      </c>
      <c r="H106" s="8"/>
      <c r="I106" s="13" t="str">
        <f>L95</f>
        <v>D3X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ht="14.25" customHeight="1">
      <c r="A107" s="1"/>
      <c r="B107" s="1"/>
      <c r="C107" s="8"/>
      <c r="D107" s="3"/>
      <c r="E107" s="1"/>
      <c r="F107" s="1"/>
      <c r="G107" s="1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ht="14.25" customHeight="1">
      <c r="A108" s="1"/>
      <c r="B108" s="1"/>
      <c r="C108" s="8"/>
      <c r="D108" s="3"/>
      <c r="E108" s="1"/>
      <c r="F108" s="1"/>
      <c r="G108" s="1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ht="14.25" customHeight="1">
      <c r="A109" s="1"/>
      <c r="B109" s="1"/>
      <c r="C109" s="13" t="str">
        <f t="shared" ref="C109:C111" si="72">I104</f>
        <v>D1X</v>
      </c>
      <c r="D109" s="3"/>
      <c r="E109" s="1">
        <f t="array" ref="E109:G111">MINVERSE(E104:G106)</f>
        <v>0.001421834476</v>
      </c>
      <c r="F109" s="1">
        <v>-3.2232823805379985E-4</v>
      </c>
      <c r="G109" s="1">
        <v>6.666666666666668E-4</v>
      </c>
      <c r="H109" s="8"/>
      <c r="I109" s="8">
        <f t="shared" ref="I109:I111" si="73">C104</f>
        <v>5000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ht="14.25" customHeight="1">
      <c r="A110" s="1"/>
      <c r="B110" s="1"/>
      <c r="C110" s="13" t="str">
        <f t="shared" si="72"/>
        <v>D1Y</v>
      </c>
      <c r="D110" s="3" t="s">
        <v>50</v>
      </c>
      <c r="E110" s="1">
        <v>-3.223282380537999E-4</v>
      </c>
      <c r="F110" s="1">
        <v>9.85793797587969E-4</v>
      </c>
      <c r="G110" s="1">
        <v>-5.0E-4</v>
      </c>
      <c r="H110" s="8" t="s">
        <v>17</v>
      </c>
      <c r="I110" s="8">
        <f t="shared" si="73"/>
        <v>-4000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ht="14.25" customHeight="1">
      <c r="A111" s="1"/>
      <c r="B111" s="1"/>
      <c r="C111" s="13" t="str">
        <f t="shared" si="72"/>
        <v>D3X</v>
      </c>
      <c r="D111" s="3"/>
      <c r="E111" s="1">
        <v>6.666666666666668E-4</v>
      </c>
      <c r="F111" s="1">
        <v>-5.0E-4</v>
      </c>
      <c r="G111" s="1">
        <v>0.0011666666666666668</v>
      </c>
      <c r="H111" s="1"/>
      <c r="I111" s="8">
        <f t="shared" si="73"/>
        <v>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ht="14.25" customHeight="1">
      <c r="A112" s="1"/>
      <c r="B112" s="1"/>
      <c r="C112" s="8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ht="14.25" customHeight="1">
      <c r="A113" s="1"/>
      <c r="B113" s="1"/>
      <c r="C113" s="8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ht="14.25" customHeight="1">
      <c r="A114" s="1"/>
      <c r="B114" s="1"/>
      <c r="C114" s="13" t="str">
        <f t="shared" ref="C114:C116" si="74">C109</f>
        <v>D1X</v>
      </c>
      <c r="D114" s="3"/>
      <c r="E114" s="14">
        <f t="array" ref="E114:E116">MMULT(E109:G111,I109:I111)</f>
        <v>8.398485333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ht="14.25" customHeight="1">
      <c r="A115" s="1"/>
      <c r="B115" s="1"/>
      <c r="C115" s="13" t="str">
        <f t="shared" si="74"/>
        <v>D1Y</v>
      </c>
      <c r="D115" s="3" t="str">
        <f>D110</f>
        <v>=</v>
      </c>
      <c r="E115" s="14">
        <v>-5.554816380620875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ht="14.25" customHeight="1">
      <c r="A116" s="1"/>
      <c r="B116" s="1"/>
      <c r="C116" s="13" t="str">
        <f t="shared" si="74"/>
        <v>D3X</v>
      </c>
      <c r="D116" s="1"/>
      <c r="E116" s="14">
        <v>5.333333333333334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ht="14.25" customHeight="1">
      <c r="A120" s="4" t="s">
        <v>66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ht="14.25" customHeight="1">
      <c r="A130" s="1"/>
      <c r="B130" s="1"/>
      <c r="C130" s="8" t="str">
        <f t="shared" ref="C130:C131" si="76">C93</f>
        <v>C2X</v>
      </c>
      <c r="D130" s="4"/>
      <c r="E130" s="10">
        <f t="shared" ref="E130:F130" si="75">E93</f>
        <v>-432</v>
      </c>
      <c r="F130" s="10">
        <f t="shared" si="75"/>
        <v>-576</v>
      </c>
      <c r="G130" s="10">
        <f t="shared" ref="G130:G131" si="78">I93</f>
        <v>-857.1428571</v>
      </c>
      <c r="H130" s="1"/>
      <c r="I130" s="15">
        <f t="shared" ref="I130:I132" si="79">E114</f>
        <v>8.398485333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ht="14.25" customHeight="1">
      <c r="A131" s="1"/>
      <c r="B131" s="1"/>
      <c r="C131" s="8" t="str">
        <f t="shared" si="76"/>
        <v>C2Y</v>
      </c>
      <c r="D131" s="3" t="s">
        <v>50</v>
      </c>
      <c r="E131" s="10">
        <f t="shared" ref="E131:F131" si="77">E94</f>
        <v>-576</v>
      </c>
      <c r="F131" s="10">
        <f t="shared" si="77"/>
        <v>-768</v>
      </c>
      <c r="G131" s="10">
        <f t="shared" si="78"/>
        <v>0</v>
      </c>
      <c r="H131" s="8" t="s">
        <v>17</v>
      </c>
      <c r="I131" s="15">
        <f t="shared" si="79"/>
        <v>-5.554816381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ht="14.25" customHeight="1">
      <c r="A132" s="1"/>
      <c r="B132" s="1"/>
      <c r="C132" s="8" t="str">
        <f>C96</f>
        <v>C3Y</v>
      </c>
      <c r="D132" s="4"/>
      <c r="E132" s="10">
        <f t="shared" ref="E132:F132" si="80">E96</f>
        <v>530.3300859</v>
      </c>
      <c r="F132" s="10">
        <f t="shared" si="80"/>
        <v>-530.3300859</v>
      </c>
      <c r="G132" s="10">
        <f>I96</f>
        <v>-530.3300859</v>
      </c>
      <c r="H132" s="1"/>
      <c r="I132" s="15">
        <f t="shared" si="79"/>
        <v>5.333333333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ht="14.25" customHeight="1">
      <c r="A133" s="1"/>
      <c r="B133" s="1"/>
      <c r="C133" s="1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ht="14.25" customHeight="1">
      <c r="A134" s="1"/>
      <c r="B134" s="1"/>
      <c r="C134" s="1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ht="14.25" customHeight="1">
      <c r="A135" s="1"/>
      <c r="B135" s="1"/>
      <c r="C135" s="8" t="str">
        <f t="shared" ref="C135:C137" si="81">C130</f>
        <v>C2X</v>
      </c>
      <c r="D135" s="4"/>
      <c r="E135" s="10">
        <f t="array" ref="E135:E137">MMULT(E130:G132,I130:I132)</f>
        <v>-5000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ht="14.25" customHeight="1">
      <c r="A136" s="1"/>
      <c r="B136" s="1"/>
      <c r="C136" s="8" t="str">
        <f t="shared" si="81"/>
        <v>C2Y</v>
      </c>
      <c r="D136" s="3" t="str">
        <f>D131</f>
        <v>=</v>
      </c>
      <c r="E136" s="10">
        <v>-571.4285714285716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ht="14.25" customHeight="1">
      <c r="A137" s="1"/>
      <c r="B137" s="1"/>
      <c r="C137" s="8" t="str">
        <f t="shared" si="81"/>
        <v>C3Y</v>
      </c>
      <c r="D137" s="1"/>
      <c r="E137" s="10">
        <v>4571.428571428571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ht="14.25" customHeight="1">
      <c r="A140" s="4" t="s">
        <v>67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ht="14.25" customHeight="1">
      <c r="A143" s="1"/>
      <c r="B143" s="1"/>
      <c r="C143" s="15">
        <f t="shared" ref="C143:C144" si="82">E114</f>
        <v>8.398485333</v>
      </c>
      <c r="D143" s="8" t="s">
        <v>24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ht="14.25" customHeight="1">
      <c r="A144" s="1"/>
      <c r="B144" s="1"/>
      <c r="C144" s="15">
        <f t="shared" si="82"/>
        <v>-5.554816381</v>
      </c>
      <c r="D144" s="8" t="s">
        <v>25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ht="14.25" customHeight="1">
      <c r="A145" s="1"/>
      <c r="B145" s="1" t="s">
        <v>59</v>
      </c>
      <c r="C145" s="15">
        <v>0.0</v>
      </c>
      <c r="D145" s="8" t="s">
        <v>26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ht="14.25" customHeight="1">
      <c r="A146" s="1"/>
      <c r="B146" s="1"/>
      <c r="C146" s="8">
        <v>0.0</v>
      </c>
      <c r="D146" s="8" t="s">
        <v>27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ht="14.25" customHeight="1">
      <c r="A147" s="1"/>
      <c r="B147" s="1"/>
      <c r="C147" s="15">
        <f>E116</f>
        <v>5.333333333</v>
      </c>
      <c r="D147" s="8" t="s">
        <v>28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ht="14.25" customHeight="1">
      <c r="A148" s="1"/>
      <c r="B148" s="1"/>
      <c r="C148" s="8">
        <v>0.0</v>
      </c>
      <c r="D148" s="8" t="s">
        <v>29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ht="14.25" customHeight="1">
      <c r="A151" s="4" t="s">
        <v>69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5">
        <f>C147</f>
        <v>5.333333333</v>
      </c>
      <c r="M156" s="8" t="s">
        <v>61</v>
      </c>
      <c r="N156" s="1"/>
      <c r="O156" s="1"/>
      <c r="P156" s="1"/>
      <c r="Q156" s="1"/>
      <c r="R156" s="1"/>
      <c r="S156" s="1"/>
    </row>
    <row r="157" ht="14.25" customHeight="1">
      <c r="A157" s="1"/>
      <c r="B157" s="1"/>
      <c r="C157" s="1"/>
      <c r="D157" s="1"/>
      <c r="E157" s="1"/>
      <c r="F157" s="3" t="str">
        <f>"-CX"</f>
        <v>-CX</v>
      </c>
      <c r="G157" s="3" t="str">
        <f>"-CY"</f>
        <v>-CY</v>
      </c>
      <c r="H157" s="3" t="str">
        <f t="shared" ref="H157:I157" si="83">"CX"</f>
        <v>CX</v>
      </c>
      <c r="I157" s="3" t="str">
        <f t="shared" si="83"/>
        <v>CX</v>
      </c>
      <c r="J157" s="1"/>
      <c r="K157" s="1"/>
      <c r="L157" s="8">
        <v>0.0</v>
      </c>
      <c r="M157" s="8" t="s">
        <v>62</v>
      </c>
      <c r="N157" s="1"/>
      <c r="O157" s="1"/>
      <c r="P157" s="1"/>
      <c r="Q157" s="1"/>
      <c r="R157" s="1"/>
      <c r="S157" s="1"/>
    </row>
    <row r="158" ht="14.25" customHeight="1">
      <c r="A158" s="1"/>
      <c r="B158" s="4" t="s">
        <v>70</v>
      </c>
      <c r="C158" s="4"/>
      <c r="D158" s="4">
        <f>N5</f>
        <v>857.1428571</v>
      </c>
      <c r="E158" s="1"/>
      <c r="F158" s="10">
        <f t="shared" ref="F158:G158" si="84">J5*-1</f>
        <v>1</v>
      </c>
      <c r="G158" s="10">
        <f t="shared" si="84"/>
        <v>0</v>
      </c>
      <c r="H158" s="10">
        <f t="shared" ref="H158:I158" si="85">F158*-1</f>
        <v>-1</v>
      </c>
      <c r="I158" s="10">
        <f t="shared" si="85"/>
        <v>0</v>
      </c>
      <c r="J158" s="1"/>
      <c r="K158" s="1"/>
      <c r="L158" s="15">
        <v>0.0</v>
      </c>
      <c r="M158" s="8" t="s">
        <v>58</v>
      </c>
      <c r="N158" s="1"/>
      <c r="O158" s="1"/>
      <c r="P158" s="1"/>
      <c r="Q158" s="1"/>
      <c r="R158" s="1"/>
      <c r="S158" s="1"/>
    </row>
    <row r="159" ht="14.25" customHeight="1">
      <c r="A159" s="1"/>
      <c r="B159" s="4"/>
      <c r="C159" s="4"/>
      <c r="D159" s="4"/>
      <c r="E159" s="1"/>
      <c r="F159" s="1"/>
      <c r="G159" s="1"/>
      <c r="H159" s="1"/>
      <c r="I159" s="1"/>
      <c r="J159" s="1"/>
      <c r="K159" s="1"/>
      <c r="L159" s="15">
        <v>0.0</v>
      </c>
      <c r="M159" s="8" t="s">
        <v>60</v>
      </c>
      <c r="N159" s="1"/>
      <c r="O159" s="1"/>
      <c r="P159" s="1"/>
      <c r="Q159" s="1"/>
      <c r="R159" s="1"/>
      <c r="S159" s="1"/>
    </row>
    <row r="160" ht="14.25" customHeight="1">
      <c r="A160" s="1"/>
      <c r="B160" s="4"/>
      <c r="C160" s="4"/>
      <c r="D160" s="4"/>
      <c r="E160" s="1"/>
      <c r="F160" s="1"/>
      <c r="G160" s="1"/>
      <c r="H160" s="1"/>
      <c r="I160" s="1"/>
      <c r="J160" s="1"/>
      <c r="K160" s="1"/>
      <c r="L160" s="8"/>
      <c r="M160" s="8"/>
      <c r="N160" s="1"/>
      <c r="O160" s="1"/>
      <c r="P160" s="1"/>
      <c r="Q160" s="1"/>
      <c r="R160" s="1"/>
      <c r="S160" s="1"/>
    </row>
    <row r="161" ht="14.25" customHeight="1">
      <c r="A161" s="1"/>
      <c r="B161" s="4"/>
      <c r="C161" s="4"/>
      <c r="D161" s="4"/>
      <c r="E161" s="1"/>
      <c r="F161" s="1"/>
      <c r="G161" s="1"/>
      <c r="H161" s="1"/>
      <c r="I161" s="1"/>
      <c r="J161" s="1"/>
      <c r="K161" s="1"/>
      <c r="L161" s="8"/>
      <c r="M161" s="8"/>
      <c r="N161" s="1"/>
      <c r="O161" s="1"/>
      <c r="P161" s="1"/>
      <c r="Q161" s="1"/>
      <c r="R161" s="1"/>
      <c r="S161" s="1"/>
    </row>
    <row r="162" ht="14.25" customHeight="1">
      <c r="A162" s="1"/>
      <c r="B162" s="4" t="str">
        <f>B158</f>
        <v>F1=</v>
      </c>
      <c r="C162" s="4"/>
      <c r="D162" s="5">
        <f t="array" ref="D162">D158*MMULT(F158:I158,L156:L159)</f>
        <v>4571.428571</v>
      </c>
      <c r="E162" s="1"/>
      <c r="F162" s="1" t="s">
        <v>71</v>
      </c>
      <c r="G162" s="1"/>
      <c r="H162" s="1"/>
      <c r="I162" s="1"/>
      <c r="J162" s="1"/>
      <c r="K162" s="1"/>
      <c r="L162" s="8"/>
      <c r="M162" s="8"/>
      <c r="N162" s="1"/>
      <c r="O162" s="1"/>
      <c r="P162" s="1"/>
      <c r="Q162" s="1"/>
      <c r="R162" s="1"/>
      <c r="S162" s="1"/>
    </row>
    <row r="163" ht="14.25" customHeight="1">
      <c r="A163" s="1"/>
      <c r="B163" s="4"/>
      <c r="C163" s="4"/>
      <c r="D163" s="4"/>
      <c r="E163" s="1"/>
      <c r="F163" s="1"/>
      <c r="G163" s="1"/>
      <c r="H163" s="1"/>
      <c r="I163" s="1"/>
      <c r="J163" s="1"/>
      <c r="K163" s="1"/>
      <c r="L163" s="8"/>
      <c r="M163" s="8"/>
      <c r="N163" s="1"/>
      <c r="O163" s="1"/>
      <c r="P163" s="1"/>
      <c r="Q163" s="1"/>
      <c r="R163" s="1"/>
      <c r="S163" s="1"/>
    </row>
    <row r="164" ht="14.25" customHeight="1">
      <c r="A164" s="1"/>
      <c r="B164" s="4"/>
      <c r="C164" s="4"/>
      <c r="D164" s="4"/>
      <c r="E164" s="1"/>
      <c r="F164" s="1"/>
      <c r="G164" s="1"/>
      <c r="H164" s="1"/>
      <c r="I164" s="1"/>
      <c r="J164" s="1"/>
      <c r="K164" s="1"/>
      <c r="L164" s="8"/>
      <c r="M164" s="8"/>
      <c r="N164" s="1"/>
      <c r="O164" s="1"/>
      <c r="P164" s="1"/>
      <c r="Q164" s="1"/>
      <c r="R164" s="1"/>
      <c r="S164" s="1"/>
    </row>
    <row r="165" ht="14.25" customHeight="1">
      <c r="A165" s="1"/>
      <c r="B165" s="4"/>
      <c r="C165" s="4"/>
      <c r="D165" s="4"/>
      <c r="E165" s="1"/>
      <c r="F165" s="1"/>
      <c r="G165" s="1"/>
      <c r="H165" s="1"/>
      <c r="I165" s="1"/>
      <c r="J165" s="1"/>
      <c r="K165" s="1"/>
      <c r="L165" s="8"/>
      <c r="M165" s="8"/>
      <c r="N165" s="1"/>
      <c r="O165" s="1"/>
      <c r="P165" s="1"/>
      <c r="Q165" s="1"/>
      <c r="R165" s="1"/>
      <c r="S165" s="1"/>
    </row>
    <row r="166" ht="14.25" customHeight="1">
      <c r="A166" s="1"/>
      <c r="B166" s="4"/>
      <c r="C166" s="4"/>
      <c r="D166" s="4"/>
      <c r="E166" s="1"/>
      <c r="F166" s="1"/>
      <c r="G166" s="1"/>
      <c r="H166" s="1"/>
      <c r="I166" s="1"/>
      <c r="J166" s="1"/>
      <c r="K166" s="1"/>
      <c r="L166" s="8"/>
      <c r="M166" s="8"/>
      <c r="N166" s="1"/>
      <c r="O166" s="1"/>
      <c r="P166" s="1"/>
      <c r="Q166" s="1"/>
      <c r="R166" s="1"/>
      <c r="S166" s="1"/>
    </row>
    <row r="167" ht="14.25" customHeight="1">
      <c r="A167" s="1"/>
      <c r="B167" s="4"/>
      <c r="C167" s="4"/>
      <c r="D167" s="4"/>
      <c r="E167" s="1"/>
      <c r="F167" s="1"/>
      <c r="G167" s="1"/>
      <c r="H167" s="1"/>
      <c r="I167" s="1"/>
      <c r="J167" s="1"/>
      <c r="K167" s="1"/>
      <c r="L167" s="15">
        <f>C147</f>
        <v>5.333333333</v>
      </c>
      <c r="M167" s="8" t="s">
        <v>61</v>
      </c>
      <c r="N167" s="1"/>
      <c r="O167" s="1"/>
      <c r="P167" s="1"/>
      <c r="Q167" s="1"/>
      <c r="R167" s="1"/>
      <c r="S167" s="1"/>
    </row>
    <row r="168" ht="14.25" customHeight="1">
      <c r="A168" s="1"/>
      <c r="B168" s="4"/>
      <c r="C168" s="4"/>
      <c r="D168" s="4"/>
      <c r="E168" s="1"/>
      <c r="F168" s="3" t="str">
        <f>"-CX"</f>
        <v>-CX</v>
      </c>
      <c r="G168" s="3" t="str">
        <f>"-CY"</f>
        <v>-CY</v>
      </c>
      <c r="H168" s="3" t="str">
        <f t="shared" ref="H168:I168" si="86">"CX"</f>
        <v>CX</v>
      </c>
      <c r="I168" s="3" t="str">
        <f t="shared" si="86"/>
        <v>CX</v>
      </c>
      <c r="J168" s="1"/>
      <c r="K168" s="1"/>
      <c r="L168" s="8">
        <v>0.0</v>
      </c>
      <c r="M168" s="8" t="s">
        <v>62</v>
      </c>
      <c r="N168" s="1"/>
      <c r="O168" s="1"/>
      <c r="P168" s="1"/>
      <c r="Q168" s="1"/>
      <c r="R168" s="1"/>
      <c r="S168" s="1"/>
    </row>
    <row r="169" ht="14.25" customHeight="1">
      <c r="A169" s="1"/>
      <c r="B169" s="4" t="s">
        <v>72</v>
      </c>
      <c r="C169" s="4"/>
      <c r="D169" s="4">
        <f>N6</f>
        <v>1060.660172</v>
      </c>
      <c r="E169" s="1"/>
      <c r="F169" s="10">
        <f t="shared" ref="F169:G169" si="87">J6*-1</f>
        <v>0.7071067812</v>
      </c>
      <c r="G169" s="10">
        <f t="shared" si="87"/>
        <v>-0.7071067812</v>
      </c>
      <c r="H169" s="10">
        <f t="shared" ref="H169:I169" si="88">F169*-1</f>
        <v>-0.7071067812</v>
      </c>
      <c r="I169" s="10">
        <f t="shared" si="88"/>
        <v>0.7071067812</v>
      </c>
      <c r="J169" s="1"/>
      <c r="K169" s="1"/>
      <c r="L169" s="15">
        <f t="shared" ref="L169:L170" si="89">C143</f>
        <v>8.398485333</v>
      </c>
      <c r="M169" s="8" t="s">
        <v>56</v>
      </c>
      <c r="N169" s="1"/>
      <c r="O169" s="1"/>
      <c r="P169" s="1"/>
      <c r="Q169" s="1"/>
      <c r="R169" s="1"/>
      <c r="S169" s="1"/>
    </row>
    <row r="170" ht="14.25" customHeight="1">
      <c r="A170" s="1"/>
      <c r="B170" s="4"/>
      <c r="C170" s="4"/>
      <c r="D170" s="4"/>
      <c r="E170" s="1"/>
      <c r="F170" s="1"/>
      <c r="G170" s="1"/>
      <c r="H170" s="1"/>
      <c r="I170" s="1"/>
      <c r="J170" s="1"/>
      <c r="K170" s="1"/>
      <c r="L170" s="15">
        <f t="shared" si="89"/>
        <v>-5.554816381</v>
      </c>
      <c r="M170" s="8" t="s">
        <v>57</v>
      </c>
      <c r="N170" s="1"/>
      <c r="O170" s="1"/>
      <c r="P170" s="1"/>
      <c r="Q170" s="1"/>
      <c r="R170" s="1"/>
      <c r="S170" s="1"/>
    </row>
    <row r="171" ht="14.25" customHeight="1">
      <c r="A171" s="1"/>
      <c r="B171" s="4"/>
      <c r="C171" s="4"/>
      <c r="D171" s="4"/>
      <c r="E171" s="1"/>
      <c r="F171" s="1"/>
      <c r="G171" s="1"/>
      <c r="H171" s="1"/>
      <c r="I171" s="1"/>
      <c r="J171" s="1"/>
      <c r="K171" s="1"/>
      <c r="L171" s="8"/>
      <c r="M171" s="8"/>
      <c r="N171" s="1"/>
      <c r="O171" s="1"/>
      <c r="P171" s="1"/>
      <c r="Q171" s="1"/>
      <c r="R171" s="1"/>
      <c r="S171" s="1"/>
    </row>
    <row r="172" ht="14.25" customHeight="1">
      <c r="A172" s="1"/>
      <c r="B172" s="4"/>
      <c r="C172" s="4"/>
      <c r="D172" s="4"/>
      <c r="E172" s="1"/>
      <c r="F172" s="1"/>
      <c r="G172" s="1"/>
      <c r="H172" s="1"/>
      <c r="I172" s="1"/>
      <c r="J172" s="1"/>
      <c r="K172" s="1"/>
      <c r="L172" s="8"/>
      <c r="M172" s="8"/>
      <c r="N172" s="1"/>
      <c r="O172" s="1"/>
      <c r="P172" s="1"/>
      <c r="Q172" s="1"/>
      <c r="R172" s="1"/>
      <c r="S172" s="1"/>
    </row>
    <row r="173" ht="14.25" customHeight="1">
      <c r="A173" s="1"/>
      <c r="B173" s="4" t="str">
        <f>B169</f>
        <v>F2=</v>
      </c>
      <c r="C173" s="4"/>
      <c r="D173" s="5">
        <f t="array" ref="D173">D169*MMULT(F169:I169,L167:L170)</f>
        <v>-6464.976285</v>
      </c>
      <c r="E173" s="1"/>
      <c r="F173" s="1" t="s">
        <v>73</v>
      </c>
      <c r="G173" s="1"/>
      <c r="H173" s="1"/>
      <c r="I173" s="1"/>
      <c r="J173" s="1"/>
      <c r="K173" s="1"/>
      <c r="L173" s="8"/>
      <c r="M173" s="8"/>
      <c r="N173" s="1"/>
      <c r="O173" s="1"/>
      <c r="P173" s="1"/>
      <c r="Q173" s="1"/>
      <c r="R173" s="1"/>
      <c r="S173" s="1"/>
    </row>
    <row r="174" ht="14.25" customHeight="1">
      <c r="A174" s="1"/>
      <c r="B174" s="4"/>
      <c r="C174" s="4"/>
      <c r="D174" s="4"/>
      <c r="E174" s="1"/>
      <c r="F174" s="1"/>
      <c r="G174" s="1"/>
      <c r="H174" s="1"/>
      <c r="I174" s="1"/>
      <c r="J174" s="1"/>
      <c r="K174" s="1"/>
      <c r="L174" s="8"/>
      <c r="M174" s="8"/>
      <c r="N174" s="1"/>
      <c r="O174" s="1"/>
      <c r="P174" s="1"/>
      <c r="Q174" s="1"/>
      <c r="R174" s="1"/>
      <c r="S174" s="1"/>
    </row>
    <row r="175" ht="14.25" customHeight="1">
      <c r="A175" s="1"/>
      <c r="B175" s="4"/>
      <c r="C175" s="4"/>
      <c r="D175" s="4"/>
      <c r="E175" s="1"/>
      <c r="F175" s="1"/>
      <c r="G175" s="1"/>
      <c r="H175" s="1"/>
      <c r="I175" s="1"/>
      <c r="J175" s="1"/>
      <c r="K175" s="1"/>
      <c r="L175" s="8"/>
      <c r="M175" s="8"/>
      <c r="N175" s="1"/>
      <c r="O175" s="1"/>
      <c r="P175" s="1"/>
      <c r="Q175" s="1"/>
      <c r="R175" s="1"/>
      <c r="S175" s="1"/>
    </row>
    <row r="176" ht="14.25" customHeight="1">
      <c r="A176" s="1"/>
      <c r="B176" s="4"/>
      <c r="C176" s="4"/>
      <c r="D176" s="4"/>
      <c r="E176" s="1"/>
      <c r="F176" s="1"/>
      <c r="G176" s="1"/>
      <c r="H176" s="1"/>
      <c r="I176" s="1"/>
      <c r="J176" s="1"/>
      <c r="K176" s="1"/>
      <c r="L176" s="8"/>
      <c r="M176" s="8"/>
      <c r="N176" s="1"/>
      <c r="O176" s="1"/>
      <c r="P176" s="1"/>
      <c r="Q176" s="1"/>
      <c r="R176" s="1"/>
      <c r="S176" s="1"/>
    </row>
    <row r="177" ht="14.25" customHeight="1">
      <c r="A177" s="1"/>
      <c r="B177" s="4"/>
      <c r="C177" s="4"/>
      <c r="D177" s="4"/>
      <c r="E177" s="1"/>
      <c r="F177" s="1"/>
      <c r="G177" s="1"/>
      <c r="H177" s="1"/>
      <c r="I177" s="1"/>
      <c r="J177" s="1"/>
      <c r="K177" s="1"/>
      <c r="L177" s="8"/>
      <c r="M177" s="8"/>
      <c r="N177" s="1"/>
      <c r="O177" s="1"/>
      <c r="P177" s="1"/>
      <c r="Q177" s="1"/>
      <c r="R177" s="1"/>
      <c r="S177" s="1"/>
    </row>
    <row r="178" ht="14.25" customHeight="1">
      <c r="A178" s="1"/>
      <c r="B178" s="4"/>
      <c r="C178" s="4"/>
      <c r="D178" s="4"/>
      <c r="E178" s="1"/>
      <c r="F178" s="1"/>
      <c r="G178" s="1"/>
      <c r="H178" s="1"/>
      <c r="I178" s="1"/>
      <c r="J178" s="1"/>
      <c r="K178" s="1"/>
      <c r="L178" s="15">
        <f t="shared" ref="L178:L179" si="91">C145</f>
        <v>0</v>
      </c>
      <c r="M178" s="8" t="s">
        <v>58</v>
      </c>
      <c r="N178" s="1"/>
      <c r="O178" s="1"/>
      <c r="P178" s="1"/>
      <c r="Q178" s="1"/>
      <c r="R178" s="1"/>
      <c r="S178" s="1"/>
    </row>
    <row r="179" ht="14.25" customHeight="1">
      <c r="A179" s="1"/>
      <c r="B179" s="4"/>
      <c r="C179" s="4"/>
      <c r="D179" s="4"/>
      <c r="E179" s="1"/>
      <c r="F179" s="3" t="str">
        <f>"-CX"</f>
        <v>-CX</v>
      </c>
      <c r="G179" s="3" t="str">
        <f>"-CY"</f>
        <v>-CY</v>
      </c>
      <c r="H179" s="3" t="str">
        <f t="shared" ref="H179:I179" si="90">"CX"</f>
        <v>CX</v>
      </c>
      <c r="I179" s="3" t="str">
        <f t="shared" si="90"/>
        <v>CX</v>
      </c>
      <c r="J179" s="1"/>
      <c r="K179" s="1"/>
      <c r="L179" s="8">
        <f t="shared" si="91"/>
        <v>0</v>
      </c>
      <c r="M179" s="8" t="s">
        <v>60</v>
      </c>
      <c r="N179" s="1"/>
      <c r="O179" s="1"/>
      <c r="P179" s="1"/>
      <c r="Q179" s="1"/>
      <c r="R179" s="1"/>
      <c r="S179" s="1"/>
    </row>
    <row r="180" ht="14.25" customHeight="1">
      <c r="A180" s="1"/>
      <c r="B180" s="4" t="s">
        <v>74</v>
      </c>
      <c r="C180" s="4"/>
      <c r="D180" s="4">
        <f>N7</f>
        <v>1200</v>
      </c>
      <c r="E180" s="1"/>
      <c r="F180" s="10">
        <f t="shared" ref="F180:G180" si="92">J7*-1</f>
        <v>-0.6</v>
      </c>
      <c r="G180" s="10">
        <f t="shared" si="92"/>
        <v>-0.8</v>
      </c>
      <c r="H180" s="10">
        <f t="shared" ref="H180:I180" si="93">F180*-1</f>
        <v>0.6</v>
      </c>
      <c r="I180" s="10">
        <f t="shared" si="93"/>
        <v>0.8</v>
      </c>
      <c r="J180" s="1"/>
      <c r="K180" s="1"/>
      <c r="L180" s="15">
        <f t="shared" ref="L180:L181" si="94">C143</f>
        <v>8.398485333</v>
      </c>
      <c r="M180" s="8" t="s">
        <v>56</v>
      </c>
      <c r="N180" s="1"/>
      <c r="O180" s="1"/>
      <c r="P180" s="1"/>
      <c r="Q180" s="1"/>
      <c r="R180" s="1"/>
      <c r="S180" s="1"/>
    </row>
    <row r="181" ht="14.25" customHeight="1">
      <c r="A181" s="1"/>
      <c r="B181" s="4"/>
      <c r="C181" s="4"/>
      <c r="D181" s="4"/>
      <c r="E181" s="1"/>
      <c r="F181" s="1"/>
      <c r="G181" s="1"/>
      <c r="H181" s="1"/>
      <c r="I181" s="1"/>
      <c r="J181" s="1"/>
      <c r="K181" s="1"/>
      <c r="L181" s="15">
        <f t="shared" si="94"/>
        <v>-5.554816381</v>
      </c>
      <c r="M181" s="8" t="s">
        <v>57</v>
      </c>
      <c r="N181" s="1"/>
      <c r="O181" s="1"/>
      <c r="P181" s="1"/>
      <c r="Q181" s="1"/>
      <c r="R181" s="1"/>
      <c r="S181" s="1"/>
    </row>
    <row r="182" ht="14.25" customHeight="1">
      <c r="A182" s="1"/>
      <c r="B182" s="4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ht="14.25" customHeight="1">
      <c r="A183" s="1"/>
      <c r="B183" s="4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ht="14.25" customHeight="1">
      <c r="A184" s="1"/>
      <c r="B184" s="4" t="str">
        <f>B180</f>
        <v>F3=</v>
      </c>
      <c r="C184" s="4"/>
      <c r="D184" s="5">
        <f t="array" ref="D184">D180*MMULT(F180:I180,L178:L181)</f>
        <v>714.2857143</v>
      </c>
      <c r="E184" s="1"/>
      <c r="F184" s="1" t="s">
        <v>71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K3:K4"/>
    <mergeCell ref="L3:L4"/>
    <mergeCell ref="M3:M4"/>
    <mergeCell ref="N3:N4"/>
    <mergeCell ref="B3:B4"/>
    <mergeCell ref="C3:D3"/>
    <mergeCell ref="E3:F3"/>
    <mergeCell ref="G3:G4"/>
    <mergeCell ref="H3:H4"/>
    <mergeCell ref="I3:I4"/>
    <mergeCell ref="J3:J4"/>
    <mergeCell ref="A67:C67"/>
    <mergeCell ref="A78:C78"/>
    <mergeCell ref="A88:C88"/>
    <mergeCell ref="G88:H89"/>
    <mergeCell ref="N93:O94"/>
    <mergeCell ref="B10:B11"/>
    <mergeCell ref="C10:D10"/>
    <mergeCell ref="E10:F10"/>
    <mergeCell ref="A17:H17"/>
    <mergeCell ref="A29:H29"/>
    <mergeCell ref="A41:H41"/>
    <mergeCell ref="A54:C5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6" width="11.71"/>
    <col customWidth="1" min="7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4.25" customHeight="1">
      <c r="A3" s="1"/>
      <c r="B3" s="2" t="s">
        <v>0</v>
      </c>
      <c r="C3" s="3" t="s">
        <v>1</v>
      </c>
      <c r="E3" s="3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1"/>
      <c r="P3" s="1"/>
      <c r="Q3" s="1"/>
      <c r="R3" s="1"/>
      <c r="S3" s="1"/>
    </row>
    <row r="4" ht="14.25" customHeight="1">
      <c r="A4" s="1"/>
      <c r="C4" s="4" t="s">
        <v>11</v>
      </c>
      <c r="D4" s="4" t="s">
        <v>12</v>
      </c>
      <c r="E4" s="4" t="s">
        <v>13</v>
      </c>
      <c r="F4" s="4" t="s">
        <v>14</v>
      </c>
      <c r="O4" s="1"/>
      <c r="P4" s="1"/>
      <c r="Q4" s="1"/>
      <c r="R4" s="1"/>
      <c r="S4" s="1"/>
    </row>
    <row r="5" ht="14.25" customHeight="1">
      <c r="A5" s="1"/>
      <c r="B5" s="3">
        <v>1.0</v>
      </c>
      <c r="C5" s="4">
        <v>700.0</v>
      </c>
      <c r="D5" s="4">
        <v>0.0</v>
      </c>
      <c r="E5" s="4">
        <v>0.0</v>
      </c>
      <c r="F5" s="4">
        <v>0.0</v>
      </c>
      <c r="G5" s="4">
        <f t="shared" ref="G5:H5" si="1">E5-C5</f>
        <v>-700</v>
      </c>
      <c r="H5" s="4">
        <f t="shared" si="1"/>
        <v>0</v>
      </c>
      <c r="I5" s="5">
        <f t="shared" ref="I5:I7" si="3">SQRT(G5^2+H5^2)</f>
        <v>700</v>
      </c>
      <c r="J5" s="6">
        <f t="shared" ref="J5:J7" si="4">G5/I5</f>
        <v>-1</v>
      </c>
      <c r="K5" s="6">
        <f t="shared" ref="K5:K7" si="5">H5/I5</f>
        <v>0</v>
      </c>
      <c r="L5" s="4">
        <v>4.0</v>
      </c>
      <c r="M5" s="4">
        <v>150000.0</v>
      </c>
      <c r="N5" s="4">
        <f t="shared" ref="N5:N7" si="6">(L5*M5)/I5</f>
        <v>857.1428571</v>
      </c>
      <c r="O5" s="1" t="s">
        <v>15</v>
      </c>
      <c r="P5" s="1"/>
      <c r="Q5" s="1"/>
      <c r="R5" s="1"/>
      <c r="S5" s="1"/>
    </row>
    <row r="6" ht="14.25" customHeight="1">
      <c r="A6" s="1"/>
      <c r="B6" s="3">
        <v>2.0</v>
      </c>
      <c r="C6" s="4">
        <v>700.0</v>
      </c>
      <c r="D6" s="4">
        <v>0.0</v>
      </c>
      <c r="E6" s="4">
        <v>300.0</v>
      </c>
      <c r="F6" s="4">
        <v>400.0</v>
      </c>
      <c r="G6" s="4">
        <f t="shared" ref="G6:H6" si="2">E6-C6</f>
        <v>-400</v>
      </c>
      <c r="H6" s="4">
        <f t="shared" si="2"/>
        <v>400</v>
      </c>
      <c r="I6" s="5">
        <f t="shared" si="3"/>
        <v>565.6854249</v>
      </c>
      <c r="J6" s="6">
        <f t="shared" si="4"/>
        <v>-0.7071067812</v>
      </c>
      <c r="K6" s="6">
        <f t="shared" si="5"/>
        <v>0.7071067812</v>
      </c>
      <c r="L6" s="4">
        <v>4.0</v>
      </c>
      <c r="M6" s="4">
        <v>150000.0</v>
      </c>
      <c r="N6" s="4">
        <f t="shared" si="6"/>
        <v>1060.660172</v>
      </c>
      <c r="O6" s="1" t="s">
        <v>16</v>
      </c>
      <c r="P6" s="1"/>
      <c r="Q6" s="1"/>
      <c r="R6" s="1"/>
      <c r="S6" s="1"/>
    </row>
    <row r="7" ht="14.25" customHeight="1">
      <c r="A7" s="1"/>
      <c r="B7" s="3">
        <v>3.0</v>
      </c>
      <c r="C7" s="4">
        <v>0.0</v>
      </c>
      <c r="D7" s="4">
        <v>0.0</v>
      </c>
      <c r="E7" s="4">
        <v>300.0</v>
      </c>
      <c r="F7" s="4">
        <v>400.0</v>
      </c>
      <c r="G7" s="4">
        <f t="shared" ref="G7:H7" si="7">E7-C7</f>
        <v>300</v>
      </c>
      <c r="H7" s="4">
        <f t="shared" si="7"/>
        <v>400</v>
      </c>
      <c r="I7" s="5">
        <f t="shared" si="3"/>
        <v>500</v>
      </c>
      <c r="J7" s="6">
        <f t="shared" si="4"/>
        <v>0.6</v>
      </c>
      <c r="K7" s="6">
        <f t="shared" si="5"/>
        <v>0.8</v>
      </c>
      <c r="L7" s="4">
        <v>4.0</v>
      </c>
      <c r="M7" s="4">
        <v>150000.0</v>
      </c>
      <c r="N7" s="4">
        <f t="shared" si="6"/>
        <v>1200</v>
      </c>
      <c r="O7" s="1"/>
      <c r="P7" s="1"/>
      <c r="Q7" s="1"/>
      <c r="R7" s="1"/>
      <c r="S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14.25" customHeight="1">
      <c r="A10" s="1"/>
      <c r="B10" s="2" t="s">
        <v>0</v>
      </c>
      <c r="C10" s="3" t="s">
        <v>18</v>
      </c>
      <c r="E10" s="3" t="s">
        <v>19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4.25" customHeight="1">
      <c r="A11" s="1"/>
      <c r="C11" s="4" t="s">
        <v>20</v>
      </c>
      <c r="D11" s="4" t="s">
        <v>21</v>
      </c>
      <c r="E11" s="4" t="s">
        <v>20</v>
      </c>
      <c r="F11" s="4" t="s">
        <v>21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4.25" customHeight="1">
      <c r="A12" s="1"/>
      <c r="B12" s="3">
        <v>1.0</v>
      </c>
      <c r="C12" s="4">
        <v>3.0</v>
      </c>
      <c r="D12" s="4">
        <v>3.0</v>
      </c>
      <c r="E12" s="4">
        <v>2.0</v>
      </c>
      <c r="F12" s="4">
        <v>2.0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14.25" customHeight="1">
      <c r="A13" s="1"/>
      <c r="B13" s="3">
        <v>2.0</v>
      </c>
      <c r="C13" s="4">
        <v>3.0</v>
      </c>
      <c r="D13" s="4">
        <v>3.0</v>
      </c>
      <c r="E13" s="4">
        <v>1.0</v>
      </c>
      <c r="F13" s="4">
        <v>1.0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ht="14.25" customHeight="1">
      <c r="A14" s="1"/>
      <c r="B14" s="3">
        <v>3.0</v>
      </c>
      <c r="C14" s="4">
        <v>2.0</v>
      </c>
      <c r="D14" s="4">
        <v>2.0</v>
      </c>
      <c r="E14" s="4">
        <v>1.0</v>
      </c>
      <c r="F14" s="4">
        <v>1.0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14.25" customHeight="1">
      <c r="A17" s="3" t="s">
        <v>23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3" t="s">
        <v>24</v>
      </c>
      <c r="L18" s="3" t="s">
        <v>25</v>
      </c>
      <c r="M18" s="3" t="s">
        <v>26</v>
      </c>
      <c r="N18" s="3" t="s">
        <v>27</v>
      </c>
      <c r="O18" s="3" t="s">
        <v>28</v>
      </c>
      <c r="P18" s="3" t="s">
        <v>29</v>
      </c>
      <c r="Q18" s="1"/>
      <c r="R18" s="1"/>
      <c r="S18" s="1"/>
    </row>
    <row r="19" ht="14.25" customHeight="1">
      <c r="A19" s="1"/>
      <c r="B19" s="1"/>
      <c r="C19" s="3" t="str">
        <f t="shared" ref="C19:F19" si="8">CONCATENATE("U",C12,C11)</f>
        <v>U3X</v>
      </c>
      <c r="D19" s="3" t="str">
        <f t="shared" si="8"/>
        <v>U3Y</v>
      </c>
      <c r="E19" s="3" t="str">
        <f t="shared" si="8"/>
        <v>U2X</v>
      </c>
      <c r="F19" s="3" t="str">
        <f t="shared" si="8"/>
        <v>U2Y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3" t="s">
        <v>24</v>
      </c>
      <c r="R19" s="1"/>
      <c r="S19" s="1"/>
    </row>
    <row r="20" ht="14.25" customHeight="1">
      <c r="A20" s="1"/>
      <c r="B20" s="1"/>
      <c r="C20" s="5">
        <f>J5^2*N5</f>
        <v>857.1428571</v>
      </c>
      <c r="D20" s="5">
        <f>J5*K5*N5</f>
        <v>0</v>
      </c>
      <c r="E20" s="5">
        <f t="shared" ref="E20:F20" si="9">-1*C20</f>
        <v>-857.1428571</v>
      </c>
      <c r="F20" s="5">
        <f t="shared" si="9"/>
        <v>0</v>
      </c>
      <c r="G20" s="4" t="str">
        <f>C19</f>
        <v>U3X</v>
      </c>
      <c r="H20" s="1"/>
      <c r="I20" s="1"/>
      <c r="J20" s="1"/>
      <c r="K20" s="1"/>
      <c r="L20" s="1"/>
      <c r="M20" s="1"/>
      <c r="N20" s="1"/>
      <c r="O20" s="1"/>
      <c r="P20" s="1"/>
      <c r="Q20" s="3" t="s">
        <v>25</v>
      </c>
      <c r="R20" s="1"/>
      <c r="S20" s="1"/>
    </row>
    <row r="21" ht="14.25" customHeight="1">
      <c r="A21" s="4" t="s">
        <v>30</v>
      </c>
      <c r="B21" s="1"/>
      <c r="C21" s="5">
        <f>D20</f>
        <v>0</v>
      </c>
      <c r="D21" s="5">
        <f>K5^2*N5</f>
        <v>0</v>
      </c>
      <c r="E21" s="5">
        <f t="shared" ref="E21:F21" si="10">-1*C21</f>
        <v>0</v>
      </c>
      <c r="F21" s="5">
        <f t="shared" si="10"/>
        <v>0</v>
      </c>
      <c r="G21" s="4" t="str">
        <f>D19</f>
        <v>U3Y</v>
      </c>
      <c r="H21" s="1"/>
      <c r="I21" s="1"/>
      <c r="J21" s="1"/>
      <c r="K21" s="1"/>
      <c r="L21" s="1"/>
      <c r="M21" s="10">
        <f t="shared" ref="M21:N21" si="11">E22</f>
        <v>857.1428571</v>
      </c>
      <c r="N21" s="10">
        <f t="shared" si="11"/>
        <v>0</v>
      </c>
      <c r="O21" s="10">
        <f t="shared" ref="O21:P21" si="12">C22</f>
        <v>-857.1428571</v>
      </c>
      <c r="P21" s="10">
        <f t="shared" si="12"/>
        <v>0</v>
      </c>
      <c r="Q21" s="3" t="s">
        <v>26</v>
      </c>
      <c r="R21" s="1"/>
      <c r="S21" s="1"/>
    </row>
    <row r="22" ht="14.25" customHeight="1">
      <c r="A22" s="1"/>
      <c r="B22" s="1"/>
      <c r="C22" s="5">
        <f t="shared" ref="C22:D22" si="13">E20</f>
        <v>-857.1428571</v>
      </c>
      <c r="D22" s="5">
        <f t="shared" si="13"/>
        <v>0</v>
      </c>
      <c r="E22" s="5">
        <f t="shared" ref="E22:F22" si="14">C20</f>
        <v>857.1428571</v>
      </c>
      <c r="F22" s="5">
        <f t="shared" si="14"/>
        <v>0</v>
      </c>
      <c r="G22" s="4" t="str">
        <f>E19</f>
        <v>U2X</v>
      </c>
      <c r="H22" s="1"/>
      <c r="I22" s="1"/>
      <c r="J22" s="1"/>
      <c r="K22" s="1"/>
      <c r="L22" s="1"/>
      <c r="M22" s="10">
        <f t="shared" ref="M22:N22" si="15">E23</f>
        <v>0</v>
      </c>
      <c r="N22" s="10">
        <f t="shared" si="15"/>
        <v>0</v>
      </c>
      <c r="O22" s="10">
        <f t="shared" ref="O22:P22" si="16">C23</f>
        <v>0</v>
      </c>
      <c r="P22" s="10">
        <f t="shared" si="16"/>
        <v>0</v>
      </c>
      <c r="Q22" s="3" t="s">
        <v>27</v>
      </c>
      <c r="R22" s="1"/>
      <c r="S22" s="1"/>
    </row>
    <row r="23" ht="14.25" customHeight="1">
      <c r="A23" s="1"/>
      <c r="B23" s="1"/>
      <c r="C23" s="5">
        <f t="shared" ref="C23:D23" si="17">E21</f>
        <v>0</v>
      </c>
      <c r="D23" s="5">
        <f t="shared" si="17"/>
        <v>0</v>
      </c>
      <c r="E23" s="5">
        <f t="shared" ref="E23:F23" si="18">C21</f>
        <v>0</v>
      </c>
      <c r="F23" s="5">
        <f t="shared" si="18"/>
        <v>0</v>
      </c>
      <c r="G23" s="4" t="str">
        <f>F19</f>
        <v>U2Y</v>
      </c>
      <c r="H23" s="1"/>
      <c r="I23" s="1"/>
      <c r="J23" s="1"/>
      <c r="K23" s="1"/>
      <c r="L23" s="1"/>
      <c r="M23" s="10">
        <f t="shared" ref="M23:N23" si="19">E20</f>
        <v>-857.1428571</v>
      </c>
      <c r="N23" s="10">
        <f t="shared" si="19"/>
        <v>0</v>
      </c>
      <c r="O23" s="10">
        <f t="shared" ref="O23:P23" si="20">C20</f>
        <v>857.1428571</v>
      </c>
      <c r="P23" s="10">
        <f t="shared" si="20"/>
        <v>0</v>
      </c>
      <c r="Q23" s="3" t="s">
        <v>28</v>
      </c>
      <c r="R23" s="1"/>
      <c r="S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0">
        <f t="shared" ref="M24:N24" si="21">E21</f>
        <v>0</v>
      </c>
      <c r="N24" s="10">
        <f t="shared" si="21"/>
        <v>0</v>
      </c>
      <c r="O24" s="10">
        <f t="shared" ref="O24:P24" si="22">C21</f>
        <v>0</v>
      </c>
      <c r="P24" s="10">
        <f t="shared" si="22"/>
        <v>0</v>
      </c>
      <c r="Q24" s="3" t="s">
        <v>29</v>
      </c>
      <c r="R24" s="1"/>
      <c r="S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14.25" customHeight="1">
      <c r="A29" s="3" t="s">
        <v>31</v>
      </c>
      <c r="I29" s="1"/>
      <c r="J29" s="4"/>
      <c r="K29" s="1"/>
      <c r="L29" s="1"/>
      <c r="M29" s="1"/>
      <c r="N29" s="1"/>
      <c r="O29" s="1"/>
      <c r="P29" s="1"/>
      <c r="Q29" s="1"/>
      <c r="R29" s="1"/>
      <c r="S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 t="s">
        <v>24</v>
      </c>
      <c r="L30" s="3" t="s">
        <v>25</v>
      </c>
      <c r="M30" s="3" t="s">
        <v>26</v>
      </c>
      <c r="N30" s="3" t="s">
        <v>27</v>
      </c>
      <c r="O30" s="3" t="s">
        <v>28</v>
      </c>
      <c r="P30" s="3" t="s">
        <v>29</v>
      </c>
      <c r="Q30" s="1"/>
      <c r="R30" s="1"/>
      <c r="S30" s="1"/>
    </row>
    <row r="31" ht="14.25" customHeight="1">
      <c r="A31" s="1"/>
      <c r="B31" s="1"/>
      <c r="C31" s="3" t="str">
        <f t="shared" ref="C31:F31" si="23">CONCATENATE("U",C13,C11)</f>
        <v>U3X</v>
      </c>
      <c r="D31" s="3" t="str">
        <f t="shared" si="23"/>
        <v>U3Y</v>
      </c>
      <c r="E31" s="3" t="str">
        <f t="shared" si="23"/>
        <v>U1X</v>
      </c>
      <c r="F31" s="3" t="str">
        <f t="shared" si="23"/>
        <v>U1Y</v>
      </c>
      <c r="G31" s="1"/>
      <c r="H31" s="1"/>
      <c r="I31" s="1"/>
      <c r="J31" s="1"/>
      <c r="K31" s="10">
        <f t="shared" ref="K31:L31" si="24">E34</f>
        <v>530.3300859</v>
      </c>
      <c r="L31" s="10">
        <f t="shared" si="24"/>
        <v>-530.3300859</v>
      </c>
      <c r="M31" s="1"/>
      <c r="N31" s="1"/>
      <c r="O31" s="10">
        <f t="shared" ref="O31:P31" si="25">C34</f>
        <v>-530.3300859</v>
      </c>
      <c r="P31" s="10">
        <f t="shared" si="25"/>
        <v>530.3300859</v>
      </c>
      <c r="Q31" s="3" t="s">
        <v>24</v>
      </c>
      <c r="R31" s="1"/>
      <c r="S31" s="1"/>
    </row>
    <row r="32" ht="14.25" customHeight="1">
      <c r="A32" s="1"/>
      <c r="B32" s="1"/>
      <c r="C32" s="5">
        <f>J6^2*N6</f>
        <v>530.3300859</v>
      </c>
      <c r="D32" s="5">
        <f>J6*K6*N6</f>
        <v>-530.3300859</v>
      </c>
      <c r="E32" s="5">
        <f t="shared" ref="E32:F32" si="26">-1*C32</f>
        <v>-530.3300859</v>
      </c>
      <c r="F32" s="5">
        <f t="shared" si="26"/>
        <v>530.3300859</v>
      </c>
      <c r="G32" s="4" t="str">
        <f>C31</f>
        <v>U3X</v>
      </c>
      <c r="H32" s="1"/>
      <c r="I32" s="1"/>
      <c r="J32" s="1"/>
      <c r="K32" s="10">
        <f t="shared" ref="K32:L32" si="27">E35</f>
        <v>-530.3300859</v>
      </c>
      <c r="L32" s="10">
        <f t="shared" si="27"/>
        <v>530.3300859</v>
      </c>
      <c r="M32" s="1"/>
      <c r="N32" s="1"/>
      <c r="O32" s="10">
        <f t="shared" ref="O32:P32" si="28">C35</f>
        <v>530.3300859</v>
      </c>
      <c r="P32" s="10">
        <f t="shared" si="28"/>
        <v>-530.3300859</v>
      </c>
      <c r="Q32" s="3" t="s">
        <v>25</v>
      </c>
      <c r="R32" s="1"/>
      <c r="S32" s="1"/>
    </row>
    <row r="33" ht="14.25" customHeight="1">
      <c r="A33" s="4" t="s">
        <v>34</v>
      </c>
      <c r="B33" s="1"/>
      <c r="C33" s="5">
        <f>D32</f>
        <v>-530.3300859</v>
      </c>
      <c r="D33" s="5">
        <f>K6^2*N6</f>
        <v>530.3300859</v>
      </c>
      <c r="E33" s="5">
        <f t="shared" ref="E33:F33" si="29">-1*C33</f>
        <v>530.3300859</v>
      </c>
      <c r="F33" s="5">
        <f t="shared" si="29"/>
        <v>-530.3300859</v>
      </c>
      <c r="G33" s="4" t="str">
        <f>D31</f>
        <v>U3Y</v>
      </c>
      <c r="H33" s="1"/>
      <c r="I33" s="1"/>
      <c r="J33" s="4"/>
      <c r="K33" s="1"/>
      <c r="L33" s="1"/>
      <c r="M33" s="10"/>
      <c r="N33" s="10"/>
      <c r="O33" s="10"/>
      <c r="P33" s="10"/>
      <c r="Q33" s="3" t="s">
        <v>26</v>
      </c>
      <c r="R33" s="1"/>
      <c r="S33" s="1"/>
    </row>
    <row r="34" ht="14.25" customHeight="1">
      <c r="A34" s="1"/>
      <c r="B34" s="1"/>
      <c r="C34" s="5">
        <f t="shared" ref="C34:D34" si="30">E32</f>
        <v>-530.3300859</v>
      </c>
      <c r="D34" s="5">
        <f t="shared" si="30"/>
        <v>530.3300859</v>
      </c>
      <c r="E34" s="5">
        <f t="shared" ref="E34:F34" si="31">C32</f>
        <v>530.3300859</v>
      </c>
      <c r="F34" s="5">
        <f t="shared" si="31"/>
        <v>-530.3300859</v>
      </c>
      <c r="G34" s="4" t="str">
        <f>E31</f>
        <v>U1X</v>
      </c>
      <c r="H34" s="1"/>
      <c r="I34" s="1"/>
      <c r="J34" s="1"/>
      <c r="K34" s="1"/>
      <c r="L34" s="1"/>
      <c r="M34" s="10"/>
      <c r="N34" s="10"/>
      <c r="O34" s="10"/>
      <c r="P34" s="10"/>
      <c r="Q34" s="3" t="s">
        <v>27</v>
      </c>
      <c r="R34" s="1"/>
      <c r="S34" s="1"/>
    </row>
    <row r="35" ht="14.25" customHeight="1">
      <c r="A35" s="1"/>
      <c r="B35" s="1"/>
      <c r="C35" s="5">
        <f t="shared" ref="C35:D35" si="32">E33</f>
        <v>530.3300859</v>
      </c>
      <c r="D35" s="5">
        <f t="shared" si="32"/>
        <v>-530.3300859</v>
      </c>
      <c r="E35" s="5">
        <f t="shared" ref="E35:F35" si="33">C33</f>
        <v>-530.3300859</v>
      </c>
      <c r="F35" s="5">
        <f t="shared" si="33"/>
        <v>530.3300859</v>
      </c>
      <c r="G35" s="4" t="str">
        <f>F31</f>
        <v>U1Y</v>
      </c>
      <c r="H35" s="1"/>
      <c r="I35" s="1"/>
      <c r="J35" s="1"/>
      <c r="K35" s="10">
        <f t="shared" ref="K35:L35" si="34">E32</f>
        <v>-530.3300859</v>
      </c>
      <c r="L35" s="10">
        <f t="shared" si="34"/>
        <v>530.3300859</v>
      </c>
      <c r="M35" s="10"/>
      <c r="N35" s="10"/>
      <c r="O35" s="10">
        <f t="shared" ref="O35:P35" si="35">C32</f>
        <v>530.3300859</v>
      </c>
      <c r="P35" s="10">
        <f t="shared" si="35"/>
        <v>-530.3300859</v>
      </c>
      <c r="Q35" s="3" t="s">
        <v>28</v>
      </c>
      <c r="R35" s="1"/>
      <c r="S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0">
        <f t="shared" ref="K36:L36" si="36">E33</f>
        <v>530.3300859</v>
      </c>
      <c r="L36" s="10">
        <f t="shared" si="36"/>
        <v>-530.3300859</v>
      </c>
      <c r="M36" s="10"/>
      <c r="N36" s="10"/>
      <c r="O36" s="10">
        <f t="shared" ref="O36:P36" si="37">C33</f>
        <v>-530.3300859</v>
      </c>
      <c r="P36" s="10">
        <f t="shared" si="37"/>
        <v>530.3300859</v>
      </c>
      <c r="Q36" s="3" t="s">
        <v>29</v>
      </c>
      <c r="R36" s="1"/>
      <c r="S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ht="14.25" customHeight="1">
      <c r="A41" s="3" t="s">
        <v>35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3" t="s">
        <v>24</v>
      </c>
      <c r="L42" s="3" t="s">
        <v>25</v>
      </c>
      <c r="M42" s="3" t="s">
        <v>26</v>
      </c>
      <c r="N42" s="3" t="s">
        <v>27</v>
      </c>
      <c r="O42" s="3" t="s">
        <v>28</v>
      </c>
      <c r="P42" s="3" t="s">
        <v>29</v>
      </c>
      <c r="Q42" s="1"/>
      <c r="R42" s="1"/>
      <c r="S42" s="1"/>
    </row>
    <row r="43" ht="14.25" customHeight="1">
      <c r="A43" s="1"/>
      <c r="B43" s="1"/>
      <c r="C43" s="3" t="str">
        <f t="shared" ref="C43:F43" si="38">CONCATENATE("U",C14,C11)</f>
        <v>U2X</v>
      </c>
      <c r="D43" s="3" t="str">
        <f t="shared" si="38"/>
        <v>U2Y</v>
      </c>
      <c r="E43" s="3" t="str">
        <f t="shared" si="38"/>
        <v>U1X</v>
      </c>
      <c r="F43" s="3" t="str">
        <f t="shared" si="38"/>
        <v>U1Y</v>
      </c>
      <c r="G43" s="1"/>
      <c r="H43" s="1"/>
      <c r="I43" s="1"/>
      <c r="J43" s="1"/>
      <c r="K43" s="10">
        <f t="shared" ref="K43:L43" si="39">E46</f>
        <v>432</v>
      </c>
      <c r="L43" s="10">
        <f t="shared" si="39"/>
        <v>576</v>
      </c>
      <c r="M43" s="10">
        <f t="shared" ref="M43:N43" si="40">C46</f>
        <v>-432</v>
      </c>
      <c r="N43" s="10">
        <f t="shared" si="40"/>
        <v>-576</v>
      </c>
      <c r="O43" s="1"/>
      <c r="P43" s="1"/>
      <c r="Q43" s="3" t="s">
        <v>24</v>
      </c>
      <c r="R43" s="1"/>
      <c r="S43" s="1"/>
    </row>
    <row r="44" ht="14.25" customHeight="1">
      <c r="A44" s="1"/>
      <c r="B44" s="1"/>
      <c r="C44" s="5">
        <f>J7^2*N7</f>
        <v>432</v>
      </c>
      <c r="D44" s="5">
        <f>J7*K7*N7</f>
        <v>576</v>
      </c>
      <c r="E44" s="5">
        <f t="shared" ref="E44:F44" si="41">-1*C44</f>
        <v>-432</v>
      </c>
      <c r="F44" s="5">
        <f t="shared" si="41"/>
        <v>-576</v>
      </c>
      <c r="G44" s="3" t="str">
        <f>C43</f>
        <v>U2X</v>
      </c>
      <c r="H44" s="1"/>
      <c r="I44" s="1"/>
      <c r="J44" s="1"/>
      <c r="K44" s="10">
        <f t="shared" ref="K44:L44" si="42">E47</f>
        <v>576</v>
      </c>
      <c r="L44" s="10">
        <f t="shared" si="42"/>
        <v>768</v>
      </c>
      <c r="M44" s="10">
        <f t="shared" ref="M44:N44" si="43">C47</f>
        <v>-576</v>
      </c>
      <c r="N44" s="10">
        <f t="shared" si="43"/>
        <v>-768</v>
      </c>
      <c r="O44" s="1"/>
      <c r="P44" s="1"/>
      <c r="Q44" s="3" t="s">
        <v>25</v>
      </c>
      <c r="R44" s="1"/>
      <c r="S44" s="1"/>
    </row>
    <row r="45" ht="14.25" customHeight="1">
      <c r="A45" s="4" t="s">
        <v>38</v>
      </c>
      <c r="B45" s="1"/>
      <c r="C45" s="5">
        <f>D44</f>
        <v>576</v>
      </c>
      <c r="D45" s="5">
        <f>K7^2*N7</f>
        <v>768</v>
      </c>
      <c r="E45" s="5">
        <f t="shared" ref="E45:F45" si="44">-1*C45</f>
        <v>-576</v>
      </c>
      <c r="F45" s="5">
        <f t="shared" si="44"/>
        <v>-768</v>
      </c>
      <c r="G45" s="3" t="str">
        <f>D43</f>
        <v>U2Y</v>
      </c>
      <c r="H45" s="1"/>
      <c r="I45" s="1"/>
      <c r="J45" s="1"/>
      <c r="K45" s="10">
        <f t="shared" ref="K45:L45" si="45">E44</f>
        <v>-432</v>
      </c>
      <c r="L45" s="10">
        <f t="shared" si="45"/>
        <v>-576</v>
      </c>
      <c r="M45" s="10">
        <f t="shared" ref="M45:N45" si="46">C44</f>
        <v>432</v>
      </c>
      <c r="N45" s="10">
        <f t="shared" si="46"/>
        <v>576</v>
      </c>
      <c r="O45" s="10"/>
      <c r="P45" s="10"/>
      <c r="Q45" s="3" t="s">
        <v>26</v>
      </c>
      <c r="R45" s="1"/>
      <c r="S45" s="1"/>
    </row>
    <row r="46" ht="14.25" customHeight="1">
      <c r="A46" s="1"/>
      <c r="B46" s="1"/>
      <c r="C46" s="5">
        <f t="shared" ref="C46:D46" si="47">E44</f>
        <v>-432</v>
      </c>
      <c r="D46" s="5">
        <f t="shared" si="47"/>
        <v>-576</v>
      </c>
      <c r="E46" s="5">
        <f t="shared" ref="E46:F46" si="48">C44</f>
        <v>432</v>
      </c>
      <c r="F46" s="5">
        <f t="shared" si="48"/>
        <v>576</v>
      </c>
      <c r="G46" s="3" t="str">
        <f>E43</f>
        <v>U1X</v>
      </c>
      <c r="H46" s="1"/>
      <c r="I46" s="1"/>
      <c r="J46" s="1"/>
      <c r="K46" s="10">
        <f t="shared" ref="K46:L46" si="49">E45</f>
        <v>-576</v>
      </c>
      <c r="L46" s="10">
        <f t="shared" si="49"/>
        <v>-768</v>
      </c>
      <c r="M46" s="10">
        <f t="shared" ref="M46:N46" si="50">C45</f>
        <v>576</v>
      </c>
      <c r="N46" s="10">
        <f t="shared" si="50"/>
        <v>768</v>
      </c>
      <c r="O46" s="10"/>
      <c r="P46" s="10"/>
      <c r="Q46" s="3" t="s">
        <v>27</v>
      </c>
      <c r="R46" s="1"/>
      <c r="S46" s="1"/>
    </row>
    <row r="47" ht="14.25" customHeight="1">
      <c r="A47" s="1"/>
      <c r="B47" s="1"/>
      <c r="C47" s="5">
        <f t="shared" ref="C47:D47" si="51">E45</f>
        <v>-576</v>
      </c>
      <c r="D47" s="5">
        <f t="shared" si="51"/>
        <v>-768</v>
      </c>
      <c r="E47" s="5">
        <f t="shared" ref="E47:F47" si="52">C45</f>
        <v>576</v>
      </c>
      <c r="F47" s="5">
        <f t="shared" si="52"/>
        <v>768</v>
      </c>
      <c r="G47" s="3" t="str">
        <f>F43</f>
        <v>U1Y</v>
      </c>
      <c r="H47" s="1"/>
      <c r="I47" s="1"/>
      <c r="J47" s="1"/>
      <c r="K47" s="1"/>
      <c r="L47" s="1"/>
      <c r="M47" s="10"/>
      <c r="N47" s="10"/>
      <c r="O47" s="10"/>
      <c r="P47" s="10"/>
      <c r="Q47" s="3" t="s">
        <v>28</v>
      </c>
      <c r="R47" s="1"/>
      <c r="S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0"/>
      <c r="N48" s="10"/>
      <c r="O48" s="10"/>
      <c r="P48" s="10"/>
      <c r="Q48" s="3" t="s">
        <v>29</v>
      </c>
      <c r="R48" s="1"/>
      <c r="S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ht="14.25" customHeight="1">
      <c r="A54" s="3" t="s">
        <v>40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ht="14.25" customHeight="1">
      <c r="A57" s="1"/>
      <c r="B57" s="1"/>
      <c r="C57" s="1"/>
      <c r="D57" s="1"/>
      <c r="E57" s="3" t="s">
        <v>24</v>
      </c>
      <c r="F57" s="3" t="s">
        <v>25</v>
      </c>
      <c r="G57" s="3" t="s">
        <v>26</v>
      </c>
      <c r="H57" s="3" t="s">
        <v>27</v>
      </c>
      <c r="I57" s="3" t="s">
        <v>28</v>
      </c>
      <c r="J57" s="3" t="s">
        <v>29</v>
      </c>
      <c r="K57" s="1"/>
      <c r="L57" s="1"/>
      <c r="M57" s="1"/>
      <c r="N57" s="1"/>
      <c r="O57" s="1"/>
      <c r="P57" s="1"/>
      <c r="Q57" s="1"/>
      <c r="R57" s="1"/>
      <c r="S57" s="1"/>
    </row>
    <row r="58" ht="14.25" customHeight="1">
      <c r="A58" s="1"/>
      <c r="B58" s="1"/>
      <c r="C58" s="1"/>
      <c r="D58" s="1"/>
      <c r="E58" s="10">
        <f t="shared" ref="E58:J58" si="53">K19+K31+K43</f>
        <v>962.3300859</v>
      </c>
      <c r="F58" s="10">
        <f t="shared" si="53"/>
        <v>45.66991411</v>
      </c>
      <c r="G58" s="10">
        <f t="shared" si="53"/>
        <v>-432</v>
      </c>
      <c r="H58" s="10">
        <f t="shared" si="53"/>
        <v>-576</v>
      </c>
      <c r="I58" s="10">
        <f t="shared" si="53"/>
        <v>-530.3300859</v>
      </c>
      <c r="J58" s="10">
        <f t="shared" si="53"/>
        <v>530.3300859</v>
      </c>
      <c r="K58" s="3" t="s">
        <v>24</v>
      </c>
      <c r="L58" s="1"/>
      <c r="M58" s="1"/>
      <c r="N58" s="1"/>
      <c r="O58" s="1"/>
      <c r="P58" s="1"/>
      <c r="Q58" s="1"/>
      <c r="R58" s="1"/>
      <c r="S58" s="1"/>
    </row>
    <row r="59" ht="14.25" customHeight="1">
      <c r="A59" s="1"/>
      <c r="B59" s="1"/>
      <c r="C59" s="1"/>
      <c r="D59" s="1"/>
      <c r="E59" s="10">
        <f t="shared" ref="E59:J59" si="54">K20+K32+K44</f>
        <v>45.66991411</v>
      </c>
      <c r="F59" s="10">
        <f t="shared" si="54"/>
        <v>1298.330086</v>
      </c>
      <c r="G59" s="10">
        <f t="shared" si="54"/>
        <v>-576</v>
      </c>
      <c r="H59" s="10">
        <f t="shared" si="54"/>
        <v>-768</v>
      </c>
      <c r="I59" s="10">
        <f t="shared" si="54"/>
        <v>530.3300859</v>
      </c>
      <c r="J59" s="10">
        <f t="shared" si="54"/>
        <v>-530.3300859</v>
      </c>
      <c r="K59" s="3" t="s">
        <v>25</v>
      </c>
      <c r="L59" s="1"/>
      <c r="M59" s="1"/>
      <c r="N59" s="1"/>
      <c r="O59" s="1"/>
      <c r="P59" s="1"/>
      <c r="Q59" s="1"/>
      <c r="R59" s="1"/>
      <c r="S59" s="1"/>
    </row>
    <row r="60" ht="14.25" customHeight="1">
      <c r="A60" s="1"/>
      <c r="B60" s="1"/>
      <c r="C60" s="1"/>
      <c r="D60" s="4" t="s">
        <v>43</v>
      </c>
      <c r="E60" s="10">
        <f t="shared" ref="E60:J60" si="55">K21+K33+K45</f>
        <v>-432</v>
      </c>
      <c r="F60" s="10">
        <f t="shared" si="55"/>
        <v>-576</v>
      </c>
      <c r="G60" s="10">
        <f t="shared" si="55"/>
        <v>1289.142857</v>
      </c>
      <c r="H60" s="10">
        <f t="shared" si="55"/>
        <v>576</v>
      </c>
      <c r="I60" s="10">
        <f t="shared" si="55"/>
        <v>-857.1428571</v>
      </c>
      <c r="J60" s="10">
        <f t="shared" si="55"/>
        <v>0</v>
      </c>
      <c r="K60" s="3" t="s">
        <v>26</v>
      </c>
      <c r="L60" s="1"/>
      <c r="M60" s="1"/>
      <c r="N60" s="1"/>
      <c r="O60" s="1"/>
      <c r="P60" s="1"/>
      <c r="Q60" s="1"/>
      <c r="R60" s="1"/>
      <c r="S60" s="1"/>
    </row>
    <row r="61" ht="14.25" customHeight="1">
      <c r="A61" s="1"/>
      <c r="B61" s="1"/>
      <c r="C61" s="1"/>
      <c r="D61" s="1"/>
      <c r="E61" s="10">
        <f t="shared" ref="E61:J61" si="56">K22+K34+K46</f>
        <v>-576</v>
      </c>
      <c r="F61" s="10">
        <f t="shared" si="56"/>
        <v>-768</v>
      </c>
      <c r="G61" s="10">
        <f t="shared" si="56"/>
        <v>576</v>
      </c>
      <c r="H61" s="10">
        <f t="shared" si="56"/>
        <v>768</v>
      </c>
      <c r="I61" s="10">
        <f t="shared" si="56"/>
        <v>0</v>
      </c>
      <c r="J61" s="10">
        <f t="shared" si="56"/>
        <v>0</v>
      </c>
      <c r="K61" s="3" t="s">
        <v>27</v>
      </c>
      <c r="L61" s="1"/>
      <c r="M61" s="1"/>
      <c r="N61" s="1"/>
      <c r="O61" s="1"/>
      <c r="P61" s="1"/>
      <c r="Q61" s="1"/>
      <c r="R61" s="1"/>
      <c r="S61" s="1"/>
    </row>
    <row r="62" ht="14.25" customHeight="1">
      <c r="A62" s="1"/>
      <c r="B62" s="1"/>
      <c r="C62" s="1"/>
      <c r="D62" s="1"/>
      <c r="E62" s="10">
        <f t="shared" ref="E62:J62" si="57">K23+K35+K47</f>
        <v>-530.3300859</v>
      </c>
      <c r="F62" s="10">
        <f t="shared" si="57"/>
        <v>530.3300859</v>
      </c>
      <c r="G62" s="10">
        <f t="shared" si="57"/>
        <v>-857.1428571</v>
      </c>
      <c r="H62" s="10">
        <f t="shared" si="57"/>
        <v>0</v>
      </c>
      <c r="I62" s="10">
        <f t="shared" si="57"/>
        <v>1387.472943</v>
      </c>
      <c r="J62" s="10">
        <f t="shared" si="57"/>
        <v>-530.3300859</v>
      </c>
      <c r="K62" s="3" t="s">
        <v>28</v>
      </c>
      <c r="L62" s="1"/>
      <c r="M62" s="1"/>
      <c r="N62" s="1"/>
      <c r="O62" s="1"/>
      <c r="P62" s="1"/>
      <c r="Q62" s="1"/>
      <c r="R62" s="1"/>
      <c r="S62" s="1"/>
    </row>
    <row r="63" ht="14.25" customHeight="1">
      <c r="A63" s="1"/>
      <c r="B63" s="1"/>
      <c r="C63" s="1"/>
      <c r="D63" s="1"/>
      <c r="E63" s="10">
        <f t="shared" ref="E63:J63" si="58">K24+K36+K48</f>
        <v>530.3300859</v>
      </c>
      <c r="F63" s="10">
        <f t="shared" si="58"/>
        <v>-530.3300859</v>
      </c>
      <c r="G63" s="10">
        <f t="shared" si="58"/>
        <v>0</v>
      </c>
      <c r="H63" s="10">
        <f t="shared" si="58"/>
        <v>0</v>
      </c>
      <c r="I63" s="10">
        <f t="shared" si="58"/>
        <v>-530.3300859</v>
      </c>
      <c r="J63" s="10">
        <f t="shared" si="58"/>
        <v>530.3300859</v>
      </c>
      <c r="K63" s="3" t="s">
        <v>29</v>
      </c>
      <c r="L63" s="1"/>
      <c r="M63" s="1"/>
      <c r="N63" s="1"/>
      <c r="O63" s="1"/>
      <c r="P63" s="1"/>
      <c r="Q63" s="1"/>
      <c r="R63" s="1"/>
      <c r="S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ht="14.25" customHeight="1">
      <c r="A67" s="3" t="s">
        <v>44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ht="14.25" customHeight="1">
      <c r="A69" s="1"/>
      <c r="B69" s="1"/>
      <c r="C69" s="1" t="s">
        <v>45</v>
      </c>
      <c r="D69" s="1"/>
      <c r="E69" s="8">
        <v>5000.0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4.25" customHeight="1">
      <c r="A70" s="1"/>
      <c r="B70" s="1"/>
      <c r="C70" s="1" t="s">
        <v>46</v>
      </c>
      <c r="D70" s="1"/>
      <c r="E70" s="8">
        <v>-4000.0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ht="14.25" customHeight="1">
      <c r="A71" s="1"/>
      <c r="B71" s="1"/>
      <c r="C71" s="1" t="s">
        <v>47</v>
      </c>
      <c r="D71" s="4"/>
      <c r="E71" s="8" t="s">
        <v>47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ht="14.25" customHeight="1">
      <c r="A72" s="1"/>
      <c r="B72" s="1" t="s">
        <v>48</v>
      </c>
      <c r="C72" s="1" t="s">
        <v>49</v>
      </c>
      <c r="D72" s="3" t="s">
        <v>50</v>
      </c>
      <c r="E72" s="8" t="s">
        <v>49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ht="14.25" customHeight="1">
      <c r="A73" s="1"/>
      <c r="B73" s="1"/>
      <c r="C73" s="1" t="s">
        <v>51</v>
      </c>
      <c r="D73" s="4"/>
      <c r="E73" s="8" t="s">
        <v>51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ht="14.25" customHeight="1">
      <c r="A74" s="1"/>
      <c r="B74" s="1"/>
      <c r="C74" s="1" t="s">
        <v>52</v>
      </c>
      <c r="D74" s="4"/>
      <c r="E74" s="8" t="s">
        <v>52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ht="14.25" customHeight="1">
      <c r="A75" s="1"/>
      <c r="B75" s="1"/>
      <c r="C75" s="1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4.25" customHeight="1">
      <c r="A76" s="1"/>
      <c r="B76" s="1"/>
      <c r="C76" s="1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ht="14.25" customHeight="1">
      <c r="A77" s="1"/>
      <c r="B77" s="1"/>
      <c r="C77" s="1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ht="14.25" customHeight="1">
      <c r="A78" s="3" t="s">
        <v>55</v>
      </c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ht="14.25" customHeight="1">
      <c r="A79" s="1"/>
      <c r="B79" s="1"/>
      <c r="C79" s="1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ht="14.25" customHeight="1">
      <c r="A80" s="1"/>
      <c r="B80" s="1"/>
      <c r="C80" s="1" t="s">
        <v>56</v>
      </c>
      <c r="D80" s="4"/>
      <c r="E80" s="8" t="s">
        <v>56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ht="14.25" customHeight="1">
      <c r="A81" s="1"/>
      <c r="B81" s="1"/>
      <c r="C81" s="1" t="s">
        <v>57</v>
      </c>
      <c r="D81" s="4"/>
      <c r="E81" s="8" t="s">
        <v>57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ht="14.25" customHeight="1">
      <c r="A82" s="1"/>
      <c r="B82" s="1"/>
      <c r="C82" s="1" t="s">
        <v>58</v>
      </c>
      <c r="D82" s="4"/>
      <c r="E82" s="8">
        <v>0.0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ht="14.25" customHeight="1">
      <c r="A83" s="1"/>
      <c r="B83" s="1" t="s">
        <v>59</v>
      </c>
      <c r="C83" s="1" t="s">
        <v>60</v>
      </c>
      <c r="D83" s="3" t="s">
        <v>50</v>
      </c>
      <c r="E83" s="8">
        <v>0.0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ht="14.25" customHeight="1">
      <c r="A84" s="1"/>
      <c r="B84" s="1"/>
      <c r="C84" s="1" t="s">
        <v>61</v>
      </c>
      <c r="D84" s="1"/>
      <c r="E84" s="8">
        <v>0.0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ht="14.25" customHeight="1">
      <c r="A85" s="1"/>
      <c r="B85" s="1"/>
      <c r="C85" s="1" t="s">
        <v>62</v>
      </c>
      <c r="D85" s="1"/>
      <c r="E85" s="8">
        <v>0.0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ht="14.25" customHeight="1">
      <c r="A88" s="3" t="s">
        <v>63</v>
      </c>
      <c r="D88" s="1"/>
      <c r="E88" s="1"/>
      <c r="F88" s="1"/>
      <c r="G88" s="12" t="s">
        <v>64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ht="14.25" customHeight="1">
      <c r="A89" s="1"/>
      <c r="B89" s="1"/>
      <c r="C89" s="1"/>
      <c r="D89" s="1"/>
      <c r="E89" s="1"/>
      <c r="F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ht="14.25" customHeight="1">
      <c r="A91" s="1"/>
      <c r="B91" s="1"/>
      <c r="C91" s="8">
        <f t="shared" ref="C91:C96" si="60">E69</f>
        <v>5000</v>
      </c>
      <c r="D91" s="1"/>
      <c r="E91" s="10">
        <f t="shared" ref="E91:J91" si="59">E58</f>
        <v>962.3300859</v>
      </c>
      <c r="F91" s="10">
        <f t="shared" si="59"/>
        <v>45.66991411</v>
      </c>
      <c r="G91" s="10">
        <f t="shared" si="59"/>
        <v>-432</v>
      </c>
      <c r="H91" s="10">
        <f t="shared" si="59"/>
        <v>-576</v>
      </c>
      <c r="I91" s="10">
        <f t="shared" si="59"/>
        <v>-530.3300859</v>
      </c>
      <c r="J91" s="10">
        <f t="shared" si="59"/>
        <v>530.3300859</v>
      </c>
      <c r="K91" s="1"/>
      <c r="L91" s="13" t="str">
        <f t="shared" ref="L91:L96" si="62">E80</f>
        <v>D1X</v>
      </c>
      <c r="M91" s="1"/>
      <c r="N91" s="1"/>
      <c r="O91" s="1"/>
      <c r="P91" s="1"/>
      <c r="Q91" s="1"/>
      <c r="R91" s="1"/>
      <c r="S91" s="1"/>
    </row>
    <row r="92" ht="14.25" customHeight="1">
      <c r="A92" s="1"/>
      <c r="B92" s="1"/>
      <c r="C92" s="8">
        <f t="shared" si="60"/>
        <v>-4000</v>
      </c>
      <c r="D92" s="1"/>
      <c r="E92" s="10">
        <f t="shared" ref="E92:J92" si="61">E59</f>
        <v>45.66991411</v>
      </c>
      <c r="F92" s="10">
        <f t="shared" si="61"/>
        <v>1298.330086</v>
      </c>
      <c r="G92" s="10">
        <f t="shared" si="61"/>
        <v>-576</v>
      </c>
      <c r="H92" s="10">
        <f t="shared" si="61"/>
        <v>-768</v>
      </c>
      <c r="I92" s="10">
        <f t="shared" si="61"/>
        <v>530.3300859</v>
      </c>
      <c r="J92" s="10">
        <f t="shared" si="61"/>
        <v>-530.3300859</v>
      </c>
      <c r="K92" s="1"/>
      <c r="L92" s="13" t="str">
        <f t="shared" si="62"/>
        <v>D1Y</v>
      </c>
      <c r="M92" s="1"/>
      <c r="N92" s="1"/>
      <c r="O92" s="1"/>
      <c r="P92" s="1"/>
      <c r="Q92" s="1"/>
      <c r="R92" s="1"/>
      <c r="S92" s="1"/>
    </row>
    <row r="93" ht="14.25" customHeight="1">
      <c r="A93" s="1"/>
      <c r="B93" s="1"/>
      <c r="C93" s="8" t="str">
        <f t="shared" si="60"/>
        <v>C2X</v>
      </c>
      <c r="D93" s="1"/>
      <c r="E93" s="10">
        <f t="shared" ref="E93:J93" si="63">E60</f>
        <v>-432</v>
      </c>
      <c r="F93" s="10">
        <f t="shared" si="63"/>
        <v>-576</v>
      </c>
      <c r="G93" s="10">
        <f t="shared" si="63"/>
        <v>1289.142857</v>
      </c>
      <c r="H93" s="10">
        <f t="shared" si="63"/>
        <v>576</v>
      </c>
      <c r="I93" s="10">
        <f t="shared" si="63"/>
        <v>-857.1428571</v>
      </c>
      <c r="J93" s="10">
        <f t="shared" si="63"/>
        <v>0</v>
      </c>
      <c r="K93" s="1"/>
      <c r="L93" s="13">
        <f t="shared" si="62"/>
        <v>0</v>
      </c>
      <c r="M93" s="1"/>
      <c r="N93" s="12" t="s">
        <v>65</v>
      </c>
      <c r="P93" s="1"/>
      <c r="Q93" s="1"/>
      <c r="R93" s="1"/>
      <c r="S93" s="1"/>
    </row>
    <row r="94" ht="14.25" customHeight="1">
      <c r="A94" s="1"/>
      <c r="B94" s="1"/>
      <c r="C94" s="8" t="str">
        <f t="shared" si="60"/>
        <v>C2Y</v>
      </c>
      <c r="D94" s="8" t="s">
        <v>50</v>
      </c>
      <c r="E94" s="10">
        <f t="shared" ref="E94:J94" si="64">E61</f>
        <v>-576</v>
      </c>
      <c r="F94" s="10">
        <f t="shared" si="64"/>
        <v>-768</v>
      </c>
      <c r="G94" s="10">
        <f t="shared" si="64"/>
        <v>576</v>
      </c>
      <c r="H94" s="10">
        <f t="shared" si="64"/>
        <v>768</v>
      </c>
      <c r="I94" s="10">
        <f t="shared" si="64"/>
        <v>0</v>
      </c>
      <c r="J94" s="10">
        <f t="shared" si="64"/>
        <v>0</v>
      </c>
      <c r="K94" s="1"/>
      <c r="L94" s="13">
        <f t="shared" si="62"/>
        <v>0</v>
      </c>
      <c r="M94" s="1"/>
      <c r="P94" s="1"/>
      <c r="Q94" s="1"/>
      <c r="R94" s="1"/>
      <c r="S94" s="1"/>
    </row>
    <row r="95" ht="14.25" customHeight="1">
      <c r="A95" s="1"/>
      <c r="B95" s="1"/>
      <c r="C95" s="8" t="str">
        <f t="shared" si="60"/>
        <v>C3X</v>
      </c>
      <c r="D95" s="1"/>
      <c r="E95" s="10">
        <f t="shared" ref="E95:J95" si="65">E62</f>
        <v>-530.3300859</v>
      </c>
      <c r="F95" s="10">
        <f t="shared" si="65"/>
        <v>530.3300859</v>
      </c>
      <c r="G95" s="10">
        <f t="shared" si="65"/>
        <v>-857.1428571</v>
      </c>
      <c r="H95" s="10">
        <f t="shared" si="65"/>
        <v>0</v>
      </c>
      <c r="I95" s="10">
        <f t="shared" si="65"/>
        <v>1387.472943</v>
      </c>
      <c r="J95" s="10">
        <f t="shared" si="65"/>
        <v>-530.3300859</v>
      </c>
      <c r="K95" s="1"/>
      <c r="L95" s="13">
        <f t="shared" si="62"/>
        <v>0</v>
      </c>
      <c r="M95" s="1"/>
      <c r="N95" s="1"/>
      <c r="O95" s="1"/>
      <c r="P95" s="1"/>
      <c r="Q95" s="1"/>
      <c r="R95" s="1"/>
      <c r="S95" s="1"/>
    </row>
    <row r="96" ht="14.25" customHeight="1">
      <c r="A96" s="1"/>
      <c r="B96" s="1"/>
      <c r="C96" s="8" t="str">
        <f t="shared" si="60"/>
        <v>C3Y</v>
      </c>
      <c r="D96" s="1"/>
      <c r="E96" s="10">
        <f t="shared" ref="E96:J96" si="66">E63</f>
        <v>530.3300859</v>
      </c>
      <c r="F96" s="10">
        <f t="shared" si="66"/>
        <v>-530.3300859</v>
      </c>
      <c r="G96" s="10">
        <f t="shared" si="66"/>
        <v>0</v>
      </c>
      <c r="H96" s="10">
        <f t="shared" si="66"/>
        <v>0</v>
      </c>
      <c r="I96" s="10">
        <f t="shared" si="66"/>
        <v>-530.3300859</v>
      </c>
      <c r="J96" s="10">
        <f t="shared" si="66"/>
        <v>530.3300859</v>
      </c>
      <c r="K96" s="1"/>
      <c r="L96" s="13">
        <f t="shared" si="62"/>
        <v>0</v>
      </c>
      <c r="M96" s="1"/>
      <c r="N96" s="1"/>
      <c r="O96" s="1"/>
      <c r="P96" s="1"/>
      <c r="Q96" s="1"/>
      <c r="R96" s="1"/>
      <c r="S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ht="14.25" customHeight="1">
      <c r="A100" s="4" t="s">
        <v>66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ht="14.25" customHeight="1">
      <c r="A104" s="1"/>
      <c r="B104" s="1"/>
      <c r="C104" s="8">
        <v>5000.0</v>
      </c>
      <c r="D104" s="1"/>
      <c r="E104" s="10">
        <f t="shared" ref="E104:F104" si="67">E91</f>
        <v>962.3300859</v>
      </c>
      <c r="F104" s="10">
        <f t="shared" si="67"/>
        <v>45.66991411</v>
      </c>
      <c r="G104" s="10"/>
      <c r="H104" s="1"/>
      <c r="I104" s="13" t="str">
        <f t="shared" ref="I104:I105" si="69">L91</f>
        <v>D1X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ht="14.25" customHeight="1">
      <c r="A105" s="1"/>
      <c r="B105" s="1"/>
      <c r="C105" s="8">
        <v>-4000.0</v>
      </c>
      <c r="D105" s="3" t="s">
        <v>50</v>
      </c>
      <c r="E105" s="10">
        <f t="shared" ref="E105:F105" si="68">E92</f>
        <v>45.66991411</v>
      </c>
      <c r="F105" s="10">
        <f t="shared" si="68"/>
        <v>1298.330086</v>
      </c>
      <c r="G105" s="10"/>
      <c r="H105" s="8" t="s">
        <v>17</v>
      </c>
      <c r="I105" s="13" t="str">
        <f t="shared" si="69"/>
        <v>D1Y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ht="14.25" customHeight="1">
      <c r="A106" s="1"/>
      <c r="B106" s="1"/>
      <c r="C106" s="8"/>
      <c r="D106" s="3"/>
      <c r="E106" s="10"/>
      <c r="F106" s="10"/>
      <c r="G106" s="10"/>
      <c r="H106" s="8"/>
      <c r="I106" s="13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ht="14.25" customHeight="1">
      <c r="A107" s="1"/>
      <c r="B107" s="1"/>
      <c r="C107" s="8"/>
      <c r="D107" s="3"/>
      <c r="E107" s="1"/>
      <c r="F107" s="1"/>
      <c r="G107" s="1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ht="14.25" customHeight="1">
      <c r="A108" s="1"/>
      <c r="B108" s="1"/>
      <c r="C108" s="8"/>
      <c r="D108" s="3"/>
      <c r="E108" s="1"/>
      <c r="F108" s="1"/>
      <c r="G108" s="1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ht="14.25" customHeight="1">
      <c r="A109" s="1"/>
      <c r="B109" s="1"/>
      <c r="C109" s="13" t="str">
        <f t="shared" ref="C109:C110" si="70">I104</f>
        <v>D1X</v>
      </c>
      <c r="D109" s="3"/>
      <c r="E109" s="1">
        <f t="array" ref="E109:F110">MINVERSE(E104:F105)</f>
        <v>0.001040882095</v>
      </c>
      <c r="F109" s="1">
        <v>-3.6613952339514164E-5</v>
      </c>
      <c r="G109" s="1"/>
      <c r="H109" s="8"/>
      <c r="I109" s="8">
        <f t="shared" ref="I109:I110" si="71">C104</f>
        <v>5000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ht="14.25" customHeight="1">
      <c r="A110" s="1"/>
      <c r="B110" s="1"/>
      <c r="C110" s="13" t="str">
        <f t="shared" si="70"/>
        <v>D1Y</v>
      </c>
      <c r="D110" s="3" t="s">
        <v>50</v>
      </c>
      <c r="E110" s="1">
        <v>-3.661395233951416E-5</v>
      </c>
      <c r="F110" s="1">
        <v>7.715080833022546E-4</v>
      </c>
      <c r="G110" s="1"/>
      <c r="H110" s="8" t="s">
        <v>17</v>
      </c>
      <c r="I110" s="8">
        <f t="shared" si="71"/>
        <v>-4000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ht="14.25" customHeight="1">
      <c r="A111" s="1"/>
      <c r="B111" s="1"/>
      <c r="C111" s="13"/>
      <c r="D111" s="3"/>
      <c r="E111" s="1"/>
      <c r="F111" s="1"/>
      <c r="G111" s="1"/>
      <c r="H111" s="1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ht="14.25" customHeight="1">
      <c r="A112" s="1"/>
      <c r="B112" s="1"/>
      <c r="C112" s="8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ht="14.25" customHeight="1">
      <c r="A113" s="1"/>
      <c r="B113" s="1"/>
      <c r="C113" s="8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ht="14.25" customHeight="1">
      <c r="A114" s="1"/>
      <c r="B114" s="1"/>
      <c r="C114" s="13" t="str">
        <f t="shared" ref="C114:C115" si="72">C109</f>
        <v>D1X</v>
      </c>
      <c r="D114" s="3"/>
      <c r="E114" s="14">
        <f t="array" ref="E114:E115">MMULT(E109:F110,I109:I110)</f>
        <v>5.350866285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ht="14.25" customHeight="1">
      <c r="A115" s="1"/>
      <c r="B115" s="1"/>
      <c r="C115" s="13" t="str">
        <f t="shared" si="72"/>
        <v>D1Y</v>
      </c>
      <c r="D115" s="3" t="str">
        <f>D110</f>
        <v>=</v>
      </c>
      <c r="E115" s="14">
        <v>-3.2691020949065894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ht="14.25" customHeight="1">
      <c r="A116" s="1"/>
      <c r="B116" s="1"/>
      <c r="C116" s="13"/>
      <c r="D116" s="1"/>
      <c r="E116" s="1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ht="14.25" customHeight="1">
      <c r="A120" s="4" t="s">
        <v>68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ht="14.25" customHeight="1">
      <c r="A124" s="1"/>
      <c r="B124" s="1"/>
      <c r="C124" s="8" t="str">
        <f t="shared" ref="C124:C125" si="74">C93</f>
        <v>C2X</v>
      </c>
      <c r="D124" s="4"/>
      <c r="E124" s="10">
        <f t="shared" ref="E124:F124" si="73">E93</f>
        <v>-432</v>
      </c>
      <c r="F124" s="10">
        <f t="shared" si="73"/>
        <v>-576</v>
      </c>
      <c r="G124" s="10"/>
      <c r="H124" s="1"/>
      <c r="I124" s="15">
        <f t="shared" ref="I124:I125" si="76">E114</f>
        <v>5.350866285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ht="14.25" customHeight="1">
      <c r="A125" s="1"/>
      <c r="B125" s="1"/>
      <c r="C125" s="8" t="str">
        <f t="shared" si="74"/>
        <v>C2Y</v>
      </c>
      <c r="D125" s="3" t="s">
        <v>50</v>
      </c>
      <c r="E125" s="10">
        <f t="shared" ref="E125:F125" si="75">E94</f>
        <v>-576</v>
      </c>
      <c r="F125" s="10">
        <f t="shared" si="75"/>
        <v>-768</v>
      </c>
      <c r="G125" s="10"/>
      <c r="H125" s="8" t="s">
        <v>17</v>
      </c>
      <c r="I125" s="15">
        <f t="shared" si="76"/>
        <v>-3.269102095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ht="14.25" customHeight="1">
      <c r="A126" s="1"/>
      <c r="B126" s="1"/>
      <c r="C126" s="8" t="s">
        <v>51</v>
      </c>
      <c r="D126" s="3"/>
      <c r="E126" s="10">
        <f t="shared" ref="E126:F126" si="77">E95</f>
        <v>-530.3300859</v>
      </c>
      <c r="F126" s="10">
        <f t="shared" si="77"/>
        <v>530.3300859</v>
      </c>
      <c r="G126" s="10"/>
      <c r="H126" s="8"/>
      <c r="I126" s="15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ht="14.25" customHeight="1">
      <c r="A127" s="1"/>
      <c r="B127" s="1"/>
      <c r="C127" s="8" t="str">
        <f>C96</f>
        <v>C3Y</v>
      </c>
      <c r="D127" s="4"/>
      <c r="E127" s="10">
        <f t="shared" ref="E127:F127" si="78">E96</f>
        <v>530.3300859</v>
      </c>
      <c r="F127" s="10">
        <f t="shared" si="78"/>
        <v>-530.3300859</v>
      </c>
      <c r="G127" s="10"/>
      <c r="H127" s="1"/>
      <c r="I127" s="15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ht="14.25" customHeight="1">
      <c r="A128" s="1"/>
      <c r="B128" s="1"/>
      <c r="C128" s="1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ht="14.25" customHeight="1">
      <c r="A129" s="1"/>
      <c r="B129" s="1"/>
      <c r="C129" s="1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ht="14.25" customHeight="1">
      <c r="A130" s="1"/>
      <c r="B130" s="1"/>
      <c r="C130" s="8" t="str">
        <f t="shared" ref="C130:C131" si="79">C124</f>
        <v>C2X</v>
      </c>
      <c r="D130" s="4"/>
      <c r="E130" s="10">
        <f t="array" ref="E130:E133">MMULT(E124:F127,I124:I125)</f>
        <v>-428.5714286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ht="14.25" customHeight="1">
      <c r="A131" s="1"/>
      <c r="B131" s="1"/>
      <c r="C131" s="8" t="str">
        <f t="shared" si="79"/>
        <v>C2Y</v>
      </c>
      <c r="D131" s="3" t="str">
        <f>D125</f>
        <v>=</v>
      </c>
      <c r="E131" s="10">
        <v>-571.4285714285711</v>
      </c>
      <c r="F131" s="1"/>
      <c r="G131" s="1"/>
      <c r="H131" s="1">
        <f>ABS(E130+E132)</f>
        <v>5000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ht="14.25" customHeight="1">
      <c r="A132" s="1"/>
      <c r="B132" s="1"/>
      <c r="C132" s="8" t="s">
        <v>51</v>
      </c>
      <c r="D132" s="1"/>
      <c r="E132" s="10">
        <v>-4571.428571428572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ht="14.25" customHeight="1">
      <c r="A133" s="1"/>
      <c r="B133" s="1"/>
      <c r="C133" s="8" t="s">
        <v>52</v>
      </c>
      <c r="D133" s="1"/>
      <c r="E133" s="10">
        <v>4571.428571428572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ht="14.25" customHeight="1">
      <c r="A140" s="4" t="s">
        <v>67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ht="14.25" customHeight="1">
      <c r="A143" s="1"/>
      <c r="B143" s="1"/>
      <c r="C143" s="15">
        <f t="shared" ref="C143:C144" si="80">E114</f>
        <v>5.350866285</v>
      </c>
      <c r="D143" s="8" t="s">
        <v>24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ht="14.25" customHeight="1">
      <c r="A144" s="1"/>
      <c r="B144" s="1"/>
      <c r="C144" s="15">
        <f t="shared" si="80"/>
        <v>-3.269102095</v>
      </c>
      <c r="D144" s="8" t="s">
        <v>25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ht="14.25" customHeight="1">
      <c r="A145" s="1"/>
      <c r="B145" s="1" t="s">
        <v>59</v>
      </c>
      <c r="C145" s="15">
        <v>0.0</v>
      </c>
      <c r="D145" s="8" t="s">
        <v>26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ht="14.25" customHeight="1">
      <c r="A146" s="1"/>
      <c r="B146" s="1"/>
      <c r="C146" s="8">
        <v>0.0</v>
      </c>
      <c r="D146" s="8" t="s">
        <v>27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ht="14.25" customHeight="1">
      <c r="A147" s="1"/>
      <c r="B147" s="1"/>
      <c r="C147" s="15" t="str">
        <f>E116</f>
        <v/>
      </c>
      <c r="D147" s="8" t="s">
        <v>28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ht="14.25" customHeight="1">
      <c r="A148" s="1"/>
      <c r="B148" s="1"/>
      <c r="C148" s="8">
        <v>0.0</v>
      </c>
      <c r="D148" s="8" t="s">
        <v>29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ht="14.25" customHeight="1">
      <c r="A151" s="4" t="s">
        <v>69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5" t="str">
        <f>C147</f>
        <v/>
      </c>
      <c r="M156" s="8" t="s">
        <v>61</v>
      </c>
      <c r="N156" s="1"/>
      <c r="O156" s="1"/>
      <c r="P156" s="1"/>
      <c r="Q156" s="1"/>
      <c r="R156" s="1"/>
      <c r="S156" s="1"/>
    </row>
    <row r="157" ht="14.25" customHeight="1">
      <c r="A157" s="1"/>
      <c r="B157" s="1"/>
      <c r="C157" s="1"/>
      <c r="D157" s="1"/>
      <c r="E157" s="1"/>
      <c r="F157" s="3" t="str">
        <f>"-CX"</f>
        <v>-CX</v>
      </c>
      <c r="G157" s="3" t="str">
        <f>"-CY"</f>
        <v>-CY</v>
      </c>
      <c r="H157" s="3" t="str">
        <f t="shared" ref="H157:I157" si="81">"CX"</f>
        <v>CX</v>
      </c>
      <c r="I157" s="3" t="str">
        <f t="shared" si="81"/>
        <v>CX</v>
      </c>
      <c r="J157" s="1"/>
      <c r="K157" s="1"/>
      <c r="L157" s="8">
        <v>0.0</v>
      </c>
      <c r="M157" s="8" t="s">
        <v>62</v>
      </c>
      <c r="N157" s="1"/>
      <c r="O157" s="1"/>
      <c r="P157" s="1"/>
      <c r="Q157" s="1"/>
      <c r="R157" s="1"/>
      <c r="S157" s="1"/>
    </row>
    <row r="158" ht="14.25" customHeight="1">
      <c r="A158" s="1"/>
      <c r="B158" s="4" t="s">
        <v>70</v>
      </c>
      <c r="C158" s="4"/>
      <c r="D158" s="4">
        <f>N5</f>
        <v>857.1428571</v>
      </c>
      <c r="E158" s="1"/>
      <c r="F158" s="10">
        <f t="shared" ref="F158:G158" si="82">J5*-1</f>
        <v>1</v>
      </c>
      <c r="G158" s="10">
        <f t="shared" si="82"/>
        <v>0</v>
      </c>
      <c r="H158" s="10">
        <f t="shared" ref="H158:I158" si="83">F158*-1</f>
        <v>-1</v>
      </c>
      <c r="I158" s="10">
        <f t="shared" si="83"/>
        <v>0</v>
      </c>
      <c r="J158" s="1"/>
      <c r="K158" s="1"/>
      <c r="L158" s="15">
        <v>0.0</v>
      </c>
      <c r="M158" s="8" t="s">
        <v>58</v>
      </c>
      <c r="N158" s="1"/>
      <c r="O158" s="1"/>
      <c r="P158" s="1"/>
      <c r="Q158" s="1"/>
      <c r="R158" s="1"/>
      <c r="S158" s="1"/>
    </row>
    <row r="159" ht="14.25" customHeight="1">
      <c r="A159" s="1"/>
      <c r="B159" s="4"/>
      <c r="C159" s="4"/>
      <c r="D159" s="4"/>
      <c r="E159" s="1"/>
      <c r="F159" s="1"/>
      <c r="G159" s="1"/>
      <c r="H159" s="1"/>
      <c r="I159" s="1"/>
      <c r="J159" s="1"/>
      <c r="K159" s="1"/>
      <c r="L159" s="15">
        <v>0.0</v>
      </c>
      <c r="M159" s="8" t="s">
        <v>60</v>
      </c>
      <c r="N159" s="1"/>
      <c r="O159" s="1"/>
      <c r="P159" s="1"/>
      <c r="Q159" s="1"/>
      <c r="R159" s="1"/>
      <c r="S159" s="1"/>
    </row>
    <row r="160" ht="14.25" customHeight="1">
      <c r="A160" s="1"/>
      <c r="B160" s="4"/>
      <c r="C160" s="4"/>
      <c r="D160" s="4"/>
      <c r="E160" s="1"/>
      <c r="F160" s="1"/>
      <c r="G160" s="1"/>
      <c r="H160" s="1"/>
      <c r="I160" s="1"/>
      <c r="J160" s="1"/>
      <c r="K160" s="1"/>
      <c r="L160" s="8"/>
      <c r="M160" s="8"/>
      <c r="N160" s="1"/>
      <c r="O160" s="1"/>
      <c r="P160" s="1"/>
      <c r="Q160" s="1"/>
      <c r="R160" s="1"/>
      <c r="S160" s="1"/>
    </row>
    <row r="161" ht="14.25" customHeight="1">
      <c r="A161" s="1"/>
      <c r="B161" s="4"/>
      <c r="C161" s="4"/>
      <c r="D161" s="4"/>
      <c r="E161" s="1"/>
      <c r="F161" s="1"/>
      <c r="G161" s="1"/>
      <c r="H161" s="1"/>
      <c r="I161" s="1"/>
      <c r="J161" s="1"/>
      <c r="K161" s="1"/>
      <c r="L161" s="8"/>
      <c r="M161" s="8"/>
      <c r="N161" s="1"/>
      <c r="O161" s="1"/>
      <c r="P161" s="1"/>
      <c r="Q161" s="1"/>
      <c r="R161" s="1"/>
      <c r="S161" s="1"/>
    </row>
    <row r="162" ht="14.25" customHeight="1">
      <c r="A162" s="1"/>
      <c r="B162" s="4" t="str">
        <f>B158</f>
        <v>F1=</v>
      </c>
      <c r="C162" s="4"/>
      <c r="D162" s="5" t="str">
        <f t="array" ref="D162">D158*MMULT(F158:I158,L156:L159)</f>
        <v>#VALUE!</v>
      </c>
      <c r="E162" s="1"/>
      <c r="F162" s="1" t="s">
        <v>71</v>
      </c>
      <c r="G162" s="1"/>
      <c r="H162" s="1"/>
      <c r="I162" s="1"/>
      <c r="J162" s="1"/>
      <c r="K162" s="1"/>
      <c r="L162" s="8"/>
      <c r="M162" s="8"/>
      <c r="N162" s="1"/>
      <c r="O162" s="1"/>
      <c r="P162" s="1"/>
      <c r="Q162" s="1"/>
      <c r="R162" s="1"/>
      <c r="S162" s="1"/>
    </row>
    <row r="163" ht="14.25" customHeight="1">
      <c r="A163" s="1"/>
      <c r="B163" s="4"/>
      <c r="C163" s="4"/>
      <c r="D163" s="4"/>
      <c r="E163" s="1"/>
      <c r="F163" s="1"/>
      <c r="G163" s="1"/>
      <c r="H163" s="1"/>
      <c r="I163" s="1"/>
      <c r="J163" s="1"/>
      <c r="K163" s="1"/>
      <c r="L163" s="8"/>
      <c r="M163" s="8"/>
      <c r="N163" s="1"/>
      <c r="O163" s="1"/>
      <c r="P163" s="1"/>
      <c r="Q163" s="1"/>
      <c r="R163" s="1"/>
      <c r="S163" s="1"/>
    </row>
    <row r="164" ht="14.25" customHeight="1">
      <c r="A164" s="1"/>
      <c r="B164" s="4"/>
      <c r="C164" s="4"/>
      <c r="D164" s="4"/>
      <c r="E164" s="1"/>
      <c r="F164" s="1"/>
      <c r="G164" s="1"/>
      <c r="H164" s="1"/>
      <c r="I164" s="1"/>
      <c r="J164" s="1"/>
      <c r="K164" s="1"/>
      <c r="L164" s="8"/>
      <c r="M164" s="8"/>
      <c r="N164" s="1"/>
      <c r="O164" s="1"/>
      <c r="P164" s="1"/>
      <c r="Q164" s="1"/>
      <c r="R164" s="1"/>
      <c r="S164" s="1"/>
    </row>
    <row r="165" ht="14.25" customHeight="1">
      <c r="A165" s="1"/>
      <c r="B165" s="4"/>
      <c r="C165" s="4"/>
      <c r="D165" s="4"/>
      <c r="E165" s="1"/>
      <c r="F165" s="1"/>
      <c r="G165" s="1"/>
      <c r="H165" s="1"/>
      <c r="I165" s="1"/>
      <c r="J165" s="1"/>
      <c r="K165" s="1"/>
      <c r="L165" s="8"/>
      <c r="M165" s="8"/>
      <c r="N165" s="1"/>
      <c r="O165" s="1"/>
      <c r="P165" s="1"/>
      <c r="Q165" s="1"/>
      <c r="R165" s="1"/>
      <c r="S165" s="1"/>
    </row>
    <row r="166" ht="14.25" customHeight="1">
      <c r="A166" s="1"/>
      <c r="B166" s="4"/>
      <c r="C166" s="4"/>
      <c r="D166" s="4"/>
      <c r="E166" s="1"/>
      <c r="F166" s="1"/>
      <c r="G166" s="1"/>
      <c r="H166" s="1"/>
      <c r="I166" s="1"/>
      <c r="J166" s="1"/>
      <c r="K166" s="1"/>
      <c r="L166" s="8"/>
      <c r="M166" s="8"/>
      <c r="N166" s="1"/>
      <c r="O166" s="1"/>
      <c r="P166" s="1"/>
      <c r="Q166" s="1"/>
      <c r="R166" s="1"/>
      <c r="S166" s="1"/>
    </row>
    <row r="167" ht="14.25" customHeight="1">
      <c r="A167" s="1"/>
      <c r="B167" s="4"/>
      <c r="C167" s="4"/>
      <c r="D167" s="4"/>
      <c r="E167" s="1"/>
      <c r="F167" s="1"/>
      <c r="G167" s="1"/>
      <c r="H167" s="1"/>
      <c r="I167" s="1"/>
      <c r="J167" s="1"/>
      <c r="K167" s="1"/>
      <c r="L167" s="15" t="str">
        <f>C147</f>
        <v/>
      </c>
      <c r="M167" s="8" t="s">
        <v>61</v>
      </c>
      <c r="N167" s="1"/>
      <c r="O167" s="1"/>
      <c r="P167" s="1"/>
      <c r="Q167" s="1"/>
      <c r="R167" s="1"/>
      <c r="S167" s="1"/>
    </row>
    <row r="168" ht="14.25" customHeight="1">
      <c r="A168" s="1"/>
      <c r="B168" s="4"/>
      <c r="C168" s="4"/>
      <c r="D168" s="4"/>
      <c r="E168" s="1"/>
      <c r="F168" s="3" t="str">
        <f>"-CX"</f>
        <v>-CX</v>
      </c>
      <c r="G168" s="3" t="str">
        <f>"-CY"</f>
        <v>-CY</v>
      </c>
      <c r="H168" s="3" t="str">
        <f t="shared" ref="H168:I168" si="84">"CX"</f>
        <v>CX</v>
      </c>
      <c r="I168" s="3" t="str">
        <f t="shared" si="84"/>
        <v>CX</v>
      </c>
      <c r="J168" s="1"/>
      <c r="K168" s="1"/>
      <c r="L168" s="8">
        <v>0.0</v>
      </c>
      <c r="M168" s="8" t="s">
        <v>62</v>
      </c>
      <c r="N168" s="1"/>
      <c r="O168" s="1"/>
      <c r="P168" s="1"/>
      <c r="Q168" s="1"/>
      <c r="R168" s="1"/>
      <c r="S168" s="1"/>
    </row>
    <row r="169" ht="14.25" customHeight="1">
      <c r="A169" s="1"/>
      <c r="B169" s="4" t="s">
        <v>72</v>
      </c>
      <c r="C169" s="4"/>
      <c r="D169" s="4">
        <f>N6</f>
        <v>1060.660172</v>
      </c>
      <c r="E169" s="1"/>
      <c r="F169" s="10">
        <f t="shared" ref="F169:G169" si="85">J6*-1</f>
        <v>0.7071067812</v>
      </c>
      <c r="G169" s="10">
        <f t="shared" si="85"/>
        <v>-0.7071067812</v>
      </c>
      <c r="H169" s="10">
        <f t="shared" ref="H169:I169" si="86">F169*-1</f>
        <v>-0.7071067812</v>
      </c>
      <c r="I169" s="10">
        <f t="shared" si="86"/>
        <v>0.7071067812</v>
      </c>
      <c r="J169" s="1"/>
      <c r="K169" s="1"/>
      <c r="L169" s="15">
        <f t="shared" ref="L169:L170" si="87">C143</f>
        <v>5.350866285</v>
      </c>
      <c r="M169" s="8" t="s">
        <v>56</v>
      </c>
      <c r="N169" s="1"/>
      <c r="O169" s="1"/>
      <c r="P169" s="1"/>
      <c r="Q169" s="1"/>
      <c r="R169" s="1"/>
      <c r="S169" s="1"/>
    </row>
    <row r="170" ht="14.25" customHeight="1">
      <c r="A170" s="1"/>
      <c r="B170" s="4"/>
      <c r="C170" s="4"/>
      <c r="D170" s="4"/>
      <c r="E170" s="1"/>
      <c r="F170" s="1"/>
      <c r="G170" s="1"/>
      <c r="H170" s="1"/>
      <c r="I170" s="1"/>
      <c r="J170" s="1"/>
      <c r="K170" s="1"/>
      <c r="L170" s="15">
        <f t="shared" si="87"/>
        <v>-3.269102095</v>
      </c>
      <c r="M170" s="8" t="s">
        <v>57</v>
      </c>
      <c r="N170" s="1"/>
      <c r="O170" s="1"/>
      <c r="P170" s="1"/>
      <c r="Q170" s="1"/>
      <c r="R170" s="1"/>
      <c r="S170" s="1"/>
    </row>
    <row r="171" ht="14.25" customHeight="1">
      <c r="A171" s="1"/>
      <c r="B171" s="4"/>
      <c r="C171" s="4"/>
      <c r="D171" s="4"/>
      <c r="E171" s="1"/>
      <c r="F171" s="1"/>
      <c r="G171" s="1"/>
      <c r="H171" s="1"/>
      <c r="I171" s="1"/>
      <c r="J171" s="1"/>
      <c r="K171" s="1"/>
      <c r="L171" s="8"/>
      <c r="M171" s="8"/>
      <c r="N171" s="1"/>
      <c r="O171" s="1"/>
      <c r="P171" s="1"/>
      <c r="Q171" s="1"/>
      <c r="R171" s="1"/>
      <c r="S171" s="1"/>
    </row>
    <row r="172" ht="14.25" customHeight="1">
      <c r="A172" s="1"/>
      <c r="B172" s="4"/>
      <c r="C172" s="4"/>
      <c r="D172" s="4"/>
      <c r="E172" s="1"/>
      <c r="F172" s="1"/>
      <c r="G172" s="1"/>
      <c r="H172" s="1"/>
      <c r="I172" s="1"/>
      <c r="J172" s="1"/>
      <c r="K172" s="1"/>
      <c r="L172" s="8"/>
      <c r="M172" s="8"/>
      <c r="N172" s="1"/>
      <c r="O172" s="1"/>
      <c r="P172" s="1"/>
      <c r="Q172" s="1"/>
      <c r="R172" s="1"/>
      <c r="S172" s="1"/>
    </row>
    <row r="173" ht="14.25" customHeight="1">
      <c r="A173" s="1"/>
      <c r="B173" s="4" t="str">
        <f>B169</f>
        <v>F2=</v>
      </c>
      <c r="C173" s="4"/>
      <c r="D173" s="5" t="str">
        <f t="array" ref="D173">D169*MMULT(F169:I169,L167:L170)</f>
        <v>#VALUE!</v>
      </c>
      <c r="E173" s="1"/>
      <c r="F173" s="1" t="s">
        <v>73</v>
      </c>
      <c r="G173" s="1"/>
      <c r="H173" s="1"/>
      <c r="I173" s="1"/>
      <c r="J173" s="1"/>
      <c r="K173" s="1"/>
      <c r="L173" s="8"/>
      <c r="M173" s="8"/>
      <c r="N173" s="1"/>
      <c r="O173" s="1"/>
      <c r="P173" s="1"/>
      <c r="Q173" s="1"/>
      <c r="R173" s="1"/>
      <c r="S173" s="1"/>
    </row>
    <row r="174" ht="14.25" customHeight="1">
      <c r="A174" s="1"/>
      <c r="B174" s="4"/>
      <c r="C174" s="4"/>
      <c r="D174" s="4"/>
      <c r="E174" s="1"/>
      <c r="F174" s="1"/>
      <c r="G174" s="1"/>
      <c r="H174" s="1"/>
      <c r="I174" s="1"/>
      <c r="J174" s="1"/>
      <c r="K174" s="1"/>
      <c r="L174" s="8"/>
      <c r="M174" s="8"/>
      <c r="N174" s="1"/>
      <c r="O174" s="1"/>
      <c r="P174" s="1"/>
      <c r="Q174" s="1"/>
      <c r="R174" s="1"/>
      <c r="S174" s="1"/>
    </row>
    <row r="175" ht="14.25" customHeight="1">
      <c r="A175" s="1"/>
      <c r="B175" s="4"/>
      <c r="C175" s="4"/>
      <c r="D175" s="4"/>
      <c r="E175" s="1"/>
      <c r="F175" s="1"/>
      <c r="G175" s="1"/>
      <c r="H175" s="1"/>
      <c r="I175" s="1"/>
      <c r="J175" s="1"/>
      <c r="K175" s="1"/>
      <c r="L175" s="8"/>
      <c r="M175" s="8"/>
      <c r="N175" s="1"/>
      <c r="O175" s="1"/>
      <c r="P175" s="1"/>
      <c r="Q175" s="1"/>
      <c r="R175" s="1"/>
      <c r="S175" s="1"/>
    </row>
    <row r="176" ht="14.25" customHeight="1">
      <c r="A176" s="1"/>
      <c r="B176" s="4"/>
      <c r="C176" s="4"/>
      <c r="D176" s="4"/>
      <c r="E176" s="1"/>
      <c r="F176" s="1"/>
      <c r="G176" s="1"/>
      <c r="H176" s="1"/>
      <c r="I176" s="1"/>
      <c r="J176" s="1"/>
      <c r="K176" s="1"/>
      <c r="L176" s="8"/>
      <c r="M176" s="8"/>
      <c r="N176" s="1"/>
      <c r="O176" s="1"/>
      <c r="P176" s="1"/>
      <c r="Q176" s="1"/>
      <c r="R176" s="1"/>
      <c r="S176" s="1"/>
    </row>
    <row r="177" ht="14.25" customHeight="1">
      <c r="A177" s="1"/>
      <c r="B177" s="4"/>
      <c r="C177" s="4"/>
      <c r="D177" s="4"/>
      <c r="E177" s="1"/>
      <c r="F177" s="1"/>
      <c r="G177" s="1"/>
      <c r="H177" s="1"/>
      <c r="I177" s="1"/>
      <c r="J177" s="1"/>
      <c r="K177" s="1"/>
      <c r="L177" s="8"/>
      <c r="M177" s="8"/>
      <c r="N177" s="1"/>
      <c r="O177" s="1"/>
      <c r="P177" s="1"/>
      <c r="Q177" s="1"/>
      <c r="R177" s="1"/>
      <c r="S177" s="1"/>
    </row>
    <row r="178" ht="14.25" customHeight="1">
      <c r="A178" s="1"/>
      <c r="B178" s="4"/>
      <c r="C178" s="4"/>
      <c r="D178" s="4"/>
      <c r="E178" s="1"/>
      <c r="F178" s="1"/>
      <c r="G178" s="1"/>
      <c r="H178" s="1"/>
      <c r="I178" s="1"/>
      <c r="J178" s="1"/>
      <c r="K178" s="1"/>
      <c r="L178" s="15">
        <f t="shared" ref="L178:L179" si="89">C145</f>
        <v>0</v>
      </c>
      <c r="M178" s="8" t="s">
        <v>58</v>
      </c>
      <c r="N178" s="1"/>
      <c r="O178" s="1"/>
      <c r="P178" s="1"/>
      <c r="Q178" s="1"/>
      <c r="R178" s="1"/>
      <c r="S178" s="1"/>
    </row>
    <row r="179" ht="14.25" customHeight="1">
      <c r="A179" s="1"/>
      <c r="B179" s="4"/>
      <c r="C179" s="4"/>
      <c r="D179" s="4"/>
      <c r="E179" s="1"/>
      <c r="F179" s="3" t="str">
        <f>"-CX"</f>
        <v>-CX</v>
      </c>
      <c r="G179" s="3" t="str">
        <f>"-CY"</f>
        <v>-CY</v>
      </c>
      <c r="H179" s="3" t="str">
        <f t="shared" ref="H179:I179" si="88">"CX"</f>
        <v>CX</v>
      </c>
      <c r="I179" s="3" t="str">
        <f t="shared" si="88"/>
        <v>CX</v>
      </c>
      <c r="J179" s="1"/>
      <c r="K179" s="1"/>
      <c r="L179" s="8">
        <f t="shared" si="89"/>
        <v>0</v>
      </c>
      <c r="M179" s="8" t="s">
        <v>60</v>
      </c>
      <c r="N179" s="1"/>
      <c r="O179" s="1"/>
      <c r="P179" s="1"/>
      <c r="Q179" s="1"/>
      <c r="R179" s="1"/>
      <c r="S179" s="1"/>
    </row>
    <row r="180" ht="14.25" customHeight="1">
      <c r="A180" s="1"/>
      <c r="B180" s="4" t="s">
        <v>74</v>
      </c>
      <c r="C180" s="4"/>
      <c r="D180" s="4">
        <f>N7</f>
        <v>1200</v>
      </c>
      <c r="E180" s="1"/>
      <c r="F180" s="10">
        <f t="shared" ref="F180:G180" si="90">J7*-1</f>
        <v>-0.6</v>
      </c>
      <c r="G180" s="10">
        <f t="shared" si="90"/>
        <v>-0.8</v>
      </c>
      <c r="H180" s="10">
        <f t="shared" ref="H180:I180" si="91">F180*-1</f>
        <v>0.6</v>
      </c>
      <c r="I180" s="10">
        <f t="shared" si="91"/>
        <v>0.8</v>
      </c>
      <c r="J180" s="1"/>
      <c r="K180" s="1"/>
      <c r="L180" s="15">
        <f t="shared" ref="L180:L181" si="92">C143</f>
        <v>5.350866285</v>
      </c>
      <c r="M180" s="8" t="s">
        <v>56</v>
      </c>
      <c r="N180" s="1"/>
      <c r="O180" s="1"/>
      <c r="P180" s="1"/>
      <c r="Q180" s="1"/>
      <c r="R180" s="1"/>
      <c r="S180" s="1"/>
    </row>
    <row r="181" ht="14.25" customHeight="1">
      <c r="A181" s="1"/>
      <c r="B181" s="4"/>
      <c r="C181" s="4"/>
      <c r="D181" s="4"/>
      <c r="E181" s="1"/>
      <c r="F181" s="1"/>
      <c r="G181" s="1"/>
      <c r="H181" s="1"/>
      <c r="I181" s="1"/>
      <c r="J181" s="1"/>
      <c r="K181" s="1"/>
      <c r="L181" s="15">
        <f t="shared" si="92"/>
        <v>-3.269102095</v>
      </c>
      <c r="M181" s="8" t="s">
        <v>57</v>
      </c>
      <c r="N181" s="1"/>
      <c r="O181" s="1"/>
      <c r="P181" s="1"/>
      <c r="Q181" s="1"/>
      <c r="R181" s="1"/>
      <c r="S181" s="1"/>
    </row>
    <row r="182" ht="14.25" customHeight="1">
      <c r="A182" s="1"/>
      <c r="B182" s="4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ht="14.25" customHeight="1">
      <c r="A183" s="1"/>
      <c r="B183" s="4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ht="14.25" customHeight="1">
      <c r="A184" s="1"/>
      <c r="B184" s="4" t="str">
        <f>B180</f>
        <v>F3=</v>
      </c>
      <c r="C184" s="4"/>
      <c r="D184" s="5">
        <f t="array" ref="D184">D180*MMULT(F180:I180,L178:L181)</f>
        <v>714.2857143</v>
      </c>
      <c r="E184" s="1"/>
      <c r="F184" s="1" t="s">
        <v>71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K3:K4"/>
    <mergeCell ref="L3:L4"/>
    <mergeCell ref="M3:M4"/>
    <mergeCell ref="N3:N4"/>
    <mergeCell ref="B3:B4"/>
    <mergeCell ref="C3:D3"/>
    <mergeCell ref="E3:F3"/>
    <mergeCell ref="G3:G4"/>
    <mergeCell ref="H3:H4"/>
    <mergeCell ref="I3:I4"/>
    <mergeCell ref="J3:J4"/>
    <mergeCell ref="A67:C67"/>
    <mergeCell ref="A78:C78"/>
    <mergeCell ref="A88:C88"/>
    <mergeCell ref="G88:H89"/>
    <mergeCell ref="N93:O94"/>
    <mergeCell ref="B10:B11"/>
    <mergeCell ref="C10:D10"/>
    <mergeCell ref="E10:F10"/>
    <mergeCell ref="A17:H17"/>
    <mergeCell ref="A29:H29"/>
    <mergeCell ref="A41:H41"/>
    <mergeCell ref="A54:C5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4.25" customHeight="1">
      <c r="A2" s="1"/>
      <c r="B2" s="2" t="s">
        <v>0</v>
      </c>
      <c r="C2" s="3" t="s">
        <v>1</v>
      </c>
      <c r="E2" s="3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1"/>
    </row>
    <row r="3" ht="14.25" customHeight="1">
      <c r="A3" s="1"/>
      <c r="C3" s="4" t="s">
        <v>11</v>
      </c>
      <c r="D3" s="4" t="s">
        <v>12</v>
      </c>
      <c r="E3" s="4" t="s">
        <v>13</v>
      </c>
      <c r="F3" s="4" t="s">
        <v>14</v>
      </c>
      <c r="O3" s="1"/>
    </row>
    <row r="4" ht="14.25" customHeight="1">
      <c r="A4" s="1"/>
      <c r="B4" s="3">
        <v>1.0</v>
      </c>
      <c r="C4" s="4">
        <v>0.0</v>
      </c>
      <c r="D4" s="4">
        <v>100.0</v>
      </c>
      <c r="E4" s="4">
        <v>400.0</v>
      </c>
      <c r="F4" s="4">
        <v>700.0</v>
      </c>
      <c r="G4" s="4">
        <f t="shared" ref="G4:H4" si="1">E4-C4</f>
        <v>400</v>
      </c>
      <c r="H4" s="4">
        <f t="shared" si="1"/>
        <v>600</v>
      </c>
      <c r="I4" s="5">
        <f t="shared" ref="I4:I5" si="5">SQRT(G4^2+H4^2)</f>
        <v>721.1102551</v>
      </c>
      <c r="J4" s="6">
        <f t="shared" ref="J4:J5" si="6">G4/I4</f>
        <v>0.5547001962</v>
      </c>
      <c r="K4" s="6">
        <f t="shared" ref="K4:K5" si="7">H4/I4</f>
        <v>0.8320502943</v>
      </c>
      <c r="L4" s="4">
        <v>8.0</v>
      </c>
      <c r="M4" s="4">
        <v>150000.0</v>
      </c>
      <c r="N4" s="4">
        <f t="shared" ref="N4:N5" si="8">(L4*M4)/I4</f>
        <v>1664.100589</v>
      </c>
      <c r="O4" s="1"/>
    </row>
    <row r="5" ht="14.25" customHeight="1">
      <c r="A5" s="1"/>
      <c r="B5" s="3">
        <v>1.0</v>
      </c>
      <c r="C5" s="4">
        <f t="shared" ref="C5:D5" si="2">E4</f>
        <v>400</v>
      </c>
      <c r="D5" s="4">
        <f t="shared" si="2"/>
        <v>700</v>
      </c>
      <c r="E5" s="4">
        <f t="shared" ref="E5:F5" si="3">C4</f>
        <v>0</v>
      </c>
      <c r="F5" s="4">
        <f t="shared" si="3"/>
        <v>100</v>
      </c>
      <c r="G5" s="4">
        <f t="shared" ref="G5:H5" si="4">E5-C5</f>
        <v>-400</v>
      </c>
      <c r="H5" s="4">
        <f t="shared" si="4"/>
        <v>-600</v>
      </c>
      <c r="I5" s="5">
        <f t="shared" si="5"/>
        <v>721.1102551</v>
      </c>
      <c r="J5" s="6">
        <f t="shared" si="6"/>
        <v>-0.5547001962</v>
      </c>
      <c r="K5" s="6">
        <f t="shared" si="7"/>
        <v>-0.8320502943</v>
      </c>
      <c r="L5" s="4">
        <v>8.0</v>
      </c>
      <c r="M5" s="4">
        <v>150000.0</v>
      </c>
      <c r="N5" s="4">
        <f t="shared" si="8"/>
        <v>1664.100589</v>
      </c>
      <c r="O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14.25" customHeight="1">
      <c r="A9" s="1"/>
      <c r="B9" s="1"/>
      <c r="C9" s="7">
        <f>J4</f>
        <v>0.5547001962</v>
      </c>
      <c r="D9" s="1">
        <v>0.0</v>
      </c>
      <c r="E9" s="1"/>
      <c r="F9" s="1"/>
      <c r="G9" s="1"/>
      <c r="H9" s="1">
        <v>1.0</v>
      </c>
      <c r="I9" s="1">
        <v>-1.0</v>
      </c>
      <c r="J9" s="8" t="s">
        <v>17</v>
      </c>
      <c r="K9" s="7">
        <f>C9</f>
        <v>0.5547001962</v>
      </c>
      <c r="L9" s="7">
        <f>C10</f>
        <v>0.8320502943</v>
      </c>
      <c r="M9" s="1">
        <v>0.0</v>
      </c>
      <c r="N9" s="1">
        <v>0.0</v>
      </c>
      <c r="O9" s="1"/>
    </row>
    <row r="10" ht="14.25" customHeight="1">
      <c r="A10" s="1"/>
      <c r="B10" s="1"/>
      <c r="C10" s="7">
        <f>K4</f>
        <v>0.8320502943</v>
      </c>
      <c r="D10" s="1">
        <v>0.0</v>
      </c>
      <c r="E10" s="8" t="s">
        <v>17</v>
      </c>
      <c r="F10" s="1">
        <f>N4</f>
        <v>1664.100589</v>
      </c>
      <c r="G10" s="1" t="s">
        <v>17</v>
      </c>
      <c r="H10" s="1">
        <v>-1.0</v>
      </c>
      <c r="I10" s="1">
        <v>1.0</v>
      </c>
      <c r="J10" s="1"/>
      <c r="K10" s="1">
        <v>0.0</v>
      </c>
      <c r="L10" s="1">
        <v>0.0</v>
      </c>
      <c r="M10" s="7">
        <f t="shared" ref="M10:N10" si="9">K9</f>
        <v>0.5547001962</v>
      </c>
      <c r="N10" s="7">
        <f t="shared" si="9"/>
        <v>0.8320502943</v>
      </c>
      <c r="O10" s="1"/>
    </row>
    <row r="11" ht="14.25" customHeight="1">
      <c r="A11" s="1"/>
      <c r="B11" s="4" t="s">
        <v>22</v>
      </c>
      <c r="C11" s="1">
        <v>0.0</v>
      </c>
      <c r="D11" s="7">
        <f t="shared" ref="D11:D12" si="10">C9</f>
        <v>0.5547001962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14.25" customHeight="1">
      <c r="A12" s="1"/>
      <c r="B12" s="4"/>
      <c r="C12" s="1">
        <v>0.0</v>
      </c>
      <c r="D12" s="7">
        <f t="shared" si="10"/>
        <v>0.8320502943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4.25" customHeight="1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4.25" customHeight="1">
      <c r="A14" s="1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4.25" customHeight="1">
      <c r="A15" s="1"/>
      <c r="B15" s="4"/>
      <c r="C15" s="1"/>
      <c r="D15" s="1"/>
      <c r="E15" s="7">
        <f t="shared" ref="E15:F15" si="11">C9</f>
        <v>0.5547001962</v>
      </c>
      <c r="F15" s="7">
        <f t="shared" si="11"/>
        <v>0</v>
      </c>
      <c r="G15" s="1"/>
      <c r="H15" s="1"/>
      <c r="I15" s="1"/>
      <c r="J15" s="1"/>
      <c r="K15" s="1"/>
      <c r="L15" s="1"/>
      <c r="M15" s="1"/>
      <c r="N15" s="1"/>
      <c r="O15" s="1"/>
    </row>
    <row r="16" ht="14.25" customHeight="1">
      <c r="A16" s="1"/>
      <c r="B16" s="4"/>
      <c r="C16" s="7"/>
      <c r="D16" s="7"/>
      <c r="E16" s="7">
        <f t="shared" ref="E16:F16" si="12">C10</f>
        <v>0.8320502943</v>
      </c>
      <c r="F16" s="7">
        <f t="shared" si="12"/>
        <v>0</v>
      </c>
      <c r="G16" s="8" t="s">
        <v>17</v>
      </c>
      <c r="H16" s="1">
        <f t="array" ref="H16:K17">MMULT(H9:I10,K9:N10)</f>
        <v>0.5547001962</v>
      </c>
      <c r="I16" s="1">
        <v>0.8320502943378437</v>
      </c>
      <c r="J16" s="1">
        <v>-0.5547001962252291</v>
      </c>
      <c r="K16" s="1">
        <v>-0.8320502943378437</v>
      </c>
      <c r="L16" s="1"/>
      <c r="M16" s="1"/>
      <c r="N16" s="1"/>
      <c r="O16" s="1"/>
    </row>
    <row r="17" ht="14.25" customHeight="1">
      <c r="A17" s="1"/>
      <c r="B17" s="4" t="s">
        <v>22</v>
      </c>
      <c r="C17" s="7">
        <f>F10</f>
        <v>1664.100589</v>
      </c>
      <c r="D17" s="9" t="s">
        <v>17</v>
      </c>
      <c r="E17" s="7">
        <f t="shared" ref="E17:F17" si="13">C11</f>
        <v>0</v>
      </c>
      <c r="F17" s="7">
        <f t="shared" si="13"/>
        <v>0.5547001962</v>
      </c>
      <c r="G17" s="1"/>
      <c r="H17" s="1">
        <v>-0.5547001962252291</v>
      </c>
      <c r="I17" s="1">
        <v>-0.8320502943378437</v>
      </c>
      <c r="J17" s="1">
        <v>0.5547001962252291</v>
      </c>
      <c r="K17" s="1">
        <v>0.8320502943378437</v>
      </c>
      <c r="L17" s="1"/>
      <c r="M17" s="1"/>
      <c r="N17" s="1"/>
      <c r="O17" s="1"/>
    </row>
    <row r="18" ht="14.25" customHeight="1">
      <c r="A18" s="1"/>
      <c r="B18" s="4"/>
      <c r="C18" s="7"/>
      <c r="D18" s="9"/>
      <c r="E18" s="7">
        <f t="shared" ref="E18:F18" si="14">C12</f>
        <v>0</v>
      </c>
      <c r="F18" s="7">
        <f t="shared" si="14"/>
        <v>0.8320502943</v>
      </c>
      <c r="G18" s="1"/>
      <c r="H18" s="1"/>
      <c r="I18" s="1"/>
      <c r="J18" s="1"/>
      <c r="K18" s="1"/>
      <c r="L18" s="1"/>
      <c r="M18" s="1"/>
      <c r="N18" s="1"/>
      <c r="O18" s="1"/>
    </row>
    <row r="19" ht="14.25" customHeight="1">
      <c r="A19" s="1"/>
      <c r="B19" s="4"/>
      <c r="C19" s="7"/>
      <c r="D19" s="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14.25" customHeight="1">
      <c r="A20" s="1"/>
      <c r="B20" s="4"/>
      <c r="C20" s="1"/>
      <c r="D20" s="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4.25" customHeight="1">
      <c r="A21" s="1"/>
      <c r="B21" s="4"/>
      <c r="C21" s="1"/>
      <c r="D21" s="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4.25" customHeight="1">
      <c r="A22" s="1"/>
      <c r="B22" s="4"/>
      <c r="C22" s="1"/>
      <c r="D22" s="8"/>
      <c r="E22" s="1">
        <f t="array" ref="E22:H25">MMULT(E15:F18,H16:K17)</f>
        <v>0.3076923077</v>
      </c>
      <c r="F22" s="1">
        <v>0.46153846153846156</v>
      </c>
      <c r="G22" s="1">
        <v>-0.3076923076923077</v>
      </c>
      <c r="H22" s="1">
        <v>-0.46153846153846156</v>
      </c>
      <c r="I22" s="1"/>
      <c r="J22" s="1"/>
      <c r="K22" s="1"/>
      <c r="L22" s="1"/>
      <c r="M22" s="1"/>
      <c r="N22" s="1"/>
      <c r="O22" s="1"/>
    </row>
    <row r="23" ht="14.25" customHeight="1">
      <c r="A23" s="1"/>
      <c r="B23" s="4" t="str">
        <f t="shared" ref="B23:C23" si="15">B17</f>
        <v>k=</v>
      </c>
      <c r="C23" s="7">
        <f t="shared" si="15"/>
        <v>1664.100589</v>
      </c>
      <c r="D23" s="8" t="s">
        <v>17</v>
      </c>
      <c r="E23" s="1">
        <v>0.46153846153846156</v>
      </c>
      <c r="F23" s="1">
        <v>0.6923076923076924</v>
      </c>
      <c r="G23" s="1">
        <v>-0.46153846153846156</v>
      </c>
      <c r="H23" s="1">
        <v>-0.6923076923076924</v>
      </c>
      <c r="I23" s="1"/>
      <c r="J23" s="1"/>
      <c r="K23" s="1"/>
      <c r="L23" s="1"/>
      <c r="M23" s="1"/>
      <c r="N23" s="1"/>
      <c r="O23" s="1"/>
    </row>
    <row r="24" ht="14.25" customHeight="1">
      <c r="A24" s="1"/>
      <c r="B24" s="4"/>
      <c r="C24" s="1"/>
      <c r="D24" s="8"/>
      <c r="E24" s="1">
        <v>-0.3076923076923077</v>
      </c>
      <c r="F24" s="1">
        <v>-0.46153846153846156</v>
      </c>
      <c r="G24" s="1">
        <v>0.3076923076923077</v>
      </c>
      <c r="H24" s="1">
        <v>0.46153846153846156</v>
      </c>
      <c r="I24" s="1"/>
      <c r="J24" s="1"/>
      <c r="K24" s="1"/>
      <c r="L24" s="1"/>
      <c r="M24" s="1"/>
      <c r="N24" s="1"/>
      <c r="O24" s="1"/>
    </row>
    <row r="25" ht="14.25" customHeight="1">
      <c r="A25" s="1"/>
      <c r="B25" s="4"/>
      <c r="C25" s="1"/>
      <c r="D25" s="8"/>
      <c r="E25" s="1">
        <v>-0.46153846153846156</v>
      </c>
      <c r="F25" s="1">
        <v>-0.6923076923076924</v>
      </c>
      <c r="G25" s="1">
        <v>0.46153846153846156</v>
      </c>
      <c r="H25" s="1">
        <v>0.6923076923076924</v>
      </c>
      <c r="I25" s="1"/>
      <c r="J25" s="1"/>
      <c r="K25" s="1"/>
      <c r="L25" s="1"/>
      <c r="M25" s="1"/>
      <c r="N25" s="1"/>
      <c r="O25" s="1"/>
    </row>
    <row r="26" ht="14.25" customHeight="1">
      <c r="A26" s="1"/>
      <c r="B26" s="4"/>
      <c r="C26" s="1"/>
      <c r="D26" s="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4.25" customHeight="1">
      <c r="A27" s="1"/>
      <c r="B27" s="4"/>
      <c r="C27" s="1"/>
      <c r="D27" s="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4.25" customHeight="1">
      <c r="A28" s="1"/>
      <c r="B28" s="4"/>
      <c r="C28" s="1">
        <f t="shared" ref="C28:F28" si="16">E22*$C$23</f>
        <v>512.0309504</v>
      </c>
      <c r="D28" s="1">
        <f t="shared" si="16"/>
        <v>768.0464255</v>
      </c>
      <c r="E28" s="1">
        <f t="shared" si="16"/>
        <v>-512.0309504</v>
      </c>
      <c r="F28" s="1">
        <f t="shared" si="16"/>
        <v>-768.0464255</v>
      </c>
      <c r="G28" s="1"/>
      <c r="H28" s="1"/>
      <c r="I28" s="1"/>
      <c r="J28" s="1"/>
      <c r="K28" s="1"/>
      <c r="L28" s="1"/>
      <c r="M28" s="1"/>
      <c r="N28" s="1"/>
      <c r="O28" s="1"/>
    </row>
    <row r="29" ht="14.25" customHeight="1">
      <c r="A29" s="1"/>
      <c r="B29" s="4" t="s">
        <v>22</v>
      </c>
      <c r="C29" s="1">
        <f t="shared" ref="C29:F29" si="17">E23*$C$23</f>
        <v>768.0464255</v>
      </c>
      <c r="D29" s="1">
        <f t="shared" si="17"/>
        <v>1152.069638</v>
      </c>
      <c r="E29" s="1">
        <f t="shared" si="17"/>
        <v>-768.0464255</v>
      </c>
      <c r="F29" s="1">
        <f t="shared" si="17"/>
        <v>-1152.069638</v>
      </c>
      <c r="G29" s="1"/>
      <c r="H29" s="1"/>
      <c r="I29" s="1"/>
      <c r="J29" s="1"/>
      <c r="K29" s="1"/>
      <c r="L29" s="1"/>
      <c r="M29" s="1"/>
      <c r="N29" s="1"/>
      <c r="O29" s="1"/>
    </row>
    <row r="30" ht="14.25" customHeight="1">
      <c r="A30" s="1"/>
      <c r="B30" s="4"/>
      <c r="C30" s="1">
        <f t="shared" ref="C30:F30" si="18">E24*$C$23</f>
        <v>-512.0309504</v>
      </c>
      <c r="D30" s="1">
        <f t="shared" si="18"/>
        <v>-768.0464255</v>
      </c>
      <c r="E30" s="1">
        <f t="shared" si="18"/>
        <v>512.0309504</v>
      </c>
      <c r="F30" s="1">
        <f t="shared" si="18"/>
        <v>768.0464255</v>
      </c>
      <c r="G30" s="1"/>
      <c r="H30" s="1"/>
      <c r="I30" s="1"/>
      <c r="J30" s="1"/>
      <c r="K30" s="1"/>
      <c r="L30" s="1"/>
      <c r="M30" s="1"/>
      <c r="N30" s="1"/>
      <c r="O30" s="1"/>
    </row>
    <row r="31" ht="14.25" customHeight="1">
      <c r="A31" s="1"/>
      <c r="B31" s="4"/>
      <c r="C31" s="1">
        <f t="shared" ref="C31:F31" si="19">E25*$C$23</f>
        <v>-768.0464255</v>
      </c>
      <c r="D31" s="1">
        <f t="shared" si="19"/>
        <v>-1152.069638</v>
      </c>
      <c r="E31" s="1">
        <f t="shared" si="19"/>
        <v>768.0464255</v>
      </c>
      <c r="F31" s="1">
        <f t="shared" si="19"/>
        <v>1152.069638</v>
      </c>
      <c r="G31" s="1"/>
      <c r="H31" s="1"/>
      <c r="I31" s="1"/>
      <c r="J31" s="1"/>
      <c r="K31" s="1"/>
      <c r="L31" s="1"/>
      <c r="M31" s="1"/>
      <c r="N31" s="1"/>
      <c r="O31" s="1"/>
    </row>
    <row r="32" ht="14.25" customHeight="1">
      <c r="A32" s="1"/>
      <c r="B32" s="4"/>
      <c r="C32" s="1"/>
      <c r="D32" s="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4.25" customHeight="1">
      <c r="A33" s="1"/>
      <c r="B33" s="4"/>
      <c r="C33" s="1"/>
      <c r="D33" s="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4.25" customHeight="1">
      <c r="A34" s="1"/>
      <c r="B34" s="4"/>
      <c r="C34" s="1"/>
      <c r="D34" s="8"/>
      <c r="E34" s="7">
        <f>J4^2</f>
        <v>0.3076923077</v>
      </c>
      <c r="F34" s="1">
        <f>J4*K4</f>
        <v>0.4615384615</v>
      </c>
      <c r="G34" s="1">
        <f t="shared" ref="G34:H34" si="20">E34*-1</f>
        <v>-0.3076923077</v>
      </c>
      <c r="H34" s="1">
        <f t="shared" si="20"/>
        <v>-0.4615384615</v>
      </c>
      <c r="I34" s="1"/>
      <c r="J34" s="1"/>
      <c r="K34" s="1"/>
      <c r="L34" s="1"/>
      <c r="M34" s="1"/>
      <c r="N34" s="1"/>
      <c r="O34" s="1"/>
    </row>
    <row r="35" ht="14.25" customHeight="1">
      <c r="A35" s="1"/>
      <c r="B35" s="4"/>
      <c r="C35" s="1"/>
      <c r="D35" s="8"/>
      <c r="E35" s="1">
        <f>F34</f>
        <v>0.4615384615</v>
      </c>
      <c r="F35" s="7">
        <f>K4^2</f>
        <v>0.6923076923</v>
      </c>
      <c r="G35" s="1">
        <f t="shared" ref="G35:H35" si="21">E35*-1</f>
        <v>-0.4615384615</v>
      </c>
      <c r="H35" s="1">
        <f t="shared" si="21"/>
        <v>-0.6923076923</v>
      </c>
      <c r="I35" s="1"/>
      <c r="J35" s="1"/>
      <c r="K35" s="1"/>
      <c r="L35" s="1"/>
      <c r="M35" s="1"/>
      <c r="N35" s="1"/>
      <c r="O35" s="1"/>
    </row>
    <row r="36" ht="14.25" customHeight="1">
      <c r="A36" s="1"/>
      <c r="B36" s="4" t="str">
        <f t="shared" ref="B36:C36" si="22">B23</f>
        <v>k=</v>
      </c>
      <c r="C36" s="7">
        <f t="shared" si="22"/>
        <v>1664.100589</v>
      </c>
      <c r="D36" s="8" t="s">
        <v>17</v>
      </c>
      <c r="E36" s="1">
        <f t="shared" ref="E36:F36" si="23">G34</f>
        <v>-0.3076923077</v>
      </c>
      <c r="F36" s="1">
        <f t="shared" si="23"/>
        <v>-0.4615384615</v>
      </c>
      <c r="G36" s="7">
        <f t="shared" ref="G36:H36" si="24">E34</f>
        <v>0.3076923077</v>
      </c>
      <c r="H36" s="7">
        <f t="shared" si="24"/>
        <v>0.4615384615</v>
      </c>
      <c r="I36" s="1"/>
      <c r="J36" s="1"/>
      <c r="K36" s="1"/>
      <c r="L36" s="1"/>
      <c r="M36" s="1"/>
      <c r="N36" s="1"/>
      <c r="O36" s="1"/>
    </row>
    <row r="37" ht="14.25" customHeight="1">
      <c r="A37" s="1"/>
      <c r="B37" s="1"/>
      <c r="C37" s="1"/>
      <c r="D37" s="1"/>
      <c r="E37" s="1">
        <f t="shared" ref="E37:F37" si="25">G35</f>
        <v>-0.4615384615</v>
      </c>
      <c r="F37" s="1">
        <f t="shared" si="25"/>
        <v>-0.6923076923</v>
      </c>
      <c r="G37" s="7">
        <f t="shared" ref="G37:H37" si="26">E35</f>
        <v>0.4615384615</v>
      </c>
      <c r="H37" s="7">
        <f t="shared" si="26"/>
        <v>0.6923076923</v>
      </c>
      <c r="I37" s="1"/>
      <c r="J37" s="1"/>
      <c r="K37" s="1"/>
      <c r="L37" s="1"/>
      <c r="M37" s="1"/>
      <c r="N37" s="1"/>
      <c r="O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4.25" customHeight="1">
      <c r="A42" s="1"/>
      <c r="B42" s="1"/>
      <c r="C42" s="1">
        <f t="shared" ref="C42:F42" si="27">E34*$C$36</f>
        <v>512.0309504</v>
      </c>
      <c r="D42" s="1">
        <f t="shared" si="27"/>
        <v>768.0464255</v>
      </c>
      <c r="E42" s="1">
        <f t="shared" si="27"/>
        <v>-512.0309504</v>
      </c>
      <c r="F42" s="1">
        <f t="shared" si="27"/>
        <v>-768.0464255</v>
      </c>
      <c r="G42" s="1"/>
      <c r="H42" s="1"/>
      <c r="I42" s="1"/>
      <c r="J42" s="1"/>
      <c r="K42" s="1"/>
      <c r="L42" s="1"/>
      <c r="M42" s="1"/>
      <c r="N42" s="1"/>
      <c r="O42" s="1"/>
    </row>
    <row r="43" ht="14.25" customHeight="1">
      <c r="A43" s="1"/>
      <c r="B43" s="1" t="str">
        <f>B36</f>
        <v>k=</v>
      </c>
      <c r="C43" s="1">
        <f t="shared" ref="C43:F43" si="28">E35*$C$36</f>
        <v>768.0464255</v>
      </c>
      <c r="D43" s="1">
        <f t="shared" si="28"/>
        <v>1152.069638</v>
      </c>
      <c r="E43" s="1">
        <f t="shared" si="28"/>
        <v>-768.0464255</v>
      </c>
      <c r="F43" s="1">
        <f t="shared" si="28"/>
        <v>-1152.069638</v>
      </c>
      <c r="G43" s="1"/>
      <c r="H43" s="1"/>
      <c r="I43" s="1"/>
      <c r="J43" s="1"/>
      <c r="K43" s="1"/>
      <c r="L43" s="1"/>
      <c r="M43" s="1"/>
      <c r="N43" s="1"/>
      <c r="O43" s="1"/>
    </row>
    <row r="44" ht="14.25" customHeight="1">
      <c r="A44" s="1"/>
      <c r="B44" s="1"/>
      <c r="C44" s="1">
        <f t="shared" ref="C44:F44" si="29">E36*$C$36</f>
        <v>-512.0309504</v>
      </c>
      <c r="D44" s="1">
        <f t="shared" si="29"/>
        <v>-768.0464255</v>
      </c>
      <c r="E44" s="1">
        <f t="shared" si="29"/>
        <v>512.0309504</v>
      </c>
      <c r="F44" s="1">
        <f t="shared" si="29"/>
        <v>768.0464255</v>
      </c>
      <c r="G44" s="1"/>
      <c r="H44" s="1"/>
      <c r="I44" s="1"/>
      <c r="J44" s="1"/>
      <c r="K44" s="1"/>
      <c r="L44" s="1"/>
      <c r="M44" s="1"/>
      <c r="N44" s="1"/>
      <c r="O44" s="1"/>
    </row>
    <row r="45" ht="14.25" customHeight="1">
      <c r="A45" s="1"/>
      <c r="B45" s="1"/>
      <c r="C45" s="1">
        <f t="shared" ref="C45:F45" si="30">E37*$C$36</f>
        <v>-768.0464255</v>
      </c>
      <c r="D45" s="1">
        <f t="shared" si="30"/>
        <v>-1152.069638</v>
      </c>
      <c r="E45" s="1">
        <f t="shared" si="30"/>
        <v>768.0464255</v>
      </c>
      <c r="F45" s="1">
        <f t="shared" si="30"/>
        <v>1152.069638</v>
      </c>
      <c r="G45" s="1"/>
      <c r="H45" s="1"/>
      <c r="I45" s="1"/>
      <c r="J45" s="1"/>
      <c r="K45" s="1"/>
      <c r="L45" s="1"/>
      <c r="M45" s="1"/>
      <c r="N45" s="1"/>
      <c r="O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K2:K3"/>
    <mergeCell ref="L2:L3"/>
    <mergeCell ref="M2:M3"/>
    <mergeCell ref="N2:N3"/>
    <mergeCell ref="B2:B3"/>
    <mergeCell ref="C2:D2"/>
    <mergeCell ref="E2:F2"/>
    <mergeCell ref="G2:G3"/>
    <mergeCell ref="H2:H3"/>
    <mergeCell ref="I2:I3"/>
    <mergeCell ref="J2:J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2026-04-21T19:25:50Z</dcterms:created>
  <dc:creator>Estudiante</dc:creator>
</cp:coreProperties>
</file>