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.1 MIXTAS" state="visible" r:id="rId4"/>
    <sheet sheetId="2" name="PLANTILLA ULIANOV" state="visible" r:id="rId5"/>
  </sheets>
  <calcPr calcId="171027"/>
</workbook>
</file>

<file path=xl/sharedStrings.xml><?xml version="1.0" encoding="utf-8"?>
<sst xmlns="http://schemas.openxmlformats.org/spreadsheetml/2006/main" count="1559" uniqueCount="216">
  <si>
    <t>PROPIEDADES DEL MATERIAL Y SECCIÓN (10 TRAMOS)</t>
  </si>
  <si>
    <t>E (Elasticidad) =</t>
  </si>
  <si>
    <t>kgf/cm²</t>
  </si>
  <si>
    <t>b (Base) =</t>
  </si>
  <si>
    <t>cm</t>
  </si>
  <si>
    <t>Tramos Utilizados =</t>
  </si>
  <si>
    <t>h (Altura) =</t>
  </si>
  <si>
    <t>Nodos Utilizados =</t>
  </si>
  <si>
    <t>Área =</t>
  </si>
  <si>
    <t>cm²</t>
  </si>
  <si>
    <t>Inercia =</t>
  </si>
  <si>
    <t>cm⁴</t>
  </si>
  <si>
    <t>Barra</t>
  </si>
  <si>
    <t>INICIO</t>
  </si>
  <si>
    <t>FIN</t>
  </si>
  <si>
    <t>ΔX</t>
  </si>
  <si>
    <t>ΔY</t>
  </si>
  <si>
    <t>L (cm)</t>
  </si>
  <si>
    <t>Cosx</t>
  </si>
  <si>
    <t>Cosy</t>
  </si>
  <si>
    <t>E</t>
  </si>
  <si>
    <t>A</t>
  </si>
  <si>
    <t>I</t>
  </si>
  <si>
    <t>EA/L</t>
  </si>
  <si>
    <t>12EI/L³</t>
  </si>
  <si>
    <t>6EI/L²</t>
  </si>
  <si>
    <t>4EI/L</t>
  </si>
  <si>
    <t>2EI/L</t>
  </si>
  <si>
    <t>Xi</t>
  </si>
  <si>
    <t>Yi</t>
  </si>
  <si>
    <t>Xf</t>
  </si>
  <si>
    <t>Yf</t>
  </si>
  <si>
    <t>X</t>
  </si>
  <si>
    <t>Y</t>
  </si>
  <si>
    <t>θ</t>
  </si>
  <si>
    <t>K1 =</t>
  </si>
  <si>
    <t>U1X</t>
  </si>
  <si>
    <t>U1Y</t>
  </si>
  <si>
    <t>U1θ</t>
  </si>
  <si>
    <t>U2X</t>
  </si>
  <si>
    <t>U2Y</t>
  </si>
  <si>
    <t>U2θ</t>
  </si>
  <si>
    <t>U3X</t>
  </si>
  <si>
    <t>U3Y</t>
  </si>
  <si>
    <t>U3θ</t>
  </si>
  <si>
    <t>U4X</t>
  </si>
  <si>
    <t>U4Y</t>
  </si>
  <si>
    <t>U4θ</t>
  </si>
  <si>
    <t>U5X</t>
  </si>
  <si>
    <t>U5Y</t>
  </si>
  <si>
    <t>U5θ</t>
  </si>
  <si>
    <t>U6X</t>
  </si>
  <si>
    <t>U6Y</t>
  </si>
  <si>
    <t>U6θ</t>
  </si>
  <si>
    <t>U7X</t>
  </si>
  <si>
    <t>U7Y</t>
  </si>
  <si>
    <t>U7θ</t>
  </si>
  <si>
    <t>U8X</t>
  </si>
  <si>
    <t>U8Y</t>
  </si>
  <si>
    <t>U8θ</t>
  </si>
  <si>
    <t>U9X</t>
  </si>
  <si>
    <t>U9Y</t>
  </si>
  <si>
    <t>U9θ</t>
  </si>
  <si>
    <t>U10X</t>
  </si>
  <si>
    <t>U10Y</t>
  </si>
  <si>
    <t>U10θ</t>
  </si>
  <si>
    <t>U11X</t>
  </si>
  <si>
    <t>U11Y</t>
  </si>
  <si>
    <t>U11θ</t>
  </si>
  <si>
    <t>K2 =</t>
  </si>
  <si>
    <t>K3 =</t>
  </si>
  <si>
    <t>K4 =</t>
  </si>
  <si>
    <t>K5 =</t>
  </si>
  <si>
    <t>K6 =</t>
  </si>
  <si>
    <t>K7 =</t>
  </si>
  <si>
    <t>K8 =</t>
  </si>
  <si>
    <t>K9 =</t>
  </si>
  <si>
    <t>K10 =</t>
  </si>
  <si>
    <t>MATRIZ DE RIGIDEZ GLOBAL DE LA VIGA [Kviga] (ENSAMBLE COMPLETO 10 TRAMOS / 11 NODOS / 33 GDL)</t>
  </si>
  <si>
    <t>Kviga =</t>
  </si>
  <si>
    <t>VECTORES DE CARGAS GLOBALES {C} Y CONDICIONES DE FRONTERA / DESPLAZAMIENTOS {D}</t>
  </si>
  <si>
    <t>GDL</t>
  </si>
  <si>
    <t>Nudo</t>
  </si>
  <si>
    <t>Tipo</t>
  </si>
  <si>
    <t>Fuerza (C)</t>
  </si>
  <si>
    <t>Condición GDL</t>
  </si>
  <si>
    <t>RESTRINGIDO</t>
  </si>
  <si>
    <t>LIBRE</t>
  </si>
  <si>
    <t>7. MATRIZ DE RIGIDEZ MODIFICADA PARA CÁLCULO DE DESPLAZAMIENTOS [K_mod] (DIAGONAL 1 EN RESTRINGIDOS)</t>
  </si>
  <si>
    <t>C_LIBRES</t>
  </si>
  <si>
    <t>D_CALCULADO</t>
  </si>
  <si>
    <t>R_CALCULADO</t>
  </si>
  <si>
    <t>RESUMEN DE DESPLAZAMIENTOS</t>
  </si>
  <si>
    <t>D1X</t>
  </si>
  <si>
    <t>=</t>
  </si>
  <si>
    <t>D1Y</t>
  </si>
  <si>
    <t>D1θ</t>
  </si>
  <si>
    <t>rad</t>
  </si>
  <si>
    <t>D2X</t>
  </si>
  <si>
    <t>D2Y</t>
  </si>
  <si>
    <t>D2θ</t>
  </si>
  <si>
    <t>D3X</t>
  </si>
  <si>
    <t>D3Y</t>
  </si>
  <si>
    <t>D3θ</t>
  </si>
  <si>
    <t>D4X</t>
  </si>
  <si>
    <t>D4Y</t>
  </si>
  <si>
    <t>D4θ</t>
  </si>
  <si>
    <t>D5X</t>
  </si>
  <si>
    <t>D5Y</t>
  </si>
  <si>
    <t>D5θ</t>
  </si>
  <si>
    <t>D6X</t>
  </si>
  <si>
    <t>D6Y</t>
  </si>
  <si>
    <t>D6θ</t>
  </si>
  <si>
    <t>D7X</t>
  </si>
  <si>
    <t>D7Y</t>
  </si>
  <si>
    <t>D7θ</t>
  </si>
  <si>
    <t>D8X</t>
  </si>
  <si>
    <t>D8Y</t>
  </si>
  <si>
    <t>D8θ</t>
  </si>
  <si>
    <t>D9X</t>
  </si>
  <si>
    <t>D9Y</t>
  </si>
  <si>
    <t>D9θ</t>
  </si>
  <si>
    <t>D10X</t>
  </si>
  <si>
    <t>D10Y</t>
  </si>
  <si>
    <t>D10θ</t>
  </si>
  <si>
    <t>D11X</t>
  </si>
  <si>
    <t>D11Y</t>
  </si>
  <si>
    <t>D11θ</t>
  </si>
  <si>
    <t>RESUMEN DE REACCIONES EN LOS APOYOS</t>
  </si>
  <si>
    <t>Símbolo</t>
  </si>
  <si>
    <t>G.D.L.</t>
  </si>
  <si>
    <t>Valor Reacción</t>
  </si>
  <si>
    <t>Unidad</t>
  </si>
  <si>
    <t>Condición</t>
  </si>
  <si>
    <t>R1X</t>
  </si>
  <si>
    <t>Kgf</t>
  </si>
  <si>
    <t>R1Y</t>
  </si>
  <si>
    <t>R1θ</t>
  </si>
  <si>
    <t>Kgf.cm</t>
  </si>
  <si>
    <t>R2X</t>
  </si>
  <si>
    <t>R2Y</t>
  </si>
  <si>
    <t>R2θ</t>
  </si>
  <si>
    <t>R3X</t>
  </si>
  <si>
    <t>R3Y</t>
  </si>
  <si>
    <t>R3θ</t>
  </si>
  <si>
    <t>R4X</t>
  </si>
  <si>
    <t>R4Y</t>
  </si>
  <si>
    <t>R4θ</t>
  </si>
  <si>
    <t>R5X</t>
  </si>
  <si>
    <t>R5Y</t>
  </si>
  <si>
    <t>R5θ</t>
  </si>
  <si>
    <t>R6X</t>
  </si>
  <si>
    <t>R6Y</t>
  </si>
  <si>
    <t>R6θ</t>
  </si>
  <si>
    <t>R7X</t>
  </si>
  <si>
    <t>DATOS PARA GRAFICAR LA CURVA ELÁSTICA</t>
  </si>
  <si>
    <t>R7Y</t>
  </si>
  <si>
    <t>X (cm)</t>
  </si>
  <si>
    <t>DY (cm)</t>
  </si>
  <si>
    <t>θ (rad)</t>
  </si>
  <si>
    <t>R7θ</t>
  </si>
  <si>
    <t>R8X</t>
  </si>
  <si>
    <t>R8Y</t>
  </si>
  <si>
    <t>R8θ</t>
  </si>
  <si>
    <t>R9X</t>
  </si>
  <si>
    <t>R9Y</t>
  </si>
  <si>
    <t>R9θ</t>
  </si>
  <si>
    <t>R10X</t>
  </si>
  <si>
    <t>R10Y</t>
  </si>
  <si>
    <t>R10θ</t>
  </si>
  <si>
    <t>R11X</t>
  </si>
  <si>
    <t>R11Y</t>
  </si>
  <si>
    <t>R11θ</t>
  </si>
  <si>
    <t>UNIVERSIDAD CONTINENTAL - FACULTAD DE INGENIERÍA</t>
  </si>
  <si>
    <t>CÁTEDRA DE ANÁLISIS ESTRUCTURAL II - ING. ULIANOV CUBA VALENCIA</t>
  </si>
  <si>
    <t>MÉTODO MATRICIAL DE RIGIDEZ DIRECTA EN PÓRTICOS 2D (HASTA 10 TRAMOS / 11 NODOS / 33 GDL)</t>
  </si>
  <si>
    <t>1. PROPIEDADES DE LA SECCIÓN TRANSVERSAL Y MATERIAL</t>
  </si>
  <si>
    <t>Base b (cm):</t>
  </si>
  <si>
    <t>Altura h (cm):</t>
  </si>
  <si>
    <t>Área A (cm²):</t>
  </si>
  <si>
    <t>Inercia I (cm⁴):</t>
  </si>
  <si>
    <t>Módulo E (kgf/cm²):</t>
  </si>
  <si>
    <t>2. GEOMETRÍA DE BARRAS Y PROPIEDADES DE RIGIDEZ</t>
  </si>
  <si>
    <t>Ni</t>
  </si>
  <si>
    <t>Nj</t>
  </si>
  <si>
    <t>3. TABLA DE EVALUACIÓN NODAL: APOYOS, CONDICIONES GDL Y CARGAS</t>
  </si>
  <si>
    <t>Y (cm)</t>
  </si>
  <si>
    <t>Apoyo</t>
  </si>
  <si>
    <t>GDL Ux</t>
  </si>
  <si>
    <t>GDL Uy</t>
  </si>
  <si>
    <t>GDL θz</t>
  </si>
  <si>
    <t>Fx (kgf)</t>
  </si>
  <si>
    <t>Fy (kgf)</t>
  </si>
  <si>
    <t>Mz (kgf·cm)</t>
  </si>
  <si>
    <t>FIXED</t>
  </si>
  <si>
    <t>FREE</t>
  </si>
  <si>
    <t>4. MATRIZ DE RIGIDEZ GLOBAL DE LA ESTRUCTURA [K] (33 x 33 GDL)</t>
  </si>
  <si>
    <t>5. PARTICIÓN MATRICIAL: SUBMATRIZ REDUCIDA [K_LL] (12 x 12 GDL LIBRES)</t>
  </si>
  <si>
    <t>6. MATRIZ INVERSA [K_LL]^-1 (CALCULADA CON =MINVERSA, 12 x 12)</t>
  </si>
  <si>
    <t>7. ECUACIÓN MATRICIAL FUNDAMENTAL: {D_libres} = [K_LL]^-1 · {F_libres} (3 CUADROS MATRICIALES)</t>
  </si>
  <si>
    <t>CUADRO 1: {D_libres} (cm, rad)</t>
  </si>
  <si>
    <t>CUADRO 2: [K_LL]^-1 (12x12)</t>
  </si>
  <si>
    <t>CUADRO 3: {F_libres} (kgf, kgf·cm)</t>
  </si>
  <si>
    <t>8. CÁLCULO DE REACCIONES: {R} = [K_RL] · {D_libres} - {F_restringidos} (6 GDL RESTRINGIDOS)</t>
  </si>
  <si>
    <t>GDL Reacción</t>
  </si>
  <si>
    <t>Fórmula Aplicada</t>
  </si>
  <si>
    <t>K_RL(1,:) · D_L - F_R(1)</t>
  </si>
  <si>
    <t>kgf</t>
  </si>
  <si>
    <t>K_RL(2,:) · D_L - F_R(2)</t>
  </si>
  <si>
    <t>K_RL(3,:) · D_L - F_R(3)</t>
  </si>
  <si>
    <t>kgf·cm</t>
  </si>
  <si>
    <t>K_RL(4,:) · D_L - F_R(4)</t>
  </si>
  <si>
    <t>K_RL(5,:) · D_L - F_R(5)</t>
  </si>
  <si>
    <t>K_RL(6,:) · D_L - F_R(6)</t>
  </si>
  <si>
    <t>9. TABLA DE DATOS PARA GRAFICAR LA CURVA ELÁSTICA (2 COLUMNAS)</t>
  </si>
  <si>
    <t>✓ COMPROBACIÓN DE EQUILIBRIO GLOBAL ESTÁTICO: ΣFx = 2.594e-9 kgf · ΣFy = -1.819e-12 kgf · ΣMz = -1.038e-6 kgf·cm (CONVERGENCIA ALCANZADA)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</si>
</sst>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0"/>
    <numFmt numFmtId="165" formatCode="0.0000"/>
    <numFmt numFmtId="166" formatCode="0.000000"/>
    <numFmt numFmtId="167" formatCode="0.00000000"/>
    <numFmt numFmtId="168" formatCode="0.000000000"/>
    <numFmt numFmtId="169" formatCode="0.0000000"/>
  </numFmts>
  <fonts count="9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>
      <b/>
      <color rgb="FF000000"/>
      <sz val="9.5"/>
      <name val="Calibri"/>
    </font>
    <font>
      <color rgb="FF000000"/>
      <sz val="9.5"/>
      <name val="Calibri"/>
    </font>
    <font>
      <color rgb="FF000000"/>
      <sz val="9"/>
      <name val="Consolas"/>
    </font>
    <font>
      <b/>
      <color rgb="FF000000"/>
      <sz val="9"/>
      <name val="Consolas"/>
    </font>
    <font>
      <b/>
      <color rgb="FFFFFFFF"/>
      <sz val="13"/>
      <name val="Calibri"/>
    </font>
    <font>
      <b/>
      <color rgb="FFFFFFFF"/>
      <sz val="11"/>
      <name val="Calibri"/>
    </font>
    <font>
      <b/>
      <color rgb="FF000000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EF9C3"/>
      </patternFill>
    </fill>
    <fill>
      <patternFill patternType="solid">
        <fgColor rgb="FFE2EFDA"/>
      </patternFill>
    </fill>
    <fill>
      <patternFill patternType="solid">
        <fgColor rgb="FFBAE6FD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1E293B"/>
      </patternFill>
    </fill>
    <fill>
      <patternFill patternType="solid">
        <fgColor rgb="FF0284C7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334155"/>
      </top>
      <bottom style="medium">
        <color rgb="FF33415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1" fontId="2" fillId="5" borderId="2" xfId="0" applyNumberFormat="1" applyFont="1" applyFill="1" applyBorder="1" applyAlignment="1">
      <alignment horizontal="center" vertical="center"/>
    </xf>
    <xf numFmtId="4" fontId="2" fillId="6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2" fillId="7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" fontId="4" fillId="0" borderId="2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4" fillId="5" borderId="2" xfId="0" applyNumberFormat="1" applyFont="1" applyFill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166" fontId="5" fillId="5" borderId="2" xfId="0" applyNumberFormat="1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  <xf numFmtId="167" fontId="2" fillId="5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1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3" fillId="8" borderId="2" xfId="0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  <xf numFmtId="4" fontId="5" fillId="5" borderId="2" xfId="0" applyNumberFormat="1" applyFont="1" applyFill="1" applyBorder="1" applyAlignment="1">
      <alignment horizontal="right" vertical="center"/>
    </xf>
    <xf numFmtId="168" fontId="4" fillId="4" borderId="2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9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87"/>
  <sheetViews>
    <sheetView workbookViewId="0"/>
  </sheetViews>
  <sheetFormatPr defaultRowHeight="15" outlineLevelRow="0" outlineLevelCol="0" x14ac:dyDescent="55"/>
  <cols>
    <col min="1" max="1" width="10" customWidth="1"/>
    <col min="2" max="35" width="13" customWidth="1"/>
    <col min="36" max="36" width="14" customWidth="1"/>
    <col min="38" max="38" width="16" customWidth="1"/>
    <col min="40" max="40" width="16" customWidth="1"/>
  </cols>
  <sheetData>
    <row r="1" spans="2:8" x14ac:dyDescent="0.25">
      <c r="B1" s="1" t="s">
        <v>0</v>
      </c>
      <c r="C1" s="1"/>
      <c r="D1" s="1"/>
      <c r="E1" s="1"/>
      <c r="F1" s="1"/>
      <c r="G1" s="1"/>
      <c r="H1" s="1"/>
    </row>
    <row r="2" spans="2:4" x14ac:dyDescent="0.25">
      <c r="B2" s="2" t="s">
        <v>1</v>
      </c>
      <c r="C2" s="3">
        <v>2100000</v>
      </c>
      <c r="D2" s="4" t="s">
        <v>2</v>
      </c>
    </row>
    <row r="3" spans="2:7" x14ac:dyDescent="0.25">
      <c r="B3" s="2" t="s">
        <v>3</v>
      </c>
      <c r="C3" s="5">
        <v>5</v>
      </c>
      <c r="D3" s="4" t="s">
        <v>4</v>
      </c>
      <c r="F3" s="2" t="s">
        <v>5</v>
      </c>
      <c r="G3" s="6">
        <f>COUNT(I9:I18)</f>
        <v>5</v>
      </c>
    </row>
    <row r="4" spans="2:7" x14ac:dyDescent="0.25">
      <c r="B4" s="2" t="s">
        <v>6</v>
      </c>
      <c r="C4" s="5">
        <v>5</v>
      </c>
      <c r="D4" s="4" t="s">
        <v>4</v>
      </c>
      <c r="F4" s="2" t="s">
        <v>7</v>
      </c>
      <c r="G4" s="6">
        <f>IF(G3&gt;0, G3+1, 0)</f>
        <v>6</v>
      </c>
    </row>
    <row r="5" spans="2:7" x14ac:dyDescent="0.25">
      <c r="B5" s="2" t="s">
        <v>8</v>
      </c>
      <c r="C5" s="7">
        <f>C3*C4</f>
        <v>25</v>
      </c>
      <c r="D5" s="4" t="s">
        <v>9</v>
      </c>
      <c r="E5" s="2" t="s">
        <v>10</v>
      </c>
      <c r="F5" s="8">
        <f>(C3*(C4^3))/12</f>
        <v>52.083333333333336</v>
      </c>
      <c r="G5" s="4" t="s">
        <v>11</v>
      </c>
    </row>
    <row r="7" spans="2:19" x14ac:dyDescent="0.25">
      <c r="B7" s="9" t="s">
        <v>12</v>
      </c>
      <c r="C7" s="9" t="s">
        <v>13</v>
      </c>
      <c r="D7" s="9"/>
      <c r="E7" s="9" t="s">
        <v>14</v>
      </c>
      <c r="F7" s="9"/>
      <c r="G7" s="9" t="s">
        <v>15</v>
      </c>
      <c r="H7" s="9" t="s">
        <v>16</v>
      </c>
      <c r="I7" s="9" t="s">
        <v>17</v>
      </c>
      <c r="J7" s="9" t="s">
        <v>18</v>
      </c>
      <c r="K7" s="9" t="s">
        <v>19</v>
      </c>
      <c r="L7" s="9" t="s">
        <v>20</v>
      </c>
      <c r="M7" s="9" t="s">
        <v>21</v>
      </c>
      <c r="N7" s="9" t="s">
        <v>22</v>
      </c>
      <c r="O7" s="9" t="s">
        <v>23</v>
      </c>
      <c r="P7" s="9" t="s">
        <v>24</v>
      </c>
      <c r="Q7" s="9" t="s">
        <v>25</v>
      </c>
      <c r="R7" s="9" t="s">
        <v>26</v>
      </c>
      <c r="S7" s="9" t="s">
        <v>27</v>
      </c>
    </row>
    <row r="8" spans="3:6" x14ac:dyDescent="0.25">
      <c r="C8" s="10" t="s">
        <v>28</v>
      </c>
      <c r="D8" s="10" t="s">
        <v>29</v>
      </c>
      <c r="E8" s="10" t="s">
        <v>30</v>
      </c>
      <c r="F8" s="10" t="s">
        <v>31</v>
      </c>
    </row>
    <row r="9" spans="2:19" x14ac:dyDescent="0.25">
      <c r="B9" s="10">
        <v>1</v>
      </c>
      <c r="C9" s="11">
        <v>0</v>
      </c>
      <c r="D9" s="11">
        <v>0</v>
      </c>
      <c r="E9" s="11">
        <v>0</v>
      </c>
      <c r="F9" s="11">
        <v>400</v>
      </c>
      <c r="G9" s="12">
        <f>IF(OR(C9="",E9=""),"", E9-C9)</f>
        <v>0</v>
      </c>
      <c r="H9" s="12">
        <f>IF(OR(D9="",F9=""),"", F9-D9)</f>
        <v>400</v>
      </c>
      <c r="I9" s="13">
        <f>IF(OR(G9="",H9=""),"", SQRT(G9*G9+H9*H9))</f>
        <v>400</v>
      </c>
      <c r="J9" s="14">
        <f>IF(OR(I9="",I9=0),"", G9/I9)</f>
        <v>0</v>
      </c>
      <c r="K9" s="14">
        <f>IF(OR(I9="",I9=0),"", H9/I9)</f>
        <v>1</v>
      </c>
      <c r="L9" s="15">
        <f>IF(I9="","",$C$2)</f>
        <v>2100000</v>
      </c>
      <c r="M9" s="12">
        <f>IF(I9="","",$C$5)</f>
        <v>25</v>
      </c>
      <c r="N9" s="16">
        <f>IF(I9="","",$F$5)</f>
        <v>52.083333333333336</v>
      </c>
      <c r="O9" s="12">
        <f>IF(I9="","",L9*M9/I9)</f>
        <v>131250</v>
      </c>
      <c r="P9" s="16">
        <f>IF(I9="","",12*L9*N9/(I9^3))</f>
        <v>20.5078125</v>
      </c>
      <c r="Q9" s="12">
        <f>IF(I9="","",6*L9*N9/(I9^2))</f>
        <v>4101.5625</v>
      </c>
      <c r="R9" s="12">
        <f>IF(I9="","",4*L9*N9/I9)</f>
        <v>1093750</v>
      </c>
      <c r="S9" s="12">
        <f>IF(I9="","",2*L9*N9/I9)</f>
        <v>546875</v>
      </c>
    </row>
    <row r="10" spans="2:19" x14ac:dyDescent="0.25">
      <c r="B10" s="10">
        <v>2</v>
      </c>
      <c r="C10" s="11">
        <v>0</v>
      </c>
      <c r="D10" s="11">
        <v>400</v>
      </c>
      <c r="E10" s="11">
        <v>300</v>
      </c>
      <c r="F10" s="11">
        <v>400</v>
      </c>
      <c r="G10" s="12">
        <f>IF(OR(C10="",E10=""),"", E10-C10)</f>
        <v>300</v>
      </c>
      <c r="H10" s="12">
        <f>IF(OR(D10="",F10=""),"", F10-D10)</f>
        <v>0</v>
      </c>
      <c r="I10" s="13">
        <f>IF(OR(G10="",H10=""),"", SQRT(G10*G10+H10*H10))</f>
        <v>300</v>
      </c>
      <c r="J10" s="14">
        <f>IF(OR(I10="",I10=0),"", G10/I10)</f>
        <v>1</v>
      </c>
      <c r="K10" s="14">
        <f>IF(OR(I10="",I10=0),"", H10/I10)</f>
        <v>0</v>
      </c>
      <c r="L10" s="15">
        <f>IF(I10="","",$C$2)</f>
        <v>2100000</v>
      </c>
      <c r="M10" s="12">
        <f>IF(I10="","",$C$5)</f>
        <v>25</v>
      </c>
      <c r="N10" s="16">
        <f>IF(I10="","",$F$5)</f>
        <v>52.083333333333336</v>
      </c>
      <c r="O10" s="12">
        <f>IF(I10="","",L10*M10/I10)</f>
        <v>175000</v>
      </c>
      <c r="P10" s="16">
        <f>IF(I10="","",12*L10*N10/(I10^3))</f>
        <v>48.611111111111114</v>
      </c>
      <c r="Q10" s="12">
        <f>IF(I10="","",6*L10*N10/(I10^2))</f>
        <v>7291.666666666667</v>
      </c>
      <c r="R10" s="12">
        <f>IF(I10="","",4*L10*N10/I10)</f>
        <v>1458333.3333333333</v>
      </c>
      <c r="S10" s="12">
        <f>IF(I10="","",2*L10*N10/I10)</f>
        <v>729166.6666666666</v>
      </c>
    </row>
    <row r="11" spans="2:19" x14ac:dyDescent="0.25">
      <c r="B11" s="10">
        <v>3</v>
      </c>
      <c r="C11" s="11">
        <v>300</v>
      </c>
      <c r="D11" s="11">
        <v>400</v>
      </c>
      <c r="E11" s="11">
        <v>400</v>
      </c>
      <c r="F11" s="11">
        <v>400</v>
      </c>
      <c r="G11" s="12">
        <f>IF(OR(C11="",E11=""),"", E11-C11)</f>
        <v>100</v>
      </c>
      <c r="H11" s="12">
        <f>IF(OR(D11="",F11=""),"", F11-D11)</f>
        <v>0</v>
      </c>
      <c r="I11" s="13">
        <f>IF(OR(G11="",H11=""),"", SQRT(G11*G11+H11*H11))</f>
        <v>100</v>
      </c>
      <c r="J11" s="14">
        <f>IF(OR(I11="",I11=0),"", G11/I11)</f>
        <v>1</v>
      </c>
      <c r="K11" s="14">
        <f>IF(OR(I11="",I11=0),"", H11/I11)</f>
        <v>0</v>
      </c>
      <c r="L11" s="15">
        <f>IF(I11="","",$C$2)</f>
        <v>2100000</v>
      </c>
      <c r="M11" s="12">
        <f>IF(I11="","",$C$5)</f>
        <v>25</v>
      </c>
      <c r="N11" s="16">
        <f>IF(I11="","",$F$5)</f>
        <v>52.083333333333336</v>
      </c>
      <c r="O11" s="12">
        <f>IF(I11="","",L11*M11/I11)</f>
        <v>525000</v>
      </c>
      <c r="P11" s="16">
        <f>IF(I11="","",12*L11*N11/(I11^3))</f>
        <v>1312.5</v>
      </c>
      <c r="Q11" s="12">
        <f>IF(I11="","",6*L11*N11/(I11^2))</f>
        <v>65625</v>
      </c>
      <c r="R11" s="12">
        <f>IF(I11="","",4*L11*N11/I11)</f>
        <v>4375000</v>
      </c>
      <c r="S11" s="12">
        <f>IF(I11="","",2*L11*N11/I11)</f>
        <v>2187500</v>
      </c>
    </row>
    <row r="12" spans="2:19" x14ac:dyDescent="0.25">
      <c r="B12" s="10">
        <v>4</v>
      </c>
      <c r="C12" s="11">
        <v>400</v>
      </c>
      <c r="D12" s="11">
        <v>400</v>
      </c>
      <c r="E12" s="11">
        <v>400</v>
      </c>
      <c r="F12" s="11">
        <v>150</v>
      </c>
      <c r="G12" s="12">
        <f>IF(OR(C12="",E12=""),"", E12-C12)</f>
        <v>0</v>
      </c>
      <c r="H12" s="12">
        <f>IF(OR(D12="",F12=""),"", F12-D12)</f>
        <v>-250</v>
      </c>
      <c r="I12" s="13">
        <f>IF(OR(G12="",H12=""),"", SQRT(G12*G12+H12*H12))</f>
        <v>250</v>
      </c>
      <c r="J12" s="14">
        <f>IF(OR(I12="",I12=0),"", G12/I12)</f>
        <v>0</v>
      </c>
      <c r="K12" s="14">
        <f>IF(OR(I12="",I12=0),"", H12/I12)</f>
        <v>-1</v>
      </c>
      <c r="L12" s="15">
        <f>IF(I12="","",$C$2)</f>
        <v>2100000</v>
      </c>
      <c r="M12" s="12">
        <f>IF(I12="","",$C$5)</f>
        <v>25</v>
      </c>
      <c r="N12" s="16">
        <f>IF(I12="","",$F$5)</f>
        <v>52.083333333333336</v>
      </c>
      <c r="O12" s="12">
        <f>IF(I12="","",L12*M12/I12)</f>
        <v>210000</v>
      </c>
      <c r="P12" s="16">
        <f>IF(I12="","",12*L12*N12/(I12^3))</f>
        <v>84</v>
      </c>
      <c r="Q12" s="12">
        <f>IF(I12="","",6*L12*N12/(I12^2))</f>
        <v>10500</v>
      </c>
      <c r="R12" s="12">
        <f>IF(I12="","",4*L12*N12/I12)</f>
        <v>1750000</v>
      </c>
      <c r="S12" s="12">
        <f>IF(I12="","",2*L12*N12/I12)</f>
        <v>875000</v>
      </c>
    </row>
    <row r="13" spans="2:19" x14ac:dyDescent="0.25">
      <c r="B13" s="10">
        <v>5</v>
      </c>
      <c r="C13" s="11">
        <v>400</v>
      </c>
      <c r="D13" s="11">
        <v>150</v>
      </c>
      <c r="E13" s="11">
        <v>400</v>
      </c>
      <c r="F13" s="11">
        <v>0</v>
      </c>
      <c r="G13" s="12">
        <f>IF(OR(C13="",E13=""),"", E13-C13)</f>
        <v>0</v>
      </c>
      <c r="H13" s="12">
        <f>IF(OR(D13="",F13=""),"", F13-D13)</f>
        <v>-150</v>
      </c>
      <c r="I13" s="13">
        <f>IF(OR(G13="",H13=""),"", SQRT(G13*G13+H13*H13))</f>
        <v>150</v>
      </c>
      <c r="J13" s="14">
        <f>IF(OR(I13="",I13=0),"", G13/I13)</f>
        <v>0</v>
      </c>
      <c r="K13" s="14">
        <f>IF(OR(I13="",I13=0),"", H13/I13)</f>
        <v>-1</v>
      </c>
      <c r="L13" s="15">
        <f>IF(I13="","",$C$2)</f>
        <v>2100000</v>
      </c>
      <c r="M13" s="12">
        <f>IF(I13="","",$C$5)</f>
        <v>25</v>
      </c>
      <c r="N13" s="16">
        <f>IF(I13="","",$F$5)</f>
        <v>52.083333333333336</v>
      </c>
      <c r="O13" s="12">
        <f>IF(I13="","",L13*M13/I13)</f>
        <v>350000</v>
      </c>
      <c r="P13" s="16">
        <f>IF(I13="","",12*L13*N13/(I13^3))</f>
        <v>388.8888888888889</v>
      </c>
      <c r="Q13" s="12">
        <f>IF(I13="","",6*L13*N13/(I13^2))</f>
        <v>29166.666666666668</v>
      </c>
      <c r="R13" s="12">
        <f>IF(I13="","",4*L13*N13/I13)</f>
        <v>2916666.6666666665</v>
      </c>
      <c r="S13" s="12">
        <f>IF(I13="","",2*L13*N13/I13)</f>
        <v>1458333.3333333333</v>
      </c>
    </row>
    <row r="14" spans="2:19" x14ac:dyDescent="0.25">
      <c r="B14" s="10">
        <v>6</v>
      </c>
      <c r="C14" s="17"/>
      <c r="D14" s="17"/>
      <c r="E14" s="17"/>
      <c r="F14" s="17"/>
      <c r="G14" s="12" t="str">
        <f>IF(OR(C14="",E14=""),"", E14-C14)</f>
        <v/>
      </c>
      <c r="H14" s="12" t="str">
        <f>IF(OR(D14="",F14=""),"", F14-D14)</f>
        <v/>
      </c>
      <c r="I14" s="12" t="str">
        <f>IF(OR(G14="",H14=""),"", SQRT(G14*G14+H14*H14))</f>
        <v/>
      </c>
      <c r="J14" s="14" t="str">
        <f>IF(OR(I14="",I14=0),"", G14/I14)</f>
        <v/>
      </c>
      <c r="K14" s="14" t="str">
        <f>IF(OR(I14="",I14=0),"", H14/I14)</f>
        <v/>
      </c>
      <c r="L14" s="15" t="str">
        <f>IF(I14="","",$C$2)</f>
        <v/>
      </c>
      <c r="M14" s="12" t="str">
        <f>IF(I14="","",$C$5)</f>
        <v/>
      </c>
      <c r="N14" s="16" t="str">
        <f>IF(I14="","",$F$5)</f>
        <v/>
      </c>
      <c r="O14" s="12" t="str">
        <f>IF(I14="","",L14*M14/I14)</f>
        <v/>
      </c>
      <c r="P14" s="16" t="str">
        <f>IF(I14="","",12*L14*N14/(I14^3))</f>
        <v/>
      </c>
      <c r="Q14" s="12" t="str">
        <f>IF(I14="","",6*L14*N14/(I14^2))</f>
        <v/>
      </c>
      <c r="R14" s="12" t="str">
        <f>IF(I14="","",4*L14*N14/I14)</f>
        <v/>
      </c>
      <c r="S14" s="12" t="str">
        <f>IF(I14="","",2*L14*N14/I14)</f>
        <v/>
      </c>
    </row>
    <row r="15" spans="2:19" x14ac:dyDescent="0.25">
      <c r="B15" s="10">
        <v>7</v>
      </c>
      <c r="C15" s="17"/>
      <c r="D15" s="17"/>
      <c r="E15" s="17"/>
      <c r="F15" s="17"/>
      <c r="G15" s="12" t="str">
        <f>IF(OR(C15="",E15=""),"", E15-C15)</f>
        <v/>
      </c>
      <c r="H15" s="12" t="str">
        <f>IF(OR(D15="",F15=""),"", F15-D15)</f>
        <v/>
      </c>
      <c r="I15" s="12" t="str">
        <f>IF(OR(G15="",H15=""),"", SQRT(G15*G15+H15*H15))</f>
        <v/>
      </c>
      <c r="J15" s="14" t="str">
        <f>IF(OR(I15="",I15=0),"", G15/I15)</f>
        <v/>
      </c>
      <c r="K15" s="14" t="str">
        <f>IF(OR(I15="",I15=0),"", H15/I15)</f>
        <v/>
      </c>
      <c r="L15" s="15" t="str">
        <f>IF(I15="","",$C$2)</f>
        <v/>
      </c>
      <c r="M15" s="12" t="str">
        <f>IF(I15="","",$C$5)</f>
        <v/>
      </c>
      <c r="N15" s="16" t="str">
        <f>IF(I15="","",$F$5)</f>
        <v/>
      </c>
      <c r="O15" s="12" t="str">
        <f>IF(I15="","",L15*M15/I15)</f>
        <v/>
      </c>
      <c r="P15" s="16" t="str">
        <f>IF(I15="","",12*L15*N15/(I15^3))</f>
        <v/>
      </c>
      <c r="Q15" s="12" t="str">
        <f>IF(I15="","",6*L15*N15/(I15^2))</f>
        <v/>
      </c>
      <c r="R15" s="12" t="str">
        <f>IF(I15="","",4*L15*N15/I15)</f>
        <v/>
      </c>
      <c r="S15" s="12" t="str">
        <f>IF(I15="","",2*L15*N15/I15)</f>
        <v/>
      </c>
    </row>
    <row r="16" spans="2:19" x14ac:dyDescent="0.25">
      <c r="B16" s="10">
        <v>8</v>
      </c>
      <c r="C16" s="17"/>
      <c r="D16" s="17"/>
      <c r="E16" s="17"/>
      <c r="F16" s="17"/>
      <c r="G16" s="12" t="str">
        <f>IF(OR(C16="",E16=""),"", E16-C16)</f>
        <v/>
      </c>
      <c r="H16" s="12" t="str">
        <f>IF(OR(D16="",F16=""),"", F16-D16)</f>
        <v/>
      </c>
      <c r="I16" s="12" t="str">
        <f>IF(OR(G16="",H16=""),"", SQRT(G16*G16+H16*H16))</f>
        <v/>
      </c>
      <c r="J16" s="14" t="str">
        <f>IF(OR(I16="",I16=0),"", G16/I16)</f>
        <v/>
      </c>
      <c r="K16" s="14" t="str">
        <f>IF(OR(I16="",I16=0),"", H16/I16)</f>
        <v/>
      </c>
      <c r="L16" s="15" t="str">
        <f>IF(I16="","",$C$2)</f>
        <v/>
      </c>
      <c r="M16" s="12" t="str">
        <f>IF(I16="","",$C$5)</f>
        <v/>
      </c>
      <c r="N16" s="16" t="str">
        <f>IF(I16="","",$F$5)</f>
        <v/>
      </c>
      <c r="O16" s="12" t="str">
        <f>IF(I16="","",L16*M16/I16)</f>
        <v/>
      </c>
      <c r="P16" s="16" t="str">
        <f>IF(I16="","",12*L16*N16/(I16^3))</f>
        <v/>
      </c>
      <c r="Q16" s="12" t="str">
        <f>IF(I16="","",6*L16*N16/(I16^2))</f>
        <v/>
      </c>
      <c r="R16" s="12" t="str">
        <f>IF(I16="","",4*L16*N16/I16)</f>
        <v/>
      </c>
      <c r="S16" s="12" t="str">
        <f>IF(I16="","",2*L16*N16/I16)</f>
        <v/>
      </c>
    </row>
    <row r="17" spans="2:19" x14ac:dyDescent="0.25">
      <c r="B17" s="10">
        <v>9</v>
      </c>
      <c r="C17" s="17"/>
      <c r="D17" s="17"/>
      <c r="E17" s="17"/>
      <c r="F17" s="17"/>
      <c r="G17" s="12" t="str">
        <f>IF(OR(C17="",E17=""),"", E17-C17)</f>
        <v/>
      </c>
      <c r="H17" s="12" t="str">
        <f>IF(OR(D17="",F17=""),"", F17-D17)</f>
        <v/>
      </c>
      <c r="I17" s="12" t="str">
        <f>IF(OR(G17="",H17=""),"", SQRT(G17*G17+H17*H17))</f>
        <v/>
      </c>
      <c r="J17" s="14" t="str">
        <f>IF(OR(I17="",I17=0),"", G17/I17)</f>
        <v/>
      </c>
      <c r="K17" s="14" t="str">
        <f>IF(OR(I17="",I17=0),"", H17/I17)</f>
        <v/>
      </c>
      <c r="L17" s="15" t="str">
        <f>IF(I17="","",$C$2)</f>
        <v/>
      </c>
      <c r="M17" s="12" t="str">
        <f>IF(I17="","",$C$5)</f>
        <v/>
      </c>
      <c r="N17" s="16" t="str">
        <f>IF(I17="","",$F$5)</f>
        <v/>
      </c>
      <c r="O17" s="12" t="str">
        <f>IF(I17="","",L17*M17/I17)</f>
        <v/>
      </c>
      <c r="P17" s="16" t="str">
        <f>IF(I17="","",12*L17*N17/(I17^3))</f>
        <v/>
      </c>
      <c r="Q17" s="12" t="str">
        <f>IF(I17="","",6*L17*N17/(I17^2))</f>
        <v/>
      </c>
      <c r="R17" s="12" t="str">
        <f>IF(I17="","",4*L17*N17/I17)</f>
        <v/>
      </c>
      <c r="S17" s="12" t="str">
        <f>IF(I17="","",2*L17*N17/I17)</f>
        <v/>
      </c>
    </row>
    <row r="18" spans="2:19" x14ac:dyDescent="0.25">
      <c r="B18" s="10">
        <v>10</v>
      </c>
      <c r="C18" s="17"/>
      <c r="D18" s="17"/>
      <c r="E18" s="17"/>
      <c r="F18" s="17"/>
      <c r="G18" s="12" t="str">
        <f>IF(OR(C18="",E18=""),"", E18-C18)</f>
        <v/>
      </c>
      <c r="H18" s="12" t="str">
        <f>IF(OR(D18="",F18=""),"", F18-D18)</f>
        <v/>
      </c>
      <c r="I18" s="12" t="str">
        <f>IF(OR(G18="",H18=""),"", SQRT(G18*G18+H18*H18))</f>
        <v/>
      </c>
      <c r="J18" s="14" t="str">
        <f>IF(OR(I18="",I18=0),"", G18/I18)</f>
        <v/>
      </c>
      <c r="K18" s="14" t="str">
        <f>IF(OR(I18="",I18=0),"", H18/I18)</f>
        <v/>
      </c>
      <c r="L18" s="15" t="str">
        <f>IF(I18="","",$C$2)</f>
        <v/>
      </c>
      <c r="M18" s="12" t="str">
        <f>IF(I18="","",$C$5)</f>
        <v/>
      </c>
      <c r="N18" s="16" t="str">
        <f>IF(I18="","",$F$5)</f>
        <v/>
      </c>
      <c r="O18" s="12" t="str">
        <f>IF(I18="","",L18*M18/I18)</f>
        <v/>
      </c>
      <c r="P18" s="16" t="str">
        <f>IF(I18="","",12*L18*N18/(I18^3))</f>
        <v/>
      </c>
      <c r="Q18" s="12" t="str">
        <f>IF(I18="","",6*L18*N18/(I18^2))</f>
        <v/>
      </c>
      <c r="R18" s="12" t="str">
        <f>IF(I18="","",4*L18*N18/I18)</f>
        <v/>
      </c>
      <c r="S18" s="12" t="str">
        <f>IF(I18="","",2*L18*N18/I18)</f>
        <v/>
      </c>
    </row>
    <row r="20" spans="2:8" x14ac:dyDescent="0.25">
      <c r="B20" s="9" t="s">
        <v>12</v>
      </c>
      <c r="C20" s="9" t="s">
        <v>13</v>
      </c>
      <c r="D20" s="9"/>
      <c r="E20" s="9"/>
      <c r="F20" s="9" t="s">
        <v>14</v>
      </c>
      <c r="G20" s="9"/>
      <c r="H20" s="9"/>
    </row>
    <row r="21" spans="3:8" x14ac:dyDescent="0.25">
      <c r="C21" s="10" t="s">
        <v>32</v>
      </c>
      <c r="D21" s="10" t="s">
        <v>33</v>
      </c>
      <c r="E21" s="10" t="s">
        <v>34</v>
      </c>
      <c r="F21" s="10" t="s">
        <v>32</v>
      </c>
      <c r="G21" s="10" t="s">
        <v>33</v>
      </c>
      <c r="H21" s="10" t="s">
        <v>34</v>
      </c>
    </row>
    <row r="22" spans="2:8" x14ac:dyDescent="0.25">
      <c r="B22" s="10">
        <v>1</v>
      </c>
      <c r="C22" s="18">
        <f>IF(I9="","", 1)</f>
        <v>1</v>
      </c>
      <c r="D22" s="18">
        <f>IF(I9="","", 1)</f>
        <v>1</v>
      </c>
      <c r="E22" s="18">
        <f>IF(I9="","", 1)</f>
        <v>1</v>
      </c>
      <c r="F22" s="18">
        <f>IF(I9="","", 2)</f>
        <v>2</v>
      </c>
      <c r="G22" s="18">
        <f>IF(I9="","", 2)</f>
        <v>2</v>
      </c>
      <c r="H22" s="18">
        <f>IF(I9="","", 2)</f>
        <v>2</v>
      </c>
    </row>
    <row r="23" spans="2:8" x14ac:dyDescent="0.25">
      <c r="B23" s="10">
        <v>2</v>
      </c>
      <c r="C23" s="18">
        <f>IF(I10="","", 2)</f>
        <v>2</v>
      </c>
      <c r="D23" s="18">
        <f>IF(I10="","", 2)</f>
        <v>2</v>
      </c>
      <c r="E23" s="18">
        <f>IF(I10="","", 2)</f>
        <v>2</v>
      </c>
      <c r="F23" s="18">
        <f>IF(I10="","", 3)</f>
        <v>3</v>
      </c>
      <c r="G23" s="18">
        <f>IF(I10="","", 3)</f>
        <v>3</v>
      </c>
      <c r="H23" s="18">
        <f>IF(I10="","", 3)</f>
        <v>3</v>
      </c>
    </row>
    <row r="24" spans="2:8" x14ac:dyDescent="0.25">
      <c r="B24" s="10">
        <v>3</v>
      </c>
      <c r="C24" s="18">
        <f>IF(I11="","", 3)</f>
        <v>3</v>
      </c>
      <c r="D24" s="18">
        <f>IF(I11="","", 3)</f>
        <v>3</v>
      </c>
      <c r="E24" s="18">
        <f>IF(I11="","", 3)</f>
        <v>3</v>
      </c>
      <c r="F24" s="18">
        <f>IF(I11="","", 4)</f>
        <v>4</v>
      </c>
      <c r="G24" s="18">
        <f>IF(I11="","", 4)</f>
        <v>4</v>
      </c>
      <c r="H24" s="18">
        <f>IF(I11="","", 4)</f>
        <v>4</v>
      </c>
    </row>
    <row r="25" spans="2:8" x14ac:dyDescent="0.25">
      <c r="B25" s="10">
        <v>4</v>
      </c>
      <c r="C25" s="18">
        <f>IF(I12="","", 4)</f>
        <v>4</v>
      </c>
      <c r="D25" s="18">
        <f>IF(I12="","", 4)</f>
        <v>4</v>
      </c>
      <c r="E25" s="18">
        <f>IF(I12="","", 4)</f>
        <v>4</v>
      </c>
      <c r="F25" s="18">
        <f>IF(I12="","", 5)</f>
        <v>5</v>
      </c>
      <c r="G25" s="18">
        <f>IF(I12="","", 5)</f>
        <v>5</v>
      </c>
      <c r="H25" s="18">
        <f>IF(I12="","", 5)</f>
        <v>5</v>
      </c>
    </row>
    <row r="26" spans="2:8" x14ac:dyDescent="0.25">
      <c r="B26" s="10">
        <v>5</v>
      </c>
      <c r="C26" s="18">
        <f>IF(I13="","", 5)</f>
        <v>5</v>
      </c>
      <c r="D26" s="18">
        <f>IF(I13="","", 5)</f>
        <v>5</v>
      </c>
      <c r="E26" s="18">
        <f>IF(I13="","", 5)</f>
        <v>5</v>
      </c>
      <c r="F26" s="18">
        <f>IF(I13="","", 6)</f>
        <v>6</v>
      </c>
      <c r="G26" s="18">
        <f>IF(I13="","", 6)</f>
        <v>6</v>
      </c>
      <c r="H26" s="18">
        <f>IF(I13="","", 6)</f>
        <v>6</v>
      </c>
    </row>
    <row r="27" spans="2:8" x14ac:dyDescent="0.25">
      <c r="B27" s="10">
        <v>6</v>
      </c>
      <c r="C27" s="18" t="str">
        <f>IF(I14="","", 6)</f>
        <v/>
      </c>
      <c r="D27" s="18" t="str">
        <f>IF(I14="","", 6)</f>
        <v/>
      </c>
      <c r="E27" s="18" t="str">
        <f>IF(I14="","", 6)</f>
        <v/>
      </c>
      <c r="F27" s="18" t="str">
        <f>IF(I14="","", 7)</f>
        <v/>
      </c>
      <c r="G27" s="18" t="str">
        <f>IF(I14="","", 7)</f>
        <v/>
      </c>
      <c r="H27" s="18" t="str">
        <f>IF(I14="","", 7)</f>
        <v/>
      </c>
    </row>
    <row r="28" spans="2:8" x14ac:dyDescent="0.25">
      <c r="B28" s="10">
        <v>7</v>
      </c>
      <c r="C28" s="18" t="str">
        <f>IF(I15="","", 7)</f>
        <v/>
      </c>
      <c r="D28" s="18" t="str">
        <f>IF(I15="","", 7)</f>
        <v/>
      </c>
      <c r="E28" s="18" t="str">
        <f>IF(I15="","", 7)</f>
        <v/>
      </c>
      <c r="F28" s="18" t="str">
        <f>IF(I15="","", 8)</f>
        <v/>
      </c>
      <c r="G28" s="18" t="str">
        <f>IF(I15="","", 8)</f>
        <v/>
      </c>
      <c r="H28" s="18" t="str">
        <f>IF(I15="","", 8)</f>
        <v/>
      </c>
    </row>
    <row r="29" spans="2:8" x14ac:dyDescent="0.25">
      <c r="B29" s="10">
        <v>8</v>
      </c>
      <c r="C29" s="18" t="str">
        <f>IF(I16="","", 8)</f>
        <v/>
      </c>
      <c r="D29" s="18" t="str">
        <f>IF(I16="","", 8)</f>
        <v/>
      </c>
      <c r="E29" s="18" t="str">
        <f>IF(I16="","", 8)</f>
        <v/>
      </c>
      <c r="F29" s="18" t="str">
        <f>IF(I16="","", 9)</f>
        <v/>
      </c>
      <c r="G29" s="18" t="str">
        <f>IF(I16="","", 9)</f>
        <v/>
      </c>
      <c r="H29" s="18" t="str">
        <f>IF(I16="","", 9)</f>
        <v/>
      </c>
    </row>
    <row r="30" spans="2:8" x14ac:dyDescent="0.25">
      <c r="B30" s="10">
        <v>9</v>
      </c>
      <c r="C30" s="18" t="str">
        <f>IF(I17="","", 9)</f>
        <v/>
      </c>
      <c r="D30" s="18" t="str">
        <f>IF(I17="","", 9)</f>
        <v/>
      </c>
      <c r="E30" s="18" t="str">
        <f>IF(I17="","", 9)</f>
        <v/>
      </c>
      <c r="F30" s="18" t="str">
        <f>IF(I17="","", 10)</f>
        <v/>
      </c>
      <c r="G30" s="18" t="str">
        <f>IF(I17="","", 10)</f>
        <v/>
      </c>
      <c r="H30" s="18" t="str">
        <f>IF(I17="","", 10)</f>
        <v/>
      </c>
    </row>
    <row r="31" spans="2:8" x14ac:dyDescent="0.25">
      <c r="B31" s="10">
        <v>10</v>
      </c>
      <c r="C31" s="18" t="str">
        <f>IF(I18="","", 10)</f>
        <v/>
      </c>
      <c r="D31" s="18" t="str">
        <f>IF(I18="","", 10)</f>
        <v/>
      </c>
      <c r="E31" s="18" t="str">
        <f>IF(I18="","", 10)</f>
        <v/>
      </c>
      <c r="F31" s="18" t="str">
        <f>IF(I18="","", 11)</f>
        <v/>
      </c>
      <c r="G31" s="18" t="str">
        <f>IF(I18="","", 11)</f>
        <v/>
      </c>
      <c r="H31" s="18" t="str">
        <f>IF(I18="","", 11)</f>
        <v/>
      </c>
    </row>
    <row r="34" spans="2:7" x14ac:dyDescent="0.25">
      <c r="B34" s="19" t="str">
        <f>IF(C22="","", CONCATENATE("U",C22,"X"))</f>
        <v>U1X</v>
      </c>
      <c r="C34" s="19" t="str">
        <f>IF(D22="","", CONCATENATE("U",D22,"Y"))</f>
        <v>U1Y</v>
      </c>
      <c r="D34" s="19" t="str">
        <f>IF(E22="","", CONCATENATE("U",E22,"θ"))</f>
        <v>U1θ</v>
      </c>
      <c r="E34" s="19" t="str">
        <f>IF(F22="","", CONCATENATE("U",F22,"X"))</f>
        <v>U2X</v>
      </c>
      <c r="F34" s="19" t="str">
        <f>IF(G22="","", CONCATENATE("U",G22,"Y"))</f>
        <v>U2Y</v>
      </c>
      <c r="G34" s="19" t="str">
        <f>IF(H22="","", CONCATENATE("U",H22,"θ"))</f>
        <v>U2θ</v>
      </c>
    </row>
    <row r="35" spans="2:8" x14ac:dyDescent="0.25">
      <c r="B35" s="12">
        <f>IF(I9="", 0, O9*J9*J9+P9*K9*K9)</f>
        <v>20.5078125</v>
      </c>
      <c r="C35" s="12">
        <f>IF(I9="", 0, (O9-P9)*(J9*K9))</f>
        <v>0</v>
      </c>
      <c r="D35" s="12">
        <f>IF(I9="", 0, -Q9*K9)</f>
        <v>-4101.5625</v>
      </c>
      <c r="E35" s="12">
        <f>-B35</f>
        <v>-20.5078125</v>
      </c>
      <c r="F35" s="12">
        <f>-C35</f>
        <v>0</v>
      </c>
      <c r="G35" s="12">
        <f>D35</f>
        <v>-4101.5625</v>
      </c>
      <c r="H35" s="20" t="str">
        <f>B34</f>
        <v>U1X</v>
      </c>
    </row>
    <row r="36" spans="2:8" x14ac:dyDescent="0.25">
      <c r="B36" s="12">
        <f>C35</f>
        <v>0</v>
      </c>
      <c r="C36" s="12">
        <f>IF(I9="", 0, O9*K9*K9+P9*J9*J9)</f>
        <v>131250</v>
      </c>
      <c r="D36" s="12">
        <f>IF(I9="", 0, Q9*J9)</f>
        <v>0</v>
      </c>
      <c r="E36" s="12">
        <f>-B36</f>
        <v>0</v>
      </c>
      <c r="F36" s="12">
        <f>-C36</f>
        <v>-131250</v>
      </c>
      <c r="G36" s="12">
        <f>D36</f>
        <v>0</v>
      </c>
      <c r="H36" s="20" t="str">
        <f>C34</f>
        <v>U1Y</v>
      </c>
    </row>
    <row r="37" spans="1:8" x14ac:dyDescent="0.25">
      <c r="A37" s="21" t="s">
        <v>35</v>
      </c>
      <c r="B37" s="12">
        <f>D35</f>
        <v>-4101.5625</v>
      </c>
      <c r="C37" s="12">
        <f>D36</f>
        <v>0</v>
      </c>
      <c r="D37" s="12">
        <f>IF(I9="", 0, R9)</f>
        <v>1093750</v>
      </c>
      <c r="E37" s="12">
        <f>-B37</f>
        <v>4101.5625</v>
      </c>
      <c r="F37" s="12">
        <f>-C37</f>
        <v>0</v>
      </c>
      <c r="G37" s="12">
        <f>IF(I9="", 0, S9)</f>
        <v>546875</v>
      </c>
      <c r="H37" s="20" t="str">
        <f>D34</f>
        <v>U1θ</v>
      </c>
    </row>
    <row r="38" spans="2:8" x14ac:dyDescent="0.25">
      <c r="B38" s="12">
        <f>E35</f>
        <v>-20.5078125</v>
      </c>
      <c r="C38" s="12">
        <f>E36</f>
        <v>0</v>
      </c>
      <c r="D38" s="12">
        <f>E37</f>
        <v>4101.5625</v>
      </c>
      <c r="E38" s="12">
        <f>B35</f>
        <v>20.5078125</v>
      </c>
      <c r="F38" s="12">
        <f>C35</f>
        <v>0</v>
      </c>
      <c r="G38" s="12">
        <f>-D35</f>
        <v>4101.5625</v>
      </c>
      <c r="H38" s="20" t="str">
        <f>E34</f>
        <v>U2X</v>
      </c>
    </row>
    <row r="39" spans="2:8" x14ac:dyDescent="0.25">
      <c r="B39" s="12">
        <f>F35</f>
        <v>0</v>
      </c>
      <c r="C39" s="12">
        <f>F36</f>
        <v>-131250</v>
      </c>
      <c r="D39" s="12">
        <f>F37</f>
        <v>0</v>
      </c>
      <c r="E39" s="12">
        <f>F38</f>
        <v>0</v>
      </c>
      <c r="F39" s="12">
        <f>C36</f>
        <v>131250</v>
      </c>
      <c r="G39" s="12">
        <f>-D36</f>
        <v>0</v>
      </c>
      <c r="H39" s="20" t="str">
        <f>F34</f>
        <v>U2Y</v>
      </c>
    </row>
    <row r="40" spans="2:8" x14ac:dyDescent="0.25">
      <c r="B40" s="12">
        <f>G35</f>
        <v>-4101.5625</v>
      </c>
      <c r="C40" s="12">
        <f>G36</f>
        <v>0</v>
      </c>
      <c r="D40" s="12">
        <f>G37</f>
        <v>546875</v>
      </c>
      <c r="E40" s="12">
        <f>G38</f>
        <v>4101.5625</v>
      </c>
      <c r="F40" s="12">
        <f>G39</f>
        <v>0</v>
      </c>
      <c r="G40" s="12">
        <f>D37</f>
        <v>1093750</v>
      </c>
      <c r="H40" s="20" t="str">
        <f>G34</f>
        <v>U2θ</v>
      </c>
    </row>
    <row r="42" spans="2:34" x14ac:dyDescent="0.25">
      <c r="B42" s="10" t="s">
        <v>36</v>
      </c>
      <c r="C42" s="10" t="s">
        <v>37</v>
      </c>
      <c r="D42" s="10" t="s">
        <v>38</v>
      </c>
      <c r="E42" s="10" t="s">
        <v>39</v>
      </c>
      <c r="F42" s="10" t="s">
        <v>40</v>
      </c>
      <c r="G42" s="10" t="s">
        <v>41</v>
      </c>
      <c r="H42" s="10" t="s">
        <v>42</v>
      </c>
      <c r="I42" s="10" t="s">
        <v>43</v>
      </c>
      <c r="J42" s="10" t="s">
        <v>44</v>
      </c>
      <c r="K42" s="10" t="s">
        <v>45</v>
      </c>
      <c r="L42" s="10" t="s">
        <v>46</v>
      </c>
      <c r="M42" s="10" t="s">
        <v>47</v>
      </c>
      <c r="N42" s="10" t="s">
        <v>48</v>
      </c>
      <c r="O42" s="10" t="s">
        <v>49</v>
      </c>
      <c r="P42" s="10" t="s">
        <v>50</v>
      </c>
      <c r="Q42" s="10" t="s">
        <v>51</v>
      </c>
      <c r="R42" s="10" t="s">
        <v>52</v>
      </c>
      <c r="S42" s="10" t="s">
        <v>53</v>
      </c>
      <c r="T42" s="10" t="s">
        <v>54</v>
      </c>
      <c r="U42" s="10" t="s">
        <v>55</v>
      </c>
      <c r="V42" s="10" t="s">
        <v>56</v>
      </c>
      <c r="W42" s="10" t="s">
        <v>57</v>
      </c>
      <c r="X42" s="10" t="s">
        <v>58</v>
      </c>
      <c r="Y42" s="10" t="s">
        <v>59</v>
      </c>
      <c r="Z42" s="10" t="s">
        <v>60</v>
      </c>
      <c r="AA42" s="10" t="s">
        <v>61</v>
      </c>
      <c r="AB42" s="10" t="s">
        <v>62</v>
      </c>
      <c r="AC42" s="10" t="s">
        <v>63</v>
      </c>
      <c r="AD42" s="10" t="s">
        <v>64</v>
      </c>
      <c r="AE42" s="10" t="s">
        <v>65</v>
      </c>
      <c r="AF42" s="10" t="s">
        <v>66</v>
      </c>
      <c r="AG42" s="10" t="s">
        <v>67</v>
      </c>
      <c r="AH42" s="10" t="s">
        <v>68</v>
      </c>
    </row>
    <row r="43" spans="2:35" x14ac:dyDescent="0.25">
      <c r="B43" s="22">
        <f>B35</f>
        <v>20.5078125</v>
      </c>
      <c r="C43" s="22">
        <f>C35</f>
        <v>0</v>
      </c>
      <c r="D43" s="22">
        <f>D35</f>
        <v>-4101.5625</v>
      </c>
      <c r="E43" s="22">
        <f>E35</f>
        <v>-20.5078125</v>
      </c>
      <c r="F43" s="22">
        <f>F35</f>
        <v>0</v>
      </c>
      <c r="G43" s="22">
        <f>G35</f>
        <v>-4101.5625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10" t="s">
        <v>36</v>
      </c>
    </row>
    <row r="44" spans="2:35" x14ac:dyDescent="0.25">
      <c r="B44" s="22">
        <f>B36</f>
        <v>0</v>
      </c>
      <c r="C44" s="22">
        <f>C36</f>
        <v>131250</v>
      </c>
      <c r="D44" s="22">
        <f>D36</f>
        <v>0</v>
      </c>
      <c r="E44" s="22">
        <f>E36</f>
        <v>0</v>
      </c>
      <c r="F44" s="22">
        <f>F36</f>
        <v>-131250</v>
      </c>
      <c r="G44" s="22">
        <f>G36</f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10" t="s">
        <v>37</v>
      </c>
    </row>
    <row r="45" spans="2:35" x14ac:dyDescent="0.25">
      <c r="B45" s="22">
        <f>B37</f>
        <v>-4101.5625</v>
      </c>
      <c r="C45" s="22">
        <f>C37</f>
        <v>0</v>
      </c>
      <c r="D45" s="22">
        <f>D37</f>
        <v>1093750</v>
      </c>
      <c r="E45" s="22">
        <f>E37</f>
        <v>4101.5625</v>
      </c>
      <c r="F45" s="22">
        <f>F37</f>
        <v>0</v>
      </c>
      <c r="G45" s="22">
        <f>G37</f>
        <v>546875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10" t="s">
        <v>38</v>
      </c>
    </row>
    <row r="46" spans="2:35" x14ac:dyDescent="0.25">
      <c r="B46" s="22">
        <f>B38</f>
        <v>-20.5078125</v>
      </c>
      <c r="C46" s="22">
        <f>C38</f>
        <v>0</v>
      </c>
      <c r="D46" s="22">
        <f>D38</f>
        <v>4101.5625</v>
      </c>
      <c r="E46" s="22">
        <f>E38</f>
        <v>20.5078125</v>
      </c>
      <c r="F46" s="22">
        <f>F38</f>
        <v>0</v>
      </c>
      <c r="G46" s="22">
        <f>G38</f>
        <v>4101.5625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10" t="s">
        <v>39</v>
      </c>
    </row>
    <row r="47" spans="2:35" x14ac:dyDescent="0.25">
      <c r="B47" s="22">
        <f>B39</f>
        <v>0</v>
      </c>
      <c r="C47" s="22">
        <f>C39</f>
        <v>-131250</v>
      </c>
      <c r="D47" s="22">
        <f>D39</f>
        <v>0</v>
      </c>
      <c r="E47" s="22">
        <f>E39</f>
        <v>0</v>
      </c>
      <c r="F47" s="22">
        <f>F39</f>
        <v>131250</v>
      </c>
      <c r="G47" s="22">
        <f>G39</f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10" t="s">
        <v>40</v>
      </c>
    </row>
    <row r="48" spans="2:35" x14ac:dyDescent="0.25">
      <c r="B48" s="22">
        <f>B40</f>
        <v>-4101.5625</v>
      </c>
      <c r="C48" s="22">
        <f>C40</f>
        <v>0</v>
      </c>
      <c r="D48" s="22">
        <f>D40</f>
        <v>546875</v>
      </c>
      <c r="E48" s="22">
        <f>E40</f>
        <v>4101.5625</v>
      </c>
      <c r="F48" s="22">
        <f>F40</f>
        <v>0</v>
      </c>
      <c r="G48" s="22">
        <f>G40</f>
        <v>1093750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10" t="s">
        <v>41</v>
      </c>
    </row>
    <row r="49" spans="2:35" x14ac:dyDescent="0.25"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10" t="s">
        <v>42</v>
      </c>
    </row>
    <row r="50" spans="2:35" x14ac:dyDescent="0.25"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10" t="s">
        <v>43</v>
      </c>
    </row>
    <row r="51" spans="2:35" x14ac:dyDescent="0.25"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10" t="s">
        <v>44</v>
      </c>
    </row>
    <row r="52" spans="2:35" x14ac:dyDescent="0.25"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10" t="s">
        <v>45</v>
      </c>
    </row>
    <row r="53" spans="2:35" x14ac:dyDescent="0.25"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10" t="s">
        <v>46</v>
      </c>
    </row>
    <row r="54" spans="2:35" x14ac:dyDescent="0.25"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10" t="s">
        <v>47</v>
      </c>
    </row>
    <row r="55" spans="2:35" x14ac:dyDescent="0.25"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10" t="s">
        <v>48</v>
      </c>
    </row>
    <row r="56" spans="2:35" x14ac:dyDescent="0.25"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10" t="s">
        <v>49</v>
      </c>
    </row>
    <row r="57" spans="2:35" x14ac:dyDescent="0.25"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10" t="s">
        <v>50</v>
      </c>
    </row>
    <row r="58" spans="2:35" x14ac:dyDescent="0.25"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10" t="s">
        <v>51</v>
      </c>
    </row>
    <row r="59" spans="2:35" x14ac:dyDescent="0.25"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10" t="s">
        <v>52</v>
      </c>
    </row>
    <row r="60" spans="2:35" x14ac:dyDescent="0.25"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10" t="s">
        <v>53</v>
      </c>
    </row>
    <row r="61" spans="2:35" x14ac:dyDescent="0.25"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10" t="s">
        <v>54</v>
      </c>
    </row>
    <row r="62" spans="2:35" x14ac:dyDescent="0.25"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10" t="s">
        <v>55</v>
      </c>
    </row>
    <row r="63" spans="2:35" x14ac:dyDescent="0.25"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10" t="s">
        <v>56</v>
      </c>
    </row>
    <row r="64" spans="2:35" x14ac:dyDescent="0.25"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10" t="s">
        <v>57</v>
      </c>
    </row>
    <row r="65" spans="2:35" x14ac:dyDescent="0.25"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10" t="s">
        <v>58</v>
      </c>
    </row>
    <row r="66" spans="2:35" x14ac:dyDescent="0.25"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10" t="s">
        <v>59</v>
      </c>
    </row>
    <row r="67" spans="2:35" x14ac:dyDescent="0.25"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10" t="s">
        <v>60</v>
      </c>
    </row>
    <row r="68" spans="2:35" x14ac:dyDescent="0.25"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10" t="s">
        <v>61</v>
      </c>
    </row>
    <row r="69" spans="2:35" x14ac:dyDescent="0.25"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10" t="s">
        <v>62</v>
      </c>
    </row>
    <row r="70" spans="2:35" x14ac:dyDescent="0.25"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10" t="s">
        <v>63</v>
      </c>
    </row>
    <row r="71" spans="2:35" x14ac:dyDescent="0.25"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10" t="s">
        <v>64</v>
      </c>
    </row>
    <row r="72" spans="2:35" x14ac:dyDescent="0.25"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10" t="s">
        <v>65</v>
      </c>
    </row>
    <row r="73" spans="2:35" x14ac:dyDescent="0.25"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10" t="s">
        <v>66</v>
      </c>
    </row>
    <row r="74" spans="2:35" x14ac:dyDescent="0.25"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10" t="s">
        <v>67</v>
      </c>
    </row>
    <row r="75" spans="2:35" x14ac:dyDescent="0.25"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10" t="s">
        <v>68</v>
      </c>
    </row>
    <row r="77" spans="2:7" x14ac:dyDescent="0.25">
      <c r="B77" s="19" t="str">
        <f>IF(C23="","", CONCATENATE("U",C23,"X"))</f>
        <v>U2X</v>
      </c>
      <c r="C77" s="19" t="str">
        <f>IF(D23="","", CONCATENATE("U",D23,"Y"))</f>
        <v>U2Y</v>
      </c>
      <c r="D77" s="19" t="str">
        <f>IF(E23="","", CONCATENATE("U",E23,"θ"))</f>
        <v>U2θ</v>
      </c>
      <c r="E77" s="19" t="str">
        <f>IF(F23="","", CONCATENATE("U",F23,"X"))</f>
        <v>U3X</v>
      </c>
      <c r="F77" s="19" t="str">
        <f>IF(G23="","", CONCATENATE("U",G23,"Y"))</f>
        <v>U3Y</v>
      </c>
      <c r="G77" s="19" t="str">
        <f>IF(H23="","", CONCATENATE("U",H23,"θ"))</f>
        <v>U3θ</v>
      </c>
    </row>
    <row r="78" spans="2:8" x14ac:dyDescent="0.25">
      <c r="B78" s="12">
        <f>IF(I10="", 0, O10*J10*J10+P10*K10*K10)</f>
        <v>175000</v>
      </c>
      <c r="C78" s="12">
        <f>IF(I10="", 0, (O10-P10)*(J10*K10))</f>
        <v>0</v>
      </c>
      <c r="D78" s="12">
        <f>IF(I10="", 0, -Q10*K10)</f>
        <v>0</v>
      </c>
      <c r="E78" s="12">
        <f>-B78</f>
        <v>-175000</v>
      </c>
      <c r="F78" s="12">
        <f>-C78</f>
        <v>0</v>
      </c>
      <c r="G78" s="12">
        <f>D78</f>
        <v>0</v>
      </c>
      <c r="H78" s="20" t="str">
        <f>B77</f>
        <v>U2X</v>
      </c>
    </row>
    <row r="79" spans="2:8" x14ac:dyDescent="0.25">
      <c r="B79" s="12">
        <f>C78</f>
        <v>0</v>
      </c>
      <c r="C79" s="12">
        <f>IF(I10="", 0, O10*K10*K10+P10*J10*J10)</f>
        <v>48.611111111111114</v>
      </c>
      <c r="D79" s="12">
        <f>IF(I10="", 0, Q10*J10)</f>
        <v>7291.666666666667</v>
      </c>
      <c r="E79" s="12">
        <f>-B79</f>
        <v>0</v>
      </c>
      <c r="F79" s="12">
        <f>-C79</f>
        <v>-48.611111111111114</v>
      </c>
      <c r="G79" s="12">
        <f>D79</f>
        <v>7291.666666666667</v>
      </c>
      <c r="H79" s="20" t="str">
        <f>C77</f>
        <v>U2Y</v>
      </c>
    </row>
    <row r="80" spans="1:8" x14ac:dyDescent="0.25">
      <c r="A80" s="21" t="s">
        <v>69</v>
      </c>
      <c r="B80" s="12">
        <f>D78</f>
        <v>0</v>
      </c>
      <c r="C80" s="12">
        <f>D79</f>
        <v>7291.666666666667</v>
      </c>
      <c r="D80" s="12">
        <f>IF(I10="", 0, R10)</f>
        <v>1458333.3333333333</v>
      </c>
      <c r="E80" s="12">
        <f>-B80</f>
        <v>0</v>
      </c>
      <c r="F80" s="12">
        <f>-C80</f>
        <v>-7291.666666666667</v>
      </c>
      <c r="G80" s="12">
        <f>IF(I10="", 0, S10)</f>
        <v>729166.6666666666</v>
      </c>
      <c r="H80" s="20" t="str">
        <f>D77</f>
        <v>U2θ</v>
      </c>
    </row>
    <row r="81" spans="2:8" x14ac:dyDescent="0.25">
      <c r="B81" s="12">
        <f>E78</f>
        <v>-175000</v>
      </c>
      <c r="C81" s="12">
        <f>E79</f>
        <v>0</v>
      </c>
      <c r="D81" s="12">
        <f>E80</f>
        <v>0</v>
      </c>
      <c r="E81" s="12">
        <f>B78</f>
        <v>175000</v>
      </c>
      <c r="F81" s="12">
        <f>C78</f>
        <v>0</v>
      </c>
      <c r="G81" s="12">
        <f>-D78</f>
        <v>0</v>
      </c>
      <c r="H81" s="20" t="str">
        <f>E77</f>
        <v>U3X</v>
      </c>
    </row>
    <row r="82" spans="2:8" x14ac:dyDescent="0.25">
      <c r="B82" s="12">
        <f>F78</f>
        <v>0</v>
      </c>
      <c r="C82" s="12">
        <f>F79</f>
        <v>-48.611111111111114</v>
      </c>
      <c r="D82" s="12">
        <f>F80</f>
        <v>-7291.666666666667</v>
      </c>
      <c r="E82" s="12">
        <f>F81</f>
        <v>0</v>
      </c>
      <c r="F82" s="12">
        <f>C79</f>
        <v>48.611111111111114</v>
      </c>
      <c r="G82" s="12">
        <f>-D79</f>
        <v>-7291.666666666667</v>
      </c>
      <c r="H82" s="20" t="str">
        <f>F77</f>
        <v>U3Y</v>
      </c>
    </row>
    <row r="83" spans="2:8" x14ac:dyDescent="0.25">
      <c r="B83" s="12">
        <f>G78</f>
        <v>0</v>
      </c>
      <c r="C83" s="12">
        <f>G79</f>
        <v>7291.666666666667</v>
      </c>
      <c r="D83" s="12">
        <f>G80</f>
        <v>729166.6666666666</v>
      </c>
      <c r="E83" s="12">
        <f>G81</f>
        <v>0</v>
      </c>
      <c r="F83" s="12">
        <f>G82</f>
        <v>-7291.666666666667</v>
      </c>
      <c r="G83" s="12">
        <f>D80</f>
        <v>1458333.3333333333</v>
      </c>
      <c r="H83" s="20" t="str">
        <f>G77</f>
        <v>U3θ</v>
      </c>
    </row>
    <row r="85" spans="2:34" x14ac:dyDescent="0.25">
      <c r="B85" s="10" t="s">
        <v>36</v>
      </c>
      <c r="C85" s="10" t="s">
        <v>37</v>
      </c>
      <c r="D85" s="10" t="s">
        <v>38</v>
      </c>
      <c r="E85" s="10" t="s">
        <v>39</v>
      </c>
      <c r="F85" s="10" t="s">
        <v>40</v>
      </c>
      <c r="G85" s="10" t="s">
        <v>41</v>
      </c>
      <c r="H85" s="10" t="s">
        <v>42</v>
      </c>
      <c r="I85" s="10" t="s">
        <v>43</v>
      </c>
      <c r="J85" s="10" t="s">
        <v>44</v>
      </c>
      <c r="K85" s="10" t="s">
        <v>45</v>
      </c>
      <c r="L85" s="10" t="s">
        <v>46</v>
      </c>
      <c r="M85" s="10" t="s">
        <v>47</v>
      </c>
      <c r="N85" s="10" t="s">
        <v>48</v>
      </c>
      <c r="O85" s="10" t="s">
        <v>49</v>
      </c>
      <c r="P85" s="10" t="s">
        <v>50</v>
      </c>
      <c r="Q85" s="10" t="s">
        <v>51</v>
      </c>
      <c r="R85" s="10" t="s">
        <v>52</v>
      </c>
      <c r="S85" s="10" t="s">
        <v>53</v>
      </c>
      <c r="T85" s="10" t="s">
        <v>54</v>
      </c>
      <c r="U85" s="10" t="s">
        <v>55</v>
      </c>
      <c r="V85" s="10" t="s">
        <v>56</v>
      </c>
      <c r="W85" s="10" t="s">
        <v>57</v>
      </c>
      <c r="X85" s="10" t="s">
        <v>58</v>
      </c>
      <c r="Y85" s="10" t="s">
        <v>59</v>
      </c>
      <c r="Z85" s="10" t="s">
        <v>60</v>
      </c>
      <c r="AA85" s="10" t="s">
        <v>61</v>
      </c>
      <c r="AB85" s="10" t="s">
        <v>62</v>
      </c>
      <c r="AC85" s="10" t="s">
        <v>63</v>
      </c>
      <c r="AD85" s="10" t="s">
        <v>64</v>
      </c>
      <c r="AE85" s="10" t="s">
        <v>65</v>
      </c>
      <c r="AF85" s="10" t="s">
        <v>66</v>
      </c>
      <c r="AG85" s="10" t="s">
        <v>67</v>
      </c>
      <c r="AH85" s="10" t="s">
        <v>68</v>
      </c>
    </row>
    <row r="86" spans="2:35" x14ac:dyDescent="0.25"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10" t="s">
        <v>36</v>
      </c>
    </row>
    <row r="87" spans="2:35" x14ac:dyDescent="0.25"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10" t="s">
        <v>37</v>
      </c>
    </row>
    <row r="88" spans="2:35" x14ac:dyDescent="0.25">
      <c r="B88" s="23">
        <v>0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10" t="s">
        <v>38</v>
      </c>
    </row>
    <row r="89" spans="2:35" x14ac:dyDescent="0.25">
      <c r="B89" s="23">
        <v>0</v>
      </c>
      <c r="C89" s="23">
        <v>0</v>
      </c>
      <c r="D89" s="23">
        <v>0</v>
      </c>
      <c r="E89" s="22">
        <f>B78</f>
        <v>175000</v>
      </c>
      <c r="F89" s="22">
        <f>C78</f>
        <v>0</v>
      </c>
      <c r="G89" s="22">
        <f>D78</f>
        <v>0</v>
      </c>
      <c r="H89" s="22">
        <f>E78</f>
        <v>-175000</v>
      </c>
      <c r="I89" s="22">
        <f>F78</f>
        <v>0</v>
      </c>
      <c r="J89" s="22">
        <f>G78</f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10" t="s">
        <v>39</v>
      </c>
    </row>
    <row r="90" spans="2:35" x14ac:dyDescent="0.25">
      <c r="B90" s="23">
        <v>0</v>
      </c>
      <c r="C90" s="23">
        <v>0</v>
      </c>
      <c r="D90" s="23">
        <v>0</v>
      </c>
      <c r="E90" s="22">
        <f>B79</f>
        <v>0</v>
      </c>
      <c r="F90" s="22">
        <f>C79</f>
        <v>48.611111111111114</v>
      </c>
      <c r="G90" s="22">
        <f>D79</f>
        <v>7291.666666666667</v>
      </c>
      <c r="H90" s="22">
        <f>E79</f>
        <v>0</v>
      </c>
      <c r="I90" s="22">
        <f>F79</f>
        <v>-48.611111111111114</v>
      </c>
      <c r="J90" s="22">
        <f>G79</f>
        <v>7291.666666666667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  <c r="AG90" s="23">
        <v>0</v>
      </c>
      <c r="AH90" s="23">
        <v>0</v>
      </c>
      <c r="AI90" s="10" t="s">
        <v>40</v>
      </c>
    </row>
    <row r="91" spans="2:35" x14ac:dyDescent="0.25">
      <c r="B91" s="23">
        <v>0</v>
      </c>
      <c r="C91" s="23">
        <v>0</v>
      </c>
      <c r="D91" s="23">
        <v>0</v>
      </c>
      <c r="E91" s="22">
        <f>B80</f>
        <v>0</v>
      </c>
      <c r="F91" s="22">
        <f>C80</f>
        <v>7291.666666666667</v>
      </c>
      <c r="G91" s="22">
        <f>D80</f>
        <v>1458333.3333333333</v>
      </c>
      <c r="H91" s="22">
        <f>E80</f>
        <v>0</v>
      </c>
      <c r="I91" s="22">
        <f>F80</f>
        <v>-7291.666666666667</v>
      </c>
      <c r="J91" s="22">
        <f>G80</f>
        <v>729166.6666666666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10" t="s">
        <v>41</v>
      </c>
    </row>
    <row r="92" spans="2:35" x14ac:dyDescent="0.25">
      <c r="B92" s="23">
        <v>0</v>
      </c>
      <c r="C92" s="23">
        <v>0</v>
      </c>
      <c r="D92" s="23">
        <v>0</v>
      </c>
      <c r="E92" s="22">
        <f>B81</f>
        <v>-175000</v>
      </c>
      <c r="F92" s="22">
        <f>C81</f>
        <v>0</v>
      </c>
      <c r="G92" s="22">
        <f>D81</f>
        <v>0</v>
      </c>
      <c r="H92" s="22">
        <f>E81</f>
        <v>175000</v>
      </c>
      <c r="I92" s="22">
        <f>F81</f>
        <v>0</v>
      </c>
      <c r="J92" s="22">
        <f>G81</f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23">
        <v>0</v>
      </c>
      <c r="AH92" s="23">
        <v>0</v>
      </c>
      <c r="AI92" s="10" t="s">
        <v>42</v>
      </c>
    </row>
    <row r="93" spans="2:35" x14ac:dyDescent="0.25">
      <c r="B93" s="23">
        <v>0</v>
      </c>
      <c r="C93" s="23">
        <v>0</v>
      </c>
      <c r="D93" s="23">
        <v>0</v>
      </c>
      <c r="E93" s="22">
        <f>B82</f>
        <v>0</v>
      </c>
      <c r="F93" s="22">
        <f>C82</f>
        <v>-48.611111111111114</v>
      </c>
      <c r="G93" s="22">
        <f>D82</f>
        <v>-7291.666666666667</v>
      </c>
      <c r="H93" s="22">
        <f>E82</f>
        <v>0</v>
      </c>
      <c r="I93" s="22">
        <f>F82</f>
        <v>48.611111111111114</v>
      </c>
      <c r="J93" s="22">
        <f>G82</f>
        <v>-7291.666666666667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10" t="s">
        <v>43</v>
      </c>
    </row>
    <row r="94" spans="2:35" x14ac:dyDescent="0.25">
      <c r="B94" s="23">
        <v>0</v>
      </c>
      <c r="C94" s="23">
        <v>0</v>
      </c>
      <c r="D94" s="23">
        <v>0</v>
      </c>
      <c r="E94" s="22">
        <f>B83</f>
        <v>0</v>
      </c>
      <c r="F94" s="22">
        <f>C83</f>
        <v>7291.666666666667</v>
      </c>
      <c r="G94" s="22">
        <f>D83</f>
        <v>729166.6666666666</v>
      </c>
      <c r="H94" s="22">
        <f>E83</f>
        <v>0</v>
      </c>
      <c r="I94" s="22">
        <f>F83</f>
        <v>-7291.666666666667</v>
      </c>
      <c r="J94" s="22">
        <f>G83</f>
        <v>1458333.3333333333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  <c r="AH94" s="23">
        <v>0</v>
      </c>
      <c r="AI94" s="10" t="s">
        <v>44</v>
      </c>
    </row>
    <row r="95" spans="2:35" x14ac:dyDescent="0.25"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10" t="s">
        <v>45</v>
      </c>
    </row>
    <row r="96" spans="2:35" x14ac:dyDescent="0.25"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3">
        <v>0</v>
      </c>
      <c r="AH96" s="23">
        <v>0</v>
      </c>
      <c r="AI96" s="10" t="s">
        <v>46</v>
      </c>
    </row>
    <row r="97" spans="2:35" x14ac:dyDescent="0.25"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10" t="s">
        <v>47</v>
      </c>
    </row>
    <row r="98" spans="2:35" x14ac:dyDescent="0.25"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10" t="s">
        <v>48</v>
      </c>
    </row>
    <row r="99" spans="2:35" x14ac:dyDescent="0.25"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10" t="s">
        <v>49</v>
      </c>
    </row>
    <row r="100" spans="2:35" x14ac:dyDescent="0.25"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10" t="s">
        <v>50</v>
      </c>
    </row>
    <row r="101" spans="2:35" x14ac:dyDescent="0.25"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10" t="s">
        <v>51</v>
      </c>
    </row>
    <row r="102" spans="2:35" x14ac:dyDescent="0.25"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10" t="s">
        <v>52</v>
      </c>
    </row>
    <row r="103" spans="2:35" x14ac:dyDescent="0.25"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10" t="s">
        <v>53</v>
      </c>
    </row>
    <row r="104" spans="2:35" x14ac:dyDescent="0.25"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10" t="s">
        <v>54</v>
      </c>
    </row>
    <row r="105" spans="2:35" x14ac:dyDescent="0.25"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10" t="s">
        <v>55</v>
      </c>
    </row>
    <row r="106" spans="2:35" x14ac:dyDescent="0.25"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10" t="s">
        <v>56</v>
      </c>
    </row>
    <row r="107" spans="2:35" x14ac:dyDescent="0.25"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10" t="s">
        <v>57</v>
      </c>
    </row>
    <row r="108" spans="2:35" x14ac:dyDescent="0.25"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10" t="s">
        <v>58</v>
      </c>
    </row>
    <row r="109" spans="2:35" x14ac:dyDescent="0.25"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10" t="s">
        <v>59</v>
      </c>
    </row>
    <row r="110" spans="2:35" x14ac:dyDescent="0.25"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  <c r="AF110" s="23">
        <v>0</v>
      </c>
      <c r="AG110" s="23">
        <v>0</v>
      </c>
      <c r="AH110" s="23">
        <v>0</v>
      </c>
      <c r="AI110" s="10" t="s">
        <v>60</v>
      </c>
    </row>
    <row r="111" spans="2:35" x14ac:dyDescent="0.25"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10" t="s">
        <v>61</v>
      </c>
    </row>
    <row r="112" spans="2:35" x14ac:dyDescent="0.25"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10" t="s">
        <v>62</v>
      </c>
    </row>
    <row r="113" spans="2:35" x14ac:dyDescent="0.25"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10" t="s">
        <v>63</v>
      </c>
    </row>
    <row r="114" spans="2:35" x14ac:dyDescent="0.25"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10" t="s">
        <v>64</v>
      </c>
    </row>
    <row r="115" spans="2:35" x14ac:dyDescent="0.25"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10" t="s">
        <v>65</v>
      </c>
    </row>
    <row r="116" spans="2:35" x14ac:dyDescent="0.25"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0</v>
      </c>
      <c r="AC116" s="23">
        <v>0</v>
      </c>
      <c r="AD116" s="23">
        <v>0</v>
      </c>
      <c r="AE116" s="23">
        <v>0</v>
      </c>
      <c r="AF116" s="23">
        <v>0</v>
      </c>
      <c r="AG116" s="23">
        <v>0</v>
      </c>
      <c r="AH116" s="23">
        <v>0</v>
      </c>
      <c r="AI116" s="10" t="s">
        <v>66</v>
      </c>
    </row>
    <row r="117" spans="2:35" x14ac:dyDescent="0.25">
      <c r="B117" s="23">
        <v>0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  <c r="AC117" s="23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10" t="s">
        <v>67</v>
      </c>
    </row>
    <row r="118" spans="2:35" x14ac:dyDescent="0.25"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3">
        <v>0</v>
      </c>
      <c r="AF118" s="23">
        <v>0</v>
      </c>
      <c r="AG118" s="23">
        <v>0</v>
      </c>
      <c r="AH118" s="23">
        <v>0</v>
      </c>
      <c r="AI118" s="10" t="s">
        <v>68</v>
      </c>
    </row>
    <row r="120" spans="2:7" x14ac:dyDescent="0.25">
      <c r="B120" s="19" t="str">
        <f>IF(C24="","", CONCATENATE("U",C24,"X"))</f>
        <v>U3X</v>
      </c>
      <c r="C120" s="19" t="str">
        <f>IF(D24="","", CONCATENATE("U",D24,"Y"))</f>
        <v>U3Y</v>
      </c>
      <c r="D120" s="19" t="str">
        <f>IF(E24="","", CONCATENATE("U",E24,"θ"))</f>
        <v>U3θ</v>
      </c>
      <c r="E120" s="19" t="str">
        <f>IF(F24="","", CONCATENATE("U",F24,"X"))</f>
        <v>U4X</v>
      </c>
      <c r="F120" s="19" t="str">
        <f>IF(G24="","", CONCATENATE("U",G24,"Y"))</f>
        <v>U4Y</v>
      </c>
      <c r="G120" s="19" t="str">
        <f>IF(H24="","", CONCATENATE("U",H24,"θ"))</f>
        <v>U4θ</v>
      </c>
    </row>
    <row r="121" spans="2:8" x14ac:dyDescent="0.25">
      <c r="B121" s="12">
        <f>IF(I11="", 0, O11*J11*J11+P11*K11*K11)</f>
        <v>525000</v>
      </c>
      <c r="C121" s="12">
        <f>IF(I11="", 0, (O11-P11)*(J11*K11))</f>
        <v>0</v>
      </c>
      <c r="D121" s="12">
        <f>IF(I11="", 0, -Q11*K11)</f>
        <v>0</v>
      </c>
      <c r="E121" s="12">
        <f>-B121</f>
        <v>-525000</v>
      </c>
      <c r="F121" s="12">
        <f>-C121</f>
        <v>0</v>
      </c>
      <c r="G121" s="12">
        <f>D121</f>
        <v>0</v>
      </c>
      <c r="H121" s="20" t="str">
        <f>B120</f>
        <v>U3X</v>
      </c>
    </row>
    <row r="122" spans="2:8" x14ac:dyDescent="0.25">
      <c r="B122" s="12">
        <f>C121</f>
        <v>0</v>
      </c>
      <c r="C122" s="12">
        <f>IF(I11="", 0, O11*K11*K11+P11*J11*J11)</f>
        <v>1312.5</v>
      </c>
      <c r="D122" s="12">
        <f>IF(I11="", 0, Q11*J11)</f>
        <v>65625</v>
      </c>
      <c r="E122" s="12">
        <f>-B122</f>
        <v>0</v>
      </c>
      <c r="F122" s="12">
        <f>-C122</f>
        <v>-1312.5</v>
      </c>
      <c r="G122" s="12">
        <f>D122</f>
        <v>65625</v>
      </c>
      <c r="H122" s="20" t="str">
        <f>C120</f>
        <v>U3Y</v>
      </c>
    </row>
    <row r="123" spans="1:8" x14ac:dyDescent="0.25">
      <c r="A123" s="21" t="s">
        <v>70</v>
      </c>
      <c r="B123" s="12">
        <f>D121</f>
        <v>0</v>
      </c>
      <c r="C123" s="12">
        <f>D122</f>
        <v>65625</v>
      </c>
      <c r="D123" s="12">
        <f>IF(I11="", 0, R11)</f>
        <v>4375000</v>
      </c>
      <c r="E123" s="12">
        <f>-B123</f>
        <v>0</v>
      </c>
      <c r="F123" s="12">
        <f>-C123</f>
        <v>-65625</v>
      </c>
      <c r="G123" s="12">
        <f>IF(I11="", 0, S11)</f>
        <v>2187500</v>
      </c>
      <c r="H123" s="20" t="str">
        <f>D120</f>
        <v>U3θ</v>
      </c>
    </row>
    <row r="124" spans="2:8" x14ac:dyDescent="0.25">
      <c r="B124" s="12">
        <f>E121</f>
        <v>-525000</v>
      </c>
      <c r="C124" s="12">
        <f>E122</f>
        <v>0</v>
      </c>
      <c r="D124" s="12">
        <f>E123</f>
        <v>0</v>
      </c>
      <c r="E124" s="12">
        <f>B121</f>
        <v>525000</v>
      </c>
      <c r="F124" s="12">
        <f>C121</f>
        <v>0</v>
      </c>
      <c r="G124" s="12">
        <f>-D121</f>
        <v>0</v>
      </c>
      <c r="H124" s="20" t="str">
        <f>E120</f>
        <v>U4X</v>
      </c>
    </row>
    <row r="125" spans="2:8" x14ac:dyDescent="0.25">
      <c r="B125" s="12">
        <f>F121</f>
        <v>0</v>
      </c>
      <c r="C125" s="12">
        <f>F122</f>
        <v>-1312.5</v>
      </c>
      <c r="D125" s="12">
        <f>F123</f>
        <v>-65625</v>
      </c>
      <c r="E125" s="12">
        <f>F124</f>
        <v>0</v>
      </c>
      <c r="F125" s="12">
        <f>C122</f>
        <v>1312.5</v>
      </c>
      <c r="G125" s="12">
        <f>-D122</f>
        <v>-65625</v>
      </c>
      <c r="H125" s="20" t="str">
        <f>F120</f>
        <v>U4Y</v>
      </c>
    </row>
    <row r="126" spans="2:8" x14ac:dyDescent="0.25">
      <c r="B126" s="12">
        <f>G121</f>
        <v>0</v>
      </c>
      <c r="C126" s="12">
        <f>G122</f>
        <v>65625</v>
      </c>
      <c r="D126" s="12">
        <f>G123</f>
        <v>2187500</v>
      </c>
      <c r="E126" s="12">
        <f>G124</f>
        <v>0</v>
      </c>
      <c r="F126" s="12">
        <f>G125</f>
        <v>-65625</v>
      </c>
      <c r="G126" s="12">
        <f>D123</f>
        <v>4375000</v>
      </c>
      <c r="H126" s="20" t="str">
        <f>G120</f>
        <v>U4θ</v>
      </c>
    </row>
    <row r="128" spans="2:34" x14ac:dyDescent="0.25">
      <c r="B128" s="10" t="s">
        <v>36</v>
      </c>
      <c r="C128" s="10" t="s">
        <v>37</v>
      </c>
      <c r="D128" s="10" t="s">
        <v>38</v>
      </c>
      <c r="E128" s="10" t="s">
        <v>39</v>
      </c>
      <c r="F128" s="10" t="s">
        <v>40</v>
      </c>
      <c r="G128" s="10" t="s">
        <v>41</v>
      </c>
      <c r="H128" s="10" t="s">
        <v>42</v>
      </c>
      <c r="I128" s="10" t="s">
        <v>43</v>
      </c>
      <c r="J128" s="10" t="s">
        <v>44</v>
      </c>
      <c r="K128" s="10" t="s">
        <v>45</v>
      </c>
      <c r="L128" s="10" t="s">
        <v>46</v>
      </c>
      <c r="M128" s="10" t="s">
        <v>47</v>
      </c>
      <c r="N128" s="10" t="s">
        <v>48</v>
      </c>
      <c r="O128" s="10" t="s">
        <v>49</v>
      </c>
      <c r="P128" s="10" t="s">
        <v>50</v>
      </c>
      <c r="Q128" s="10" t="s">
        <v>51</v>
      </c>
      <c r="R128" s="10" t="s">
        <v>52</v>
      </c>
      <c r="S128" s="10" t="s">
        <v>53</v>
      </c>
      <c r="T128" s="10" t="s">
        <v>54</v>
      </c>
      <c r="U128" s="10" t="s">
        <v>55</v>
      </c>
      <c r="V128" s="10" t="s">
        <v>56</v>
      </c>
      <c r="W128" s="10" t="s">
        <v>57</v>
      </c>
      <c r="X128" s="10" t="s">
        <v>58</v>
      </c>
      <c r="Y128" s="10" t="s">
        <v>59</v>
      </c>
      <c r="Z128" s="10" t="s">
        <v>60</v>
      </c>
      <c r="AA128" s="10" t="s">
        <v>61</v>
      </c>
      <c r="AB128" s="10" t="s">
        <v>62</v>
      </c>
      <c r="AC128" s="10" t="s">
        <v>63</v>
      </c>
      <c r="AD128" s="10" t="s">
        <v>64</v>
      </c>
      <c r="AE128" s="10" t="s">
        <v>65</v>
      </c>
      <c r="AF128" s="10" t="s">
        <v>66</v>
      </c>
      <c r="AG128" s="10" t="s">
        <v>67</v>
      </c>
      <c r="AH128" s="10" t="s">
        <v>68</v>
      </c>
    </row>
    <row r="129" spans="2:35" x14ac:dyDescent="0.25"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10" t="s">
        <v>36</v>
      </c>
    </row>
    <row r="130" spans="2:35" x14ac:dyDescent="0.25"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3">
        <v>0</v>
      </c>
      <c r="AH130" s="23">
        <v>0</v>
      </c>
      <c r="AI130" s="10" t="s">
        <v>37</v>
      </c>
    </row>
    <row r="131" spans="2:35" x14ac:dyDescent="0.25">
      <c r="B131" s="23">
        <v>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10" t="s">
        <v>38</v>
      </c>
    </row>
    <row r="132" spans="2:35" x14ac:dyDescent="0.25"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0</v>
      </c>
      <c r="AI132" s="10" t="s">
        <v>39</v>
      </c>
    </row>
    <row r="133" spans="2:35" x14ac:dyDescent="0.25">
      <c r="B133" s="23">
        <v>0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10" t="s">
        <v>40</v>
      </c>
    </row>
    <row r="134" spans="2:35" x14ac:dyDescent="0.25"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>
        <v>0</v>
      </c>
      <c r="AG134" s="23">
        <v>0</v>
      </c>
      <c r="AH134" s="23">
        <v>0</v>
      </c>
      <c r="AI134" s="10" t="s">
        <v>41</v>
      </c>
    </row>
    <row r="135" spans="2:35" x14ac:dyDescent="0.25"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2">
        <f>B121</f>
        <v>525000</v>
      </c>
      <c r="I135" s="22">
        <f>C121</f>
        <v>0</v>
      </c>
      <c r="J135" s="22">
        <f>D121</f>
        <v>0</v>
      </c>
      <c r="K135" s="22">
        <f>E121</f>
        <v>-525000</v>
      </c>
      <c r="L135" s="22">
        <f>F121</f>
        <v>0</v>
      </c>
      <c r="M135" s="22">
        <f>G121</f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10" t="s">
        <v>42</v>
      </c>
    </row>
    <row r="136" spans="2:35" x14ac:dyDescent="0.25">
      <c r="B136" s="23">
        <v>0</v>
      </c>
      <c r="C136" s="23">
        <v>0</v>
      </c>
      <c r="D136" s="23">
        <v>0</v>
      </c>
      <c r="E136" s="23">
        <v>0</v>
      </c>
      <c r="F136" s="23">
        <v>0</v>
      </c>
      <c r="G136" s="23">
        <v>0</v>
      </c>
      <c r="H136" s="22">
        <f>B122</f>
        <v>0</v>
      </c>
      <c r="I136" s="22">
        <f>C122</f>
        <v>1312.5</v>
      </c>
      <c r="J136" s="22">
        <f>D122</f>
        <v>65625</v>
      </c>
      <c r="K136" s="22">
        <f>E122</f>
        <v>0</v>
      </c>
      <c r="L136" s="22">
        <f>F122</f>
        <v>-1312.5</v>
      </c>
      <c r="M136" s="22">
        <f>G122</f>
        <v>65625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10" t="s">
        <v>43</v>
      </c>
    </row>
    <row r="137" spans="2:35" x14ac:dyDescent="0.25"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2">
        <f>B123</f>
        <v>0</v>
      </c>
      <c r="I137" s="22">
        <f>C123</f>
        <v>65625</v>
      </c>
      <c r="J137" s="22">
        <f>D123</f>
        <v>4375000</v>
      </c>
      <c r="K137" s="22">
        <f>E123</f>
        <v>0</v>
      </c>
      <c r="L137" s="22">
        <f>F123</f>
        <v>-65625</v>
      </c>
      <c r="M137" s="22">
        <f>G123</f>
        <v>2187500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10" t="s">
        <v>44</v>
      </c>
    </row>
    <row r="138" spans="2:35" x14ac:dyDescent="0.25"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2">
        <f>B124</f>
        <v>-525000</v>
      </c>
      <c r="I138" s="22">
        <f>C124</f>
        <v>0</v>
      </c>
      <c r="J138" s="22">
        <f>D124</f>
        <v>0</v>
      </c>
      <c r="K138" s="22">
        <f>E124</f>
        <v>525000</v>
      </c>
      <c r="L138" s="22">
        <f>F124</f>
        <v>0</v>
      </c>
      <c r="M138" s="22">
        <f>G124</f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10" t="s">
        <v>45</v>
      </c>
    </row>
    <row r="139" spans="2:35" x14ac:dyDescent="0.25"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2">
        <f>B125</f>
        <v>0</v>
      </c>
      <c r="I139" s="22">
        <f>C125</f>
        <v>-1312.5</v>
      </c>
      <c r="J139" s="22">
        <f>D125</f>
        <v>-65625</v>
      </c>
      <c r="K139" s="22">
        <f>E125</f>
        <v>0</v>
      </c>
      <c r="L139" s="22">
        <f>F125</f>
        <v>1312.5</v>
      </c>
      <c r="M139" s="22">
        <f>G125</f>
        <v>-65625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0</v>
      </c>
      <c r="AI139" s="10" t="s">
        <v>46</v>
      </c>
    </row>
    <row r="140" spans="2:35" x14ac:dyDescent="0.25"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2">
        <f>B126</f>
        <v>0</v>
      </c>
      <c r="I140" s="22">
        <f>C126</f>
        <v>65625</v>
      </c>
      <c r="J140" s="22">
        <f>D126</f>
        <v>2187500</v>
      </c>
      <c r="K140" s="22">
        <f>E126</f>
        <v>0</v>
      </c>
      <c r="L140" s="22">
        <f>F126</f>
        <v>-65625</v>
      </c>
      <c r="M140" s="22">
        <f>G126</f>
        <v>4375000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0</v>
      </c>
      <c r="AH140" s="23">
        <v>0</v>
      </c>
      <c r="AI140" s="10" t="s">
        <v>47</v>
      </c>
    </row>
    <row r="141" spans="2:35" x14ac:dyDescent="0.25"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23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10" t="s">
        <v>48</v>
      </c>
    </row>
    <row r="142" spans="2:35" x14ac:dyDescent="0.25">
      <c r="B142" s="23">
        <v>0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  <c r="AI142" s="10" t="s">
        <v>49</v>
      </c>
    </row>
    <row r="143" spans="2:35" x14ac:dyDescent="0.25"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10" t="s">
        <v>50</v>
      </c>
    </row>
    <row r="144" spans="2:35" x14ac:dyDescent="0.25">
      <c r="B144" s="23">
        <v>0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23">
        <v>0</v>
      </c>
      <c r="AD144" s="23">
        <v>0</v>
      </c>
      <c r="AE144" s="23">
        <v>0</v>
      </c>
      <c r="AF144" s="23">
        <v>0</v>
      </c>
      <c r="AG144" s="23">
        <v>0</v>
      </c>
      <c r="AH144" s="23">
        <v>0</v>
      </c>
      <c r="AI144" s="10" t="s">
        <v>51</v>
      </c>
    </row>
    <row r="145" spans="2:35" x14ac:dyDescent="0.25">
      <c r="B145" s="23">
        <v>0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10" t="s">
        <v>52</v>
      </c>
    </row>
    <row r="146" spans="2:35" x14ac:dyDescent="0.25">
      <c r="B146" s="23">
        <v>0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23">
        <v>0</v>
      </c>
      <c r="AD146" s="23">
        <v>0</v>
      </c>
      <c r="AE146" s="23">
        <v>0</v>
      </c>
      <c r="AF146" s="23">
        <v>0</v>
      </c>
      <c r="AG146" s="23">
        <v>0</v>
      </c>
      <c r="AH146" s="23">
        <v>0</v>
      </c>
      <c r="AI146" s="10" t="s">
        <v>53</v>
      </c>
    </row>
    <row r="147" spans="2:35" x14ac:dyDescent="0.25"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23">
        <v>0</v>
      </c>
      <c r="AC147" s="23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10" t="s">
        <v>54</v>
      </c>
    </row>
    <row r="148" spans="2:35" x14ac:dyDescent="0.25"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0</v>
      </c>
      <c r="AG148" s="23">
        <v>0</v>
      </c>
      <c r="AH148" s="23">
        <v>0</v>
      </c>
      <c r="AI148" s="10" t="s">
        <v>55</v>
      </c>
    </row>
    <row r="149" spans="2:35" x14ac:dyDescent="0.25"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0</v>
      </c>
      <c r="AI149" s="10" t="s">
        <v>56</v>
      </c>
    </row>
    <row r="150" spans="2:35" x14ac:dyDescent="0.25"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0</v>
      </c>
      <c r="Y150" s="23">
        <v>0</v>
      </c>
      <c r="Z150" s="23">
        <v>0</v>
      </c>
      <c r="AA150" s="23">
        <v>0</v>
      </c>
      <c r="AB150" s="23">
        <v>0</v>
      </c>
      <c r="AC150" s="23">
        <v>0</v>
      </c>
      <c r="AD150" s="23">
        <v>0</v>
      </c>
      <c r="AE150" s="23">
        <v>0</v>
      </c>
      <c r="AF150" s="23">
        <v>0</v>
      </c>
      <c r="AG150" s="23">
        <v>0</v>
      </c>
      <c r="AH150" s="23">
        <v>0</v>
      </c>
      <c r="AI150" s="10" t="s">
        <v>57</v>
      </c>
    </row>
    <row r="151" spans="2:35" x14ac:dyDescent="0.25"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23">
        <v>0</v>
      </c>
      <c r="AC151" s="23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10" t="s">
        <v>58</v>
      </c>
    </row>
    <row r="152" spans="2:35" x14ac:dyDescent="0.25"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0</v>
      </c>
      <c r="AG152" s="23">
        <v>0</v>
      </c>
      <c r="AH152" s="23">
        <v>0</v>
      </c>
      <c r="AI152" s="10" t="s">
        <v>59</v>
      </c>
    </row>
    <row r="153" spans="2:35" x14ac:dyDescent="0.25"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3">
        <v>0</v>
      </c>
      <c r="AC153" s="23">
        <v>0</v>
      </c>
      <c r="AD153" s="23">
        <v>0</v>
      </c>
      <c r="AE153" s="23">
        <v>0</v>
      </c>
      <c r="AF153" s="23">
        <v>0</v>
      </c>
      <c r="AG153" s="23">
        <v>0</v>
      </c>
      <c r="AH153" s="23">
        <v>0</v>
      </c>
      <c r="AI153" s="10" t="s">
        <v>60</v>
      </c>
    </row>
    <row r="154" spans="2:35" x14ac:dyDescent="0.25"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</v>
      </c>
      <c r="AD154" s="23">
        <v>0</v>
      </c>
      <c r="AE154" s="23">
        <v>0</v>
      </c>
      <c r="AF154" s="23">
        <v>0</v>
      </c>
      <c r="AG154" s="23">
        <v>0</v>
      </c>
      <c r="AH154" s="23">
        <v>0</v>
      </c>
      <c r="AI154" s="10" t="s">
        <v>61</v>
      </c>
    </row>
    <row r="155" spans="2:35" x14ac:dyDescent="0.25"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23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10" t="s">
        <v>62</v>
      </c>
    </row>
    <row r="156" spans="2:35" x14ac:dyDescent="0.25"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23">
        <v>0</v>
      </c>
      <c r="AD156" s="23">
        <v>0</v>
      </c>
      <c r="AE156" s="23">
        <v>0</v>
      </c>
      <c r="AF156" s="23">
        <v>0</v>
      </c>
      <c r="AG156" s="23">
        <v>0</v>
      </c>
      <c r="AH156" s="23">
        <v>0</v>
      </c>
      <c r="AI156" s="10" t="s">
        <v>63</v>
      </c>
    </row>
    <row r="157" spans="2:35" x14ac:dyDescent="0.25">
      <c r="B157" s="23">
        <v>0</v>
      </c>
      <c r="C157" s="23">
        <v>0</v>
      </c>
      <c r="D157" s="23">
        <v>0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10" t="s">
        <v>64</v>
      </c>
    </row>
    <row r="158" spans="2:35" x14ac:dyDescent="0.25"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v>0</v>
      </c>
      <c r="X158" s="23">
        <v>0</v>
      </c>
      <c r="Y158" s="23">
        <v>0</v>
      </c>
      <c r="Z158" s="23">
        <v>0</v>
      </c>
      <c r="AA158" s="23">
        <v>0</v>
      </c>
      <c r="AB158" s="23">
        <v>0</v>
      </c>
      <c r="AC158" s="23">
        <v>0</v>
      </c>
      <c r="AD158" s="23">
        <v>0</v>
      </c>
      <c r="AE158" s="23">
        <v>0</v>
      </c>
      <c r="AF158" s="23">
        <v>0</v>
      </c>
      <c r="AG158" s="23">
        <v>0</v>
      </c>
      <c r="AH158" s="23">
        <v>0</v>
      </c>
      <c r="AI158" s="10" t="s">
        <v>65</v>
      </c>
    </row>
    <row r="159" spans="2:35" x14ac:dyDescent="0.25"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  <c r="X159" s="23">
        <v>0</v>
      </c>
      <c r="Y159" s="23">
        <v>0</v>
      </c>
      <c r="Z159" s="23">
        <v>0</v>
      </c>
      <c r="AA159" s="23">
        <v>0</v>
      </c>
      <c r="AB159" s="23">
        <v>0</v>
      </c>
      <c r="AC159" s="23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0</v>
      </c>
      <c r="AI159" s="10" t="s">
        <v>66</v>
      </c>
    </row>
    <row r="160" spans="2:35" x14ac:dyDescent="0.25"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3">
        <v>0</v>
      </c>
      <c r="AC160" s="23">
        <v>0</v>
      </c>
      <c r="AD160" s="23">
        <v>0</v>
      </c>
      <c r="AE160" s="23">
        <v>0</v>
      </c>
      <c r="AF160" s="23">
        <v>0</v>
      </c>
      <c r="AG160" s="23">
        <v>0</v>
      </c>
      <c r="AH160" s="23">
        <v>0</v>
      </c>
      <c r="AI160" s="10" t="s">
        <v>67</v>
      </c>
    </row>
    <row r="161" spans="2:35" x14ac:dyDescent="0.25"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3">
        <v>0</v>
      </c>
      <c r="AC161" s="23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10" t="s">
        <v>68</v>
      </c>
    </row>
    <row r="163" spans="2:7" x14ac:dyDescent="0.25">
      <c r="B163" s="19" t="str">
        <f>IF(C25="","", CONCATENATE("U",C25,"X"))</f>
        <v>U4X</v>
      </c>
      <c r="C163" s="19" t="str">
        <f>IF(D25="","", CONCATENATE("U",D25,"Y"))</f>
        <v>U4Y</v>
      </c>
      <c r="D163" s="19" t="str">
        <f>IF(E25="","", CONCATENATE("U",E25,"θ"))</f>
        <v>U4θ</v>
      </c>
      <c r="E163" s="19" t="str">
        <f>IF(F25="","", CONCATENATE("U",F25,"X"))</f>
        <v>U5X</v>
      </c>
      <c r="F163" s="19" t="str">
        <f>IF(G25="","", CONCATENATE("U",G25,"Y"))</f>
        <v>U5Y</v>
      </c>
      <c r="G163" s="19" t="str">
        <f>IF(H25="","", CONCATENATE("U",H25,"θ"))</f>
        <v>U5θ</v>
      </c>
    </row>
    <row r="164" spans="2:8" x14ac:dyDescent="0.25">
      <c r="B164" s="12">
        <f>IF(I12="", 0, O12*J12*J12+P12*K12*K12)</f>
        <v>84</v>
      </c>
      <c r="C164" s="12">
        <f>IF(I12="", 0, (O12-P12)*(J12*K12))</f>
        <v>0</v>
      </c>
      <c r="D164" s="12">
        <f>IF(I12="", 0, -Q12*K12)</f>
        <v>10500</v>
      </c>
      <c r="E164" s="12">
        <f>-B164</f>
        <v>-84</v>
      </c>
      <c r="F164" s="12">
        <f>-C164</f>
        <v>0</v>
      </c>
      <c r="G164" s="12">
        <f>D164</f>
        <v>10500</v>
      </c>
      <c r="H164" s="20" t="str">
        <f>B163</f>
        <v>U4X</v>
      </c>
    </row>
    <row r="165" spans="2:8" x14ac:dyDescent="0.25">
      <c r="B165" s="12">
        <f>C164</f>
        <v>0</v>
      </c>
      <c r="C165" s="12">
        <f>IF(I12="", 0, O12*K12*K12+P12*J12*J12)</f>
        <v>210000</v>
      </c>
      <c r="D165" s="12">
        <f>IF(I12="", 0, Q12*J12)</f>
        <v>0</v>
      </c>
      <c r="E165" s="12">
        <f>-B165</f>
        <v>0</v>
      </c>
      <c r="F165" s="12">
        <f>-C165</f>
        <v>-210000</v>
      </c>
      <c r="G165" s="12">
        <f>D165</f>
        <v>0</v>
      </c>
      <c r="H165" s="20" t="str">
        <f>C163</f>
        <v>U4Y</v>
      </c>
    </row>
    <row r="166" spans="1:8" x14ac:dyDescent="0.25">
      <c r="A166" s="21" t="s">
        <v>71</v>
      </c>
      <c r="B166" s="12">
        <f>D164</f>
        <v>10500</v>
      </c>
      <c r="C166" s="12">
        <f>D165</f>
        <v>0</v>
      </c>
      <c r="D166" s="12">
        <f>IF(I12="", 0, R12)</f>
        <v>1750000</v>
      </c>
      <c r="E166" s="12">
        <f>-B166</f>
        <v>-10500</v>
      </c>
      <c r="F166" s="12">
        <f>-C166</f>
        <v>0</v>
      </c>
      <c r="G166" s="12">
        <f>IF(I12="", 0, S12)</f>
        <v>875000</v>
      </c>
      <c r="H166" s="20" t="str">
        <f>D163</f>
        <v>U4θ</v>
      </c>
    </row>
    <row r="167" spans="2:8" x14ac:dyDescent="0.25">
      <c r="B167" s="12">
        <f>E164</f>
        <v>-84</v>
      </c>
      <c r="C167" s="12">
        <f>E165</f>
        <v>0</v>
      </c>
      <c r="D167" s="12">
        <f>E166</f>
        <v>-10500</v>
      </c>
      <c r="E167" s="12">
        <f>B164</f>
        <v>84</v>
      </c>
      <c r="F167" s="12">
        <f>C164</f>
        <v>0</v>
      </c>
      <c r="G167" s="12">
        <f>-D164</f>
        <v>-10500</v>
      </c>
      <c r="H167" s="20" t="str">
        <f>E163</f>
        <v>U5X</v>
      </c>
    </row>
    <row r="168" spans="2:8" x14ac:dyDescent="0.25">
      <c r="B168" s="12">
        <f>F164</f>
        <v>0</v>
      </c>
      <c r="C168" s="12">
        <f>F165</f>
        <v>-210000</v>
      </c>
      <c r="D168" s="12">
        <f>F166</f>
        <v>0</v>
      </c>
      <c r="E168" s="12">
        <f>F167</f>
        <v>0</v>
      </c>
      <c r="F168" s="12">
        <f>C165</f>
        <v>210000</v>
      </c>
      <c r="G168" s="12">
        <f>-D165</f>
        <v>0</v>
      </c>
      <c r="H168" s="20" t="str">
        <f>F163</f>
        <v>U5Y</v>
      </c>
    </row>
    <row r="169" spans="2:8" x14ac:dyDescent="0.25">
      <c r="B169" s="12">
        <f>G164</f>
        <v>10500</v>
      </c>
      <c r="C169" s="12">
        <f>G165</f>
        <v>0</v>
      </c>
      <c r="D169" s="12">
        <f>G166</f>
        <v>875000</v>
      </c>
      <c r="E169" s="12">
        <f>G167</f>
        <v>-10500</v>
      </c>
      <c r="F169" s="12">
        <f>G168</f>
        <v>0</v>
      </c>
      <c r="G169" s="12">
        <f>D166</f>
        <v>1750000</v>
      </c>
      <c r="H169" s="20" t="str">
        <f>G163</f>
        <v>U5θ</v>
      </c>
    </row>
    <row r="171" spans="2:34" x14ac:dyDescent="0.25">
      <c r="B171" s="10" t="s">
        <v>36</v>
      </c>
      <c r="C171" s="10" t="s">
        <v>37</v>
      </c>
      <c r="D171" s="10" t="s">
        <v>38</v>
      </c>
      <c r="E171" s="10" t="s">
        <v>39</v>
      </c>
      <c r="F171" s="10" t="s">
        <v>40</v>
      </c>
      <c r="G171" s="10" t="s">
        <v>41</v>
      </c>
      <c r="H171" s="10" t="s">
        <v>42</v>
      </c>
      <c r="I171" s="10" t="s">
        <v>43</v>
      </c>
      <c r="J171" s="10" t="s">
        <v>44</v>
      </c>
      <c r="K171" s="10" t="s">
        <v>45</v>
      </c>
      <c r="L171" s="10" t="s">
        <v>46</v>
      </c>
      <c r="M171" s="10" t="s">
        <v>47</v>
      </c>
      <c r="N171" s="10" t="s">
        <v>48</v>
      </c>
      <c r="O171" s="10" t="s">
        <v>49</v>
      </c>
      <c r="P171" s="10" t="s">
        <v>50</v>
      </c>
      <c r="Q171" s="10" t="s">
        <v>51</v>
      </c>
      <c r="R171" s="10" t="s">
        <v>52</v>
      </c>
      <c r="S171" s="10" t="s">
        <v>53</v>
      </c>
      <c r="T171" s="10" t="s">
        <v>54</v>
      </c>
      <c r="U171" s="10" t="s">
        <v>55</v>
      </c>
      <c r="V171" s="10" t="s">
        <v>56</v>
      </c>
      <c r="W171" s="10" t="s">
        <v>57</v>
      </c>
      <c r="X171" s="10" t="s">
        <v>58</v>
      </c>
      <c r="Y171" s="10" t="s">
        <v>59</v>
      </c>
      <c r="Z171" s="10" t="s">
        <v>60</v>
      </c>
      <c r="AA171" s="10" t="s">
        <v>61</v>
      </c>
      <c r="AB171" s="10" t="s">
        <v>62</v>
      </c>
      <c r="AC171" s="10" t="s">
        <v>63</v>
      </c>
      <c r="AD171" s="10" t="s">
        <v>64</v>
      </c>
      <c r="AE171" s="10" t="s">
        <v>65</v>
      </c>
      <c r="AF171" s="10" t="s">
        <v>66</v>
      </c>
      <c r="AG171" s="10" t="s">
        <v>67</v>
      </c>
      <c r="AH171" s="10" t="s">
        <v>68</v>
      </c>
    </row>
    <row r="172" spans="2:35" x14ac:dyDescent="0.25"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0</v>
      </c>
      <c r="AD172" s="23">
        <v>0</v>
      </c>
      <c r="AE172" s="23">
        <v>0</v>
      </c>
      <c r="AF172" s="23">
        <v>0</v>
      </c>
      <c r="AG172" s="23">
        <v>0</v>
      </c>
      <c r="AH172" s="23">
        <v>0</v>
      </c>
      <c r="AI172" s="10" t="s">
        <v>36</v>
      </c>
    </row>
    <row r="173" spans="2:35" x14ac:dyDescent="0.25">
      <c r="B173" s="23">
        <v>0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  <c r="AA173" s="23">
        <v>0</v>
      </c>
      <c r="AB173" s="23">
        <v>0</v>
      </c>
      <c r="AC173" s="23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10" t="s">
        <v>37</v>
      </c>
    </row>
    <row r="174" spans="2:35" x14ac:dyDescent="0.25">
      <c r="B174" s="23">
        <v>0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  <c r="AA174" s="23">
        <v>0</v>
      </c>
      <c r="AB174" s="23">
        <v>0</v>
      </c>
      <c r="AC174" s="23">
        <v>0</v>
      </c>
      <c r="AD174" s="23">
        <v>0</v>
      </c>
      <c r="AE174" s="23">
        <v>0</v>
      </c>
      <c r="AF174" s="23">
        <v>0</v>
      </c>
      <c r="AG174" s="23">
        <v>0</v>
      </c>
      <c r="AH174" s="23">
        <v>0</v>
      </c>
      <c r="AI174" s="10" t="s">
        <v>38</v>
      </c>
    </row>
    <row r="175" spans="2:35" x14ac:dyDescent="0.25">
      <c r="B175" s="23">
        <v>0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10" t="s">
        <v>39</v>
      </c>
    </row>
    <row r="176" spans="2:35" x14ac:dyDescent="0.25"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  <c r="AC176" s="23">
        <v>0</v>
      </c>
      <c r="AD176" s="23">
        <v>0</v>
      </c>
      <c r="AE176" s="23">
        <v>0</v>
      </c>
      <c r="AF176" s="23">
        <v>0</v>
      </c>
      <c r="AG176" s="23">
        <v>0</v>
      </c>
      <c r="AH176" s="23">
        <v>0</v>
      </c>
      <c r="AI176" s="10" t="s">
        <v>40</v>
      </c>
    </row>
    <row r="177" spans="2:35" x14ac:dyDescent="0.25">
      <c r="B177" s="23">
        <v>0</v>
      </c>
      <c r="C177" s="23">
        <v>0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0</v>
      </c>
      <c r="Y177" s="23">
        <v>0</v>
      </c>
      <c r="Z177" s="23">
        <v>0</v>
      </c>
      <c r="AA177" s="23">
        <v>0</v>
      </c>
      <c r="AB177" s="23">
        <v>0</v>
      </c>
      <c r="AC177" s="23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10" t="s">
        <v>41</v>
      </c>
    </row>
    <row r="178" spans="2:35" x14ac:dyDescent="0.25">
      <c r="B178" s="23">
        <v>0</v>
      </c>
      <c r="C178" s="23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23">
        <v>0</v>
      </c>
      <c r="AB178" s="23">
        <v>0</v>
      </c>
      <c r="AC178" s="23">
        <v>0</v>
      </c>
      <c r="AD178" s="23">
        <v>0</v>
      </c>
      <c r="AE178" s="23">
        <v>0</v>
      </c>
      <c r="AF178" s="23">
        <v>0</v>
      </c>
      <c r="AG178" s="23">
        <v>0</v>
      </c>
      <c r="AH178" s="23">
        <v>0</v>
      </c>
      <c r="AI178" s="10" t="s">
        <v>42</v>
      </c>
    </row>
    <row r="179" spans="2:35" x14ac:dyDescent="0.25">
      <c r="B179" s="23">
        <v>0</v>
      </c>
      <c r="C179" s="23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  <c r="AC179" s="23">
        <v>0</v>
      </c>
      <c r="AD179" s="23">
        <v>0</v>
      </c>
      <c r="AE179" s="23">
        <v>0</v>
      </c>
      <c r="AF179" s="23">
        <v>0</v>
      </c>
      <c r="AG179" s="23">
        <v>0</v>
      </c>
      <c r="AH179" s="23">
        <v>0</v>
      </c>
      <c r="AI179" s="10" t="s">
        <v>43</v>
      </c>
    </row>
    <row r="180" spans="2:35" x14ac:dyDescent="0.25">
      <c r="B180" s="23">
        <v>0</v>
      </c>
      <c r="C180" s="23">
        <v>0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0</v>
      </c>
      <c r="Y180" s="23">
        <v>0</v>
      </c>
      <c r="Z180" s="23">
        <v>0</v>
      </c>
      <c r="AA180" s="23">
        <v>0</v>
      </c>
      <c r="AB180" s="23">
        <v>0</v>
      </c>
      <c r="AC180" s="23">
        <v>0</v>
      </c>
      <c r="AD180" s="23">
        <v>0</v>
      </c>
      <c r="AE180" s="23">
        <v>0</v>
      </c>
      <c r="AF180" s="23">
        <v>0</v>
      </c>
      <c r="AG180" s="23">
        <v>0</v>
      </c>
      <c r="AH180" s="23">
        <v>0</v>
      </c>
      <c r="AI180" s="10" t="s">
        <v>44</v>
      </c>
    </row>
    <row r="181" spans="2:35" x14ac:dyDescent="0.25">
      <c r="B181" s="23">
        <v>0</v>
      </c>
      <c r="C181" s="23">
        <v>0</v>
      </c>
      <c r="D181" s="23">
        <v>0</v>
      </c>
      <c r="E181" s="23">
        <v>0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2">
        <f>B164</f>
        <v>84</v>
      </c>
      <c r="L181" s="22">
        <f>C164</f>
        <v>0</v>
      </c>
      <c r="M181" s="22">
        <f>D164</f>
        <v>10500</v>
      </c>
      <c r="N181" s="22">
        <f>E164</f>
        <v>-84</v>
      </c>
      <c r="O181" s="22">
        <f>F164</f>
        <v>0</v>
      </c>
      <c r="P181" s="22">
        <f>G164</f>
        <v>10500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3">
        <v>0</v>
      </c>
      <c r="AC181" s="23">
        <v>0</v>
      </c>
      <c r="AD181" s="23">
        <v>0</v>
      </c>
      <c r="AE181" s="23">
        <v>0</v>
      </c>
      <c r="AF181" s="23">
        <v>0</v>
      </c>
      <c r="AG181" s="23">
        <v>0</v>
      </c>
      <c r="AH181" s="23">
        <v>0</v>
      </c>
      <c r="AI181" s="10" t="s">
        <v>45</v>
      </c>
    </row>
    <row r="182" spans="2:35" x14ac:dyDescent="0.25">
      <c r="B182" s="23">
        <v>0</v>
      </c>
      <c r="C182" s="23">
        <v>0</v>
      </c>
      <c r="D182" s="23">
        <v>0</v>
      </c>
      <c r="E182" s="23">
        <v>0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2">
        <f>B165</f>
        <v>0</v>
      </c>
      <c r="L182" s="22">
        <f>C165</f>
        <v>210000</v>
      </c>
      <c r="M182" s="22">
        <f>D165</f>
        <v>0</v>
      </c>
      <c r="N182" s="22">
        <f>E165</f>
        <v>0</v>
      </c>
      <c r="O182" s="22">
        <f>F165</f>
        <v>-210000</v>
      </c>
      <c r="P182" s="22">
        <f>G165</f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3">
        <v>0</v>
      </c>
      <c r="Y182" s="23">
        <v>0</v>
      </c>
      <c r="Z182" s="23">
        <v>0</v>
      </c>
      <c r="AA182" s="23">
        <v>0</v>
      </c>
      <c r="AB182" s="23">
        <v>0</v>
      </c>
      <c r="AC182" s="23">
        <v>0</v>
      </c>
      <c r="AD182" s="23">
        <v>0</v>
      </c>
      <c r="AE182" s="23">
        <v>0</v>
      </c>
      <c r="AF182" s="23">
        <v>0</v>
      </c>
      <c r="AG182" s="23">
        <v>0</v>
      </c>
      <c r="AH182" s="23">
        <v>0</v>
      </c>
      <c r="AI182" s="10" t="s">
        <v>46</v>
      </c>
    </row>
    <row r="183" spans="2:35" x14ac:dyDescent="0.25"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2">
        <f>B166</f>
        <v>10500</v>
      </c>
      <c r="L183" s="22">
        <f>C166</f>
        <v>0</v>
      </c>
      <c r="M183" s="22">
        <f>D166</f>
        <v>1750000</v>
      </c>
      <c r="N183" s="22">
        <f>E166</f>
        <v>-10500</v>
      </c>
      <c r="O183" s="22">
        <f>F166</f>
        <v>0</v>
      </c>
      <c r="P183" s="22">
        <f>G166</f>
        <v>875000</v>
      </c>
      <c r="Q183" s="2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0</v>
      </c>
      <c r="Y183" s="23">
        <v>0</v>
      </c>
      <c r="Z183" s="23">
        <v>0</v>
      </c>
      <c r="AA183" s="23">
        <v>0</v>
      </c>
      <c r="AB183" s="23">
        <v>0</v>
      </c>
      <c r="AC183" s="23">
        <v>0</v>
      </c>
      <c r="AD183" s="23">
        <v>0</v>
      </c>
      <c r="AE183" s="23">
        <v>0</v>
      </c>
      <c r="AF183" s="23">
        <v>0</v>
      </c>
      <c r="AG183" s="23">
        <v>0</v>
      </c>
      <c r="AH183" s="23">
        <v>0</v>
      </c>
      <c r="AI183" s="10" t="s">
        <v>47</v>
      </c>
    </row>
    <row r="184" spans="2:35" x14ac:dyDescent="0.25"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2">
        <f>B167</f>
        <v>-84</v>
      </c>
      <c r="L184" s="22">
        <f>C167</f>
        <v>0</v>
      </c>
      <c r="M184" s="22">
        <f>D167</f>
        <v>-10500</v>
      </c>
      <c r="N184" s="22">
        <f>E167</f>
        <v>84</v>
      </c>
      <c r="O184" s="22">
        <f>F167</f>
        <v>0</v>
      </c>
      <c r="P184" s="22">
        <f>G167</f>
        <v>-10500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3">
        <v>0</v>
      </c>
      <c r="AC184" s="23">
        <v>0</v>
      </c>
      <c r="AD184" s="23">
        <v>0</v>
      </c>
      <c r="AE184" s="23">
        <v>0</v>
      </c>
      <c r="AF184" s="23">
        <v>0</v>
      </c>
      <c r="AG184" s="23">
        <v>0</v>
      </c>
      <c r="AH184" s="23">
        <v>0</v>
      </c>
      <c r="AI184" s="10" t="s">
        <v>48</v>
      </c>
    </row>
    <row r="185" spans="2:35" x14ac:dyDescent="0.25"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2">
        <f>B168</f>
        <v>0</v>
      </c>
      <c r="L185" s="22">
        <f>C168</f>
        <v>-210000</v>
      </c>
      <c r="M185" s="22">
        <f>D168</f>
        <v>0</v>
      </c>
      <c r="N185" s="22">
        <f>E168</f>
        <v>0</v>
      </c>
      <c r="O185" s="22">
        <f>F168</f>
        <v>210000</v>
      </c>
      <c r="P185" s="22">
        <f>G168</f>
        <v>0</v>
      </c>
      <c r="Q185" s="2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23">
        <v>0</v>
      </c>
      <c r="X185" s="23">
        <v>0</v>
      </c>
      <c r="Y185" s="23">
        <v>0</v>
      </c>
      <c r="Z185" s="23">
        <v>0</v>
      </c>
      <c r="AA185" s="23">
        <v>0</v>
      </c>
      <c r="AB185" s="23">
        <v>0</v>
      </c>
      <c r="AC185" s="23">
        <v>0</v>
      </c>
      <c r="AD185" s="23">
        <v>0</v>
      </c>
      <c r="AE185" s="23">
        <v>0</v>
      </c>
      <c r="AF185" s="23">
        <v>0</v>
      </c>
      <c r="AG185" s="23">
        <v>0</v>
      </c>
      <c r="AH185" s="23">
        <v>0</v>
      </c>
      <c r="AI185" s="10" t="s">
        <v>49</v>
      </c>
    </row>
    <row r="186" spans="2:35" x14ac:dyDescent="0.25"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2">
        <f>B169</f>
        <v>10500</v>
      </c>
      <c r="L186" s="22">
        <f>C169</f>
        <v>0</v>
      </c>
      <c r="M186" s="22">
        <f>D169</f>
        <v>875000</v>
      </c>
      <c r="N186" s="22">
        <f>E169</f>
        <v>-10500</v>
      </c>
      <c r="O186" s="22">
        <f>F169</f>
        <v>0</v>
      </c>
      <c r="P186" s="22">
        <f>G169</f>
        <v>1750000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  <c r="AC186" s="23">
        <v>0</v>
      </c>
      <c r="AD186" s="23">
        <v>0</v>
      </c>
      <c r="AE186" s="23">
        <v>0</v>
      </c>
      <c r="AF186" s="23">
        <v>0</v>
      </c>
      <c r="AG186" s="23">
        <v>0</v>
      </c>
      <c r="AH186" s="23">
        <v>0</v>
      </c>
      <c r="AI186" s="10" t="s">
        <v>50</v>
      </c>
    </row>
    <row r="187" spans="2:35" x14ac:dyDescent="0.25"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3">
        <v>0</v>
      </c>
      <c r="AC187" s="23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10" t="s">
        <v>51</v>
      </c>
    </row>
    <row r="188" spans="2:35" x14ac:dyDescent="0.25"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0</v>
      </c>
      <c r="Y188" s="23">
        <v>0</v>
      </c>
      <c r="Z188" s="23">
        <v>0</v>
      </c>
      <c r="AA188" s="23">
        <v>0</v>
      </c>
      <c r="AB188" s="23">
        <v>0</v>
      </c>
      <c r="AC188" s="23">
        <v>0</v>
      </c>
      <c r="AD188" s="23">
        <v>0</v>
      </c>
      <c r="AE188" s="23">
        <v>0</v>
      </c>
      <c r="AF188" s="23">
        <v>0</v>
      </c>
      <c r="AG188" s="23">
        <v>0</v>
      </c>
      <c r="AH188" s="23">
        <v>0</v>
      </c>
      <c r="AI188" s="10" t="s">
        <v>52</v>
      </c>
    </row>
    <row r="189" spans="2:35" x14ac:dyDescent="0.25"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>
        <v>0</v>
      </c>
      <c r="X189" s="23">
        <v>0</v>
      </c>
      <c r="Y189" s="23">
        <v>0</v>
      </c>
      <c r="Z189" s="23">
        <v>0</v>
      </c>
      <c r="AA189" s="23">
        <v>0</v>
      </c>
      <c r="AB189" s="23">
        <v>0</v>
      </c>
      <c r="AC189" s="23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10" t="s">
        <v>53</v>
      </c>
    </row>
    <row r="190" spans="2:35" x14ac:dyDescent="0.25"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0</v>
      </c>
      <c r="AC190" s="23">
        <v>0</v>
      </c>
      <c r="AD190" s="23">
        <v>0</v>
      </c>
      <c r="AE190" s="23">
        <v>0</v>
      </c>
      <c r="AF190" s="23">
        <v>0</v>
      </c>
      <c r="AG190" s="23">
        <v>0</v>
      </c>
      <c r="AH190" s="23">
        <v>0</v>
      </c>
      <c r="AI190" s="10" t="s">
        <v>54</v>
      </c>
    </row>
    <row r="191" spans="2:35" x14ac:dyDescent="0.25"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  <c r="X191" s="23">
        <v>0</v>
      </c>
      <c r="Y191" s="23">
        <v>0</v>
      </c>
      <c r="Z191" s="23">
        <v>0</v>
      </c>
      <c r="AA191" s="23">
        <v>0</v>
      </c>
      <c r="AB191" s="23">
        <v>0</v>
      </c>
      <c r="AC191" s="23">
        <v>0</v>
      </c>
      <c r="AD191" s="23">
        <v>0</v>
      </c>
      <c r="AE191" s="23">
        <v>0</v>
      </c>
      <c r="AF191" s="23">
        <v>0</v>
      </c>
      <c r="AG191" s="23">
        <v>0</v>
      </c>
      <c r="AH191" s="23">
        <v>0</v>
      </c>
      <c r="AI191" s="10" t="s">
        <v>55</v>
      </c>
    </row>
    <row r="192" spans="2:35" x14ac:dyDescent="0.25"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3">
        <v>0</v>
      </c>
      <c r="Z192" s="23">
        <v>0</v>
      </c>
      <c r="AA192" s="23">
        <v>0</v>
      </c>
      <c r="AB192" s="23">
        <v>0</v>
      </c>
      <c r="AC192" s="23">
        <v>0</v>
      </c>
      <c r="AD192" s="23">
        <v>0</v>
      </c>
      <c r="AE192" s="23">
        <v>0</v>
      </c>
      <c r="AF192" s="23">
        <v>0</v>
      </c>
      <c r="AG192" s="23">
        <v>0</v>
      </c>
      <c r="AH192" s="23">
        <v>0</v>
      </c>
      <c r="AI192" s="10" t="s">
        <v>56</v>
      </c>
    </row>
    <row r="193" spans="2:35" x14ac:dyDescent="0.25"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  <c r="AC193" s="23">
        <v>0</v>
      </c>
      <c r="AD193" s="23">
        <v>0</v>
      </c>
      <c r="AE193" s="23">
        <v>0</v>
      </c>
      <c r="AF193" s="23">
        <v>0</v>
      </c>
      <c r="AG193" s="23">
        <v>0</v>
      </c>
      <c r="AH193" s="23">
        <v>0</v>
      </c>
      <c r="AI193" s="10" t="s">
        <v>57</v>
      </c>
    </row>
    <row r="194" spans="2:35" x14ac:dyDescent="0.25"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23">
        <v>0</v>
      </c>
      <c r="X194" s="23">
        <v>0</v>
      </c>
      <c r="Y194" s="23">
        <v>0</v>
      </c>
      <c r="Z194" s="23">
        <v>0</v>
      </c>
      <c r="AA194" s="23">
        <v>0</v>
      </c>
      <c r="AB194" s="23">
        <v>0</v>
      </c>
      <c r="AC194" s="23">
        <v>0</v>
      </c>
      <c r="AD194" s="23">
        <v>0</v>
      </c>
      <c r="AE194" s="23">
        <v>0</v>
      </c>
      <c r="AF194" s="23">
        <v>0</v>
      </c>
      <c r="AG194" s="23">
        <v>0</v>
      </c>
      <c r="AH194" s="23">
        <v>0</v>
      </c>
      <c r="AI194" s="10" t="s">
        <v>58</v>
      </c>
    </row>
    <row r="195" spans="2:35" x14ac:dyDescent="0.25"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  <c r="AC195" s="23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10" t="s">
        <v>59</v>
      </c>
    </row>
    <row r="196" spans="2:35" x14ac:dyDescent="0.25"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0</v>
      </c>
      <c r="X196" s="23">
        <v>0</v>
      </c>
      <c r="Y196" s="23">
        <v>0</v>
      </c>
      <c r="Z196" s="23">
        <v>0</v>
      </c>
      <c r="AA196" s="23">
        <v>0</v>
      </c>
      <c r="AB196" s="23">
        <v>0</v>
      </c>
      <c r="AC196" s="23">
        <v>0</v>
      </c>
      <c r="AD196" s="23">
        <v>0</v>
      </c>
      <c r="AE196" s="23">
        <v>0</v>
      </c>
      <c r="AF196" s="23">
        <v>0</v>
      </c>
      <c r="AG196" s="23">
        <v>0</v>
      </c>
      <c r="AH196" s="23">
        <v>0</v>
      </c>
      <c r="AI196" s="10" t="s">
        <v>60</v>
      </c>
    </row>
    <row r="197" spans="2:35" x14ac:dyDescent="0.25"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3">
        <v>0</v>
      </c>
      <c r="Z197" s="23">
        <v>0</v>
      </c>
      <c r="AA197" s="23">
        <v>0</v>
      </c>
      <c r="AB197" s="23">
        <v>0</v>
      </c>
      <c r="AC197" s="23">
        <v>0</v>
      </c>
      <c r="AD197" s="23">
        <v>0</v>
      </c>
      <c r="AE197" s="23">
        <v>0</v>
      </c>
      <c r="AF197" s="23">
        <v>0</v>
      </c>
      <c r="AG197" s="23">
        <v>0</v>
      </c>
      <c r="AH197" s="23">
        <v>0</v>
      </c>
      <c r="AI197" s="10" t="s">
        <v>61</v>
      </c>
    </row>
    <row r="198" spans="2:35" x14ac:dyDescent="0.25"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0</v>
      </c>
      <c r="AC198" s="23">
        <v>0</v>
      </c>
      <c r="AD198" s="23">
        <v>0</v>
      </c>
      <c r="AE198" s="23">
        <v>0</v>
      </c>
      <c r="AF198" s="23">
        <v>0</v>
      </c>
      <c r="AG198" s="23">
        <v>0</v>
      </c>
      <c r="AH198" s="23">
        <v>0</v>
      </c>
      <c r="AI198" s="10" t="s">
        <v>62</v>
      </c>
    </row>
    <row r="199" spans="2:35" x14ac:dyDescent="0.25"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0</v>
      </c>
      <c r="AB199" s="23">
        <v>0</v>
      </c>
      <c r="AC199" s="23">
        <v>0</v>
      </c>
      <c r="AD199" s="23">
        <v>0</v>
      </c>
      <c r="AE199" s="23">
        <v>0</v>
      </c>
      <c r="AF199" s="23">
        <v>0</v>
      </c>
      <c r="AG199" s="23">
        <v>0</v>
      </c>
      <c r="AH199" s="23">
        <v>0</v>
      </c>
      <c r="AI199" s="10" t="s">
        <v>63</v>
      </c>
    </row>
    <row r="200" spans="2:35" x14ac:dyDescent="0.25"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  <c r="X200" s="23">
        <v>0</v>
      </c>
      <c r="Y200" s="23">
        <v>0</v>
      </c>
      <c r="Z200" s="23">
        <v>0</v>
      </c>
      <c r="AA200" s="23">
        <v>0</v>
      </c>
      <c r="AB200" s="23">
        <v>0</v>
      </c>
      <c r="AC200" s="23">
        <v>0</v>
      </c>
      <c r="AD200" s="23">
        <v>0</v>
      </c>
      <c r="AE200" s="23">
        <v>0</v>
      </c>
      <c r="AF200" s="23">
        <v>0</v>
      </c>
      <c r="AG200" s="23">
        <v>0</v>
      </c>
      <c r="AH200" s="23">
        <v>0</v>
      </c>
      <c r="AI200" s="10" t="s">
        <v>64</v>
      </c>
    </row>
    <row r="201" spans="2:35" x14ac:dyDescent="0.25"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0</v>
      </c>
      <c r="Z201" s="23">
        <v>0</v>
      </c>
      <c r="AA201" s="23">
        <v>0</v>
      </c>
      <c r="AB201" s="23">
        <v>0</v>
      </c>
      <c r="AC201" s="23">
        <v>0</v>
      </c>
      <c r="AD201" s="23">
        <v>0</v>
      </c>
      <c r="AE201" s="23">
        <v>0</v>
      </c>
      <c r="AF201" s="23">
        <v>0</v>
      </c>
      <c r="AG201" s="23">
        <v>0</v>
      </c>
      <c r="AH201" s="23">
        <v>0</v>
      </c>
      <c r="AI201" s="10" t="s">
        <v>65</v>
      </c>
    </row>
    <row r="202" spans="2:35" x14ac:dyDescent="0.25"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0</v>
      </c>
      <c r="X202" s="23">
        <v>0</v>
      </c>
      <c r="Y202" s="23">
        <v>0</v>
      </c>
      <c r="Z202" s="23">
        <v>0</v>
      </c>
      <c r="AA202" s="23">
        <v>0</v>
      </c>
      <c r="AB202" s="23">
        <v>0</v>
      </c>
      <c r="AC202" s="23">
        <v>0</v>
      </c>
      <c r="AD202" s="23">
        <v>0</v>
      </c>
      <c r="AE202" s="23">
        <v>0</v>
      </c>
      <c r="AF202" s="23">
        <v>0</v>
      </c>
      <c r="AG202" s="23">
        <v>0</v>
      </c>
      <c r="AH202" s="23">
        <v>0</v>
      </c>
      <c r="AI202" s="10" t="s">
        <v>66</v>
      </c>
    </row>
    <row r="203" spans="2:35" x14ac:dyDescent="0.25"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  <c r="X203" s="23">
        <v>0</v>
      </c>
      <c r="Y203" s="23">
        <v>0</v>
      </c>
      <c r="Z203" s="23">
        <v>0</v>
      </c>
      <c r="AA203" s="23">
        <v>0</v>
      </c>
      <c r="AB203" s="23">
        <v>0</v>
      </c>
      <c r="AC203" s="23">
        <v>0</v>
      </c>
      <c r="AD203" s="23">
        <v>0</v>
      </c>
      <c r="AE203" s="23">
        <v>0</v>
      </c>
      <c r="AF203" s="23">
        <v>0</v>
      </c>
      <c r="AG203" s="23">
        <v>0</v>
      </c>
      <c r="AH203" s="23">
        <v>0</v>
      </c>
      <c r="AI203" s="10" t="s">
        <v>67</v>
      </c>
    </row>
    <row r="204" spans="2:35" x14ac:dyDescent="0.25"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  <c r="AC204" s="23">
        <v>0</v>
      </c>
      <c r="AD204" s="23">
        <v>0</v>
      </c>
      <c r="AE204" s="23">
        <v>0</v>
      </c>
      <c r="AF204" s="23">
        <v>0</v>
      </c>
      <c r="AG204" s="23">
        <v>0</v>
      </c>
      <c r="AH204" s="23">
        <v>0</v>
      </c>
      <c r="AI204" s="10" t="s">
        <v>68</v>
      </c>
    </row>
    <row r="206" spans="2:7" x14ac:dyDescent="0.25">
      <c r="B206" s="19" t="str">
        <f>IF(C26="","", CONCATENATE("U",C26,"X"))</f>
        <v>U5X</v>
      </c>
      <c r="C206" s="19" t="str">
        <f>IF(D26="","", CONCATENATE("U",D26,"Y"))</f>
        <v>U5Y</v>
      </c>
      <c r="D206" s="19" t="str">
        <f>IF(E26="","", CONCATENATE("U",E26,"θ"))</f>
        <v>U5θ</v>
      </c>
      <c r="E206" s="19" t="str">
        <f>IF(F26="","", CONCATENATE("U",F26,"X"))</f>
        <v>U6X</v>
      </c>
      <c r="F206" s="19" t="str">
        <f>IF(G26="","", CONCATENATE("U",G26,"Y"))</f>
        <v>U6Y</v>
      </c>
      <c r="G206" s="19" t="str">
        <f>IF(H26="","", CONCATENATE("U",H26,"θ"))</f>
        <v>U6θ</v>
      </c>
    </row>
    <row r="207" spans="2:8" x14ac:dyDescent="0.25">
      <c r="B207" s="12">
        <f>IF(I13="", 0, O13*J13*J13+P13*K13*K13)</f>
        <v>388.8888888888889</v>
      </c>
      <c r="C207" s="12">
        <f>IF(I13="", 0, (O13-P13)*(J13*K13))</f>
        <v>0</v>
      </c>
      <c r="D207" s="12">
        <f>IF(I13="", 0, -Q13*K13)</f>
        <v>29166.666666666668</v>
      </c>
      <c r="E207" s="12">
        <f>-B207</f>
        <v>-388.8888888888889</v>
      </c>
      <c r="F207" s="12">
        <f>-C207</f>
        <v>0</v>
      </c>
      <c r="G207" s="12">
        <f>D207</f>
        <v>29166.666666666668</v>
      </c>
      <c r="H207" s="20" t="str">
        <f>B206</f>
        <v>U5X</v>
      </c>
    </row>
    <row r="208" spans="2:8" x14ac:dyDescent="0.25">
      <c r="B208" s="12">
        <f>C207</f>
        <v>0</v>
      </c>
      <c r="C208" s="12">
        <f>IF(I13="", 0, O13*K13*K13+P13*J13*J13)</f>
        <v>350000</v>
      </c>
      <c r="D208" s="12">
        <f>IF(I13="", 0, Q13*J13)</f>
        <v>0</v>
      </c>
      <c r="E208" s="12">
        <f>-B208</f>
        <v>0</v>
      </c>
      <c r="F208" s="12">
        <f>-C208</f>
        <v>-350000</v>
      </c>
      <c r="G208" s="12">
        <f>D208</f>
        <v>0</v>
      </c>
      <c r="H208" s="20" t="str">
        <f>C206</f>
        <v>U5Y</v>
      </c>
    </row>
    <row r="209" spans="1:8" x14ac:dyDescent="0.25">
      <c r="A209" s="21" t="s">
        <v>72</v>
      </c>
      <c r="B209" s="12">
        <f>D207</f>
        <v>29166.666666666668</v>
      </c>
      <c r="C209" s="12">
        <f>D208</f>
        <v>0</v>
      </c>
      <c r="D209" s="12">
        <f>IF(I13="", 0, R13)</f>
        <v>2916666.6666666665</v>
      </c>
      <c r="E209" s="12">
        <f>-B209</f>
        <v>-29166.666666666668</v>
      </c>
      <c r="F209" s="12">
        <f>-C209</f>
        <v>0</v>
      </c>
      <c r="G209" s="12">
        <f>IF(I13="", 0, S13)</f>
        <v>1458333.3333333333</v>
      </c>
      <c r="H209" s="20" t="str">
        <f>D206</f>
        <v>U5θ</v>
      </c>
    </row>
    <row r="210" spans="2:8" x14ac:dyDescent="0.25">
      <c r="B210" s="12">
        <f>E207</f>
        <v>-388.8888888888889</v>
      </c>
      <c r="C210" s="12">
        <f>E208</f>
        <v>0</v>
      </c>
      <c r="D210" s="12">
        <f>E209</f>
        <v>-29166.666666666668</v>
      </c>
      <c r="E210" s="12">
        <f>B207</f>
        <v>388.8888888888889</v>
      </c>
      <c r="F210" s="12">
        <f>C207</f>
        <v>0</v>
      </c>
      <c r="G210" s="12">
        <f>-D207</f>
        <v>-29166.666666666668</v>
      </c>
      <c r="H210" s="20" t="str">
        <f>E206</f>
        <v>U6X</v>
      </c>
    </row>
    <row r="211" spans="2:8" x14ac:dyDescent="0.25">
      <c r="B211" s="12">
        <f>F207</f>
        <v>0</v>
      </c>
      <c r="C211" s="12">
        <f>F208</f>
        <v>-350000</v>
      </c>
      <c r="D211" s="12">
        <f>F209</f>
        <v>0</v>
      </c>
      <c r="E211" s="12">
        <f>F210</f>
        <v>0</v>
      </c>
      <c r="F211" s="12">
        <f>C208</f>
        <v>350000</v>
      </c>
      <c r="G211" s="12">
        <f>-D208</f>
        <v>0</v>
      </c>
      <c r="H211" s="20" t="str">
        <f>F206</f>
        <v>U6Y</v>
      </c>
    </row>
    <row r="212" spans="2:8" x14ac:dyDescent="0.25">
      <c r="B212" s="12">
        <f>G207</f>
        <v>29166.666666666668</v>
      </c>
      <c r="C212" s="12">
        <f>G208</f>
        <v>0</v>
      </c>
      <c r="D212" s="12">
        <f>G209</f>
        <v>1458333.3333333333</v>
      </c>
      <c r="E212" s="12">
        <f>G210</f>
        <v>-29166.666666666668</v>
      </c>
      <c r="F212" s="12">
        <f>G211</f>
        <v>0</v>
      </c>
      <c r="G212" s="12">
        <f>D209</f>
        <v>2916666.6666666665</v>
      </c>
      <c r="H212" s="20" t="str">
        <f>G206</f>
        <v>U6θ</v>
      </c>
    </row>
    <row r="214" spans="2:34" x14ac:dyDescent="0.25">
      <c r="B214" s="10" t="s">
        <v>36</v>
      </c>
      <c r="C214" s="10" t="s">
        <v>37</v>
      </c>
      <c r="D214" s="10" t="s">
        <v>38</v>
      </c>
      <c r="E214" s="10" t="s">
        <v>39</v>
      </c>
      <c r="F214" s="10" t="s">
        <v>40</v>
      </c>
      <c r="G214" s="10" t="s">
        <v>41</v>
      </c>
      <c r="H214" s="10" t="s">
        <v>42</v>
      </c>
      <c r="I214" s="10" t="s">
        <v>43</v>
      </c>
      <c r="J214" s="10" t="s">
        <v>44</v>
      </c>
      <c r="K214" s="10" t="s">
        <v>45</v>
      </c>
      <c r="L214" s="10" t="s">
        <v>46</v>
      </c>
      <c r="M214" s="10" t="s">
        <v>47</v>
      </c>
      <c r="N214" s="10" t="s">
        <v>48</v>
      </c>
      <c r="O214" s="10" t="s">
        <v>49</v>
      </c>
      <c r="P214" s="10" t="s">
        <v>50</v>
      </c>
      <c r="Q214" s="10" t="s">
        <v>51</v>
      </c>
      <c r="R214" s="10" t="s">
        <v>52</v>
      </c>
      <c r="S214" s="10" t="s">
        <v>53</v>
      </c>
      <c r="T214" s="10" t="s">
        <v>54</v>
      </c>
      <c r="U214" s="10" t="s">
        <v>55</v>
      </c>
      <c r="V214" s="10" t="s">
        <v>56</v>
      </c>
      <c r="W214" s="10" t="s">
        <v>57</v>
      </c>
      <c r="X214" s="10" t="s">
        <v>58</v>
      </c>
      <c r="Y214" s="10" t="s">
        <v>59</v>
      </c>
      <c r="Z214" s="10" t="s">
        <v>60</v>
      </c>
      <c r="AA214" s="10" t="s">
        <v>61</v>
      </c>
      <c r="AB214" s="10" t="s">
        <v>62</v>
      </c>
      <c r="AC214" s="10" t="s">
        <v>63</v>
      </c>
      <c r="AD214" s="10" t="s">
        <v>64</v>
      </c>
      <c r="AE214" s="10" t="s">
        <v>65</v>
      </c>
      <c r="AF214" s="10" t="s">
        <v>66</v>
      </c>
      <c r="AG214" s="10" t="s">
        <v>67</v>
      </c>
      <c r="AH214" s="10" t="s">
        <v>68</v>
      </c>
    </row>
    <row r="215" spans="2:35" x14ac:dyDescent="0.25">
      <c r="B215" s="23">
        <v>0</v>
      </c>
      <c r="C215" s="23">
        <v>0</v>
      </c>
      <c r="D215" s="23">
        <v>0</v>
      </c>
      <c r="E215" s="23">
        <v>0</v>
      </c>
      <c r="F215" s="23">
        <v>0</v>
      </c>
      <c r="G215" s="23">
        <v>0</v>
      </c>
      <c r="H215" s="23">
        <v>0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v>0</v>
      </c>
      <c r="X215" s="23">
        <v>0</v>
      </c>
      <c r="Y215" s="23">
        <v>0</v>
      </c>
      <c r="Z215" s="23">
        <v>0</v>
      </c>
      <c r="AA215" s="23">
        <v>0</v>
      </c>
      <c r="AB215" s="23">
        <v>0</v>
      </c>
      <c r="AC215" s="23">
        <v>0</v>
      </c>
      <c r="AD215" s="23">
        <v>0</v>
      </c>
      <c r="AE215" s="23">
        <v>0</v>
      </c>
      <c r="AF215" s="23">
        <v>0</v>
      </c>
      <c r="AG215" s="23">
        <v>0</v>
      </c>
      <c r="AH215" s="23">
        <v>0</v>
      </c>
      <c r="AI215" s="10" t="s">
        <v>36</v>
      </c>
    </row>
    <row r="216" spans="2:35" x14ac:dyDescent="0.25">
      <c r="B216" s="23">
        <v>0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23">
        <v>0</v>
      </c>
      <c r="X216" s="23">
        <v>0</v>
      </c>
      <c r="Y216" s="23">
        <v>0</v>
      </c>
      <c r="Z216" s="23">
        <v>0</v>
      </c>
      <c r="AA216" s="23">
        <v>0</v>
      </c>
      <c r="AB216" s="23">
        <v>0</v>
      </c>
      <c r="AC216" s="23">
        <v>0</v>
      </c>
      <c r="AD216" s="23">
        <v>0</v>
      </c>
      <c r="AE216" s="23">
        <v>0</v>
      </c>
      <c r="AF216" s="23">
        <v>0</v>
      </c>
      <c r="AG216" s="23">
        <v>0</v>
      </c>
      <c r="AH216" s="23">
        <v>0</v>
      </c>
      <c r="AI216" s="10" t="s">
        <v>37</v>
      </c>
    </row>
    <row r="217" spans="2:35" x14ac:dyDescent="0.25"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3">
        <v>0</v>
      </c>
      <c r="AC217" s="23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10" t="s">
        <v>38</v>
      </c>
    </row>
    <row r="218" spans="2:35" x14ac:dyDescent="0.25">
      <c r="B218" s="23">
        <v>0</v>
      </c>
      <c r="C218" s="23">
        <v>0</v>
      </c>
      <c r="D218" s="23">
        <v>0</v>
      </c>
      <c r="E218" s="23">
        <v>0</v>
      </c>
      <c r="F218" s="23">
        <v>0</v>
      </c>
      <c r="G218" s="23">
        <v>0</v>
      </c>
      <c r="H218" s="23">
        <v>0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23">
        <v>0</v>
      </c>
      <c r="X218" s="23">
        <v>0</v>
      </c>
      <c r="Y218" s="23">
        <v>0</v>
      </c>
      <c r="Z218" s="23">
        <v>0</v>
      </c>
      <c r="AA218" s="23">
        <v>0</v>
      </c>
      <c r="AB218" s="23">
        <v>0</v>
      </c>
      <c r="AC218" s="23">
        <v>0</v>
      </c>
      <c r="AD218" s="23">
        <v>0</v>
      </c>
      <c r="AE218" s="23">
        <v>0</v>
      </c>
      <c r="AF218" s="23">
        <v>0</v>
      </c>
      <c r="AG218" s="23">
        <v>0</v>
      </c>
      <c r="AH218" s="23">
        <v>0</v>
      </c>
      <c r="AI218" s="10" t="s">
        <v>39</v>
      </c>
    </row>
    <row r="219" spans="2:35" x14ac:dyDescent="0.25">
      <c r="B219" s="23">
        <v>0</v>
      </c>
      <c r="C219" s="23">
        <v>0</v>
      </c>
      <c r="D219" s="23">
        <v>0</v>
      </c>
      <c r="E219" s="23">
        <v>0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v>0</v>
      </c>
      <c r="X219" s="23">
        <v>0</v>
      </c>
      <c r="Y219" s="23">
        <v>0</v>
      </c>
      <c r="Z219" s="23">
        <v>0</v>
      </c>
      <c r="AA219" s="23">
        <v>0</v>
      </c>
      <c r="AB219" s="23">
        <v>0</v>
      </c>
      <c r="AC219" s="23">
        <v>0</v>
      </c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10" t="s">
        <v>40</v>
      </c>
    </row>
    <row r="220" spans="2:35" x14ac:dyDescent="0.25">
      <c r="B220" s="23">
        <v>0</v>
      </c>
      <c r="C220" s="23">
        <v>0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  <c r="AC220" s="23">
        <v>0</v>
      </c>
      <c r="AD220" s="23">
        <v>0</v>
      </c>
      <c r="AE220" s="23">
        <v>0</v>
      </c>
      <c r="AF220" s="23">
        <v>0</v>
      </c>
      <c r="AG220" s="23">
        <v>0</v>
      </c>
      <c r="AH220" s="23">
        <v>0</v>
      </c>
      <c r="AI220" s="10" t="s">
        <v>41</v>
      </c>
    </row>
    <row r="221" spans="2:35" x14ac:dyDescent="0.25">
      <c r="B221" s="23">
        <v>0</v>
      </c>
      <c r="C221" s="23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23">
        <v>0</v>
      </c>
      <c r="X221" s="23">
        <v>0</v>
      </c>
      <c r="Y221" s="23">
        <v>0</v>
      </c>
      <c r="Z221" s="23">
        <v>0</v>
      </c>
      <c r="AA221" s="23">
        <v>0</v>
      </c>
      <c r="AB221" s="23">
        <v>0</v>
      </c>
      <c r="AC221" s="23">
        <v>0</v>
      </c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10" t="s">
        <v>42</v>
      </c>
    </row>
    <row r="222" spans="2:35" x14ac:dyDescent="0.25">
      <c r="B222" s="23">
        <v>0</v>
      </c>
      <c r="C222" s="23">
        <v>0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23">
        <v>0</v>
      </c>
      <c r="X222" s="23">
        <v>0</v>
      </c>
      <c r="Y222" s="23">
        <v>0</v>
      </c>
      <c r="Z222" s="23">
        <v>0</v>
      </c>
      <c r="AA222" s="23">
        <v>0</v>
      </c>
      <c r="AB222" s="23">
        <v>0</v>
      </c>
      <c r="AC222" s="23">
        <v>0</v>
      </c>
      <c r="AD222" s="23">
        <v>0</v>
      </c>
      <c r="AE222" s="23">
        <v>0</v>
      </c>
      <c r="AF222" s="23">
        <v>0</v>
      </c>
      <c r="AG222" s="23">
        <v>0</v>
      </c>
      <c r="AH222" s="23">
        <v>0</v>
      </c>
      <c r="AI222" s="10" t="s">
        <v>43</v>
      </c>
    </row>
    <row r="223" spans="2:35" x14ac:dyDescent="0.25">
      <c r="B223" s="23">
        <v>0</v>
      </c>
      <c r="C223" s="23">
        <v>0</v>
      </c>
      <c r="D223" s="23">
        <v>0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0</v>
      </c>
      <c r="X223" s="23">
        <v>0</v>
      </c>
      <c r="Y223" s="23">
        <v>0</v>
      </c>
      <c r="Z223" s="23">
        <v>0</v>
      </c>
      <c r="AA223" s="23">
        <v>0</v>
      </c>
      <c r="AB223" s="23">
        <v>0</v>
      </c>
      <c r="AC223" s="23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10" t="s">
        <v>44</v>
      </c>
    </row>
    <row r="224" spans="2:35" x14ac:dyDescent="0.25">
      <c r="B224" s="23">
        <v>0</v>
      </c>
      <c r="C224" s="23">
        <v>0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23">
        <v>0</v>
      </c>
      <c r="X224" s="23">
        <v>0</v>
      </c>
      <c r="Y224" s="23">
        <v>0</v>
      </c>
      <c r="Z224" s="23">
        <v>0</v>
      </c>
      <c r="AA224" s="23">
        <v>0</v>
      </c>
      <c r="AB224" s="23">
        <v>0</v>
      </c>
      <c r="AC224" s="23">
        <v>0</v>
      </c>
      <c r="AD224" s="23">
        <v>0</v>
      </c>
      <c r="AE224" s="23">
        <v>0</v>
      </c>
      <c r="AF224" s="23">
        <v>0</v>
      </c>
      <c r="AG224" s="23">
        <v>0</v>
      </c>
      <c r="AH224" s="23">
        <v>0</v>
      </c>
      <c r="AI224" s="10" t="s">
        <v>45</v>
      </c>
    </row>
    <row r="225" spans="2:35" x14ac:dyDescent="0.25">
      <c r="B225" s="23">
        <v>0</v>
      </c>
      <c r="C225" s="23">
        <v>0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23">
        <v>0</v>
      </c>
      <c r="Y225" s="23">
        <v>0</v>
      </c>
      <c r="Z225" s="23">
        <v>0</v>
      </c>
      <c r="AA225" s="23">
        <v>0</v>
      </c>
      <c r="AB225" s="23">
        <v>0</v>
      </c>
      <c r="AC225" s="23">
        <v>0</v>
      </c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10" t="s">
        <v>46</v>
      </c>
    </row>
    <row r="226" spans="2:35" x14ac:dyDescent="0.25">
      <c r="B226" s="23">
        <v>0</v>
      </c>
      <c r="C226" s="23">
        <v>0</v>
      </c>
      <c r="D226" s="23">
        <v>0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0</v>
      </c>
      <c r="AB226" s="23">
        <v>0</v>
      </c>
      <c r="AC226" s="23">
        <v>0</v>
      </c>
      <c r="AD226" s="23">
        <v>0</v>
      </c>
      <c r="AE226" s="23">
        <v>0</v>
      </c>
      <c r="AF226" s="23">
        <v>0</v>
      </c>
      <c r="AG226" s="23">
        <v>0</v>
      </c>
      <c r="AH226" s="23">
        <v>0</v>
      </c>
      <c r="AI226" s="10" t="s">
        <v>47</v>
      </c>
    </row>
    <row r="227" spans="2:35" x14ac:dyDescent="0.25">
      <c r="B227" s="23">
        <v>0</v>
      </c>
      <c r="C227" s="23">
        <v>0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2">
        <f>B207</f>
        <v>388.8888888888889</v>
      </c>
      <c r="O227" s="22">
        <f>C207</f>
        <v>0</v>
      </c>
      <c r="P227" s="22">
        <f>D207</f>
        <v>29166.666666666668</v>
      </c>
      <c r="Q227" s="22">
        <f>E207</f>
        <v>-388.8888888888889</v>
      </c>
      <c r="R227" s="22">
        <f>F207</f>
        <v>0</v>
      </c>
      <c r="S227" s="22">
        <f>G207</f>
        <v>29166.666666666668</v>
      </c>
      <c r="T227" s="23">
        <v>0</v>
      </c>
      <c r="U227" s="23">
        <v>0</v>
      </c>
      <c r="V227" s="23">
        <v>0</v>
      </c>
      <c r="W227" s="23">
        <v>0</v>
      </c>
      <c r="X227" s="23">
        <v>0</v>
      </c>
      <c r="Y227" s="23">
        <v>0</v>
      </c>
      <c r="Z227" s="23">
        <v>0</v>
      </c>
      <c r="AA227" s="23">
        <v>0</v>
      </c>
      <c r="AB227" s="23">
        <v>0</v>
      </c>
      <c r="AC227" s="23">
        <v>0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10" t="s">
        <v>48</v>
      </c>
    </row>
    <row r="228" spans="2:35" x14ac:dyDescent="0.25">
      <c r="B228" s="23">
        <v>0</v>
      </c>
      <c r="C228" s="23">
        <v>0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2">
        <f>B208</f>
        <v>0</v>
      </c>
      <c r="O228" s="22">
        <f>C208</f>
        <v>350000</v>
      </c>
      <c r="P228" s="22">
        <f>D208</f>
        <v>0</v>
      </c>
      <c r="Q228" s="22">
        <f>E208</f>
        <v>0</v>
      </c>
      <c r="R228" s="22">
        <f>F208</f>
        <v>-350000</v>
      </c>
      <c r="S228" s="22">
        <f>G208</f>
        <v>0</v>
      </c>
      <c r="T228" s="23">
        <v>0</v>
      </c>
      <c r="U228" s="23">
        <v>0</v>
      </c>
      <c r="V228" s="23">
        <v>0</v>
      </c>
      <c r="W228" s="23">
        <v>0</v>
      </c>
      <c r="X228" s="23">
        <v>0</v>
      </c>
      <c r="Y228" s="23">
        <v>0</v>
      </c>
      <c r="Z228" s="23">
        <v>0</v>
      </c>
      <c r="AA228" s="23">
        <v>0</v>
      </c>
      <c r="AB228" s="23">
        <v>0</v>
      </c>
      <c r="AC228" s="23">
        <v>0</v>
      </c>
      <c r="AD228" s="23">
        <v>0</v>
      </c>
      <c r="AE228" s="23">
        <v>0</v>
      </c>
      <c r="AF228" s="23">
        <v>0</v>
      </c>
      <c r="AG228" s="23">
        <v>0</v>
      </c>
      <c r="AH228" s="23">
        <v>0</v>
      </c>
      <c r="AI228" s="10" t="s">
        <v>49</v>
      </c>
    </row>
    <row r="229" spans="2:35" x14ac:dyDescent="0.25">
      <c r="B229" s="23">
        <v>0</v>
      </c>
      <c r="C229" s="23">
        <v>0</v>
      </c>
      <c r="D229" s="23">
        <v>0</v>
      </c>
      <c r="E229" s="23">
        <v>0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2">
        <f>B209</f>
        <v>29166.666666666668</v>
      </c>
      <c r="O229" s="22">
        <f>C209</f>
        <v>0</v>
      </c>
      <c r="P229" s="22">
        <f>D209</f>
        <v>2916666.6666666665</v>
      </c>
      <c r="Q229" s="22">
        <f>E209</f>
        <v>-29166.666666666668</v>
      </c>
      <c r="R229" s="22">
        <f>F209</f>
        <v>0</v>
      </c>
      <c r="S229" s="22">
        <f>G209</f>
        <v>1458333.3333333333</v>
      </c>
      <c r="T229" s="23">
        <v>0</v>
      </c>
      <c r="U229" s="23">
        <v>0</v>
      </c>
      <c r="V229" s="23">
        <v>0</v>
      </c>
      <c r="W229" s="23">
        <v>0</v>
      </c>
      <c r="X229" s="23">
        <v>0</v>
      </c>
      <c r="Y229" s="23">
        <v>0</v>
      </c>
      <c r="Z229" s="23">
        <v>0</v>
      </c>
      <c r="AA229" s="23">
        <v>0</v>
      </c>
      <c r="AB229" s="23">
        <v>0</v>
      </c>
      <c r="AC229" s="23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10" t="s">
        <v>50</v>
      </c>
    </row>
    <row r="230" spans="2:35" x14ac:dyDescent="0.25">
      <c r="B230" s="23">
        <v>0</v>
      </c>
      <c r="C230" s="23">
        <v>0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2">
        <f>B210</f>
        <v>-388.8888888888889</v>
      </c>
      <c r="O230" s="22">
        <f>C210</f>
        <v>0</v>
      </c>
      <c r="P230" s="22">
        <f>D210</f>
        <v>-29166.666666666668</v>
      </c>
      <c r="Q230" s="22">
        <f>E210</f>
        <v>388.8888888888889</v>
      </c>
      <c r="R230" s="22">
        <f>F210</f>
        <v>0</v>
      </c>
      <c r="S230" s="22">
        <f>G210</f>
        <v>-29166.666666666668</v>
      </c>
      <c r="T230" s="23">
        <v>0</v>
      </c>
      <c r="U230" s="23">
        <v>0</v>
      </c>
      <c r="V230" s="23">
        <v>0</v>
      </c>
      <c r="W230" s="23">
        <v>0</v>
      </c>
      <c r="X230" s="23">
        <v>0</v>
      </c>
      <c r="Y230" s="23">
        <v>0</v>
      </c>
      <c r="Z230" s="23">
        <v>0</v>
      </c>
      <c r="AA230" s="23">
        <v>0</v>
      </c>
      <c r="AB230" s="23">
        <v>0</v>
      </c>
      <c r="AC230" s="23">
        <v>0</v>
      </c>
      <c r="AD230" s="23">
        <v>0</v>
      </c>
      <c r="AE230" s="23">
        <v>0</v>
      </c>
      <c r="AF230" s="23">
        <v>0</v>
      </c>
      <c r="AG230" s="23">
        <v>0</v>
      </c>
      <c r="AH230" s="23">
        <v>0</v>
      </c>
      <c r="AI230" s="10" t="s">
        <v>51</v>
      </c>
    </row>
    <row r="231" spans="2:35" x14ac:dyDescent="0.25">
      <c r="B231" s="23">
        <v>0</v>
      </c>
      <c r="C231" s="23">
        <v>0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2">
        <f>B211</f>
        <v>0</v>
      </c>
      <c r="O231" s="22">
        <f>C211</f>
        <v>-350000</v>
      </c>
      <c r="P231" s="22">
        <f>D211</f>
        <v>0</v>
      </c>
      <c r="Q231" s="22">
        <f>E211</f>
        <v>0</v>
      </c>
      <c r="R231" s="22">
        <f>F211</f>
        <v>350000</v>
      </c>
      <c r="S231" s="22">
        <f>G211</f>
        <v>0</v>
      </c>
      <c r="T231" s="23">
        <v>0</v>
      </c>
      <c r="U231" s="23">
        <v>0</v>
      </c>
      <c r="V231" s="23">
        <v>0</v>
      </c>
      <c r="W231" s="23">
        <v>0</v>
      </c>
      <c r="X231" s="23">
        <v>0</v>
      </c>
      <c r="Y231" s="23">
        <v>0</v>
      </c>
      <c r="Z231" s="23">
        <v>0</v>
      </c>
      <c r="AA231" s="23">
        <v>0</v>
      </c>
      <c r="AB231" s="23">
        <v>0</v>
      </c>
      <c r="AC231" s="23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10" t="s">
        <v>52</v>
      </c>
    </row>
    <row r="232" spans="2:35" x14ac:dyDescent="0.25">
      <c r="B232" s="23">
        <v>0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2">
        <f>B212</f>
        <v>29166.666666666668</v>
      </c>
      <c r="O232" s="22">
        <f>C212</f>
        <v>0</v>
      </c>
      <c r="P232" s="22">
        <f>D212</f>
        <v>1458333.3333333333</v>
      </c>
      <c r="Q232" s="22">
        <f>E212</f>
        <v>-29166.666666666668</v>
      </c>
      <c r="R232" s="22">
        <f>F212</f>
        <v>0</v>
      </c>
      <c r="S232" s="22">
        <f>G212</f>
        <v>2916666.6666666665</v>
      </c>
      <c r="T232" s="23">
        <v>0</v>
      </c>
      <c r="U232" s="23">
        <v>0</v>
      </c>
      <c r="V232" s="23">
        <v>0</v>
      </c>
      <c r="W232" s="23">
        <v>0</v>
      </c>
      <c r="X232" s="23">
        <v>0</v>
      </c>
      <c r="Y232" s="23">
        <v>0</v>
      </c>
      <c r="Z232" s="23">
        <v>0</v>
      </c>
      <c r="AA232" s="23">
        <v>0</v>
      </c>
      <c r="AB232" s="23">
        <v>0</v>
      </c>
      <c r="AC232" s="23">
        <v>0</v>
      </c>
      <c r="AD232" s="23">
        <v>0</v>
      </c>
      <c r="AE232" s="23">
        <v>0</v>
      </c>
      <c r="AF232" s="23">
        <v>0</v>
      </c>
      <c r="AG232" s="23">
        <v>0</v>
      </c>
      <c r="AH232" s="23">
        <v>0</v>
      </c>
      <c r="AI232" s="10" t="s">
        <v>53</v>
      </c>
    </row>
    <row r="233" spans="2:35" x14ac:dyDescent="0.25">
      <c r="B233" s="23">
        <v>0</v>
      </c>
      <c r="C233" s="23">
        <v>0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</v>
      </c>
      <c r="AA233" s="23">
        <v>0</v>
      </c>
      <c r="AB233" s="23">
        <v>0</v>
      </c>
      <c r="AC233" s="23">
        <v>0</v>
      </c>
      <c r="AD233" s="23">
        <v>0</v>
      </c>
      <c r="AE233" s="23">
        <v>0</v>
      </c>
      <c r="AF233" s="23">
        <v>0</v>
      </c>
      <c r="AG233" s="23">
        <v>0</v>
      </c>
      <c r="AH233" s="23">
        <v>0</v>
      </c>
      <c r="AI233" s="10" t="s">
        <v>54</v>
      </c>
    </row>
    <row r="234" spans="2:35" x14ac:dyDescent="0.25">
      <c r="B234" s="23">
        <v>0</v>
      </c>
      <c r="C234" s="23">
        <v>0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3">
        <v>0</v>
      </c>
      <c r="S234" s="23">
        <v>0</v>
      </c>
      <c r="T234" s="23">
        <v>0</v>
      </c>
      <c r="U234" s="23">
        <v>0</v>
      </c>
      <c r="V234" s="23">
        <v>0</v>
      </c>
      <c r="W234" s="23">
        <v>0</v>
      </c>
      <c r="X234" s="23">
        <v>0</v>
      </c>
      <c r="Y234" s="23">
        <v>0</v>
      </c>
      <c r="Z234" s="23">
        <v>0</v>
      </c>
      <c r="AA234" s="23">
        <v>0</v>
      </c>
      <c r="AB234" s="23">
        <v>0</v>
      </c>
      <c r="AC234" s="23">
        <v>0</v>
      </c>
      <c r="AD234" s="23">
        <v>0</v>
      </c>
      <c r="AE234" s="23">
        <v>0</v>
      </c>
      <c r="AF234" s="23">
        <v>0</v>
      </c>
      <c r="AG234" s="23">
        <v>0</v>
      </c>
      <c r="AH234" s="23">
        <v>0</v>
      </c>
      <c r="AI234" s="10" t="s">
        <v>55</v>
      </c>
    </row>
    <row r="235" spans="2:35" x14ac:dyDescent="0.25">
      <c r="B235" s="23">
        <v>0</v>
      </c>
      <c r="C235" s="23">
        <v>0</v>
      </c>
      <c r="D235" s="23">
        <v>0</v>
      </c>
      <c r="E235" s="23">
        <v>0</v>
      </c>
      <c r="F235" s="23">
        <v>0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23">
        <v>0</v>
      </c>
      <c r="AC235" s="23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10" t="s">
        <v>56</v>
      </c>
    </row>
    <row r="236" spans="2:35" x14ac:dyDescent="0.25">
      <c r="B236" s="23">
        <v>0</v>
      </c>
      <c r="C236" s="23">
        <v>0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  <c r="X236" s="23">
        <v>0</v>
      </c>
      <c r="Y236" s="23">
        <v>0</v>
      </c>
      <c r="Z236" s="23">
        <v>0</v>
      </c>
      <c r="AA236" s="23">
        <v>0</v>
      </c>
      <c r="AB236" s="23">
        <v>0</v>
      </c>
      <c r="AC236" s="23">
        <v>0</v>
      </c>
      <c r="AD236" s="23">
        <v>0</v>
      </c>
      <c r="AE236" s="23">
        <v>0</v>
      </c>
      <c r="AF236" s="23">
        <v>0</v>
      </c>
      <c r="AG236" s="23">
        <v>0</v>
      </c>
      <c r="AH236" s="23">
        <v>0</v>
      </c>
      <c r="AI236" s="10" t="s">
        <v>57</v>
      </c>
    </row>
    <row r="237" spans="2:35" x14ac:dyDescent="0.25">
      <c r="B237" s="23">
        <v>0</v>
      </c>
      <c r="C237" s="23">
        <v>0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23">
        <v>0</v>
      </c>
      <c r="X237" s="23">
        <v>0</v>
      </c>
      <c r="Y237" s="23">
        <v>0</v>
      </c>
      <c r="Z237" s="23">
        <v>0</v>
      </c>
      <c r="AA237" s="23">
        <v>0</v>
      </c>
      <c r="AB237" s="23">
        <v>0</v>
      </c>
      <c r="AC237" s="23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10" t="s">
        <v>58</v>
      </c>
    </row>
    <row r="238" spans="2:35" x14ac:dyDescent="0.25">
      <c r="B238" s="23">
        <v>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23">
        <v>0</v>
      </c>
      <c r="X238" s="23">
        <v>0</v>
      </c>
      <c r="Y238" s="23">
        <v>0</v>
      </c>
      <c r="Z238" s="23">
        <v>0</v>
      </c>
      <c r="AA238" s="23">
        <v>0</v>
      </c>
      <c r="AB238" s="23">
        <v>0</v>
      </c>
      <c r="AC238" s="23">
        <v>0</v>
      </c>
      <c r="AD238" s="23">
        <v>0</v>
      </c>
      <c r="AE238" s="23">
        <v>0</v>
      </c>
      <c r="AF238" s="23">
        <v>0</v>
      </c>
      <c r="AG238" s="23">
        <v>0</v>
      </c>
      <c r="AH238" s="23">
        <v>0</v>
      </c>
      <c r="AI238" s="10" t="s">
        <v>59</v>
      </c>
    </row>
    <row r="239" spans="2:35" x14ac:dyDescent="0.25">
      <c r="B239" s="23">
        <v>0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0</v>
      </c>
      <c r="W239" s="23">
        <v>0</v>
      </c>
      <c r="X239" s="23">
        <v>0</v>
      </c>
      <c r="Y239" s="23">
        <v>0</v>
      </c>
      <c r="Z239" s="23">
        <v>0</v>
      </c>
      <c r="AA239" s="23">
        <v>0</v>
      </c>
      <c r="AB239" s="23">
        <v>0</v>
      </c>
      <c r="AC239" s="23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10" t="s">
        <v>60</v>
      </c>
    </row>
    <row r="240" spans="2:35" x14ac:dyDescent="0.25">
      <c r="B240" s="23">
        <v>0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0</v>
      </c>
      <c r="W240" s="23">
        <v>0</v>
      </c>
      <c r="X240" s="23">
        <v>0</v>
      </c>
      <c r="Y240" s="23">
        <v>0</v>
      </c>
      <c r="Z240" s="23">
        <v>0</v>
      </c>
      <c r="AA240" s="23">
        <v>0</v>
      </c>
      <c r="AB240" s="23">
        <v>0</v>
      </c>
      <c r="AC240" s="23">
        <v>0</v>
      </c>
      <c r="AD240" s="23">
        <v>0</v>
      </c>
      <c r="AE240" s="23">
        <v>0</v>
      </c>
      <c r="AF240" s="23">
        <v>0</v>
      </c>
      <c r="AG240" s="23">
        <v>0</v>
      </c>
      <c r="AH240" s="23">
        <v>0</v>
      </c>
      <c r="AI240" s="10" t="s">
        <v>61</v>
      </c>
    </row>
    <row r="241" spans="2:35" x14ac:dyDescent="0.25">
      <c r="B241" s="23">
        <v>0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  <c r="X241" s="23">
        <v>0</v>
      </c>
      <c r="Y241" s="23">
        <v>0</v>
      </c>
      <c r="Z241" s="23">
        <v>0</v>
      </c>
      <c r="AA241" s="23">
        <v>0</v>
      </c>
      <c r="AB241" s="23">
        <v>0</v>
      </c>
      <c r="AC241" s="23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10" t="s">
        <v>62</v>
      </c>
    </row>
    <row r="242" spans="2:35" x14ac:dyDescent="0.25">
      <c r="B242" s="23">
        <v>0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  <c r="X242" s="23">
        <v>0</v>
      </c>
      <c r="Y242" s="23">
        <v>0</v>
      </c>
      <c r="Z242" s="23">
        <v>0</v>
      </c>
      <c r="AA242" s="23">
        <v>0</v>
      </c>
      <c r="AB242" s="23">
        <v>0</v>
      </c>
      <c r="AC242" s="23">
        <v>0</v>
      </c>
      <c r="AD242" s="23">
        <v>0</v>
      </c>
      <c r="AE242" s="23">
        <v>0</v>
      </c>
      <c r="AF242" s="23">
        <v>0</v>
      </c>
      <c r="AG242" s="23">
        <v>0</v>
      </c>
      <c r="AH242" s="23">
        <v>0</v>
      </c>
      <c r="AI242" s="10" t="s">
        <v>63</v>
      </c>
    </row>
    <row r="243" spans="2:35" x14ac:dyDescent="0.25">
      <c r="B243" s="23">
        <v>0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23">
        <v>0</v>
      </c>
      <c r="Y243" s="23">
        <v>0</v>
      </c>
      <c r="Z243" s="23">
        <v>0</v>
      </c>
      <c r="AA243" s="23">
        <v>0</v>
      </c>
      <c r="AB243" s="23">
        <v>0</v>
      </c>
      <c r="AC243" s="23">
        <v>0</v>
      </c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10" t="s">
        <v>64</v>
      </c>
    </row>
    <row r="244" spans="2:35" x14ac:dyDescent="0.25">
      <c r="B244" s="23">
        <v>0</v>
      </c>
      <c r="C244" s="23">
        <v>0</v>
      </c>
      <c r="D244" s="23">
        <v>0</v>
      </c>
      <c r="E244" s="23">
        <v>0</v>
      </c>
      <c r="F244" s="23">
        <v>0</v>
      </c>
      <c r="G244" s="23">
        <v>0</v>
      </c>
      <c r="H244" s="23">
        <v>0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23">
        <v>0</v>
      </c>
      <c r="AC244" s="23">
        <v>0</v>
      </c>
      <c r="AD244" s="23">
        <v>0</v>
      </c>
      <c r="AE244" s="23">
        <v>0</v>
      </c>
      <c r="AF244" s="23">
        <v>0</v>
      </c>
      <c r="AG244" s="23">
        <v>0</v>
      </c>
      <c r="AH244" s="23">
        <v>0</v>
      </c>
      <c r="AI244" s="10" t="s">
        <v>65</v>
      </c>
    </row>
    <row r="245" spans="2:35" x14ac:dyDescent="0.25">
      <c r="B245" s="23">
        <v>0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23">
        <v>0</v>
      </c>
      <c r="X245" s="23">
        <v>0</v>
      </c>
      <c r="Y245" s="23">
        <v>0</v>
      </c>
      <c r="Z245" s="23">
        <v>0</v>
      </c>
      <c r="AA245" s="23">
        <v>0</v>
      </c>
      <c r="AB245" s="23">
        <v>0</v>
      </c>
      <c r="AC245" s="23">
        <v>0</v>
      </c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10" t="s">
        <v>66</v>
      </c>
    </row>
    <row r="246" spans="2:35" x14ac:dyDescent="0.25">
      <c r="B246" s="23">
        <v>0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  <c r="U246" s="23">
        <v>0</v>
      </c>
      <c r="V246" s="23">
        <v>0</v>
      </c>
      <c r="W246" s="23">
        <v>0</v>
      </c>
      <c r="X246" s="23">
        <v>0</v>
      </c>
      <c r="Y246" s="23">
        <v>0</v>
      </c>
      <c r="Z246" s="23">
        <v>0</v>
      </c>
      <c r="AA246" s="23">
        <v>0</v>
      </c>
      <c r="AB246" s="23">
        <v>0</v>
      </c>
      <c r="AC246" s="23">
        <v>0</v>
      </c>
      <c r="AD246" s="23">
        <v>0</v>
      </c>
      <c r="AE246" s="23">
        <v>0</v>
      </c>
      <c r="AF246" s="23">
        <v>0</v>
      </c>
      <c r="AG246" s="23">
        <v>0</v>
      </c>
      <c r="AH246" s="23">
        <v>0</v>
      </c>
      <c r="AI246" s="10" t="s">
        <v>67</v>
      </c>
    </row>
    <row r="247" spans="2:35" x14ac:dyDescent="0.25">
      <c r="B247" s="23">
        <v>0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  <c r="X247" s="23">
        <v>0</v>
      </c>
      <c r="Y247" s="23">
        <v>0</v>
      </c>
      <c r="Z247" s="23">
        <v>0</v>
      </c>
      <c r="AA247" s="23">
        <v>0</v>
      </c>
      <c r="AB247" s="23">
        <v>0</v>
      </c>
      <c r="AC247" s="23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10" t="s">
        <v>68</v>
      </c>
    </row>
    <row r="249" spans="2:7" x14ac:dyDescent="0.25">
      <c r="B249" s="19" t="str">
        <f>IF(C27="","", CONCATENATE("U",C27,"X"))</f>
        <v/>
      </c>
      <c r="C249" s="19" t="str">
        <f>IF(D27="","", CONCATENATE("U",D27,"Y"))</f>
        <v/>
      </c>
      <c r="D249" s="19" t="str">
        <f>IF(E27="","", CONCATENATE("U",E27,"θ"))</f>
        <v/>
      </c>
      <c r="E249" s="19" t="str">
        <f>IF(F27="","", CONCATENATE("U",F27,"X"))</f>
        <v/>
      </c>
      <c r="F249" s="19" t="str">
        <f>IF(G27="","", CONCATENATE("U",G27,"Y"))</f>
        <v/>
      </c>
      <c r="G249" s="19" t="str">
        <f>IF(H27="","", CONCATENATE("U",H27,"θ"))</f>
        <v/>
      </c>
    </row>
    <row r="250" spans="2:8" x14ac:dyDescent="0.25">
      <c r="B250" s="12">
        <f>IF(I14="", 0, O14*J14*J14+P14*K14*K14)</f>
        <v>0</v>
      </c>
      <c r="C250" s="12">
        <f>IF(I14="", 0, (O14-P14)*(J14*K14))</f>
        <v>0</v>
      </c>
      <c r="D250" s="12">
        <f>IF(I14="", 0, -Q14*K14)</f>
        <v>0</v>
      </c>
      <c r="E250" s="12">
        <f>-B250</f>
        <v>0</v>
      </c>
      <c r="F250" s="12">
        <f>-C250</f>
        <v>0</v>
      </c>
      <c r="G250" s="12">
        <f>D250</f>
        <v>0</v>
      </c>
      <c r="H250" s="20">
        <f>B249</f>
      </c>
    </row>
    <row r="251" spans="2:8" x14ac:dyDescent="0.25">
      <c r="B251" s="12">
        <f>C250</f>
        <v>0</v>
      </c>
      <c r="C251" s="12">
        <f>IF(I14="", 0, O14*K14*K14+P14*J14*J14)</f>
        <v>0</v>
      </c>
      <c r="D251" s="12">
        <f>IF(I14="", 0, Q14*J14)</f>
        <v>0</v>
      </c>
      <c r="E251" s="12">
        <f>-B251</f>
        <v>0</v>
      </c>
      <c r="F251" s="12">
        <f>-C251</f>
        <v>0</v>
      </c>
      <c r="G251" s="12">
        <f>D251</f>
        <v>0</v>
      </c>
      <c r="H251" s="20">
        <f>C249</f>
      </c>
    </row>
    <row r="252" spans="1:8" x14ac:dyDescent="0.25">
      <c r="A252" s="21" t="s">
        <v>73</v>
      </c>
      <c r="B252" s="12">
        <f>D250</f>
        <v>0</v>
      </c>
      <c r="C252" s="12">
        <f>D251</f>
        <v>0</v>
      </c>
      <c r="D252" s="12">
        <f>IF(I14="", 0, R14)</f>
        <v>0</v>
      </c>
      <c r="E252" s="12">
        <f>-B252</f>
        <v>0</v>
      </c>
      <c r="F252" s="12">
        <f>-C252</f>
        <v>0</v>
      </c>
      <c r="G252" s="12">
        <f>IF(I14="", 0, S14)</f>
        <v>0</v>
      </c>
      <c r="H252" s="20">
        <f>D249</f>
      </c>
    </row>
    <row r="253" spans="2:8" x14ac:dyDescent="0.25">
      <c r="B253" s="12">
        <f>E250</f>
        <v>0</v>
      </c>
      <c r="C253" s="12">
        <f>E251</f>
        <v>0</v>
      </c>
      <c r="D253" s="12">
        <f>E252</f>
        <v>0</v>
      </c>
      <c r="E253" s="12">
        <f>B250</f>
        <v>0</v>
      </c>
      <c r="F253" s="12">
        <f>C250</f>
        <v>0</v>
      </c>
      <c r="G253" s="12">
        <f>-D250</f>
        <v>0</v>
      </c>
      <c r="H253" s="20">
        <f>E249</f>
      </c>
    </row>
    <row r="254" spans="2:8" x14ac:dyDescent="0.25">
      <c r="B254" s="12">
        <f>F250</f>
        <v>0</v>
      </c>
      <c r="C254" s="12">
        <f>F251</f>
        <v>0</v>
      </c>
      <c r="D254" s="12">
        <f>F252</f>
        <v>0</v>
      </c>
      <c r="E254" s="12">
        <f>F253</f>
        <v>0</v>
      </c>
      <c r="F254" s="12">
        <f>C251</f>
        <v>0</v>
      </c>
      <c r="G254" s="12">
        <f>-D251</f>
        <v>0</v>
      </c>
      <c r="H254" s="20">
        <f>F249</f>
      </c>
    </row>
    <row r="255" spans="2:8" x14ac:dyDescent="0.25">
      <c r="B255" s="12">
        <f>G250</f>
        <v>0</v>
      </c>
      <c r="C255" s="12">
        <f>G251</f>
        <v>0</v>
      </c>
      <c r="D255" s="12">
        <f>G252</f>
        <v>0</v>
      </c>
      <c r="E255" s="12">
        <f>G253</f>
        <v>0</v>
      </c>
      <c r="F255" s="12">
        <f>G254</f>
        <v>0</v>
      </c>
      <c r="G255" s="12">
        <f>D252</f>
        <v>0</v>
      </c>
      <c r="H255" s="20">
        <f>G249</f>
      </c>
    </row>
    <row r="257" spans="2:34" x14ac:dyDescent="0.25">
      <c r="B257" s="10" t="s">
        <v>36</v>
      </c>
      <c r="C257" s="10" t="s">
        <v>37</v>
      </c>
      <c r="D257" s="10" t="s">
        <v>38</v>
      </c>
      <c r="E257" s="10" t="s">
        <v>39</v>
      </c>
      <c r="F257" s="10" t="s">
        <v>40</v>
      </c>
      <c r="G257" s="10" t="s">
        <v>41</v>
      </c>
      <c r="H257" s="10" t="s">
        <v>42</v>
      </c>
      <c r="I257" s="10" t="s">
        <v>43</v>
      </c>
      <c r="J257" s="10" t="s">
        <v>44</v>
      </c>
      <c r="K257" s="10" t="s">
        <v>45</v>
      </c>
      <c r="L257" s="10" t="s">
        <v>46</v>
      </c>
      <c r="M257" s="10" t="s">
        <v>47</v>
      </c>
      <c r="N257" s="10" t="s">
        <v>48</v>
      </c>
      <c r="O257" s="10" t="s">
        <v>49</v>
      </c>
      <c r="P257" s="10" t="s">
        <v>50</v>
      </c>
      <c r="Q257" s="10" t="s">
        <v>51</v>
      </c>
      <c r="R257" s="10" t="s">
        <v>52</v>
      </c>
      <c r="S257" s="10" t="s">
        <v>53</v>
      </c>
      <c r="T257" s="10" t="s">
        <v>54</v>
      </c>
      <c r="U257" s="10" t="s">
        <v>55</v>
      </c>
      <c r="V257" s="10" t="s">
        <v>56</v>
      </c>
      <c r="W257" s="10" t="s">
        <v>57</v>
      </c>
      <c r="X257" s="10" t="s">
        <v>58</v>
      </c>
      <c r="Y257" s="10" t="s">
        <v>59</v>
      </c>
      <c r="Z257" s="10" t="s">
        <v>60</v>
      </c>
      <c r="AA257" s="10" t="s">
        <v>61</v>
      </c>
      <c r="AB257" s="10" t="s">
        <v>62</v>
      </c>
      <c r="AC257" s="10" t="s">
        <v>63</v>
      </c>
      <c r="AD257" s="10" t="s">
        <v>64</v>
      </c>
      <c r="AE257" s="10" t="s">
        <v>65</v>
      </c>
      <c r="AF257" s="10" t="s">
        <v>66</v>
      </c>
      <c r="AG257" s="10" t="s">
        <v>67</v>
      </c>
      <c r="AH257" s="10" t="s">
        <v>68</v>
      </c>
    </row>
    <row r="258" spans="2:35" x14ac:dyDescent="0.25">
      <c r="B258" s="23">
        <v>0</v>
      </c>
      <c r="C258" s="23">
        <v>0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23">
        <v>0</v>
      </c>
      <c r="X258" s="23">
        <v>0</v>
      </c>
      <c r="Y258" s="23">
        <v>0</v>
      </c>
      <c r="Z258" s="23">
        <v>0</v>
      </c>
      <c r="AA258" s="23">
        <v>0</v>
      </c>
      <c r="AB258" s="23">
        <v>0</v>
      </c>
      <c r="AC258" s="23">
        <v>0</v>
      </c>
      <c r="AD258" s="23">
        <v>0</v>
      </c>
      <c r="AE258" s="23">
        <v>0</v>
      </c>
      <c r="AF258" s="23">
        <v>0</v>
      </c>
      <c r="AG258" s="23">
        <v>0</v>
      </c>
      <c r="AH258" s="23">
        <v>0</v>
      </c>
      <c r="AI258" s="10" t="s">
        <v>36</v>
      </c>
    </row>
    <row r="259" spans="2:35" x14ac:dyDescent="0.25">
      <c r="B259" s="23">
        <v>0</v>
      </c>
      <c r="C259" s="23">
        <v>0</v>
      </c>
      <c r="D259" s="23">
        <v>0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  <c r="X259" s="23">
        <v>0</v>
      </c>
      <c r="Y259" s="23">
        <v>0</v>
      </c>
      <c r="Z259" s="23">
        <v>0</v>
      </c>
      <c r="AA259" s="23">
        <v>0</v>
      </c>
      <c r="AB259" s="23">
        <v>0</v>
      </c>
      <c r="AC259" s="23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10" t="s">
        <v>37</v>
      </c>
    </row>
    <row r="260" spans="2:35" x14ac:dyDescent="0.25">
      <c r="B260" s="23">
        <v>0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23">
        <v>0</v>
      </c>
      <c r="X260" s="23">
        <v>0</v>
      </c>
      <c r="Y260" s="23">
        <v>0</v>
      </c>
      <c r="Z260" s="23">
        <v>0</v>
      </c>
      <c r="AA260" s="23">
        <v>0</v>
      </c>
      <c r="AB260" s="23">
        <v>0</v>
      </c>
      <c r="AC260" s="23">
        <v>0</v>
      </c>
      <c r="AD260" s="23">
        <v>0</v>
      </c>
      <c r="AE260" s="23">
        <v>0</v>
      </c>
      <c r="AF260" s="23">
        <v>0</v>
      </c>
      <c r="AG260" s="23">
        <v>0</v>
      </c>
      <c r="AH260" s="23">
        <v>0</v>
      </c>
      <c r="AI260" s="10" t="s">
        <v>38</v>
      </c>
    </row>
    <row r="261" spans="2:35" x14ac:dyDescent="0.25">
      <c r="B261" s="23">
        <v>0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  <c r="U261" s="23">
        <v>0</v>
      </c>
      <c r="V261" s="23">
        <v>0</v>
      </c>
      <c r="W261" s="23">
        <v>0</v>
      </c>
      <c r="X261" s="23">
        <v>0</v>
      </c>
      <c r="Y261" s="23">
        <v>0</v>
      </c>
      <c r="Z261" s="23">
        <v>0</v>
      </c>
      <c r="AA261" s="23">
        <v>0</v>
      </c>
      <c r="AB261" s="23">
        <v>0</v>
      </c>
      <c r="AC261" s="23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10" t="s">
        <v>39</v>
      </c>
    </row>
    <row r="262" spans="2:35" x14ac:dyDescent="0.25">
      <c r="B262" s="23">
        <v>0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  <c r="X262" s="23">
        <v>0</v>
      </c>
      <c r="Y262" s="23">
        <v>0</v>
      </c>
      <c r="Z262" s="23">
        <v>0</v>
      </c>
      <c r="AA262" s="23">
        <v>0</v>
      </c>
      <c r="AB262" s="23">
        <v>0</v>
      </c>
      <c r="AC262" s="23">
        <v>0</v>
      </c>
      <c r="AD262" s="23">
        <v>0</v>
      </c>
      <c r="AE262" s="23">
        <v>0</v>
      </c>
      <c r="AF262" s="23">
        <v>0</v>
      </c>
      <c r="AG262" s="23">
        <v>0</v>
      </c>
      <c r="AH262" s="23">
        <v>0</v>
      </c>
      <c r="AI262" s="10" t="s">
        <v>40</v>
      </c>
    </row>
    <row r="263" spans="2:35" x14ac:dyDescent="0.25">
      <c r="B263" s="23">
        <v>0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0</v>
      </c>
      <c r="V263" s="23">
        <v>0</v>
      </c>
      <c r="W263" s="23">
        <v>0</v>
      </c>
      <c r="X263" s="23">
        <v>0</v>
      </c>
      <c r="Y263" s="23">
        <v>0</v>
      </c>
      <c r="Z263" s="23">
        <v>0</v>
      </c>
      <c r="AA263" s="23">
        <v>0</v>
      </c>
      <c r="AB263" s="23">
        <v>0</v>
      </c>
      <c r="AC263" s="23">
        <v>0</v>
      </c>
      <c r="AD263" s="23">
        <v>0</v>
      </c>
      <c r="AE263" s="23">
        <v>0</v>
      </c>
      <c r="AF263" s="23">
        <v>0</v>
      </c>
      <c r="AG263" s="23">
        <v>0</v>
      </c>
      <c r="AH263" s="23">
        <v>0</v>
      </c>
      <c r="AI263" s="10" t="s">
        <v>41</v>
      </c>
    </row>
    <row r="264" spans="2:35" x14ac:dyDescent="0.25">
      <c r="B264" s="23">
        <v>0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0</v>
      </c>
      <c r="W264" s="23">
        <v>0</v>
      </c>
      <c r="X264" s="23">
        <v>0</v>
      </c>
      <c r="Y264" s="23">
        <v>0</v>
      </c>
      <c r="Z264" s="23">
        <v>0</v>
      </c>
      <c r="AA264" s="23">
        <v>0</v>
      </c>
      <c r="AB264" s="23">
        <v>0</v>
      </c>
      <c r="AC264" s="23">
        <v>0</v>
      </c>
      <c r="AD264" s="23">
        <v>0</v>
      </c>
      <c r="AE264" s="23">
        <v>0</v>
      </c>
      <c r="AF264" s="23">
        <v>0</v>
      </c>
      <c r="AG264" s="23">
        <v>0</v>
      </c>
      <c r="AH264" s="23">
        <v>0</v>
      </c>
      <c r="AI264" s="10" t="s">
        <v>42</v>
      </c>
    </row>
    <row r="265" spans="2:35" x14ac:dyDescent="0.25">
      <c r="B265" s="23">
        <v>0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>
        <v>0</v>
      </c>
      <c r="AA265" s="23">
        <v>0</v>
      </c>
      <c r="AB265" s="23">
        <v>0</v>
      </c>
      <c r="AC265" s="23">
        <v>0</v>
      </c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10" t="s">
        <v>43</v>
      </c>
    </row>
    <row r="266" spans="2:35" x14ac:dyDescent="0.25">
      <c r="B266" s="23">
        <v>0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v>0</v>
      </c>
      <c r="X266" s="23">
        <v>0</v>
      </c>
      <c r="Y266" s="23">
        <v>0</v>
      </c>
      <c r="Z266" s="23">
        <v>0</v>
      </c>
      <c r="AA266" s="23">
        <v>0</v>
      </c>
      <c r="AB266" s="23">
        <v>0</v>
      </c>
      <c r="AC266" s="23">
        <v>0</v>
      </c>
      <c r="AD266" s="23">
        <v>0</v>
      </c>
      <c r="AE266" s="23">
        <v>0</v>
      </c>
      <c r="AF266" s="23">
        <v>0</v>
      </c>
      <c r="AG266" s="23">
        <v>0</v>
      </c>
      <c r="AH266" s="23">
        <v>0</v>
      </c>
      <c r="AI266" s="10" t="s">
        <v>44</v>
      </c>
    </row>
    <row r="267" spans="2:35" x14ac:dyDescent="0.25">
      <c r="B267" s="23">
        <v>0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23">
        <v>0</v>
      </c>
      <c r="X267" s="23">
        <v>0</v>
      </c>
      <c r="Y267" s="23">
        <v>0</v>
      </c>
      <c r="Z267" s="23">
        <v>0</v>
      </c>
      <c r="AA267" s="23">
        <v>0</v>
      </c>
      <c r="AB267" s="23">
        <v>0</v>
      </c>
      <c r="AC267" s="23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10" t="s">
        <v>45</v>
      </c>
    </row>
    <row r="268" spans="2:35" x14ac:dyDescent="0.25">
      <c r="B268" s="23">
        <v>0</v>
      </c>
      <c r="C268" s="23">
        <v>0</v>
      </c>
      <c r="D268" s="23">
        <v>0</v>
      </c>
      <c r="E268" s="23">
        <v>0</v>
      </c>
      <c r="F268" s="23">
        <v>0</v>
      </c>
      <c r="G268" s="23">
        <v>0</v>
      </c>
      <c r="H268" s="23">
        <v>0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v>0</v>
      </c>
      <c r="X268" s="23">
        <v>0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10" t="s">
        <v>46</v>
      </c>
    </row>
    <row r="269" spans="2:35" x14ac:dyDescent="0.25">
      <c r="B269" s="23">
        <v>0</v>
      </c>
      <c r="C269" s="23">
        <v>0</v>
      </c>
      <c r="D269" s="23">
        <v>0</v>
      </c>
      <c r="E269" s="23">
        <v>0</v>
      </c>
      <c r="F269" s="23">
        <v>0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0</v>
      </c>
      <c r="W269" s="23">
        <v>0</v>
      </c>
      <c r="X269" s="23">
        <v>0</v>
      </c>
      <c r="Y269" s="23">
        <v>0</v>
      </c>
      <c r="Z269" s="23">
        <v>0</v>
      </c>
      <c r="AA269" s="23">
        <v>0</v>
      </c>
      <c r="AB269" s="23">
        <v>0</v>
      </c>
      <c r="AC269" s="23">
        <v>0</v>
      </c>
      <c r="AD269" s="23">
        <v>0</v>
      </c>
      <c r="AE269" s="23">
        <v>0</v>
      </c>
      <c r="AF269" s="23">
        <v>0</v>
      </c>
      <c r="AG269" s="23">
        <v>0</v>
      </c>
      <c r="AH269" s="23">
        <v>0</v>
      </c>
      <c r="AI269" s="10" t="s">
        <v>47</v>
      </c>
    </row>
    <row r="270" spans="2:35" x14ac:dyDescent="0.25">
      <c r="B270" s="23">
        <v>0</v>
      </c>
      <c r="C270" s="23">
        <v>0</v>
      </c>
      <c r="D270" s="23">
        <v>0</v>
      </c>
      <c r="E270" s="23">
        <v>0</v>
      </c>
      <c r="F270" s="23">
        <v>0</v>
      </c>
      <c r="G270" s="23">
        <v>0</v>
      </c>
      <c r="H270" s="23">
        <v>0</v>
      </c>
      <c r="I270" s="23">
        <v>0</v>
      </c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0</v>
      </c>
      <c r="V270" s="23">
        <v>0</v>
      </c>
      <c r="W270" s="23">
        <v>0</v>
      </c>
      <c r="X270" s="23">
        <v>0</v>
      </c>
      <c r="Y270" s="23">
        <v>0</v>
      </c>
      <c r="Z270" s="23">
        <v>0</v>
      </c>
      <c r="AA270" s="23">
        <v>0</v>
      </c>
      <c r="AB270" s="23">
        <v>0</v>
      </c>
      <c r="AC270" s="23">
        <v>0</v>
      </c>
      <c r="AD270" s="23">
        <v>0</v>
      </c>
      <c r="AE270" s="23">
        <v>0</v>
      </c>
      <c r="AF270" s="23">
        <v>0</v>
      </c>
      <c r="AG270" s="23">
        <v>0</v>
      </c>
      <c r="AH270" s="23">
        <v>0</v>
      </c>
      <c r="AI270" s="10" t="s">
        <v>48</v>
      </c>
    </row>
    <row r="271" spans="2:35" x14ac:dyDescent="0.25">
      <c r="B271" s="23">
        <v>0</v>
      </c>
      <c r="C271" s="23">
        <v>0</v>
      </c>
      <c r="D271" s="23">
        <v>0</v>
      </c>
      <c r="E271" s="23">
        <v>0</v>
      </c>
      <c r="F271" s="23">
        <v>0</v>
      </c>
      <c r="G271" s="23">
        <v>0</v>
      </c>
      <c r="H271" s="23">
        <v>0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  <c r="Z271" s="23">
        <v>0</v>
      </c>
      <c r="AA271" s="23">
        <v>0</v>
      </c>
      <c r="AB271" s="23">
        <v>0</v>
      </c>
      <c r="AC271" s="23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10" t="s">
        <v>49</v>
      </c>
    </row>
    <row r="272" spans="2:35" x14ac:dyDescent="0.25">
      <c r="B272" s="23">
        <v>0</v>
      </c>
      <c r="C272" s="23">
        <v>0</v>
      </c>
      <c r="D272" s="23">
        <v>0</v>
      </c>
      <c r="E272" s="23">
        <v>0</v>
      </c>
      <c r="F272" s="23">
        <v>0</v>
      </c>
      <c r="G272" s="23">
        <v>0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v>0</v>
      </c>
      <c r="X272" s="23">
        <v>0</v>
      </c>
      <c r="Y272" s="23">
        <v>0</v>
      </c>
      <c r="Z272" s="23">
        <v>0</v>
      </c>
      <c r="AA272" s="23">
        <v>0</v>
      </c>
      <c r="AB272" s="23">
        <v>0</v>
      </c>
      <c r="AC272" s="23">
        <v>0</v>
      </c>
      <c r="AD272" s="23">
        <v>0</v>
      </c>
      <c r="AE272" s="23">
        <v>0</v>
      </c>
      <c r="AF272" s="23">
        <v>0</v>
      </c>
      <c r="AG272" s="23">
        <v>0</v>
      </c>
      <c r="AH272" s="23">
        <v>0</v>
      </c>
      <c r="AI272" s="10" t="s">
        <v>50</v>
      </c>
    </row>
    <row r="273" spans="2:35" x14ac:dyDescent="0.25">
      <c r="B273" s="23">
        <v>0</v>
      </c>
      <c r="C273" s="23">
        <v>0</v>
      </c>
      <c r="D273" s="23">
        <v>0</v>
      </c>
      <c r="E273" s="23">
        <v>0</v>
      </c>
      <c r="F273" s="23">
        <v>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0</v>
      </c>
      <c r="V273" s="23">
        <v>0</v>
      </c>
      <c r="W273" s="23">
        <v>0</v>
      </c>
      <c r="X273" s="23">
        <v>0</v>
      </c>
      <c r="Y273" s="23">
        <v>0</v>
      </c>
      <c r="Z273" s="23">
        <v>0</v>
      </c>
      <c r="AA273" s="23">
        <v>0</v>
      </c>
      <c r="AB273" s="23">
        <v>0</v>
      </c>
      <c r="AC273" s="23">
        <v>0</v>
      </c>
      <c r="AD273" s="23">
        <v>0</v>
      </c>
      <c r="AE273" s="23">
        <v>0</v>
      </c>
      <c r="AF273" s="23">
        <v>0</v>
      </c>
      <c r="AG273" s="23">
        <v>0</v>
      </c>
      <c r="AH273" s="23">
        <v>0</v>
      </c>
      <c r="AI273" s="10" t="s">
        <v>51</v>
      </c>
    </row>
    <row r="274" spans="2:35" x14ac:dyDescent="0.25">
      <c r="B274" s="23">
        <v>0</v>
      </c>
      <c r="C274" s="23">
        <v>0</v>
      </c>
      <c r="D274" s="23">
        <v>0</v>
      </c>
      <c r="E274" s="23">
        <v>0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23">
        <v>0</v>
      </c>
      <c r="Y274" s="23">
        <v>0</v>
      </c>
      <c r="Z274" s="23">
        <v>0</v>
      </c>
      <c r="AA274" s="23">
        <v>0</v>
      </c>
      <c r="AB274" s="23">
        <v>0</v>
      </c>
      <c r="AC274" s="23">
        <v>0</v>
      </c>
      <c r="AD274" s="23">
        <v>0</v>
      </c>
      <c r="AE274" s="23">
        <v>0</v>
      </c>
      <c r="AF274" s="23">
        <v>0</v>
      </c>
      <c r="AG274" s="23">
        <v>0</v>
      </c>
      <c r="AH274" s="23">
        <v>0</v>
      </c>
      <c r="AI274" s="10" t="s">
        <v>52</v>
      </c>
    </row>
    <row r="275" spans="2:35" x14ac:dyDescent="0.25">
      <c r="B275" s="23">
        <v>0</v>
      </c>
      <c r="C275" s="23">
        <v>0</v>
      </c>
      <c r="D275" s="23">
        <v>0</v>
      </c>
      <c r="E275" s="23">
        <v>0</v>
      </c>
      <c r="F275" s="23">
        <v>0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0</v>
      </c>
      <c r="X275" s="23">
        <v>0</v>
      </c>
      <c r="Y275" s="23">
        <v>0</v>
      </c>
      <c r="Z275" s="23">
        <v>0</v>
      </c>
      <c r="AA275" s="23">
        <v>0</v>
      </c>
      <c r="AB275" s="23">
        <v>0</v>
      </c>
      <c r="AC275" s="23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10" t="s">
        <v>53</v>
      </c>
    </row>
    <row r="276" spans="2:35" x14ac:dyDescent="0.25"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23">
        <v>0</v>
      </c>
      <c r="Y276" s="23">
        <v>0</v>
      </c>
      <c r="Z276" s="23">
        <v>0</v>
      </c>
      <c r="AA276" s="23">
        <v>0</v>
      </c>
      <c r="AB276" s="23">
        <v>0</v>
      </c>
      <c r="AC276" s="23">
        <v>0</v>
      </c>
      <c r="AD276" s="23">
        <v>0</v>
      </c>
      <c r="AE276" s="23">
        <v>0</v>
      </c>
      <c r="AF276" s="23">
        <v>0</v>
      </c>
      <c r="AG276" s="23">
        <v>0</v>
      </c>
      <c r="AH276" s="23">
        <v>0</v>
      </c>
      <c r="AI276" s="10" t="s">
        <v>54</v>
      </c>
    </row>
    <row r="277" spans="2:35" x14ac:dyDescent="0.25">
      <c r="B277" s="23">
        <v>0</v>
      </c>
      <c r="C277" s="23">
        <v>0</v>
      </c>
      <c r="D277" s="23">
        <v>0</v>
      </c>
      <c r="E277" s="23">
        <v>0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  <c r="X277" s="23">
        <v>0</v>
      </c>
      <c r="Y277" s="23">
        <v>0</v>
      </c>
      <c r="Z277" s="23">
        <v>0</v>
      </c>
      <c r="AA277" s="23">
        <v>0</v>
      </c>
      <c r="AB277" s="23">
        <v>0</v>
      </c>
      <c r="AC277" s="23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10" t="s">
        <v>55</v>
      </c>
    </row>
    <row r="278" spans="2:35" x14ac:dyDescent="0.25">
      <c r="B278" s="23">
        <v>0</v>
      </c>
      <c r="C278" s="23">
        <v>0</v>
      </c>
      <c r="D278" s="23">
        <v>0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v>0</v>
      </c>
      <c r="X278" s="23">
        <v>0</v>
      </c>
      <c r="Y278" s="23">
        <v>0</v>
      </c>
      <c r="Z278" s="23">
        <v>0</v>
      </c>
      <c r="AA278" s="23">
        <v>0</v>
      </c>
      <c r="AB278" s="23">
        <v>0</v>
      </c>
      <c r="AC278" s="23">
        <v>0</v>
      </c>
      <c r="AD278" s="23">
        <v>0</v>
      </c>
      <c r="AE278" s="23">
        <v>0</v>
      </c>
      <c r="AF278" s="23">
        <v>0</v>
      </c>
      <c r="AG278" s="23">
        <v>0</v>
      </c>
      <c r="AH278" s="23">
        <v>0</v>
      </c>
      <c r="AI278" s="10" t="s">
        <v>56</v>
      </c>
    </row>
    <row r="279" spans="2:35" x14ac:dyDescent="0.25">
      <c r="B279" s="23">
        <v>0</v>
      </c>
      <c r="C279" s="23">
        <v>0</v>
      </c>
      <c r="D279" s="23">
        <v>0</v>
      </c>
      <c r="E279" s="23">
        <v>0</v>
      </c>
      <c r="F279" s="23">
        <v>0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23">
        <v>0</v>
      </c>
      <c r="Y279" s="23">
        <v>0</v>
      </c>
      <c r="Z279" s="23">
        <v>0</v>
      </c>
      <c r="AA279" s="23">
        <v>0</v>
      </c>
      <c r="AB279" s="23">
        <v>0</v>
      </c>
      <c r="AC279" s="23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10" t="s">
        <v>57</v>
      </c>
    </row>
    <row r="280" spans="2:35" x14ac:dyDescent="0.25">
      <c r="B280" s="23">
        <v>0</v>
      </c>
      <c r="C280" s="23">
        <v>0</v>
      </c>
      <c r="D280" s="23">
        <v>0</v>
      </c>
      <c r="E280" s="23">
        <v>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3">
        <v>0</v>
      </c>
      <c r="AE280" s="23">
        <v>0</v>
      </c>
      <c r="AF280" s="23">
        <v>0</v>
      </c>
      <c r="AG280" s="23">
        <v>0</v>
      </c>
      <c r="AH280" s="23">
        <v>0</v>
      </c>
      <c r="AI280" s="10" t="s">
        <v>58</v>
      </c>
    </row>
    <row r="281" spans="2:35" x14ac:dyDescent="0.25">
      <c r="B281" s="23">
        <v>0</v>
      </c>
      <c r="C281" s="23">
        <v>0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v>0</v>
      </c>
      <c r="X281" s="23">
        <v>0</v>
      </c>
      <c r="Y281" s="23">
        <v>0</v>
      </c>
      <c r="Z281" s="23">
        <v>0</v>
      </c>
      <c r="AA281" s="23">
        <v>0</v>
      </c>
      <c r="AB281" s="23">
        <v>0</v>
      </c>
      <c r="AC281" s="23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10" t="s">
        <v>59</v>
      </c>
    </row>
    <row r="282" spans="2:35" x14ac:dyDescent="0.25"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v>0</v>
      </c>
      <c r="X282" s="23">
        <v>0</v>
      </c>
      <c r="Y282" s="23">
        <v>0</v>
      </c>
      <c r="Z282" s="23">
        <v>0</v>
      </c>
      <c r="AA282" s="23">
        <v>0</v>
      </c>
      <c r="AB282" s="23">
        <v>0</v>
      </c>
      <c r="AC282" s="23">
        <v>0</v>
      </c>
      <c r="AD282" s="23">
        <v>0</v>
      </c>
      <c r="AE282" s="23">
        <v>0</v>
      </c>
      <c r="AF282" s="23">
        <v>0</v>
      </c>
      <c r="AG282" s="23">
        <v>0</v>
      </c>
      <c r="AH282" s="23">
        <v>0</v>
      </c>
      <c r="AI282" s="10" t="s">
        <v>60</v>
      </c>
    </row>
    <row r="283" spans="2:35" x14ac:dyDescent="0.25">
      <c r="B283" s="23">
        <v>0</v>
      </c>
      <c r="C283" s="23">
        <v>0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23">
        <v>0</v>
      </c>
      <c r="AC283" s="23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10" t="s">
        <v>61</v>
      </c>
    </row>
    <row r="284" spans="2:35" x14ac:dyDescent="0.25">
      <c r="B284" s="23">
        <v>0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0</v>
      </c>
      <c r="U284" s="23">
        <v>0</v>
      </c>
      <c r="V284" s="23">
        <v>0</v>
      </c>
      <c r="W284" s="23">
        <v>0</v>
      </c>
      <c r="X284" s="23">
        <v>0</v>
      </c>
      <c r="Y284" s="23">
        <v>0</v>
      </c>
      <c r="Z284" s="23">
        <v>0</v>
      </c>
      <c r="AA284" s="23">
        <v>0</v>
      </c>
      <c r="AB284" s="23">
        <v>0</v>
      </c>
      <c r="AC284" s="23">
        <v>0</v>
      </c>
      <c r="AD284" s="23">
        <v>0</v>
      </c>
      <c r="AE284" s="23">
        <v>0</v>
      </c>
      <c r="AF284" s="23">
        <v>0</v>
      </c>
      <c r="AG284" s="23">
        <v>0</v>
      </c>
      <c r="AH284" s="23">
        <v>0</v>
      </c>
      <c r="AI284" s="10" t="s">
        <v>62</v>
      </c>
    </row>
    <row r="285" spans="2:35" x14ac:dyDescent="0.25">
      <c r="B285" s="23">
        <v>0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>
        <v>0</v>
      </c>
      <c r="AA285" s="23">
        <v>0</v>
      </c>
      <c r="AB285" s="23">
        <v>0</v>
      </c>
      <c r="AC285" s="23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0</v>
      </c>
      <c r="AI285" s="10" t="s">
        <v>63</v>
      </c>
    </row>
    <row r="286" spans="2:35" x14ac:dyDescent="0.25">
      <c r="B286" s="23">
        <v>0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v>0</v>
      </c>
      <c r="X286" s="23">
        <v>0</v>
      </c>
      <c r="Y286" s="23">
        <v>0</v>
      </c>
      <c r="Z286" s="23">
        <v>0</v>
      </c>
      <c r="AA286" s="23">
        <v>0</v>
      </c>
      <c r="AB286" s="23">
        <v>0</v>
      </c>
      <c r="AC286" s="23">
        <v>0</v>
      </c>
      <c r="AD286" s="23">
        <v>0</v>
      </c>
      <c r="AE286" s="23">
        <v>0</v>
      </c>
      <c r="AF286" s="23">
        <v>0</v>
      </c>
      <c r="AG286" s="23">
        <v>0</v>
      </c>
      <c r="AH286" s="23">
        <v>0</v>
      </c>
      <c r="AI286" s="10" t="s">
        <v>64</v>
      </c>
    </row>
    <row r="287" spans="2:35" x14ac:dyDescent="0.25">
      <c r="B287" s="23">
        <v>0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0</v>
      </c>
      <c r="W287" s="23">
        <v>0</v>
      </c>
      <c r="X287" s="23">
        <v>0</v>
      </c>
      <c r="Y287" s="23">
        <v>0</v>
      </c>
      <c r="Z287" s="23">
        <v>0</v>
      </c>
      <c r="AA287" s="23">
        <v>0</v>
      </c>
      <c r="AB287" s="23">
        <v>0</v>
      </c>
      <c r="AC287" s="23">
        <v>0</v>
      </c>
      <c r="AD287" s="23">
        <v>0</v>
      </c>
      <c r="AE287" s="23">
        <v>0</v>
      </c>
      <c r="AF287" s="23">
        <v>0</v>
      </c>
      <c r="AG287" s="23">
        <v>0</v>
      </c>
      <c r="AH287" s="23">
        <v>0</v>
      </c>
      <c r="AI287" s="10" t="s">
        <v>65</v>
      </c>
    </row>
    <row r="288" spans="2:35" x14ac:dyDescent="0.25">
      <c r="B288" s="23">
        <v>0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0</v>
      </c>
      <c r="W288" s="23">
        <v>0</v>
      </c>
      <c r="X288" s="23">
        <v>0</v>
      </c>
      <c r="Y288" s="23">
        <v>0</v>
      </c>
      <c r="Z288" s="23">
        <v>0</v>
      </c>
      <c r="AA288" s="23">
        <v>0</v>
      </c>
      <c r="AB288" s="23">
        <v>0</v>
      </c>
      <c r="AC288" s="23">
        <v>0</v>
      </c>
      <c r="AD288" s="23">
        <v>0</v>
      </c>
      <c r="AE288" s="23">
        <v>0</v>
      </c>
      <c r="AF288" s="23">
        <v>0</v>
      </c>
      <c r="AG288" s="23">
        <v>0</v>
      </c>
      <c r="AH288" s="23">
        <v>0</v>
      </c>
      <c r="AI288" s="10" t="s">
        <v>66</v>
      </c>
    </row>
    <row r="289" spans="2:35" x14ac:dyDescent="0.25">
      <c r="B289" s="23">
        <v>0</v>
      </c>
      <c r="C289" s="23">
        <v>0</v>
      </c>
      <c r="D289" s="23">
        <v>0</v>
      </c>
      <c r="E289" s="23">
        <v>0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  <c r="AA289" s="23">
        <v>0</v>
      </c>
      <c r="AB289" s="23">
        <v>0</v>
      </c>
      <c r="AC289" s="23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10" t="s">
        <v>67</v>
      </c>
    </row>
    <row r="290" spans="2:35" x14ac:dyDescent="0.25">
      <c r="B290" s="23">
        <v>0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3">
        <v>0</v>
      </c>
      <c r="T290" s="23">
        <v>0</v>
      </c>
      <c r="U290" s="23">
        <v>0</v>
      </c>
      <c r="V290" s="23">
        <v>0</v>
      </c>
      <c r="W290" s="23">
        <v>0</v>
      </c>
      <c r="X290" s="23">
        <v>0</v>
      </c>
      <c r="Y290" s="23">
        <v>0</v>
      </c>
      <c r="Z290" s="23">
        <v>0</v>
      </c>
      <c r="AA290" s="23">
        <v>0</v>
      </c>
      <c r="AB290" s="23">
        <v>0</v>
      </c>
      <c r="AC290" s="23">
        <v>0</v>
      </c>
      <c r="AD290" s="23">
        <v>0</v>
      </c>
      <c r="AE290" s="23">
        <v>0</v>
      </c>
      <c r="AF290" s="23">
        <v>0</v>
      </c>
      <c r="AG290" s="23">
        <v>0</v>
      </c>
      <c r="AH290" s="23">
        <v>0</v>
      </c>
      <c r="AI290" s="10" t="s">
        <v>68</v>
      </c>
    </row>
    <row r="292" spans="2:7" x14ac:dyDescent="0.25">
      <c r="B292" s="19" t="str">
        <f>IF(C28="","", CONCATENATE("U",C28,"X"))</f>
        <v/>
      </c>
      <c r="C292" s="19" t="str">
        <f>IF(D28="","", CONCATENATE("U",D28,"Y"))</f>
        <v/>
      </c>
      <c r="D292" s="19" t="str">
        <f>IF(E28="","", CONCATENATE("U",E28,"θ"))</f>
        <v/>
      </c>
      <c r="E292" s="19" t="str">
        <f>IF(F28="","", CONCATENATE("U",F28,"X"))</f>
        <v/>
      </c>
      <c r="F292" s="19" t="str">
        <f>IF(G28="","", CONCATENATE("U",G28,"Y"))</f>
        <v/>
      </c>
      <c r="G292" s="19" t="str">
        <f>IF(H28="","", CONCATENATE("U",H28,"θ"))</f>
        <v/>
      </c>
    </row>
    <row r="293" spans="2:8" x14ac:dyDescent="0.25">
      <c r="B293" s="12">
        <f>IF(I15="", 0, O15*J15*J15+P15*K15*K15)</f>
        <v>0</v>
      </c>
      <c r="C293" s="12">
        <f>IF(I15="", 0, (O15-P15)*(J15*K15))</f>
        <v>0</v>
      </c>
      <c r="D293" s="12">
        <f>IF(I15="", 0, -Q15*K15)</f>
        <v>0</v>
      </c>
      <c r="E293" s="12">
        <f>-B293</f>
        <v>0</v>
      </c>
      <c r="F293" s="12">
        <f>-C293</f>
        <v>0</v>
      </c>
      <c r="G293" s="12">
        <f>D293</f>
        <v>0</v>
      </c>
      <c r="H293" s="20">
        <f>B292</f>
      </c>
    </row>
    <row r="294" spans="2:8" x14ac:dyDescent="0.25">
      <c r="B294" s="12">
        <f>C293</f>
        <v>0</v>
      </c>
      <c r="C294" s="12">
        <f>IF(I15="", 0, O15*K15*K15+P15*J15*J15)</f>
        <v>0</v>
      </c>
      <c r="D294" s="12">
        <f>IF(I15="", 0, Q15*J15)</f>
        <v>0</v>
      </c>
      <c r="E294" s="12">
        <f>-B294</f>
        <v>0</v>
      </c>
      <c r="F294" s="12">
        <f>-C294</f>
        <v>0</v>
      </c>
      <c r="G294" s="12">
        <f>D294</f>
        <v>0</v>
      </c>
      <c r="H294" s="20">
        <f>C292</f>
      </c>
    </row>
    <row r="295" spans="1:8" x14ac:dyDescent="0.25">
      <c r="A295" s="21" t="s">
        <v>74</v>
      </c>
      <c r="B295" s="12">
        <f>D293</f>
        <v>0</v>
      </c>
      <c r="C295" s="12">
        <f>D294</f>
        <v>0</v>
      </c>
      <c r="D295" s="12">
        <f>IF(I15="", 0, R15)</f>
        <v>0</v>
      </c>
      <c r="E295" s="12">
        <f>-B295</f>
        <v>0</v>
      </c>
      <c r="F295" s="12">
        <f>-C295</f>
        <v>0</v>
      </c>
      <c r="G295" s="12">
        <f>IF(I15="", 0, S15)</f>
        <v>0</v>
      </c>
      <c r="H295" s="20">
        <f>D292</f>
      </c>
    </row>
    <row r="296" spans="2:8" x14ac:dyDescent="0.25">
      <c r="B296" s="12">
        <f>E293</f>
        <v>0</v>
      </c>
      <c r="C296" s="12">
        <f>E294</f>
        <v>0</v>
      </c>
      <c r="D296" s="12">
        <f>E295</f>
        <v>0</v>
      </c>
      <c r="E296" s="12">
        <f>B293</f>
        <v>0</v>
      </c>
      <c r="F296" s="12">
        <f>C293</f>
        <v>0</v>
      </c>
      <c r="G296" s="12">
        <f>-D293</f>
        <v>0</v>
      </c>
      <c r="H296" s="20">
        <f>E292</f>
      </c>
    </row>
    <row r="297" spans="2:8" x14ac:dyDescent="0.25">
      <c r="B297" s="12">
        <f>F293</f>
        <v>0</v>
      </c>
      <c r="C297" s="12">
        <f>F294</f>
        <v>0</v>
      </c>
      <c r="D297" s="12">
        <f>F295</f>
        <v>0</v>
      </c>
      <c r="E297" s="12">
        <f>F296</f>
        <v>0</v>
      </c>
      <c r="F297" s="12">
        <f>C294</f>
        <v>0</v>
      </c>
      <c r="G297" s="12">
        <f>-D294</f>
        <v>0</v>
      </c>
      <c r="H297" s="20">
        <f>F292</f>
      </c>
    </row>
    <row r="298" spans="2:8" x14ac:dyDescent="0.25">
      <c r="B298" s="12">
        <f>G293</f>
        <v>0</v>
      </c>
      <c r="C298" s="12">
        <f>G294</f>
        <v>0</v>
      </c>
      <c r="D298" s="12">
        <f>G295</f>
        <v>0</v>
      </c>
      <c r="E298" s="12">
        <f>G296</f>
        <v>0</v>
      </c>
      <c r="F298" s="12">
        <f>G297</f>
        <v>0</v>
      </c>
      <c r="G298" s="12">
        <f>D295</f>
        <v>0</v>
      </c>
      <c r="H298" s="20">
        <f>G292</f>
      </c>
    </row>
    <row r="300" spans="2:34" x14ac:dyDescent="0.25">
      <c r="B300" s="10" t="s">
        <v>36</v>
      </c>
      <c r="C300" s="10" t="s">
        <v>37</v>
      </c>
      <c r="D300" s="10" t="s">
        <v>38</v>
      </c>
      <c r="E300" s="10" t="s">
        <v>39</v>
      </c>
      <c r="F300" s="10" t="s">
        <v>40</v>
      </c>
      <c r="G300" s="10" t="s">
        <v>41</v>
      </c>
      <c r="H300" s="10" t="s">
        <v>42</v>
      </c>
      <c r="I300" s="10" t="s">
        <v>43</v>
      </c>
      <c r="J300" s="10" t="s">
        <v>44</v>
      </c>
      <c r="K300" s="10" t="s">
        <v>45</v>
      </c>
      <c r="L300" s="10" t="s">
        <v>46</v>
      </c>
      <c r="M300" s="10" t="s">
        <v>47</v>
      </c>
      <c r="N300" s="10" t="s">
        <v>48</v>
      </c>
      <c r="O300" s="10" t="s">
        <v>49</v>
      </c>
      <c r="P300" s="10" t="s">
        <v>50</v>
      </c>
      <c r="Q300" s="10" t="s">
        <v>51</v>
      </c>
      <c r="R300" s="10" t="s">
        <v>52</v>
      </c>
      <c r="S300" s="10" t="s">
        <v>53</v>
      </c>
      <c r="T300" s="10" t="s">
        <v>54</v>
      </c>
      <c r="U300" s="10" t="s">
        <v>55</v>
      </c>
      <c r="V300" s="10" t="s">
        <v>56</v>
      </c>
      <c r="W300" s="10" t="s">
        <v>57</v>
      </c>
      <c r="X300" s="10" t="s">
        <v>58</v>
      </c>
      <c r="Y300" s="10" t="s">
        <v>59</v>
      </c>
      <c r="Z300" s="10" t="s">
        <v>60</v>
      </c>
      <c r="AA300" s="10" t="s">
        <v>61</v>
      </c>
      <c r="AB300" s="10" t="s">
        <v>62</v>
      </c>
      <c r="AC300" s="10" t="s">
        <v>63</v>
      </c>
      <c r="AD300" s="10" t="s">
        <v>64</v>
      </c>
      <c r="AE300" s="10" t="s">
        <v>65</v>
      </c>
      <c r="AF300" s="10" t="s">
        <v>66</v>
      </c>
      <c r="AG300" s="10" t="s">
        <v>67</v>
      </c>
      <c r="AH300" s="10" t="s">
        <v>68</v>
      </c>
    </row>
    <row r="301" spans="2:35" x14ac:dyDescent="0.25">
      <c r="B301" s="23">
        <v>0</v>
      </c>
      <c r="C301" s="23">
        <v>0</v>
      </c>
      <c r="D301" s="23">
        <v>0</v>
      </c>
      <c r="E301" s="23">
        <v>0</v>
      </c>
      <c r="F301" s="23">
        <v>0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>
        <v>0</v>
      </c>
      <c r="AA301" s="23">
        <v>0</v>
      </c>
      <c r="AB301" s="23">
        <v>0</v>
      </c>
      <c r="AC301" s="23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10" t="s">
        <v>36</v>
      </c>
    </row>
    <row r="302" spans="2:35" x14ac:dyDescent="0.25">
      <c r="B302" s="23">
        <v>0</v>
      </c>
      <c r="C302" s="23">
        <v>0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0</v>
      </c>
      <c r="W302" s="23">
        <v>0</v>
      </c>
      <c r="X302" s="23">
        <v>0</v>
      </c>
      <c r="Y302" s="23">
        <v>0</v>
      </c>
      <c r="Z302" s="23">
        <v>0</v>
      </c>
      <c r="AA302" s="23">
        <v>0</v>
      </c>
      <c r="AB302" s="23">
        <v>0</v>
      </c>
      <c r="AC302" s="23">
        <v>0</v>
      </c>
      <c r="AD302" s="23">
        <v>0</v>
      </c>
      <c r="AE302" s="23">
        <v>0</v>
      </c>
      <c r="AF302" s="23">
        <v>0</v>
      </c>
      <c r="AG302" s="23">
        <v>0</v>
      </c>
      <c r="AH302" s="23">
        <v>0</v>
      </c>
      <c r="AI302" s="10" t="s">
        <v>37</v>
      </c>
    </row>
    <row r="303" spans="2:35" x14ac:dyDescent="0.25">
      <c r="B303" s="23">
        <v>0</v>
      </c>
      <c r="C303" s="23">
        <v>0</v>
      </c>
      <c r="D303" s="23">
        <v>0</v>
      </c>
      <c r="E303" s="23">
        <v>0</v>
      </c>
      <c r="F303" s="23">
        <v>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0</v>
      </c>
      <c r="W303" s="23">
        <v>0</v>
      </c>
      <c r="X303" s="23">
        <v>0</v>
      </c>
      <c r="Y303" s="23">
        <v>0</v>
      </c>
      <c r="Z303" s="23">
        <v>0</v>
      </c>
      <c r="AA303" s="23">
        <v>0</v>
      </c>
      <c r="AB303" s="23">
        <v>0</v>
      </c>
      <c r="AC303" s="23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0</v>
      </c>
      <c r="AI303" s="10" t="s">
        <v>38</v>
      </c>
    </row>
    <row r="304" spans="2:35" x14ac:dyDescent="0.25">
      <c r="B304" s="23">
        <v>0</v>
      </c>
      <c r="C304" s="23">
        <v>0</v>
      </c>
      <c r="D304" s="23">
        <v>0</v>
      </c>
      <c r="E304" s="23">
        <v>0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0</v>
      </c>
      <c r="X304" s="23">
        <v>0</v>
      </c>
      <c r="Y304" s="23">
        <v>0</v>
      </c>
      <c r="Z304" s="23">
        <v>0</v>
      </c>
      <c r="AA304" s="23">
        <v>0</v>
      </c>
      <c r="AB304" s="23">
        <v>0</v>
      </c>
      <c r="AC304" s="23">
        <v>0</v>
      </c>
      <c r="AD304" s="23">
        <v>0</v>
      </c>
      <c r="AE304" s="23">
        <v>0</v>
      </c>
      <c r="AF304" s="23">
        <v>0</v>
      </c>
      <c r="AG304" s="23">
        <v>0</v>
      </c>
      <c r="AH304" s="23">
        <v>0</v>
      </c>
      <c r="AI304" s="10" t="s">
        <v>39</v>
      </c>
    </row>
    <row r="305" spans="2:35" x14ac:dyDescent="0.25">
      <c r="B305" s="23">
        <v>0</v>
      </c>
      <c r="C305" s="23">
        <v>0</v>
      </c>
      <c r="D305" s="23">
        <v>0</v>
      </c>
      <c r="E305" s="23">
        <v>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3">
        <v>0</v>
      </c>
      <c r="T305" s="23">
        <v>0</v>
      </c>
      <c r="U305" s="23">
        <v>0</v>
      </c>
      <c r="V305" s="23">
        <v>0</v>
      </c>
      <c r="W305" s="23">
        <v>0</v>
      </c>
      <c r="X305" s="23">
        <v>0</v>
      </c>
      <c r="Y305" s="23">
        <v>0</v>
      </c>
      <c r="Z305" s="23">
        <v>0</v>
      </c>
      <c r="AA305" s="23">
        <v>0</v>
      </c>
      <c r="AB305" s="23">
        <v>0</v>
      </c>
      <c r="AC305" s="23">
        <v>0</v>
      </c>
      <c r="AD305" s="23">
        <v>0</v>
      </c>
      <c r="AE305" s="23">
        <v>0</v>
      </c>
      <c r="AF305" s="23">
        <v>0</v>
      </c>
      <c r="AG305" s="23">
        <v>0</v>
      </c>
      <c r="AH305" s="23">
        <v>0</v>
      </c>
      <c r="AI305" s="10" t="s">
        <v>40</v>
      </c>
    </row>
    <row r="306" spans="2:35" x14ac:dyDescent="0.25">
      <c r="B306" s="23">
        <v>0</v>
      </c>
      <c r="C306" s="23">
        <v>0</v>
      </c>
      <c r="D306" s="23">
        <v>0</v>
      </c>
      <c r="E306" s="23">
        <v>0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0</v>
      </c>
      <c r="R306" s="23">
        <v>0</v>
      </c>
      <c r="S306" s="23">
        <v>0</v>
      </c>
      <c r="T306" s="23">
        <v>0</v>
      </c>
      <c r="U306" s="23">
        <v>0</v>
      </c>
      <c r="V306" s="23">
        <v>0</v>
      </c>
      <c r="W306" s="23">
        <v>0</v>
      </c>
      <c r="X306" s="23">
        <v>0</v>
      </c>
      <c r="Y306" s="23">
        <v>0</v>
      </c>
      <c r="Z306" s="23">
        <v>0</v>
      </c>
      <c r="AA306" s="23">
        <v>0</v>
      </c>
      <c r="AB306" s="23">
        <v>0</v>
      </c>
      <c r="AC306" s="23">
        <v>0</v>
      </c>
      <c r="AD306" s="23">
        <v>0</v>
      </c>
      <c r="AE306" s="23">
        <v>0</v>
      </c>
      <c r="AF306" s="23">
        <v>0</v>
      </c>
      <c r="AG306" s="23">
        <v>0</v>
      </c>
      <c r="AH306" s="23">
        <v>0</v>
      </c>
      <c r="AI306" s="10" t="s">
        <v>41</v>
      </c>
    </row>
    <row r="307" spans="2:35" x14ac:dyDescent="0.25">
      <c r="B307" s="23">
        <v>0</v>
      </c>
      <c r="C307" s="23">
        <v>0</v>
      </c>
      <c r="D307" s="23">
        <v>0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>
        <v>0</v>
      </c>
      <c r="AA307" s="23">
        <v>0</v>
      </c>
      <c r="AB307" s="23">
        <v>0</v>
      </c>
      <c r="AC307" s="23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10" t="s">
        <v>42</v>
      </c>
    </row>
    <row r="308" spans="2:35" x14ac:dyDescent="0.25">
      <c r="B308" s="23">
        <v>0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  <c r="R308" s="23">
        <v>0</v>
      </c>
      <c r="S308" s="23">
        <v>0</v>
      </c>
      <c r="T308" s="23">
        <v>0</v>
      </c>
      <c r="U308" s="23">
        <v>0</v>
      </c>
      <c r="V308" s="23">
        <v>0</v>
      </c>
      <c r="W308" s="23">
        <v>0</v>
      </c>
      <c r="X308" s="23">
        <v>0</v>
      </c>
      <c r="Y308" s="23">
        <v>0</v>
      </c>
      <c r="Z308" s="23">
        <v>0</v>
      </c>
      <c r="AA308" s="23">
        <v>0</v>
      </c>
      <c r="AB308" s="23">
        <v>0</v>
      </c>
      <c r="AC308" s="23">
        <v>0</v>
      </c>
      <c r="AD308" s="23">
        <v>0</v>
      </c>
      <c r="AE308" s="23">
        <v>0</v>
      </c>
      <c r="AF308" s="23">
        <v>0</v>
      </c>
      <c r="AG308" s="23">
        <v>0</v>
      </c>
      <c r="AH308" s="23">
        <v>0</v>
      </c>
      <c r="AI308" s="10" t="s">
        <v>43</v>
      </c>
    </row>
    <row r="309" spans="2:35" x14ac:dyDescent="0.25">
      <c r="B309" s="23">
        <v>0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0</v>
      </c>
      <c r="X309" s="23">
        <v>0</v>
      </c>
      <c r="Y309" s="23">
        <v>0</v>
      </c>
      <c r="Z309" s="23">
        <v>0</v>
      </c>
      <c r="AA309" s="23">
        <v>0</v>
      </c>
      <c r="AB309" s="23">
        <v>0</v>
      </c>
      <c r="AC309" s="23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0</v>
      </c>
      <c r="AI309" s="10" t="s">
        <v>44</v>
      </c>
    </row>
    <row r="310" spans="2:35" x14ac:dyDescent="0.25">
      <c r="B310" s="23">
        <v>0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v>0</v>
      </c>
      <c r="X310" s="23">
        <v>0</v>
      </c>
      <c r="Y310" s="23">
        <v>0</v>
      </c>
      <c r="Z310" s="23">
        <v>0</v>
      </c>
      <c r="AA310" s="23">
        <v>0</v>
      </c>
      <c r="AB310" s="23">
        <v>0</v>
      </c>
      <c r="AC310" s="23">
        <v>0</v>
      </c>
      <c r="AD310" s="23">
        <v>0</v>
      </c>
      <c r="AE310" s="23">
        <v>0</v>
      </c>
      <c r="AF310" s="23">
        <v>0</v>
      </c>
      <c r="AG310" s="23">
        <v>0</v>
      </c>
      <c r="AH310" s="23">
        <v>0</v>
      </c>
      <c r="AI310" s="10" t="s">
        <v>45</v>
      </c>
    </row>
    <row r="311" spans="2:35" x14ac:dyDescent="0.25">
      <c r="B311" s="23">
        <v>0</v>
      </c>
      <c r="C311" s="23">
        <v>0</v>
      </c>
      <c r="D311" s="23">
        <v>0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  <c r="X311" s="23">
        <v>0</v>
      </c>
      <c r="Y311" s="23">
        <v>0</v>
      </c>
      <c r="Z311" s="23">
        <v>0</v>
      </c>
      <c r="AA311" s="23">
        <v>0</v>
      </c>
      <c r="AB311" s="23">
        <v>0</v>
      </c>
      <c r="AC311" s="23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10" t="s">
        <v>46</v>
      </c>
    </row>
    <row r="312" spans="2:35" x14ac:dyDescent="0.25">
      <c r="B312" s="23">
        <v>0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v>0</v>
      </c>
      <c r="X312" s="23">
        <v>0</v>
      </c>
      <c r="Y312" s="23">
        <v>0</v>
      </c>
      <c r="Z312" s="23">
        <v>0</v>
      </c>
      <c r="AA312" s="23">
        <v>0</v>
      </c>
      <c r="AB312" s="23">
        <v>0</v>
      </c>
      <c r="AC312" s="23">
        <v>0</v>
      </c>
      <c r="AD312" s="23">
        <v>0</v>
      </c>
      <c r="AE312" s="23">
        <v>0</v>
      </c>
      <c r="AF312" s="23">
        <v>0</v>
      </c>
      <c r="AG312" s="23">
        <v>0</v>
      </c>
      <c r="AH312" s="23">
        <v>0</v>
      </c>
      <c r="AI312" s="10" t="s">
        <v>47</v>
      </c>
    </row>
    <row r="313" spans="2:35" x14ac:dyDescent="0.25">
      <c r="B313" s="23">
        <v>0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0</v>
      </c>
      <c r="X313" s="23">
        <v>0</v>
      </c>
      <c r="Y313" s="23">
        <v>0</v>
      </c>
      <c r="Z313" s="23">
        <v>0</v>
      </c>
      <c r="AA313" s="23">
        <v>0</v>
      </c>
      <c r="AB313" s="23">
        <v>0</v>
      </c>
      <c r="AC313" s="23">
        <v>0</v>
      </c>
      <c r="AD313" s="23">
        <v>0</v>
      </c>
      <c r="AE313" s="23">
        <v>0</v>
      </c>
      <c r="AF313" s="23">
        <v>0</v>
      </c>
      <c r="AG313" s="23">
        <v>0</v>
      </c>
      <c r="AH313" s="23">
        <v>0</v>
      </c>
      <c r="AI313" s="10" t="s">
        <v>48</v>
      </c>
    </row>
    <row r="314" spans="2:35" x14ac:dyDescent="0.25">
      <c r="B314" s="23">
        <v>0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v>0</v>
      </c>
      <c r="X314" s="23">
        <v>0</v>
      </c>
      <c r="Y314" s="23">
        <v>0</v>
      </c>
      <c r="Z314" s="23">
        <v>0</v>
      </c>
      <c r="AA314" s="23">
        <v>0</v>
      </c>
      <c r="AB314" s="23">
        <v>0</v>
      </c>
      <c r="AC314" s="23">
        <v>0</v>
      </c>
      <c r="AD314" s="23">
        <v>0</v>
      </c>
      <c r="AE314" s="23">
        <v>0</v>
      </c>
      <c r="AF314" s="23">
        <v>0</v>
      </c>
      <c r="AG314" s="23">
        <v>0</v>
      </c>
      <c r="AH314" s="23">
        <v>0</v>
      </c>
      <c r="AI314" s="10" t="s">
        <v>49</v>
      </c>
    </row>
    <row r="315" spans="2:35" x14ac:dyDescent="0.25">
      <c r="B315" s="23">
        <v>0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23">
        <v>0</v>
      </c>
      <c r="Y315" s="23">
        <v>0</v>
      </c>
      <c r="Z315" s="23">
        <v>0</v>
      </c>
      <c r="AA315" s="23">
        <v>0</v>
      </c>
      <c r="AB315" s="23">
        <v>0</v>
      </c>
      <c r="AC315" s="23">
        <v>0</v>
      </c>
      <c r="AD315" s="23">
        <v>0</v>
      </c>
      <c r="AE315" s="23">
        <v>0</v>
      </c>
      <c r="AF315" s="23">
        <v>0</v>
      </c>
      <c r="AG315" s="23">
        <v>0</v>
      </c>
      <c r="AH315" s="23">
        <v>0</v>
      </c>
      <c r="AI315" s="10" t="s">
        <v>50</v>
      </c>
    </row>
    <row r="316" spans="2:35" x14ac:dyDescent="0.25">
      <c r="B316" s="23">
        <v>0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  <c r="AA316" s="23">
        <v>0</v>
      </c>
      <c r="AB316" s="23">
        <v>0</v>
      </c>
      <c r="AC316" s="23">
        <v>0</v>
      </c>
      <c r="AD316" s="23">
        <v>0</v>
      </c>
      <c r="AE316" s="23">
        <v>0</v>
      </c>
      <c r="AF316" s="23">
        <v>0</v>
      </c>
      <c r="AG316" s="23">
        <v>0</v>
      </c>
      <c r="AH316" s="23">
        <v>0</v>
      </c>
      <c r="AI316" s="10" t="s">
        <v>51</v>
      </c>
    </row>
    <row r="317" spans="2:35" x14ac:dyDescent="0.25">
      <c r="B317" s="23">
        <v>0</v>
      </c>
      <c r="C317" s="23">
        <v>0</v>
      </c>
      <c r="D317" s="23">
        <v>0</v>
      </c>
      <c r="E317" s="23">
        <v>0</v>
      </c>
      <c r="F317" s="23">
        <v>0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0</v>
      </c>
      <c r="X317" s="23">
        <v>0</v>
      </c>
      <c r="Y317" s="23">
        <v>0</v>
      </c>
      <c r="Z317" s="23">
        <v>0</v>
      </c>
      <c r="AA317" s="23">
        <v>0</v>
      </c>
      <c r="AB317" s="23">
        <v>0</v>
      </c>
      <c r="AC317" s="23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10" t="s">
        <v>52</v>
      </c>
    </row>
    <row r="318" spans="2:35" x14ac:dyDescent="0.25">
      <c r="B318" s="23">
        <v>0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3">
        <v>0</v>
      </c>
      <c r="S318" s="23">
        <v>0</v>
      </c>
      <c r="T318" s="23">
        <v>0</v>
      </c>
      <c r="U318" s="23">
        <v>0</v>
      </c>
      <c r="V318" s="23">
        <v>0</v>
      </c>
      <c r="W318" s="23">
        <v>0</v>
      </c>
      <c r="X318" s="23">
        <v>0</v>
      </c>
      <c r="Y318" s="23">
        <v>0</v>
      </c>
      <c r="Z318" s="23">
        <v>0</v>
      </c>
      <c r="AA318" s="23">
        <v>0</v>
      </c>
      <c r="AB318" s="23">
        <v>0</v>
      </c>
      <c r="AC318" s="23">
        <v>0</v>
      </c>
      <c r="AD318" s="23">
        <v>0</v>
      </c>
      <c r="AE318" s="23">
        <v>0</v>
      </c>
      <c r="AF318" s="23">
        <v>0</v>
      </c>
      <c r="AG318" s="23">
        <v>0</v>
      </c>
      <c r="AH318" s="23">
        <v>0</v>
      </c>
      <c r="AI318" s="10" t="s">
        <v>53</v>
      </c>
    </row>
    <row r="319" spans="2:35" x14ac:dyDescent="0.25">
      <c r="B319" s="23">
        <v>0</v>
      </c>
      <c r="C319" s="23">
        <v>0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23">
        <v>0</v>
      </c>
      <c r="AA319" s="23">
        <v>0</v>
      </c>
      <c r="AB319" s="23">
        <v>0</v>
      </c>
      <c r="AC319" s="23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10" t="s">
        <v>54</v>
      </c>
    </row>
    <row r="320" spans="2:35" x14ac:dyDescent="0.25">
      <c r="B320" s="23">
        <v>0</v>
      </c>
      <c r="C320" s="23">
        <v>0</v>
      </c>
      <c r="D320" s="23">
        <v>0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v>0</v>
      </c>
      <c r="X320" s="23">
        <v>0</v>
      </c>
      <c r="Y320" s="23">
        <v>0</v>
      </c>
      <c r="Z320" s="23">
        <v>0</v>
      </c>
      <c r="AA320" s="23">
        <v>0</v>
      </c>
      <c r="AB320" s="23">
        <v>0</v>
      </c>
      <c r="AC320" s="23">
        <v>0</v>
      </c>
      <c r="AD320" s="23">
        <v>0</v>
      </c>
      <c r="AE320" s="23">
        <v>0</v>
      </c>
      <c r="AF320" s="23">
        <v>0</v>
      </c>
      <c r="AG320" s="23">
        <v>0</v>
      </c>
      <c r="AH320" s="23">
        <v>0</v>
      </c>
      <c r="AI320" s="10" t="s">
        <v>55</v>
      </c>
    </row>
    <row r="321" spans="2:35" x14ac:dyDescent="0.25">
      <c r="B321" s="23">
        <v>0</v>
      </c>
      <c r="C321" s="23">
        <v>0</v>
      </c>
      <c r="D321" s="23">
        <v>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0</v>
      </c>
      <c r="X321" s="23">
        <v>0</v>
      </c>
      <c r="Y321" s="23">
        <v>0</v>
      </c>
      <c r="Z321" s="23">
        <v>0</v>
      </c>
      <c r="AA321" s="23">
        <v>0</v>
      </c>
      <c r="AB321" s="23">
        <v>0</v>
      </c>
      <c r="AC321" s="23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0</v>
      </c>
      <c r="AI321" s="10" t="s">
        <v>56</v>
      </c>
    </row>
    <row r="322" spans="2:35" x14ac:dyDescent="0.25">
      <c r="B322" s="23">
        <v>0</v>
      </c>
      <c r="C322" s="23">
        <v>0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  <c r="AA322" s="23">
        <v>0</v>
      </c>
      <c r="AB322" s="23">
        <v>0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  <c r="AH322" s="23">
        <v>0</v>
      </c>
      <c r="AI322" s="10" t="s">
        <v>57</v>
      </c>
    </row>
    <row r="323" spans="2:35" x14ac:dyDescent="0.25">
      <c r="B323" s="23">
        <v>0</v>
      </c>
      <c r="C323" s="23">
        <v>0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  <c r="AA323" s="23">
        <v>0</v>
      </c>
      <c r="AB323" s="23">
        <v>0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10" t="s">
        <v>58</v>
      </c>
    </row>
    <row r="324" spans="2:35" x14ac:dyDescent="0.25">
      <c r="B324" s="23">
        <v>0</v>
      </c>
      <c r="C324" s="23">
        <v>0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0</v>
      </c>
      <c r="AB324" s="23">
        <v>0</v>
      </c>
      <c r="AC324" s="23">
        <v>0</v>
      </c>
      <c r="AD324" s="23">
        <v>0</v>
      </c>
      <c r="AE324" s="23">
        <v>0</v>
      </c>
      <c r="AF324" s="23">
        <v>0</v>
      </c>
      <c r="AG324" s="23">
        <v>0</v>
      </c>
      <c r="AH324" s="23">
        <v>0</v>
      </c>
      <c r="AI324" s="10" t="s">
        <v>59</v>
      </c>
    </row>
    <row r="325" spans="2:35" x14ac:dyDescent="0.25">
      <c r="B325" s="23">
        <v>0</v>
      </c>
      <c r="C325" s="23">
        <v>0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10" t="s">
        <v>60</v>
      </c>
    </row>
    <row r="326" spans="2:35" x14ac:dyDescent="0.25">
      <c r="B326" s="23">
        <v>0</v>
      </c>
      <c r="C326" s="23">
        <v>0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3">
        <v>0</v>
      </c>
      <c r="AB326" s="23">
        <v>0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  <c r="AH326" s="23">
        <v>0</v>
      </c>
      <c r="AI326" s="10" t="s">
        <v>61</v>
      </c>
    </row>
    <row r="327" spans="2:35" x14ac:dyDescent="0.25">
      <c r="B327" s="23">
        <v>0</v>
      </c>
      <c r="C327" s="23">
        <v>0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0</v>
      </c>
      <c r="X327" s="23">
        <v>0</v>
      </c>
      <c r="Y327" s="23">
        <v>0</v>
      </c>
      <c r="Z327" s="23">
        <v>0</v>
      </c>
      <c r="AA327" s="23">
        <v>0</v>
      </c>
      <c r="AB327" s="23">
        <v>0</v>
      </c>
      <c r="AC327" s="23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10" t="s">
        <v>62</v>
      </c>
    </row>
    <row r="328" spans="2:35" x14ac:dyDescent="0.25">
      <c r="B328" s="23">
        <v>0</v>
      </c>
      <c r="C328" s="23">
        <v>0</v>
      </c>
      <c r="D328" s="23">
        <v>0</v>
      </c>
      <c r="E328" s="23">
        <v>0</v>
      </c>
      <c r="F328" s="23">
        <v>0</v>
      </c>
      <c r="G328" s="23">
        <v>0</v>
      </c>
      <c r="H328" s="23">
        <v>0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3">
        <v>0</v>
      </c>
      <c r="T328" s="23">
        <v>0</v>
      </c>
      <c r="U328" s="23">
        <v>0</v>
      </c>
      <c r="V328" s="23">
        <v>0</v>
      </c>
      <c r="W328" s="23">
        <v>0</v>
      </c>
      <c r="X328" s="23">
        <v>0</v>
      </c>
      <c r="Y328" s="23">
        <v>0</v>
      </c>
      <c r="Z328" s="23">
        <v>0</v>
      </c>
      <c r="AA328" s="23">
        <v>0</v>
      </c>
      <c r="AB328" s="23">
        <v>0</v>
      </c>
      <c r="AC328" s="23">
        <v>0</v>
      </c>
      <c r="AD328" s="23">
        <v>0</v>
      </c>
      <c r="AE328" s="23">
        <v>0</v>
      </c>
      <c r="AF328" s="23">
        <v>0</v>
      </c>
      <c r="AG328" s="23">
        <v>0</v>
      </c>
      <c r="AH328" s="23">
        <v>0</v>
      </c>
      <c r="AI328" s="10" t="s">
        <v>63</v>
      </c>
    </row>
    <row r="329" spans="2:35" x14ac:dyDescent="0.25">
      <c r="B329" s="23">
        <v>0</v>
      </c>
      <c r="C329" s="23">
        <v>0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0</v>
      </c>
      <c r="X329" s="23">
        <v>0</v>
      </c>
      <c r="Y329" s="23">
        <v>0</v>
      </c>
      <c r="Z329" s="23">
        <v>0</v>
      </c>
      <c r="AA329" s="23">
        <v>0</v>
      </c>
      <c r="AB329" s="23">
        <v>0</v>
      </c>
      <c r="AC329" s="23">
        <v>0</v>
      </c>
      <c r="AD329" s="23">
        <v>0</v>
      </c>
      <c r="AE329" s="23">
        <v>0</v>
      </c>
      <c r="AF329" s="23">
        <v>0</v>
      </c>
      <c r="AG329" s="23">
        <v>0</v>
      </c>
      <c r="AH329" s="23">
        <v>0</v>
      </c>
      <c r="AI329" s="10" t="s">
        <v>64</v>
      </c>
    </row>
    <row r="330" spans="2:35" x14ac:dyDescent="0.25">
      <c r="B330" s="23">
        <v>0</v>
      </c>
      <c r="C330" s="23">
        <v>0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  <c r="X330" s="23">
        <v>0</v>
      </c>
      <c r="Y330" s="23">
        <v>0</v>
      </c>
      <c r="Z330" s="23">
        <v>0</v>
      </c>
      <c r="AA330" s="23">
        <v>0</v>
      </c>
      <c r="AB330" s="23">
        <v>0</v>
      </c>
      <c r="AC330" s="23">
        <v>0</v>
      </c>
      <c r="AD330" s="23">
        <v>0</v>
      </c>
      <c r="AE330" s="23">
        <v>0</v>
      </c>
      <c r="AF330" s="23">
        <v>0</v>
      </c>
      <c r="AG330" s="23">
        <v>0</v>
      </c>
      <c r="AH330" s="23">
        <v>0</v>
      </c>
      <c r="AI330" s="10" t="s">
        <v>65</v>
      </c>
    </row>
    <row r="331" spans="2:35" x14ac:dyDescent="0.25">
      <c r="B331" s="23">
        <v>0</v>
      </c>
      <c r="C331" s="23">
        <v>0</v>
      </c>
      <c r="D331" s="23">
        <v>0</v>
      </c>
      <c r="E331" s="23">
        <v>0</v>
      </c>
      <c r="F331" s="23">
        <v>0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v>0</v>
      </c>
      <c r="X331" s="23">
        <v>0</v>
      </c>
      <c r="Y331" s="23">
        <v>0</v>
      </c>
      <c r="Z331" s="23">
        <v>0</v>
      </c>
      <c r="AA331" s="23">
        <v>0</v>
      </c>
      <c r="AB331" s="23">
        <v>0</v>
      </c>
      <c r="AC331" s="23">
        <v>0</v>
      </c>
      <c r="AD331" s="23">
        <v>0</v>
      </c>
      <c r="AE331" s="23">
        <v>0</v>
      </c>
      <c r="AF331" s="23">
        <v>0</v>
      </c>
      <c r="AG331" s="23">
        <v>0</v>
      </c>
      <c r="AH331" s="23">
        <v>0</v>
      </c>
      <c r="AI331" s="10" t="s">
        <v>66</v>
      </c>
    </row>
    <row r="332" spans="2:35" x14ac:dyDescent="0.25">
      <c r="B332" s="23">
        <v>0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0</v>
      </c>
      <c r="X332" s="23">
        <v>0</v>
      </c>
      <c r="Y332" s="23">
        <v>0</v>
      </c>
      <c r="Z332" s="23">
        <v>0</v>
      </c>
      <c r="AA332" s="23">
        <v>0</v>
      </c>
      <c r="AB332" s="23">
        <v>0</v>
      </c>
      <c r="AC332" s="23">
        <v>0</v>
      </c>
      <c r="AD332" s="23">
        <v>0</v>
      </c>
      <c r="AE332" s="23">
        <v>0</v>
      </c>
      <c r="AF332" s="23">
        <v>0</v>
      </c>
      <c r="AG332" s="23">
        <v>0</v>
      </c>
      <c r="AH332" s="23">
        <v>0</v>
      </c>
      <c r="AI332" s="10" t="s">
        <v>67</v>
      </c>
    </row>
    <row r="333" spans="2:35" x14ac:dyDescent="0.25">
      <c r="B333" s="23">
        <v>0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  <c r="R333" s="23">
        <v>0</v>
      </c>
      <c r="S333" s="23">
        <v>0</v>
      </c>
      <c r="T333" s="23">
        <v>0</v>
      </c>
      <c r="U333" s="23">
        <v>0</v>
      </c>
      <c r="V333" s="23">
        <v>0</v>
      </c>
      <c r="W333" s="23">
        <v>0</v>
      </c>
      <c r="X333" s="23">
        <v>0</v>
      </c>
      <c r="Y333" s="23">
        <v>0</v>
      </c>
      <c r="Z333" s="23">
        <v>0</v>
      </c>
      <c r="AA333" s="23">
        <v>0</v>
      </c>
      <c r="AB333" s="23">
        <v>0</v>
      </c>
      <c r="AC333" s="23">
        <v>0</v>
      </c>
      <c r="AD333" s="23">
        <v>0</v>
      </c>
      <c r="AE333" s="23">
        <v>0</v>
      </c>
      <c r="AF333" s="23">
        <v>0</v>
      </c>
      <c r="AG333" s="23">
        <v>0</v>
      </c>
      <c r="AH333" s="23">
        <v>0</v>
      </c>
      <c r="AI333" s="10" t="s">
        <v>68</v>
      </c>
    </row>
    <row r="335" spans="2:7" x14ac:dyDescent="0.25">
      <c r="B335" s="19" t="str">
        <f>IF(C29="","", CONCATENATE("U",C29,"X"))</f>
        <v/>
      </c>
      <c r="C335" s="19" t="str">
        <f>IF(D29="","", CONCATENATE("U",D29,"Y"))</f>
        <v/>
      </c>
      <c r="D335" s="19" t="str">
        <f>IF(E29="","", CONCATENATE("U",E29,"θ"))</f>
        <v/>
      </c>
      <c r="E335" s="19" t="str">
        <f>IF(F29="","", CONCATENATE("U",F29,"X"))</f>
        <v/>
      </c>
      <c r="F335" s="19" t="str">
        <f>IF(G29="","", CONCATENATE("U",G29,"Y"))</f>
        <v/>
      </c>
      <c r="G335" s="19" t="str">
        <f>IF(H29="","", CONCATENATE("U",H29,"θ"))</f>
        <v/>
      </c>
    </row>
    <row r="336" spans="2:8" x14ac:dyDescent="0.25">
      <c r="B336" s="12">
        <f>IF(I16="", 0, O16*J16*J16+P16*K16*K16)</f>
        <v>0</v>
      </c>
      <c r="C336" s="12">
        <f>IF(I16="", 0, (O16-P16)*(J16*K16))</f>
        <v>0</v>
      </c>
      <c r="D336" s="12">
        <f>IF(I16="", 0, -Q16*K16)</f>
        <v>0</v>
      </c>
      <c r="E336" s="12">
        <f>-B336</f>
        <v>0</v>
      </c>
      <c r="F336" s="12">
        <f>-C336</f>
        <v>0</v>
      </c>
      <c r="G336" s="12">
        <f>D336</f>
        <v>0</v>
      </c>
      <c r="H336" s="20">
        <f>B335</f>
      </c>
    </row>
    <row r="337" spans="2:8" x14ac:dyDescent="0.25">
      <c r="B337" s="12">
        <f>C336</f>
        <v>0</v>
      </c>
      <c r="C337" s="12">
        <f>IF(I16="", 0, O16*K16*K16+P16*J16*J16)</f>
        <v>0</v>
      </c>
      <c r="D337" s="12">
        <f>IF(I16="", 0, Q16*J16)</f>
        <v>0</v>
      </c>
      <c r="E337" s="12">
        <f>-B337</f>
        <v>0</v>
      </c>
      <c r="F337" s="12">
        <f>-C337</f>
        <v>0</v>
      </c>
      <c r="G337" s="12">
        <f>D337</f>
        <v>0</v>
      </c>
      <c r="H337" s="20">
        <f>C335</f>
      </c>
    </row>
    <row r="338" spans="1:8" x14ac:dyDescent="0.25">
      <c r="A338" s="21" t="s">
        <v>75</v>
      </c>
      <c r="B338" s="12">
        <f>D336</f>
        <v>0</v>
      </c>
      <c r="C338" s="12">
        <f>D337</f>
        <v>0</v>
      </c>
      <c r="D338" s="12">
        <f>IF(I16="", 0, R16)</f>
        <v>0</v>
      </c>
      <c r="E338" s="12">
        <f>-B338</f>
        <v>0</v>
      </c>
      <c r="F338" s="12">
        <f>-C338</f>
        <v>0</v>
      </c>
      <c r="G338" s="12">
        <f>IF(I16="", 0, S16)</f>
        <v>0</v>
      </c>
      <c r="H338" s="20">
        <f>D335</f>
      </c>
    </row>
    <row r="339" spans="2:8" x14ac:dyDescent="0.25">
      <c r="B339" s="12">
        <f>E336</f>
        <v>0</v>
      </c>
      <c r="C339" s="12">
        <f>E337</f>
        <v>0</v>
      </c>
      <c r="D339" s="12">
        <f>E338</f>
        <v>0</v>
      </c>
      <c r="E339" s="12">
        <f>B336</f>
        <v>0</v>
      </c>
      <c r="F339" s="12">
        <f>C336</f>
        <v>0</v>
      </c>
      <c r="G339" s="12">
        <f>-D336</f>
        <v>0</v>
      </c>
      <c r="H339" s="20">
        <f>E335</f>
      </c>
    </row>
    <row r="340" spans="2:8" x14ac:dyDescent="0.25">
      <c r="B340" s="12">
        <f>F336</f>
        <v>0</v>
      </c>
      <c r="C340" s="12">
        <f>F337</f>
        <v>0</v>
      </c>
      <c r="D340" s="12">
        <f>F338</f>
        <v>0</v>
      </c>
      <c r="E340" s="12">
        <f>F339</f>
        <v>0</v>
      </c>
      <c r="F340" s="12">
        <f>C337</f>
        <v>0</v>
      </c>
      <c r="G340" s="12">
        <f>-D337</f>
        <v>0</v>
      </c>
      <c r="H340" s="20">
        <f>F335</f>
      </c>
    </row>
    <row r="341" spans="2:8" x14ac:dyDescent="0.25">
      <c r="B341" s="12">
        <f>G336</f>
        <v>0</v>
      </c>
      <c r="C341" s="12">
        <f>G337</f>
        <v>0</v>
      </c>
      <c r="D341" s="12">
        <f>G338</f>
        <v>0</v>
      </c>
      <c r="E341" s="12">
        <f>G339</f>
        <v>0</v>
      </c>
      <c r="F341" s="12">
        <f>G340</f>
        <v>0</v>
      </c>
      <c r="G341" s="12">
        <f>D338</f>
        <v>0</v>
      </c>
      <c r="H341" s="20">
        <f>G335</f>
      </c>
    </row>
    <row r="343" spans="2:34" x14ac:dyDescent="0.25">
      <c r="B343" s="10" t="s">
        <v>36</v>
      </c>
      <c r="C343" s="10" t="s">
        <v>37</v>
      </c>
      <c r="D343" s="10" t="s">
        <v>38</v>
      </c>
      <c r="E343" s="10" t="s">
        <v>39</v>
      </c>
      <c r="F343" s="10" t="s">
        <v>40</v>
      </c>
      <c r="G343" s="10" t="s">
        <v>41</v>
      </c>
      <c r="H343" s="10" t="s">
        <v>42</v>
      </c>
      <c r="I343" s="10" t="s">
        <v>43</v>
      </c>
      <c r="J343" s="10" t="s">
        <v>44</v>
      </c>
      <c r="K343" s="10" t="s">
        <v>45</v>
      </c>
      <c r="L343" s="10" t="s">
        <v>46</v>
      </c>
      <c r="M343" s="10" t="s">
        <v>47</v>
      </c>
      <c r="N343" s="10" t="s">
        <v>48</v>
      </c>
      <c r="O343" s="10" t="s">
        <v>49</v>
      </c>
      <c r="P343" s="10" t="s">
        <v>50</v>
      </c>
      <c r="Q343" s="10" t="s">
        <v>51</v>
      </c>
      <c r="R343" s="10" t="s">
        <v>52</v>
      </c>
      <c r="S343" s="10" t="s">
        <v>53</v>
      </c>
      <c r="T343" s="10" t="s">
        <v>54</v>
      </c>
      <c r="U343" s="10" t="s">
        <v>55</v>
      </c>
      <c r="V343" s="10" t="s">
        <v>56</v>
      </c>
      <c r="W343" s="10" t="s">
        <v>57</v>
      </c>
      <c r="X343" s="10" t="s">
        <v>58</v>
      </c>
      <c r="Y343" s="10" t="s">
        <v>59</v>
      </c>
      <c r="Z343" s="10" t="s">
        <v>60</v>
      </c>
      <c r="AA343" s="10" t="s">
        <v>61</v>
      </c>
      <c r="AB343" s="10" t="s">
        <v>62</v>
      </c>
      <c r="AC343" s="10" t="s">
        <v>63</v>
      </c>
      <c r="AD343" s="10" t="s">
        <v>64</v>
      </c>
      <c r="AE343" s="10" t="s">
        <v>65</v>
      </c>
      <c r="AF343" s="10" t="s">
        <v>66</v>
      </c>
      <c r="AG343" s="10" t="s">
        <v>67</v>
      </c>
      <c r="AH343" s="10" t="s">
        <v>68</v>
      </c>
    </row>
    <row r="344" spans="2:35" x14ac:dyDescent="0.25">
      <c r="B344" s="23">
        <v>0</v>
      </c>
      <c r="C344" s="23">
        <v>0</v>
      </c>
      <c r="D344" s="23">
        <v>0</v>
      </c>
      <c r="E344" s="23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3">
        <v>0</v>
      </c>
      <c r="T344" s="23">
        <v>0</v>
      </c>
      <c r="U344" s="23">
        <v>0</v>
      </c>
      <c r="V344" s="23">
        <v>0</v>
      </c>
      <c r="W344" s="23">
        <v>0</v>
      </c>
      <c r="X344" s="23">
        <v>0</v>
      </c>
      <c r="Y344" s="23">
        <v>0</v>
      </c>
      <c r="Z344" s="23">
        <v>0</v>
      </c>
      <c r="AA344" s="23">
        <v>0</v>
      </c>
      <c r="AB344" s="23">
        <v>0</v>
      </c>
      <c r="AC344" s="23">
        <v>0</v>
      </c>
      <c r="AD344" s="23">
        <v>0</v>
      </c>
      <c r="AE344" s="23">
        <v>0</v>
      </c>
      <c r="AF344" s="23">
        <v>0</v>
      </c>
      <c r="AG344" s="23">
        <v>0</v>
      </c>
      <c r="AH344" s="23">
        <v>0</v>
      </c>
      <c r="AI344" s="10" t="s">
        <v>36</v>
      </c>
    </row>
    <row r="345" spans="2:35" x14ac:dyDescent="0.25">
      <c r="B345" s="23">
        <v>0</v>
      </c>
      <c r="C345" s="23">
        <v>0</v>
      </c>
      <c r="D345" s="23">
        <v>0</v>
      </c>
      <c r="E345" s="23">
        <v>0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0</v>
      </c>
      <c r="V345" s="23">
        <v>0</v>
      </c>
      <c r="W345" s="23">
        <v>0</v>
      </c>
      <c r="X345" s="23">
        <v>0</v>
      </c>
      <c r="Y345" s="23">
        <v>0</v>
      </c>
      <c r="Z345" s="23">
        <v>0</v>
      </c>
      <c r="AA345" s="23">
        <v>0</v>
      </c>
      <c r="AB345" s="23">
        <v>0</v>
      </c>
      <c r="AC345" s="23">
        <v>0</v>
      </c>
      <c r="AD345" s="23">
        <v>0</v>
      </c>
      <c r="AE345" s="23">
        <v>0</v>
      </c>
      <c r="AF345" s="23">
        <v>0</v>
      </c>
      <c r="AG345" s="23">
        <v>0</v>
      </c>
      <c r="AH345" s="23">
        <v>0</v>
      </c>
      <c r="AI345" s="10" t="s">
        <v>37</v>
      </c>
    </row>
    <row r="346" spans="2:35" x14ac:dyDescent="0.25">
      <c r="B346" s="23">
        <v>0</v>
      </c>
      <c r="C346" s="23">
        <v>0</v>
      </c>
      <c r="D346" s="23">
        <v>0</v>
      </c>
      <c r="E346" s="23">
        <v>0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>
        <v>0</v>
      </c>
      <c r="T346" s="23">
        <v>0</v>
      </c>
      <c r="U346" s="23">
        <v>0</v>
      </c>
      <c r="V346" s="23">
        <v>0</v>
      </c>
      <c r="W346" s="23">
        <v>0</v>
      </c>
      <c r="X346" s="23">
        <v>0</v>
      </c>
      <c r="Y346" s="23">
        <v>0</v>
      </c>
      <c r="Z346" s="23">
        <v>0</v>
      </c>
      <c r="AA346" s="23">
        <v>0</v>
      </c>
      <c r="AB346" s="23">
        <v>0</v>
      </c>
      <c r="AC346" s="23">
        <v>0</v>
      </c>
      <c r="AD346" s="23">
        <v>0</v>
      </c>
      <c r="AE346" s="23">
        <v>0</v>
      </c>
      <c r="AF346" s="23">
        <v>0</v>
      </c>
      <c r="AG346" s="23">
        <v>0</v>
      </c>
      <c r="AH346" s="23">
        <v>0</v>
      </c>
      <c r="AI346" s="10" t="s">
        <v>38</v>
      </c>
    </row>
    <row r="347" spans="2:35" x14ac:dyDescent="0.25">
      <c r="B347" s="23">
        <v>0</v>
      </c>
      <c r="C347" s="23">
        <v>0</v>
      </c>
      <c r="D347" s="23">
        <v>0</v>
      </c>
      <c r="E347" s="23">
        <v>0</v>
      </c>
      <c r="F347" s="23">
        <v>0</v>
      </c>
      <c r="G347" s="23">
        <v>0</v>
      </c>
      <c r="H347" s="23">
        <v>0</v>
      </c>
      <c r="I347" s="23">
        <v>0</v>
      </c>
      <c r="J347" s="23">
        <v>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3">
        <v>0</v>
      </c>
      <c r="T347" s="23">
        <v>0</v>
      </c>
      <c r="U347" s="23">
        <v>0</v>
      </c>
      <c r="V347" s="23">
        <v>0</v>
      </c>
      <c r="W347" s="23">
        <v>0</v>
      </c>
      <c r="X347" s="23">
        <v>0</v>
      </c>
      <c r="Y347" s="23">
        <v>0</v>
      </c>
      <c r="Z347" s="23">
        <v>0</v>
      </c>
      <c r="AA347" s="23">
        <v>0</v>
      </c>
      <c r="AB347" s="23">
        <v>0</v>
      </c>
      <c r="AC347" s="23">
        <v>0</v>
      </c>
      <c r="AD347" s="23">
        <v>0</v>
      </c>
      <c r="AE347" s="23">
        <v>0</v>
      </c>
      <c r="AF347" s="23">
        <v>0</v>
      </c>
      <c r="AG347" s="23">
        <v>0</v>
      </c>
      <c r="AH347" s="23">
        <v>0</v>
      </c>
      <c r="AI347" s="10" t="s">
        <v>39</v>
      </c>
    </row>
    <row r="348" spans="2:35" x14ac:dyDescent="0.25">
      <c r="B348" s="23">
        <v>0</v>
      </c>
      <c r="C348" s="23">
        <v>0</v>
      </c>
      <c r="D348" s="23">
        <v>0</v>
      </c>
      <c r="E348" s="23">
        <v>0</v>
      </c>
      <c r="F348" s="23">
        <v>0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  <c r="L348" s="23">
        <v>0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3">
        <v>0</v>
      </c>
      <c r="T348" s="23">
        <v>0</v>
      </c>
      <c r="U348" s="23">
        <v>0</v>
      </c>
      <c r="V348" s="23">
        <v>0</v>
      </c>
      <c r="W348" s="23">
        <v>0</v>
      </c>
      <c r="X348" s="23">
        <v>0</v>
      </c>
      <c r="Y348" s="23">
        <v>0</v>
      </c>
      <c r="Z348" s="23">
        <v>0</v>
      </c>
      <c r="AA348" s="23">
        <v>0</v>
      </c>
      <c r="AB348" s="23">
        <v>0</v>
      </c>
      <c r="AC348" s="23">
        <v>0</v>
      </c>
      <c r="AD348" s="23">
        <v>0</v>
      </c>
      <c r="AE348" s="23">
        <v>0</v>
      </c>
      <c r="AF348" s="23">
        <v>0</v>
      </c>
      <c r="AG348" s="23">
        <v>0</v>
      </c>
      <c r="AH348" s="23">
        <v>0</v>
      </c>
      <c r="AI348" s="10" t="s">
        <v>40</v>
      </c>
    </row>
    <row r="349" spans="2:35" x14ac:dyDescent="0.25">
      <c r="B349" s="23">
        <v>0</v>
      </c>
      <c r="C349" s="23">
        <v>0</v>
      </c>
      <c r="D349" s="23">
        <v>0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  <c r="L349" s="23">
        <v>0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0</v>
      </c>
      <c r="W349" s="23">
        <v>0</v>
      </c>
      <c r="X349" s="23">
        <v>0</v>
      </c>
      <c r="Y349" s="23">
        <v>0</v>
      </c>
      <c r="Z349" s="23">
        <v>0</v>
      </c>
      <c r="AA349" s="23">
        <v>0</v>
      </c>
      <c r="AB349" s="23">
        <v>0</v>
      </c>
      <c r="AC349" s="23">
        <v>0</v>
      </c>
      <c r="AD349" s="23">
        <v>0</v>
      </c>
      <c r="AE349" s="23">
        <v>0</v>
      </c>
      <c r="AF349" s="23">
        <v>0</v>
      </c>
      <c r="AG349" s="23">
        <v>0</v>
      </c>
      <c r="AH349" s="23">
        <v>0</v>
      </c>
      <c r="AI349" s="10" t="s">
        <v>41</v>
      </c>
    </row>
    <row r="350" spans="2:35" x14ac:dyDescent="0.25">
      <c r="B350" s="23">
        <v>0</v>
      </c>
      <c r="C350" s="23">
        <v>0</v>
      </c>
      <c r="D350" s="23">
        <v>0</v>
      </c>
      <c r="E350" s="23">
        <v>0</v>
      </c>
      <c r="F350" s="23">
        <v>0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0</v>
      </c>
      <c r="S350" s="23">
        <v>0</v>
      </c>
      <c r="T350" s="23">
        <v>0</v>
      </c>
      <c r="U350" s="23">
        <v>0</v>
      </c>
      <c r="V350" s="23">
        <v>0</v>
      </c>
      <c r="W350" s="23">
        <v>0</v>
      </c>
      <c r="X350" s="23">
        <v>0</v>
      </c>
      <c r="Y350" s="23">
        <v>0</v>
      </c>
      <c r="Z350" s="23">
        <v>0</v>
      </c>
      <c r="AA350" s="23">
        <v>0</v>
      </c>
      <c r="AB350" s="23">
        <v>0</v>
      </c>
      <c r="AC350" s="23">
        <v>0</v>
      </c>
      <c r="AD350" s="23">
        <v>0</v>
      </c>
      <c r="AE350" s="23">
        <v>0</v>
      </c>
      <c r="AF350" s="23">
        <v>0</v>
      </c>
      <c r="AG350" s="23">
        <v>0</v>
      </c>
      <c r="AH350" s="23">
        <v>0</v>
      </c>
      <c r="AI350" s="10" t="s">
        <v>42</v>
      </c>
    </row>
    <row r="351" spans="2:35" x14ac:dyDescent="0.25">
      <c r="B351" s="23">
        <v>0</v>
      </c>
      <c r="C351" s="23">
        <v>0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3">
        <v>0</v>
      </c>
      <c r="P351" s="23">
        <v>0</v>
      </c>
      <c r="Q351" s="23">
        <v>0</v>
      </c>
      <c r="R351" s="23">
        <v>0</v>
      </c>
      <c r="S351" s="23">
        <v>0</v>
      </c>
      <c r="T351" s="23">
        <v>0</v>
      </c>
      <c r="U351" s="23">
        <v>0</v>
      </c>
      <c r="V351" s="23">
        <v>0</v>
      </c>
      <c r="W351" s="23">
        <v>0</v>
      </c>
      <c r="X351" s="23">
        <v>0</v>
      </c>
      <c r="Y351" s="23">
        <v>0</v>
      </c>
      <c r="Z351" s="23">
        <v>0</v>
      </c>
      <c r="AA351" s="23">
        <v>0</v>
      </c>
      <c r="AB351" s="23">
        <v>0</v>
      </c>
      <c r="AC351" s="23">
        <v>0</v>
      </c>
      <c r="AD351" s="23">
        <v>0</v>
      </c>
      <c r="AE351" s="23">
        <v>0</v>
      </c>
      <c r="AF351" s="23">
        <v>0</v>
      </c>
      <c r="AG351" s="23">
        <v>0</v>
      </c>
      <c r="AH351" s="23">
        <v>0</v>
      </c>
      <c r="AI351" s="10" t="s">
        <v>43</v>
      </c>
    </row>
    <row r="352" spans="2:35" x14ac:dyDescent="0.25">
      <c r="B352" s="23">
        <v>0</v>
      </c>
      <c r="C352" s="23">
        <v>0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  <c r="X352" s="23">
        <v>0</v>
      </c>
      <c r="Y352" s="23">
        <v>0</v>
      </c>
      <c r="Z352" s="23">
        <v>0</v>
      </c>
      <c r="AA352" s="23">
        <v>0</v>
      </c>
      <c r="AB352" s="23">
        <v>0</v>
      </c>
      <c r="AC352" s="23">
        <v>0</v>
      </c>
      <c r="AD352" s="23">
        <v>0</v>
      </c>
      <c r="AE352" s="23">
        <v>0</v>
      </c>
      <c r="AF352" s="23">
        <v>0</v>
      </c>
      <c r="AG352" s="23">
        <v>0</v>
      </c>
      <c r="AH352" s="23">
        <v>0</v>
      </c>
      <c r="AI352" s="10" t="s">
        <v>44</v>
      </c>
    </row>
    <row r="353" spans="2:35" x14ac:dyDescent="0.25">
      <c r="B353" s="23">
        <v>0</v>
      </c>
      <c r="C353" s="23">
        <v>0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0</v>
      </c>
      <c r="V353" s="23">
        <v>0</v>
      </c>
      <c r="W353" s="23">
        <v>0</v>
      </c>
      <c r="X353" s="23">
        <v>0</v>
      </c>
      <c r="Y353" s="23">
        <v>0</v>
      </c>
      <c r="Z353" s="23">
        <v>0</v>
      </c>
      <c r="AA353" s="23">
        <v>0</v>
      </c>
      <c r="AB353" s="23">
        <v>0</v>
      </c>
      <c r="AC353" s="23">
        <v>0</v>
      </c>
      <c r="AD353" s="23">
        <v>0</v>
      </c>
      <c r="AE353" s="23">
        <v>0</v>
      </c>
      <c r="AF353" s="23">
        <v>0</v>
      </c>
      <c r="AG353" s="23">
        <v>0</v>
      </c>
      <c r="AH353" s="23">
        <v>0</v>
      </c>
      <c r="AI353" s="10" t="s">
        <v>45</v>
      </c>
    </row>
    <row r="354" spans="2:35" x14ac:dyDescent="0.25">
      <c r="B354" s="23">
        <v>0</v>
      </c>
      <c r="C354" s="23">
        <v>0</v>
      </c>
      <c r="D354" s="23">
        <v>0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  <c r="L354" s="23">
        <v>0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0</v>
      </c>
      <c r="S354" s="23">
        <v>0</v>
      </c>
      <c r="T354" s="23">
        <v>0</v>
      </c>
      <c r="U354" s="23">
        <v>0</v>
      </c>
      <c r="V354" s="23">
        <v>0</v>
      </c>
      <c r="W354" s="23">
        <v>0</v>
      </c>
      <c r="X354" s="23">
        <v>0</v>
      </c>
      <c r="Y354" s="23">
        <v>0</v>
      </c>
      <c r="Z354" s="23">
        <v>0</v>
      </c>
      <c r="AA354" s="23">
        <v>0</v>
      </c>
      <c r="AB354" s="23">
        <v>0</v>
      </c>
      <c r="AC354" s="23">
        <v>0</v>
      </c>
      <c r="AD354" s="23">
        <v>0</v>
      </c>
      <c r="AE354" s="23">
        <v>0</v>
      </c>
      <c r="AF354" s="23">
        <v>0</v>
      </c>
      <c r="AG354" s="23">
        <v>0</v>
      </c>
      <c r="AH354" s="23">
        <v>0</v>
      </c>
      <c r="AI354" s="10" t="s">
        <v>46</v>
      </c>
    </row>
    <row r="355" spans="2:35" x14ac:dyDescent="0.25">
      <c r="B355" s="23">
        <v>0</v>
      </c>
      <c r="C355" s="23">
        <v>0</v>
      </c>
      <c r="D355" s="23">
        <v>0</v>
      </c>
      <c r="E355" s="23">
        <v>0</v>
      </c>
      <c r="F355" s="23">
        <v>0</v>
      </c>
      <c r="G355" s="23">
        <v>0</v>
      </c>
      <c r="H355" s="23">
        <v>0</v>
      </c>
      <c r="I355" s="23">
        <v>0</v>
      </c>
      <c r="J355" s="23">
        <v>0</v>
      </c>
      <c r="K355" s="23">
        <v>0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0</v>
      </c>
      <c r="U355" s="23">
        <v>0</v>
      </c>
      <c r="V355" s="23">
        <v>0</v>
      </c>
      <c r="W355" s="23">
        <v>0</v>
      </c>
      <c r="X355" s="23">
        <v>0</v>
      </c>
      <c r="Y355" s="23">
        <v>0</v>
      </c>
      <c r="Z355" s="23">
        <v>0</v>
      </c>
      <c r="AA355" s="23">
        <v>0</v>
      </c>
      <c r="AB355" s="23">
        <v>0</v>
      </c>
      <c r="AC355" s="23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10" t="s">
        <v>47</v>
      </c>
    </row>
    <row r="356" spans="2:35" x14ac:dyDescent="0.25">
      <c r="B356" s="23">
        <v>0</v>
      </c>
      <c r="C356" s="23">
        <v>0</v>
      </c>
      <c r="D356" s="23">
        <v>0</v>
      </c>
      <c r="E356" s="23">
        <v>0</v>
      </c>
      <c r="F356" s="23">
        <v>0</v>
      </c>
      <c r="G356" s="23">
        <v>0</v>
      </c>
      <c r="H356" s="23">
        <v>0</v>
      </c>
      <c r="I356" s="23">
        <v>0</v>
      </c>
      <c r="J356" s="23">
        <v>0</v>
      </c>
      <c r="K356" s="23">
        <v>0</v>
      </c>
      <c r="L356" s="23">
        <v>0</v>
      </c>
      <c r="M356" s="23">
        <v>0</v>
      </c>
      <c r="N356" s="23">
        <v>0</v>
      </c>
      <c r="O356" s="23">
        <v>0</v>
      </c>
      <c r="P356" s="23">
        <v>0</v>
      </c>
      <c r="Q356" s="23">
        <v>0</v>
      </c>
      <c r="R356" s="23">
        <v>0</v>
      </c>
      <c r="S356" s="23">
        <v>0</v>
      </c>
      <c r="T356" s="23">
        <v>0</v>
      </c>
      <c r="U356" s="23">
        <v>0</v>
      </c>
      <c r="V356" s="23">
        <v>0</v>
      </c>
      <c r="W356" s="23">
        <v>0</v>
      </c>
      <c r="X356" s="23">
        <v>0</v>
      </c>
      <c r="Y356" s="23">
        <v>0</v>
      </c>
      <c r="Z356" s="23">
        <v>0</v>
      </c>
      <c r="AA356" s="23">
        <v>0</v>
      </c>
      <c r="AB356" s="23">
        <v>0</v>
      </c>
      <c r="AC356" s="23">
        <v>0</v>
      </c>
      <c r="AD356" s="23">
        <v>0</v>
      </c>
      <c r="AE356" s="23">
        <v>0</v>
      </c>
      <c r="AF356" s="23">
        <v>0</v>
      </c>
      <c r="AG356" s="23">
        <v>0</v>
      </c>
      <c r="AH356" s="23">
        <v>0</v>
      </c>
      <c r="AI356" s="10" t="s">
        <v>48</v>
      </c>
    </row>
    <row r="357" spans="2:35" x14ac:dyDescent="0.25">
      <c r="B357" s="23">
        <v>0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0</v>
      </c>
      <c r="S357" s="23">
        <v>0</v>
      </c>
      <c r="T357" s="23">
        <v>0</v>
      </c>
      <c r="U357" s="23">
        <v>0</v>
      </c>
      <c r="V357" s="23">
        <v>0</v>
      </c>
      <c r="W357" s="23">
        <v>0</v>
      </c>
      <c r="X357" s="23">
        <v>0</v>
      </c>
      <c r="Y357" s="23">
        <v>0</v>
      </c>
      <c r="Z357" s="23">
        <v>0</v>
      </c>
      <c r="AA357" s="23">
        <v>0</v>
      </c>
      <c r="AB357" s="23">
        <v>0</v>
      </c>
      <c r="AC357" s="23">
        <v>0</v>
      </c>
      <c r="AD357" s="23">
        <v>0</v>
      </c>
      <c r="AE357" s="23">
        <v>0</v>
      </c>
      <c r="AF357" s="23">
        <v>0</v>
      </c>
      <c r="AG357" s="23">
        <v>0</v>
      </c>
      <c r="AH357" s="23">
        <v>0</v>
      </c>
      <c r="AI357" s="10" t="s">
        <v>49</v>
      </c>
    </row>
    <row r="358" spans="2:35" x14ac:dyDescent="0.25">
      <c r="B358" s="23">
        <v>0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0</v>
      </c>
      <c r="S358" s="23">
        <v>0</v>
      </c>
      <c r="T358" s="23">
        <v>0</v>
      </c>
      <c r="U358" s="23">
        <v>0</v>
      </c>
      <c r="V358" s="23">
        <v>0</v>
      </c>
      <c r="W358" s="23">
        <v>0</v>
      </c>
      <c r="X358" s="23">
        <v>0</v>
      </c>
      <c r="Y358" s="23">
        <v>0</v>
      </c>
      <c r="Z358" s="23">
        <v>0</v>
      </c>
      <c r="AA358" s="23">
        <v>0</v>
      </c>
      <c r="AB358" s="23">
        <v>0</v>
      </c>
      <c r="AC358" s="23">
        <v>0</v>
      </c>
      <c r="AD358" s="23">
        <v>0</v>
      </c>
      <c r="AE358" s="23">
        <v>0</v>
      </c>
      <c r="AF358" s="23">
        <v>0</v>
      </c>
      <c r="AG358" s="23">
        <v>0</v>
      </c>
      <c r="AH358" s="23">
        <v>0</v>
      </c>
      <c r="AI358" s="10" t="s">
        <v>50</v>
      </c>
    </row>
    <row r="359" spans="2:35" x14ac:dyDescent="0.25">
      <c r="B359" s="23">
        <v>0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0</v>
      </c>
      <c r="S359" s="23">
        <v>0</v>
      </c>
      <c r="T359" s="23">
        <v>0</v>
      </c>
      <c r="U359" s="23">
        <v>0</v>
      </c>
      <c r="V359" s="23">
        <v>0</v>
      </c>
      <c r="W359" s="23">
        <v>0</v>
      </c>
      <c r="X359" s="23">
        <v>0</v>
      </c>
      <c r="Y359" s="23">
        <v>0</v>
      </c>
      <c r="Z359" s="23">
        <v>0</v>
      </c>
      <c r="AA359" s="23">
        <v>0</v>
      </c>
      <c r="AB359" s="23">
        <v>0</v>
      </c>
      <c r="AC359" s="23">
        <v>0</v>
      </c>
      <c r="AD359" s="23">
        <v>0</v>
      </c>
      <c r="AE359" s="23">
        <v>0</v>
      </c>
      <c r="AF359" s="23">
        <v>0</v>
      </c>
      <c r="AG359" s="23">
        <v>0</v>
      </c>
      <c r="AH359" s="23">
        <v>0</v>
      </c>
      <c r="AI359" s="10" t="s">
        <v>51</v>
      </c>
    </row>
    <row r="360" spans="2:35" x14ac:dyDescent="0.25">
      <c r="B360" s="23">
        <v>0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0</v>
      </c>
      <c r="S360" s="23">
        <v>0</v>
      </c>
      <c r="T360" s="23">
        <v>0</v>
      </c>
      <c r="U360" s="23">
        <v>0</v>
      </c>
      <c r="V360" s="23">
        <v>0</v>
      </c>
      <c r="W360" s="23">
        <v>0</v>
      </c>
      <c r="X360" s="23">
        <v>0</v>
      </c>
      <c r="Y360" s="23">
        <v>0</v>
      </c>
      <c r="Z360" s="23">
        <v>0</v>
      </c>
      <c r="AA360" s="23">
        <v>0</v>
      </c>
      <c r="AB360" s="23">
        <v>0</v>
      </c>
      <c r="AC360" s="23">
        <v>0</v>
      </c>
      <c r="AD360" s="23">
        <v>0</v>
      </c>
      <c r="AE360" s="23">
        <v>0</v>
      </c>
      <c r="AF360" s="23">
        <v>0</v>
      </c>
      <c r="AG360" s="23">
        <v>0</v>
      </c>
      <c r="AH360" s="23">
        <v>0</v>
      </c>
      <c r="AI360" s="10" t="s">
        <v>52</v>
      </c>
    </row>
    <row r="361" spans="2:35" x14ac:dyDescent="0.25">
      <c r="B361" s="23">
        <v>0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0</v>
      </c>
      <c r="W361" s="23">
        <v>0</v>
      </c>
      <c r="X361" s="23">
        <v>0</v>
      </c>
      <c r="Y361" s="23">
        <v>0</v>
      </c>
      <c r="Z361" s="23">
        <v>0</v>
      </c>
      <c r="AA361" s="23">
        <v>0</v>
      </c>
      <c r="AB361" s="23">
        <v>0</v>
      </c>
      <c r="AC361" s="23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10" t="s">
        <v>53</v>
      </c>
    </row>
    <row r="362" spans="2:35" x14ac:dyDescent="0.25">
      <c r="B362" s="23">
        <v>0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  <c r="L362" s="23">
        <v>0</v>
      </c>
      <c r="M362" s="23">
        <v>0</v>
      </c>
      <c r="N362" s="23">
        <v>0</v>
      </c>
      <c r="O362" s="23">
        <v>0</v>
      </c>
      <c r="P362" s="23">
        <v>0</v>
      </c>
      <c r="Q362" s="23">
        <v>0</v>
      </c>
      <c r="R362" s="23">
        <v>0</v>
      </c>
      <c r="S362" s="23">
        <v>0</v>
      </c>
      <c r="T362" s="23">
        <v>0</v>
      </c>
      <c r="U362" s="23">
        <v>0</v>
      </c>
      <c r="V362" s="23">
        <v>0</v>
      </c>
      <c r="W362" s="23">
        <v>0</v>
      </c>
      <c r="X362" s="23">
        <v>0</v>
      </c>
      <c r="Y362" s="23">
        <v>0</v>
      </c>
      <c r="Z362" s="23">
        <v>0</v>
      </c>
      <c r="AA362" s="23">
        <v>0</v>
      </c>
      <c r="AB362" s="23">
        <v>0</v>
      </c>
      <c r="AC362" s="23">
        <v>0</v>
      </c>
      <c r="AD362" s="23">
        <v>0</v>
      </c>
      <c r="AE362" s="23">
        <v>0</v>
      </c>
      <c r="AF362" s="23">
        <v>0</v>
      </c>
      <c r="AG362" s="23">
        <v>0</v>
      </c>
      <c r="AH362" s="23">
        <v>0</v>
      </c>
      <c r="AI362" s="10" t="s">
        <v>54</v>
      </c>
    </row>
    <row r="363" spans="2:35" x14ac:dyDescent="0.25">
      <c r="B363" s="23">
        <v>0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  <c r="K363" s="23">
        <v>0</v>
      </c>
      <c r="L363" s="23">
        <v>0</v>
      </c>
      <c r="M363" s="23">
        <v>0</v>
      </c>
      <c r="N363" s="23">
        <v>0</v>
      </c>
      <c r="O363" s="23">
        <v>0</v>
      </c>
      <c r="P363" s="23">
        <v>0</v>
      </c>
      <c r="Q363" s="23">
        <v>0</v>
      </c>
      <c r="R363" s="23">
        <v>0</v>
      </c>
      <c r="S363" s="23">
        <v>0</v>
      </c>
      <c r="T363" s="23">
        <v>0</v>
      </c>
      <c r="U363" s="23">
        <v>0</v>
      </c>
      <c r="V363" s="23">
        <v>0</v>
      </c>
      <c r="W363" s="23">
        <v>0</v>
      </c>
      <c r="X363" s="23">
        <v>0</v>
      </c>
      <c r="Y363" s="23">
        <v>0</v>
      </c>
      <c r="Z363" s="23">
        <v>0</v>
      </c>
      <c r="AA363" s="23">
        <v>0</v>
      </c>
      <c r="AB363" s="23">
        <v>0</v>
      </c>
      <c r="AC363" s="23">
        <v>0</v>
      </c>
      <c r="AD363" s="23">
        <v>0</v>
      </c>
      <c r="AE363" s="23">
        <v>0</v>
      </c>
      <c r="AF363" s="23">
        <v>0</v>
      </c>
      <c r="AG363" s="23">
        <v>0</v>
      </c>
      <c r="AH363" s="23">
        <v>0</v>
      </c>
      <c r="AI363" s="10" t="s">
        <v>55</v>
      </c>
    </row>
    <row r="364" spans="2:35" x14ac:dyDescent="0.25">
      <c r="B364" s="23">
        <v>0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0</v>
      </c>
      <c r="J364" s="23">
        <v>0</v>
      </c>
      <c r="K364" s="23">
        <v>0</v>
      </c>
      <c r="L364" s="23">
        <v>0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0</v>
      </c>
      <c r="S364" s="23">
        <v>0</v>
      </c>
      <c r="T364" s="23">
        <v>0</v>
      </c>
      <c r="U364" s="23">
        <v>0</v>
      </c>
      <c r="V364" s="23">
        <v>0</v>
      </c>
      <c r="W364" s="23">
        <v>0</v>
      </c>
      <c r="X364" s="23">
        <v>0</v>
      </c>
      <c r="Y364" s="23">
        <v>0</v>
      </c>
      <c r="Z364" s="23">
        <v>0</v>
      </c>
      <c r="AA364" s="23">
        <v>0</v>
      </c>
      <c r="AB364" s="23">
        <v>0</v>
      </c>
      <c r="AC364" s="23">
        <v>0</v>
      </c>
      <c r="AD364" s="23">
        <v>0</v>
      </c>
      <c r="AE364" s="23">
        <v>0</v>
      </c>
      <c r="AF364" s="23">
        <v>0</v>
      </c>
      <c r="AG364" s="23">
        <v>0</v>
      </c>
      <c r="AH364" s="23">
        <v>0</v>
      </c>
      <c r="AI364" s="10" t="s">
        <v>56</v>
      </c>
    </row>
    <row r="365" spans="2:35" x14ac:dyDescent="0.25">
      <c r="B365" s="23">
        <v>0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0</v>
      </c>
      <c r="J365" s="23">
        <v>0</v>
      </c>
      <c r="K365" s="23">
        <v>0</v>
      </c>
      <c r="L365" s="23">
        <v>0</v>
      </c>
      <c r="M365" s="23">
        <v>0</v>
      </c>
      <c r="N365" s="23">
        <v>0</v>
      </c>
      <c r="O365" s="23">
        <v>0</v>
      </c>
      <c r="P365" s="23">
        <v>0</v>
      </c>
      <c r="Q365" s="23">
        <v>0</v>
      </c>
      <c r="R365" s="23">
        <v>0</v>
      </c>
      <c r="S365" s="23">
        <v>0</v>
      </c>
      <c r="T365" s="23">
        <v>0</v>
      </c>
      <c r="U365" s="23">
        <v>0</v>
      </c>
      <c r="V365" s="23">
        <v>0</v>
      </c>
      <c r="W365" s="23">
        <v>0</v>
      </c>
      <c r="X365" s="23">
        <v>0</v>
      </c>
      <c r="Y365" s="23">
        <v>0</v>
      </c>
      <c r="Z365" s="23">
        <v>0</v>
      </c>
      <c r="AA365" s="23">
        <v>0</v>
      </c>
      <c r="AB365" s="23">
        <v>0</v>
      </c>
      <c r="AC365" s="23">
        <v>0</v>
      </c>
      <c r="AD365" s="23">
        <v>0</v>
      </c>
      <c r="AE365" s="23">
        <v>0</v>
      </c>
      <c r="AF365" s="23">
        <v>0</v>
      </c>
      <c r="AG365" s="23">
        <v>0</v>
      </c>
      <c r="AH365" s="23">
        <v>0</v>
      </c>
      <c r="AI365" s="10" t="s">
        <v>57</v>
      </c>
    </row>
    <row r="366" spans="2:35" x14ac:dyDescent="0.25">
      <c r="B366" s="23">
        <v>0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  <c r="L366" s="23">
        <v>0</v>
      </c>
      <c r="M366" s="23">
        <v>0</v>
      </c>
      <c r="N366" s="23">
        <v>0</v>
      </c>
      <c r="O366" s="23">
        <v>0</v>
      </c>
      <c r="P366" s="23">
        <v>0</v>
      </c>
      <c r="Q366" s="23">
        <v>0</v>
      </c>
      <c r="R366" s="23">
        <v>0</v>
      </c>
      <c r="S366" s="23">
        <v>0</v>
      </c>
      <c r="T366" s="23">
        <v>0</v>
      </c>
      <c r="U366" s="23">
        <v>0</v>
      </c>
      <c r="V366" s="23">
        <v>0</v>
      </c>
      <c r="W366" s="23">
        <v>0</v>
      </c>
      <c r="X366" s="23">
        <v>0</v>
      </c>
      <c r="Y366" s="23">
        <v>0</v>
      </c>
      <c r="Z366" s="23">
        <v>0</v>
      </c>
      <c r="AA366" s="23">
        <v>0</v>
      </c>
      <c r="AB366" s="23">
        <v>0</v>
      </c>
      <c r="AC366" s="23">
        <v>0</v>
      </c>
      <c r="AD366" s="23">
        <v>0</v>
      </c>
      <c r="AE366" s="23">
        <v>0</v>
      </c>
      <c r="AF366" s="23">
        <v>0</v>
      </c>
      <c r="AG366" s="23">
        <v>0</v>
      </c>
      <c r="AH366" s="23">
        <v>0</v>
      </c>
      <c r="AI366" s="10" t="s">
        <v>58</v>
      </c>
    </row>
    <row r="367" spans="2:35" x14ac:dyDescent="0.25">
      <c r="B367" s="23">
        <v>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0</v>
      </c>
      <c r="K367" s="23">
        <v>0</v>
      </c>
      <c r="L367" s="23">
        <v>0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0</v>
      </c>
      <c r="S367" s="23">
        <v>0</v>
      </c>
      <c r="T367" s="23">
        <v>0</v>
      </c>
      <c r="U367" s="23">
        <v>0</v>
      </c>
      <c r="V367" s="23">
        <v>0</v>
      </c>
      <c r="W367" s="23">
        <v>0</v>
      </c>
      <c r="X367" s="23">
        <v>0</v>
      </c>
      <c r="Y367" s="23">
        <v>0</v>
      </c>
      <c r="Z367" s="23">
        <v>0</v>
      </c>
      <c r="AA367" s="23">
        <v>0</v>
      </c>
      <c r="AB367" s="23">
        <v>0</v>
      </c>
      <c r="AC367" s="23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10" t="s">
        <v>59</v>
      </c>
    </row>
    <row r="368" spans="2:35" x14ac:dyDescent="0.25">
      <c r="B368" s="23">
        <v>0</v>
      </c>
      <c r="C368" s="23">
        <v>0</v>
      </c>
      <c r="D368" s="23">
        <v>0</v>
      </c>
      <c r="E368" s="23">
        <v>0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0</v>
      </c>
      <c r="S368" s="23">
        <v>0</v>
      </c>
      <c r="T368" s="23">
        <v>0</v>
      </c>
      <c r="U368" s="23">
        <v>0</v>
      </c>
      <c r="V368" s="23">
        <v>0</v>
      </c>
      <c r="W368" s="23">
        <v>0</v>
      </c>
      <c r="X368" s="23">
        <v>0</v>
      </c>
      <c r="Y368" s="23">
        <v>0</v>
      </c>
      <c r="Z368" s="23">
        <v>0</v>
      </c>
      <c r="AA368" s="23">
        <v>0</v>
      </c>
      <c r="AB368" s="23">
        <v>0</v>
      </c>
      <c r="AC368" s="23">
        <v>0</v>
      </c>
      <c r="AD368" s="23">
        <v>0</v>
      </c>
      <c r="AE368" s="23">
        <v>0</v>
      </c>
      <c r="AF368" s="23">
        <v>0</v>
      </c>
      <c r="AG368" s="23">
        <v>0</v>
      </c>
      <c r="AH368" s="23">
        <v>0</v>
      </c>
      <c r="AI368" s="10" t="s">
        <v>60</v>
      </c>
    </row>
    <row r="369" spans="2:35" x14ac:dyDescent="0.25">
      <c r="B369" s="23">
        <v>0</v>
      </c>
      <c r="C369" s="23">
        <v>0</v>
      </c>
      <c r="D369" s="23">
        <v>0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  <c r="L369" s="23">
        <v>0</v>
      </c>
      <c r="M369" s="23">
        <v>0</v>
      </c>
      <c r="N369" s="23">
        <v>0</v>
      </c>
      <c r="O369" s="23">
        <v>0</v>
      </c>
      <c r="P369" s="23">
        <v>0</v>
      </c>
      <c r="Q369" s="23">
        <v>0</v>
      </c>
      <c r="R369" s="23">
        <v>0</v>
      </c>
      <c r="S369" s="23">
        <v>0</v>
      </c>
      <c r="T369" s="23">
        <v>0</v>
      </c>
      <c r="U369" s="23">
        <v>0</v>
      </c>
      <c r="V369" s="23">
        <v>0</v>
      </c>
      <c r="W369" s="23">
        <v>0</v>
      </c>
      <c r="X369" s="23">
        <v>0</v>
      </c>
      <c r="Y369" s="23">
        <v>0</v>
      </c>
      <c r="Z369" s="23">
        <v>0</v>
      </c>
      <c r="AA369" s="23">
        <v>0</v>
      </c>
      <c r="AB369" s="23">
        <v>0</v>
      </c>
      <c r="AC369" s="23">
        <v>0</v>
      </c>
      <c r="AD369" s="23">
        <v>0</v>
      </c>
      <c r="AE369" s="23">
        <v>0</v>
      </c>
      <c r="AF369" s="23">
        <v>0</v>
      </c>
      <c r="AG369" s="23">
        <v>0</v>
      </c>
      <c r="AH369" s="23">
        <v>0</v>
      </c>
      <c r="AI369" s="10" t="s">
        <v>61</v>
      </c>
    </row>
    <row r="370" spans="2:35" x14ac:dyDescent="0.25">
      <c r="B370" s="23">
        <v>0</v>
      </c>
      <c r="C370" s="23">
        <v>0</v>
      </c>
      <c r="D370" s="23">
        <v>0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0</v>
      </c>
      <c r="AA370" s="23">
        <v>0</v>
      </c>
      <c r="AB370" s="23">
        <v>0</v>
      </c>
      <c r="AC370" s="23">
        <v>0</v>
      </c>
      <c r="AD370" s="23">
        <v>0</v>
      </c>
      <c r="AE370" s="23">
        <v>0</v>
      </c>
      <c r="AF370" s="23">
        <v>0</v>
      </c>
      <c r="AG370" s="23">
        <v>0</v>
      </c>
      <c r="AH370" s="23">
        <v>0</v>
      </c>
      <c r="AI370" s="10" t="s">
        <v>62</v>
      </c>
    </row>
    <row r="371" spans="2:35" x14ac:dyDescent="0.25">
      <c r="B371" s="23">
        <v>0</v>
      </c>
      <c r="C371" s="23">
        <v>0</v>
      </c>
      <c r="D371" s="23">
        <v>0</v>
      </c>
      <c r="E371" s="23">
        <v>0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  <c r="X371" s="23">
        <v>0</v>
      </c>
      <c r="Y371" s="23">
        <v>0</v>
      </c>
      <c r="Z371" s="23">
        <v>0</v>
      </c>
      <c r="AA371" s="23">
        <v>0</v>
      </c>
      <c r="AB371" s="23">
        <v>0</v>
      </c>
      <c r="AC371" s="23">
        <v>0</v>
      </c>
      <c r="AD371" s="23">
        <v>0</v>
      </c>
      <c r="AE371" s="23">
        <v>0</v>
      </c>
      <c r="AF371" s="23">
        <v>0</v>
      </c>
      <c r="AG371" s="23">
        <v>0</v>
      </c>
      <c r="AH371" s="23">
        <v>0</v>
      </c>
      <c r="AI371" s="10" t="s">
        <v>63</v>
      </c>
    </row>
    <row r="372" spans="2:35" x14ac:dyDescent="0.25">
      <c r="B372" s="23">
        <v>0</v>
      </c>
      <c r="C372" s="23">
        <v>0</v>
      </c>
      <c r="D372" s="23">
        <v>0</v>
      </c>
      <c r="E372" s="23">
        <v>0</v>
      </c>
      <c r="F372" s="23">
        <v>0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  <c r="L372" s="23">
        <v>0</v>
      </c>
      <c r="M372" s="23">
        <v>0</v>
      </c>
      <c r="N372" s="23">
        <v>0</v>
      </c>
      <c r="O372" s="23">
        <v>0</v>
      </c>
      <c r="P372" s="23">
        <v>0</v>
      </c>
      <c r="Q372" s="23">
        <v>0</v>
      </c>
      <c r="R372" s="23">
        <v>0</v>
      </c>
      <c r="S372" s="23">
        <v>0</v>
      </c>
      <c r="T372" s="23">
        <v>0</v>
      </c>
      <c r="U372" s="23">
        <v>0</v>
      </c>
      <c r="V372" s="23">
        <v>0</v>
      </c>
      <c r="W372" s="23">
        <v>0</v>
      </c>
      <c r="X372" s="23">
        <v>0</v>
      </c>
      <c r="Y372" s="23">
        <v>0</v>
      </c>
      <c r="Z372" s="23">
        <v>0</v>
      </c>
      <c r="AA372" s="23">
        <v>0</v>
      </c>
      <c r="AB372" s="23">
        <v>0</v>
      </c>
      <c r="AC372" s="23">
        <v>0</v>
      </c>
      <c r="AD372" s="23">
        <v>0</v>
      </c>
      <c r="AE372" s="23">
        <v>0</v>
      </c>
      <c r="AF372" s="23">
        <v>0</v>
      </c>
      <c r="AG372" s="23">
        <v>0</v>
      </c>
      <c r="AH372" s="23">
        <v>0</v>
      </c>
      <c r="AI372" s="10" t="s">
        <v>64</v>
      </c>
    </row>
    <row r="373" spans="2:35" x14ac:dyDescent="0.25">
      <c r="B373" s="23">
        <v>0</v>
      </c>
      <c r="C373" s="23">
        <v>0</v>
      </c>
      <c r="D373" s="23">
        <v>0</v>
      </c>
      <c r="E373" s="23">
        <v>0</v>
      </c>
      <c r="F373" s="23">
        <v>0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  <c r="X373" s="23">
        <v>0</v>
      </c>
      <c r="Y373" s="23">
        <v>0</v>
      </c>
      <c r="Z373" s="23">
        <v>0</v>
      </c>
      <c r="AA373" s="23">
        <v>0</v>
      </c>
      <c r="AB373" s="23">
        <v>0</v>
      </c>
      <c r="AC373" s="23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10" t="s">
        <v>65</v>
      </c>
    </row>
    <row r="374" spans="2:35" x14ac:dyDescent="0.25">
      <c r="B374" s="23">
        <v>0</v>
      </c>
      <c r="C374" s="23">
        <v>0</v>
      </c>
      <c r="D374" s="23">
        <v>0</v>
      </c>
      <c r="E374" s="23">
        <v>0</v>
      </c>
      <c r="F374" s="23">
        <v>0</v>
      </c>
      <c r="G374" s="23">
        <v>0</v>
      </c>
      <c r="H374" s="23">
        <v>0</v>
      </c>
      <c r="I374" s="23">
        <v>0</v>
      </c>
      <c r="J374" s="23">
        <v>0</v>
      </c>
      <c r="K374" s="23">
        <v>0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3">
        <v>0</v>
      </c>
      <c r="S374" s="23">
        <v>0</v>
      </c>
      <c r="T374" s="23">
        <v>0</v>
      </c>
      <c r="U374" s="23">
        <v>0</v>
      </c>
      <c r="V374" s="23">
        <v>0</v>
      </c>
      <c r="W374" s="23">
        <v>0</v>
      </c>
      <c r="X374" s="23">
        <v>0</v>
      </c>
      <c r="Y374" s="23">
        <v>0</v>
      </c>
      <c r="Z374" s="23">
        <v>0</v>
      </c>
      <c r="AA374" s="23">
        <v>0</v>
      </c>
      <c r="AB374" s="23">
        <v>0</v>
      </c>
      <c r="AC374" s="23">
        <v>0</v>
      </c>
      <c r="AD374" s="23">
        <v>0</v>
      </c>
      <c r="AE374" s="23">
        <v>0</v>
      </c>
      <c r="AF374" s="23">
        <v>0</v>
      </c>
      <c r="AG374" s="23">
        <v>0</v>
      </c>
      <c r="AH374" s="23">
        <v>0</v>
      </c>
      <c r="AI374" s="10" t="s">
        <v>66</v>
      </c>
    </row>
    <row r="375" spans="2:35" x14ac:dyDescent="0.25">
      <c r="B375" s="23">
        <v>0</v>
      </c>
      <c r="C375" s="23">
        <v>0</v>
      </c>
      <c r="D375" s="23">
        <v>0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  <c r="L375" s="23">
        <v>0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0</v>
      </c>
      <c r="S375" s="23">
        <v>0</v>
      </c>
      <c r="T375" s="23">
        <v>0</v>
      </c>
      <c r="U375" s="23">
        <v>0</v>
      </c>
      <c r="V375" s="23">
        <v>0</v>
      </c>
      <c r="W375" s="23">
        <v>0</v>
      </c>
      <c r="X375" s="23">
        <v>0</v>
      </c>
      <c r="Y375" s="23">
        <v>0</v>
      </c>
      <c r="Z375" s="23">
        <v>0</v>
      </c>
      <c r="AA375" s="23">
        <v>0</v>
      </c>
      <c r="AB375" s="23">
        <v>0</v>
      </c>
      <c r="AC375" s="23">
        <v>0</v>
      </c>
      <c r="AD375" s="23">
        <v>0</v>
      </c>
      <c r="AE375" s="23">
        <v>0</v>
      </c>
      <c r="AF375" s="23">
        <v>0</v>
      </c>
      <c r="AG375" s="23">
        <v>0</v>
      </c>
      <c r="AH375" s="23">
        <v>0</v>
      </c>
      <c r="AI375" s="10" t="s">
        <v>67</v>
      </c>
    </row>
    <row r="376" spans="2:35" x14ac:dyDescent="0.25">
      <c r="B376" s="23">
        <v>0</v>
      </c>
      <c r="C376" s="23">
        <v>0</v>
      </c>
      <c r="D376" s="23">
        <v>0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0</v>
      </c>
      <c r="S376" s="23">
        <v>0</v>
      </c>
      <c r="T376" s="23">
        <v>0</v>
      </c>
      <c r="U376" s="23">
        <v>0</v>
      </c>
      <c r="V376" s="23">
        <v>0</v>
      </c>
      <c r="W376" s="23">
        <v>0</v>
      </c>
      <c r="X376" s="23">
        <v>0</v>
      </c>
      <c r="Y376" s="23">
        <v>0</v>
      </c>
      <c r="Z376" s="23">
        <v>0</v>
      </c>
      <c r="AA376" s="23">
        <v>0</v>
      </c>
      <c r="AB376" s="23">
        <v>0</v>
      </c>
      <c r="AC376" s="23">
        <v>0</v>
      </c>
      <c r="AD376" s="23">
        <v>0</v>
      </c>
      <c r="AE376" s="23">
        <v>0</v>
      </c>
      <c r="AF376" s="23">
        <v>0</v>
      </c>
      <c r="AG376" s="23">
        <v>0</v>
      </c>
      <c r="AH376" s="23">
        <v>0</v>
      </c>
      <c r="AI376" s="10" t="s">
        <v>68</v>
      </c>
    </row>
    <row r="378" spans="2:7" x14ac:dyDescent="0.25">
      <c r="B378" s="19" t="str">
        <f>IF(C30="","", CONCATENATE("U",C30,"X"))</f>
        <v/>
      </c>
      <c r="C378" s="19" t="str">
        <f>IF(D30="","", CONCATENATE("U",D30,"Y"))</f>
        <v/>
      </c>
      <c r="D378" s="19" t="str">
        <f>IF(E30="","", CONCATENATE("U",E30,"θ"))</f>
        <v/>
      </c>
      <c r="E378" s="19" t="str">
        <f>IF(F30="","", CONCATENATE("U",F30,"X"))</f>
        <v/>
      </c>
      <c r="F378" s="19" t="str">
        <f>IF(G30="","", CONCATENATE("U",G30,"Y"))</f>
        <v/>
      </c>
      <c r="G378" s="19" t="str">
        <f>IF(H30="","", CONCATENATE("U",H30,"θ"))</f>
        <v/>
      </c>
    </row>
    <row r="379" spans="2:8" x14ac:dyDescent="0.25">
      <c r="B379" s="12">
        <f>IF(I17="", 0, O17*J17*J17+P17*K17*K17)</f>
        <v>0</v>
      </c>
      <c r="C379" s="12">
        <f>IF(I17="", 0, (O17-P17)*(J17*K17))</f>
        <v>0</v>
      </c>
      <c r="D379" s="12">
        <f>IF(I17="", 0, -Q17*K17)</f>
        <v>0</v>
      </c>
      <c r="E379" s="12">
        <f>-B379</f>
        <v>0</v>
      </c>
      <c r="F379" s="12">
        <f>-C379</f>
        <v>0</v>
      </c>
      <c r="G379" s="12">
        <f>D379</f>
        <v>0</v>
      </c>
      <c r="H379" s="20">
        <f>B378</f>
      </c>
    </row>
    <row r="380" spans="2:8" x14ac:dyDescent="0.25">
      <c r="B380" s="12">
        <f>C379</f>
        <v>0</v>
      </c>
      <c r="C380" s="12">
        <f>IF(I17="", 0, O17*K17*K17+P17*J17*J17)</f>
        <v>0</v>
      </c>
      <c r="D380" s="12">
        <f>IF(I17="", 0, Q17*J17)</f>
        <v>0</v>
      </c>
      <c r="E380" s="12">
        <f>-B380</f>
        <v>0</v>
      </c>
      <c r="F380" s="12">
        <f>-C380</f>
        <v>0</v>
      </c>
      <c r="G380" s="12">
        <f>D380</f>
        <v>0</v>
      </c>
      <c r="H380" s="20">
        <f>C378</f>
      </c>
    </row>
    <row r="381" spans="1:8" x14ac:dyDescent="0.25">
      <c r="A381" s="21" t="s">
        <v>76</v>
      </c>
      <c r="B381" s="12">
        <f>D379</f>
        <v>0</v>
      </c>
      <c r="C381" s="12">
        <f>D380</f>
        <v>0</v>
      </c>
      <c r="D381" s="12">
        <f>IF(I17="", 0, R17)</f>
        <v>0</v>
      </c>
      <c r="E381" s="12">
        <f>-B381</f>
        <v>0</v>
      </c>
      <c r="F381" s="12">
        <f>-C381</f>
        <v>0</v>
      </c>
      <c r="G381" s="12">
        <f>IF(I17="", 0, S17)</f>
        <v>0</v>
      </c>
      <c r="H381" s="20">
        <f>D378</f>
      </c>
    </row>
    <row r="382" spans="2:8" x14ac:dyDescent="0.25">
      <c r="B382" s="12">
        <f>E379</f>
        <v>0</v>
      </c>
      <c r="C382" s="12">
        <f>E380</f>
        <v>0</v>
      </c>
      <c r="D382" s="12">
        <f>E381</f>
        <v>0</v>
      </c>
      <c r="E382" s="12">
        <f>B379</f>
        <v>0</v>
      </c>
      <c r="F382" s="12">
        <f>C379</f>
        <v>0</v>
      </c>
      <c r="G382" s="12">
        <f>-D379</f>
        <v>0</v>
      </c>
      <c r="H382" s="20">
        <f>E378</f>
      </c>
    </row>
    <row r="383" spans="2:8" x14ac:dyDescent="0.25">
      <c r="B383" s="12">
        <f>F379</f>
        <v>0</v>
      </c>
      <c r="C383" s="12">
        <f>F380</f>
        <v>0</v>
      </c>
      <c r="D383" s="12">
        <f>F381</f>
        <v>0</v>
      </c>
      <c r="E383" s="12">
        <f>F382</f>
        <v>0</v>
      </c>
      <c r="F383" s="12">
        <f>C380</f>
        <v>0</v>
      </c>
      <c r="G383" s="12">
        <f>-D380</f>
        <v>0</v>
      </c>
      <c r="H383" s="20">
        <f>F378</f>
      </c>
    </row>
    <row r="384" spans="2:8" x14ac:dyDescent="0.25">
      <c r="B384" s="12">
        <f>G379</f>
        <v>0</v>
      </c>
      <c r="C384" s="12">
        <f>G380</f>
        <v>0</v>
      </c>
      <c r="D384" s="12">
        <f>G381</f>
        <v>0</v>
      </c>
      <c r="E384" s="12">
        <f>G382</f>
        <v>0</v>
      </c>
      <c r="F384" s="12">
        <f>G383</f>
        <v>0</v>
      </c>
      <c r="G384" s="12">
        <f>D381</f>
        <v>0</v>
      </c>
      <c r="H384" s="20">
        <f>G378</f>
      </c>
    </row>
    <row r="386" spans="2:34" x14ac:dyDescent="0.25">
      <c r="B386" s="10" t="s">
        <v>36</v>
      </c>
      <c r="C386" s="10" t="s">
        <v>37</v>
      </c>
      <c r="D386" s="10" t="s">
        <v>38</v>
      </c>
      <c r="E386" s="10" t="s">
        <v>39</v>
      </c>
      <c r="F386" s="10" t="s">
        <v>40</v>
      </c>
      <c r="G386" s="10" t="s">
        <v>41</v>
      </c>
      <c r="H386" s="10" t="s">
        <v>42</v>
      </c>
      <c r="I386" s="10" t="s">
        <v>43</v>
      </c>
      <c r="J386" s="10" t="s">
        <v>44</v>
      </c>
      <c r="K386" s="10" t="s">
        <v>45</v>
      </c>
      <c r="L386" s="10" t="s">
        <v>46</v>
      </c>
      <c r="M386" s="10" t="s">
        <v>47</v>
      </c>
      <c r="N386" s="10" t="s">
        <v>48</v>
      </c>
      <c r="O386" s="10" t="s">
        <v>49</v>
      </c>
      <c r="P386" s="10" t="s">
        <v>50</v>
      </c>
      <c r="Q386" s="10" t="s">
        <v>51</v>
      </c>
      <c r="R386" s="10" t="s">
        <v>52</v>
      </c>
      <c r="S386" s="10" t="s">
        <v>53</v>
      </c>
      <c r="T386" s="10" t="s">
        <v>54</v>
      </c>
      <c r="U386" s="10" t="s">
        <v>55</v>
      </c>
      <c r="V386" s="10" t="s">
        <v>56</v>
      </c>
      <c r="W386" s="10" t="s">
        <v>57</v>
      </c>
      <c r="X386" s="10" t="s">
        <v>58</v>
      </c>
      <c r="Y386" s="10" t="s">
        <v>59</v>
      </c>
      <c r="Z386" s="10" t="s">
        <v>60</v>
      </c>
      <c r="AA386" s="10" t="s">
        <v>61</v>
      </c>
      <c r="AB386" s="10" t="s">
        <v>62</v>
      </c>
      <c r="AC386" s="10" t="s">
        <v>63</v>
      </c>
      <c r="AD386" s="10" t="s">
        <v>64</v>
      </c>
      <c r="AE386" s="10" t="s">
        <v>65</v>
      </c>
      <c r="AF386" s="10" t="s">
        <v>66</v>
      </c>
      <c r="AG386" s="10" t="s">
        <v>67</v>
      </c>
      <c r="AH386" s="10" t="s">
        <v>68</v>
      </c>
    </row>
    <row r="387" spans="2:35" x14ac:dyDescent="0.25">
      <c r="B387" s="23">
        <v>0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  <c r="K387" s="23">
        <v>0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0</v>
      </c>
      <c r="S387" s="23">
        <v>0</v>
      </c>
      <c r="T387" s="23">
        <v>0</v>
      </c>
      <c r="U387" s="23">
        <v>0</v>
      </c>
      <c r="V387" s="23">
        <v>0</v>
      </c>
      <c r="W387" s="23">
        <v>0</v>
      </c>
      <c r="X387" s="23">
        <v>0</v>
      </c>
      <c r="Y387" s="23">
        <v>0</v>
      </c>
      <c r="Z387" s="23">
        <v>0</v>
      </c>
      <c r="AA387" s="23">
        <v>0</v>
      </c>
      <c r="AB387" s="23">
        <v>0</v>
      </c>
      <c r="AC387" s="23">
        <v>0</v>
      </c>
      <c r="AD387" s="23">
        <v>0</v>
      </c>
      <c r="AE387" s="23">
        <v>0</v>
      </c>
      <c r="AF387" s="23">
        <v>0</v>
      </c>
      <c r="AG387" s="23">
        <v>0</v>
      </c>
      <c r="AH387" s="23">
        <v>0</v>
      </c>
      <c r="AI387" s="10" t="s">
        <v>36</v>
      </c>
    </row>
    <row r="388" spans="2:35" x14ac:dyDescent="0.25">
      <c r="B388" s="23">
        <v>0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3">
        <v>0</v>
      </c>
      <c r="AB388" s="23">
        <v>0</v>
      </c>
      <c r="AC388" s="23">
        <v>0</v>
      </c>
      <c r="AD388" s="23">
        <v>0</v>
      </c>
      <c r="AE388" s="23">
        <v>0</v>
      </c>
      <c r="AF388" s="23">
        <v>0</v>
      </c>
      <c r="AG388" s="23">
        <v>0</v>
      </c>
      <c r="AH388" s="23">
        <v>0</v>
      </c>
      <c r="AI388" s="10" t="s">
        <v>37</v>
      </c>
    </row>
    <row r="389" spans="2:35" x14ac:dyDescent="0.25">
      <c r="B389" s="23">
        <v>0</v>
      </c>
      <c r="C389" s="23">
        <v>0</v>
      </c>
      <c r="D389" s="23">
        <v>0</v>
      </c>
      <c r="E389" s="23">
        <v>0</v>
      </c>
      <c r="F389" s="23">
        <v>0</v>
      </c>
      <c r="G389" s="23">
        <v>0</v>
      </c>
      <c r="H389" s="23">
        <v>0</v>
      </c>
      <c r="I389" s="23">
        <v>0</v>
      </c>
      <c r="J389" s="23">
        <v>0</v>
      </c>
      <c r="K389" s="23">
        <v>0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3">
        <v>0</v>
      </c>
      <c r="T389" s="23">
        <v>0</v>
      </c>
      <c r="U389" s="23">
        <v>0</v>
      </c>
      <c r="V389" s="23">
        <v>0</v>
      </c>
      <c r="W389" s="23">
        <v>0</v>
      </c>
      <c r="X389" s="23">
        <v>0</v>
      </c>
      <c r="Y389" s="23">
        <v>0</v>
      </c>
      <c r="Z389" s="23">
        <v>0</v>
      </c>
      <c r="AA389" s="23">
        <v>0</v>
      </c>
      <c r="AB389" s="23">
        <v>0</v>
      </c>
      <c r="AC389" s="23">
        <v>0</v>
      </c>
      <c r="AD389" s="23">
        <v>0</v>
      </c>
      <c r="AE389" s="23">
        <v>0</v>
      </c>
      <c r="AF389" s="23">
        <v>0</v>
      </c>
      <c r="AG389" s="23">
        <v>0</v>
      </c>
      <c r="AH389" s="23">
        <v>0</v>
      </c>
      <c r="AI389" s="10" t="s">
        <v>38</v>
      </c>
    </row>
    <row r="390" spans="2:35" x14ac:dyDescent="0.25">
      <c r="B390" s="23">
        <v>0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  <c r="L390" s="23">
        <v>0</v>
      </c>
      <c r="M390" s="23">
        <v>0</v>
      </c>
      <c r="N390" s="23">
        <v>0</v>
      </c>
      <c r="O390" s="23">
        <v>0</v>
      </c>
      <c r="P390" s="23">
        <v>0</v>
      </c>
      <c r="Q390" s="23">
        <v>0</v>
      </c>
      <c r="R390" s="23">
        <v>0</v>
      </c>
      <c r="S390" s="23">
        <v>0</v>
      </c>
      <c r="T390" s="23">
        <v>0</v>
      </c>
      <c r="U390" s="23">
        <v>0</v>
      </c>
      <c r="V390" s="23">
        <v>0</v>
      </c>
      <c r="W390" s="23">
        <v>0</v>
      </c>
      <c r="X390" s="23">
        <v>0</v>
      </c>
      <c r="Y390" s="23">
        <v>0</v>
      </c>
      <c r="Z390" s="23">
        <v>0</v>
      </c>
      <c r="AA390" s="23">
        <v>0</v>
      </c>
      <c r="AB390" s="23">
        <v>0</v>
      </c>
      <c r="AC390" s="23">
        <v>0</v>
      </c>
      <c r="AD390" s="23">
        <v>0</v>
      </c>
      <c r="AE390" s="23">
        <v>0</v>
      </c>
      <c r="AF390" s="23">
        <v>0</v>
      </c>
      <c r="AG390" s="23">
        <v>0</v>
      </c>
      <c r="AH390" s="23">
        <v>0</v>
      </c>
      <c r="AI390" s="10" t="s">
        <v>39</v>
      </c>
    </row>
    <row r="391" spans="2:35" x14ac:dyDescent="0.25">
      <c r="B391" s="23">
        <v>0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0</v>
      </c>
      <c r="J391" s="23">
        <v>0</v>
      </c>
      <c r="K391" s="23">
        <v>0</v>
      </c>
      <c r="L391" s="23">
        <v>0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0</v>
      </c>
      <c r="V391" s="23">
        <v>0</v>
      </c>
      <c r="W391" s="23">
        <v>0</v>
      </c>
      <c r="X391" s="23">
        <v>0</v>
      </c>
      <c r="Y391" s="23">
        <v>0</v>
      </c>
      <c r="Z391" s="23">
        <v>0</v>
      </c>
      <c r="AA391" s="23">
        <v>0</v>
      </c>
      <c r="AB391" s="23">
        <v>0</v>
      </c>
      <c r="AC391" s="23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10" t="s">
        <v>40</v>
      </c>
    </row>
    <row r="392" spans="2:35" x14ac:dyDescent="0.25">
      <c r="B392" s="23">
        <v>0</v>
      </c>
      <c r="C392" s="23">
        <v>0</v>
      </c>
      <c r="D392" s="23">
        <v>0</v>
      </c>
      <c r="E392" s="23">
        <v>0</v>
      </c>
      <c r="F392" s="23">
        <v>0</v>
      </c>
      <c r="G392" s="23">
        <v>0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0</v>
      </c>
      <c r="S392" s="23">
        <v>0</v>
      </c>
      <c r="T392" s="23">
        <v>0</v>
      </c>
      <c r="U392" s="23">
        <v>0</v>
      </c>
      <c r="V392" s="23">
        <v>0</v>
      </c>
      <c r="W392" s="23">
        <v>0</v>
      </c>
      <c r="X392" s="23">
        <v>0</v>
      </c>
      <c r="Y392" s="23">
        <v>0</v>
      </c>
      <c r="Z392" s="23">
        <v>0</v>
      </c>
      <c r="AA392" s="23">
        <v>0</v>
      </c>
      <c r="AB392" s="23">
        <v>0</v>
      </c>
      <c r="AC392" s="23">
        <v>0</v>
      </c>
      <c r="AD392" s="23">
        <v>0</v>
      </c>
      <c r="AE392" s="23">
        <v>0</v>
      </c>
      <c r="AF392" s="23">
        <v>0</v>
      </c>
      <c r="AG392" s="23">
        <v>0</v>
      </c>
      <c r="AH392" s="23">
        <v>0</v>
      </c>
      <c r="AI392" s="10" t="s">
        <v>41</v>
      </c>
    </row>
    <row r="393" spans="2:35" x14ac:dyDescent="0.25">
      <c r="B393" s="23">
        <v>0</v>
      </c>
      <c r="C393" s="23">
        <v>0</v>
      </c>
      <c r="D393" s="23">
        <v>0</v>
      </c>
      <c r="E393" s="23">
        <v>0</v>
      </c>
      <c r="F393" s="23">
        <v>0</v>
      </c>
      <c r="G393" s="23">
        <v>0</v>
      </c>
      <c r="H393" s="23">
        <v>0</v>
      </c>
      <c r="I393" s="23">
        <v>0</v>
      </c>
      <c r="J393" s="23">
        <v>0</v>
      </c>
      <c r="K393" s="23">
        <v>0</v>
      </c>
      <c r="L393" s="23">
        <v>0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0</v>
      </c>
      <c r="S393" s="23">
        <v>0</v>
      </c>
      <c r="T393" s="23">
        <v>0</v>
      </c>
      <c r="U393" s="23">
        <v>0</v>
      </c>
      <c r="V393" s="23">
        <v>0</v>
      </c>
      <c r="W393" s="23">
        <v>0</v>
      </c>
      <c r="X393" s="23">
        <v>0</v>
      </c>
      <c r="Y393" s="23">
        <v>0</v>
      </c>
      <c r="Z393" s="23">
        <v>0</v>
      </c>
      <c r="AA393" s="23">
        <v>0</v>
      </c>
      <c r="AB393" s="23">
        <v>0</v>
      </c>
      <c r="AC393" s="23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0</v>
      </c>
      <c r="AI393" s="10" t="s">
        <v>42</v>
      </c>
    </row>
    <row r="394" spans="2:35" x14ac:dyDescent="0.25">
      <c r="B394" s="23">
        <v>0</v>
      </c>
      <c r="C394" s="23">
        <v>0</v>
      </c>
      <c r="D394" s="23">
        <v>0</v>
      </c>
      <c r="E394" s="23">
        <v>0</v>
      </c>
      <c r="F394" s="23">
        <v>0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0</v>
      </c>
      <c r="V394" s="23">
        <v>0</v>
      </c>
      <c r="W394" s="23">
        <v>0</v>
      </c>
      <c r="X394" s="23">
        <v>0</v>
      </c>
      <c r="Y394" s="23">
        <v>0</v>
      </c>
      <c r="Z394" s="23">
        <v>0</v>
      </c>
      <c r="AA394" s="23">
        <v>0</v>
      </c>
      <c r="AB394" s="23">
        <v>0</v>
      </c>
      <c r="AC394" s="23">
        <v>0</v>
      </c>
      <c r="AD394" s="23">
        <v>0</v>
      </c>
      <c r="AE394" s="23">
        <v>0</v>
      </c>
      <c r="AF394" s="23">
        <v>0</v>
      </c>
      <c r="AG394" s="23">
        <v>0</v>
      </c>
      <c r="AH394" s="23">
        <v>0</v>
      </c>
      <c r="AI394" s="10" t="s">
        <v>43</v>
      </c>
    </row>
    <row r="395" spans="2:35" x14ac:dyDescent="0.25">
      <c r="B395" s="23">
        <v>0</v>
      </c>
      <c r="C395" s="23">
        <v>0</v>
      </c>
      <c r="D395" s="23">
        <v>0</v>
      </c>
      <c r="E395" s="23">
        <v>0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3">
        <v>0</v>
      </c>
      <c r="S395" s="23">
        <v>0</v>
      </c>
      <c r="T395" s="23">
        <v>0</v>
      </c>
      <c r="U395" s="23">
        <v>0</v>
      </c>
      <c r="V395" s="23">
        <v>0</v>
      </c>
      <c r="W395" s="23">
        <v>0</v>
      </c>
      <c r="X395" s="23">
        <v>0</v>
      </c>
      <c r="Y395" s="23">
        <v>0</v>
      </c>
      <c r="Z395" s="23">
        <v>0</v>
      </c>
      <c r="AA395" s="23">
        <v>0</v>
      </c>
      <c r="AB395" s="23">
        <v>0</v>
      </c>
      <c r="AC395" s="23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0</v>
      </c>
      <c r="AI395" s="10" t="s">
        <v>44</v>
      </c>
    </row>
    <row r="396" spans="2:35" x14ac:dyDescent="0.25">
      <c r="B396" s="23">
        <v>0</v>
      </c>
      <c r="C396" s="23">
        <v>0</v>
      </c>
      <c r="D396" s="23">
        <v>0</v>
      </c>
      <c r="E396" s="23">
        <v>0</v>
      </c>
      <c r="F396" s="23">
        <v>0</v>
      </c>
      <c r="G396" s="23">
        <v>0</v>
      </c>
      <c r="H396" s="23">
        <v>0</v>
      </c>
      <c r="I396" s="23">
        <v>0</v>
      </c>
      <c r="J396" s="23">
        <v>0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0</v>
      </c>
      <c r="S396" s="23">
        <v>0</v>
      </c>
      <c r="T396" s="23">
        <v>0</v>
      </c>
      <c r="U396" s="23">
        <v>0</v>
      </c>
      <c r="V396" s="23">
        <v>0</v>
      </c>
      <c r="W396" s="23">
        <v>0</v>
      </c>
      <c r="X396" s="23">
        <v>0</v>
      </c>
      <c r="Y396" s="23">
        <v>0</v>
      </c>
      <c r="Z396" s="23">
        <v>0</v>
      </c>
      <c r="AA396" s="23">
        <v>0</v>
      </c>
      <c r="AB396" s="23">
        <v>0</v>
      </c>
      <c r="AC396" s="23">
        <v>0</v>
      </c>
      <c r="AD396" s="23">
        <v>0</v>
      </c>
      <c r="AE396" s="23">
        <v>0</v>
      </c>
      <c r="AF396" s="23">
        <v>0</v>
      </c>
      <c r="AG396" s="23">
        <v>0</v>
      </c>
      <c r="AH396" s="23">
        <v>0</v>
      </c>
      <c r="AI396" s="10" t="s">
        <v>45</v>
      </c>
    </row>
    <row r="397" spans="2:35" x14ac:dyDescent="0.25">
      <c r="B397" s="23">
        <v>0</v>
      </c>
      <c r="C397" s="23">
        <v>0</v>
      </c>
      <c r="D397" s="23">
        <v>0</v>
      </c>
      <c r="E397" s="23">
        <v>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23">
        <v>0</v>
      </c>
      <c r="Y397" s="23">
        <v>0</v>
      </c>
      <c r="Z397" s="23">
        <v>0</v>
      </c>
      <c r="AA397" s="23">
        <v>0</v>
      </c>
      <c r="AB397" s="23">
        <v>0</v>
      </c>
      <c r="AC397" s="23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10" t="s">
        <v>46</v>
      </c>
    </row>
    <row r="398" spans="2:35" x14ac:dyDescent="0.25">
      <c r="B398" s="23">
        <v>0</v>
      </c>
      <c r="C398" s="23">
        <v>0</v>
      </c>
      <c r="D398" s="23">
        <v>0</v>
      </c>
      <c r="E398" s="23">
        <v>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v>0</v>
      </c>
      <c r="X398" s="23">
        <v>0</v>
      </c>
      <c r="Y398" s="23">
        <v>0</v>
      </c>
      <c r="Z398" s="23">
        <v>0</v>
      </c>
      <c r="AA398" s="23">
        <v>0</v>
      </c>
      <c r="AB398" s="23">
        <v>0</v>
      </c>
      <c r="AC398" s="23">
        <v>0</v>
      </c>
      <c r="AD398" s="23">
        <v>0</v>
      </c>
      <c r="AE398" s="23">
        <v>0</v>
      </c>
      <c r="AF398" s="23">
        <v>0</v>
      </c>
      <c r="AG398" s="23">
        <v>0</v>
      </c>
      <c r="AH398" s="23">
        <v>0</v>
      </c>
      <c r="AI398" s="10" t="s">
        <v>47</v>
      </c>
    </row>
    <row r="399" spans="2:35" x14ac:dyDescent="0.25">
      <c r="B399" s="23">
        <v>0</v>
      </c>
      <c r="C399" s="23">
        <v>0</v>
      </c>
      <c r="D399" s="23">
        <v>0</v>
      </c>
      <c r="E399" s="23">
        <v>0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v>0</v>
      </c>
      <c r="X399" s="23">
        <v>0</v>
      </c>
      <c r="Y399" s="23">
        <v>0</v>
      </c>
      <c r="Z399" s="23">
        <v>0</v>
      </c>
      <c r="AA399" s="23">
        <v>0</v>
      </c>
      <c r="AB399" s="23">
        <v>0</v>
      </c>
      <c r="AC399" s="23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0</v>
      </c>
      <c r="AI399" s="10" t="s">
        <v>48</v>
      </c>
    </row>
    <row r="400" spans="2:35" x14ac:dyDescent="0.25">
      <c r="B400" s="23">
        <v>0</v>
      </c>
      <c r="C400" s="23">
        <v>0</v>
      </c>
      <c r="D400" s="23">
        <v>0</v>
      </c>
      <c r="E400" s="23">
        <v>0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0</v>
      </c>
      <c r="V400" s="23">
        <v>0</v>
      </c>
      <c r="W400" s="23">
        <v>0</v>
      </c>
      <c r="X400" s="23">
        <v>0</v>
      </c>
      <c r="Y400" s="23">
        <v>0</v>
      </c>
      <c r="Z400" s="23">
        <v>0</v>
      </c>
      <c r="AA400" s="23">
        <v>0</v>
      </c>
      <c r="AB400" s="23">
        <v>0</v>
      </c>
      <c r="AC400" s="23">
        <v>0</v>
      </c>
      <c r="AD400" s="23">
        <v>0</v>
      </c>
      <c r="AE400" s="23">
        <v>0</v>
      </c>
      <c r="AF400" s="23">
        <v>0</v>
      </c>
      <c r="AG400" s="23">
        <v>0</v>
      </c>
      <c r="AH400" s="23">
        <v>0</v>
      </c>
      <c r="AI400" s="10" t="s">
        <v>49</v>
      </c>
    </row>
    <row r="401" spans="2:35" x14ac:dyDescent="0.25">
      <c r="B401" s="23">
        <v>0</v>
      </c>
      <c r="C401" s="23">
        <v>0</v>
      </c>
      <c r="D401" s="23">
        <v>0</v>
      </c>
      <c r="E401" s="23">
        <v>0</v>
      </c>
      <c r="F401" s="23">
        <v>0</v>
      </c>
      <c r="G401" s="23">
        <v>0</v>
      </c>
      <c r="H401" s="23">
        <v>0</v>
      </c>
      <c r="I401" s="23">
        <v>0</v>
      </c>
      <c r="J401" s="23">
        <v>0</v>
      </c>
      <c r="K401" s="23">
        <v>0</v>
      </c>
      <c r="L401" s="23">
        <v>0</v>
      </c>
      <c r="M401" s="23">
        <v>0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23">
        <v>0</v>
      </c>
      <c r="T401" s="23">
        <v>0</v>
      </c>
      <c r="U401" s="23">
        <v>0</v>
      </c>
      <c r="V401" s="23">
        <v>0</v>
      </c>
      <c r="W401" s="23">
        <v>0</v>
      </c>
      <c r="X401" s="23">
        <v>0</v>
      </c>
      <c r="Y401" s="23">
        <v>0</v>
      </c>
      <c r="Z401" s="23">
        <v>0</v>
      </c>
      <c r="AA401" s="23">
        <v>0</v>
      </c>
      <c r="AB401" s="23">
        <v>0</v>
      </c>
      <c r="AC401" s="23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0</v>
      </c>
      <c r="AI401" s="10" t="s">
        <v>50</v>
      </c>
    </row>
    <row r="402" spans="2:35" x14ac:dyDescent="0.25">
      <c r="B402" s="23">
        <v>0</v>
      </c>
      <c r="C402" s="23">
        <v>0</v>
      </c>
      <c r="D402" s="23">
        <v>0</v>
      </c>
      <c r="E402" s="23">
        <v>0</v>
      </c>
      <c r="F402" s="23">
        <v>0</v>
      </c>
      <c r="G402" s="23">
        <v>0</v>
      </c>
      <c r="H402" s="23">
        <v>0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>
        <v>0</v>
      </c>
      <c r="R402" s="23">
        <v>0</v>
      </c>
      <c r="S402" s="23">
        <v>0</v>
      </c>
      <c r="T402" s="23">
        <v>0</v>
      </c>
      <c r="U402" s="23">
        <v>0</v>
      </c>
      <c r="V402" s="23">
        <v>0</v>
      </c>
      <c r="W402" s="23">
        <v>0</v>
      </c>
      <c r="X402" s="23">
        <v>0</v>
      </c>
      <c r="Y402" s="23">
        <v>0</v>
      </c>
      <c r="Z402" s="23">
        <v>0</v>
      </c>
      <c r="AA402" s="23">
        <v>0</v>
      </c>
      <c r="AB402" s="23">
        <v>0</v>
      </c>
      <c r="AC402" s="23">
        <v>0</v>
      </c>
      <c r="AD402" s="23">
        <v>0</v>
      </c>
      <c r="AE402" s="23">
        <v>0</v>
      </c>
      <c r="AF402" s="23">
        <v>0</v>
      </c>
      <c r="AG402" s="23">
        <v>0</v>
      </c>
      <c r="AH402" s="23">
        <v>0</v>
      </c>
      <c r="AI402" s="10" t="s">
        <v>51</v>
      </c>
    </row>
    <row r="403" spans="2:35" x14ac:dyDescent="0.25">
      <c r="B403" s="23">
        <v>0</v>
      </c>
      <c r="C403" s="23">
        <v>0</v>
      </c>
      <c r="D403" s="23">
        <v>0</v>
      </c>
      <c r="E403" s="23">
        <v>0</v>
      </c>
      <c r="F403" s="23">
        <v>0</v>
      </c>
      <c r="G403" s="23">
        <v>0</v>
      </c>
      <c r="H403" s="23">
        <v>0</v>
      </c>
      <c r="I403" s="23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  <c r="X403" s="23">
        <v>0</v>
      </c>
      <c r="Y403" s="23">
        <v>0</v>
      </c>
      <c r="Z403" s="23">
        <v>0</v>
      </c>
      <c r="AA403" s="23">
        <v>0</v>
      </c>
      <c r="AB403" s="23">
        <v>0</v>
      </c>
      <c r="AC403" s="23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10" t="s">
        <v>52</v>
      </c>
    </row>
    <row r="404" spans="2:35" x14ac:dyDescent="0.25">
      <c r="B404" s="23">
        <v>0</v>
      </c>
      <c r="C404" s="23">
        <v>0</v>
      </c>
      <c r="D404" s="23">
        <v>0</v>
      </c>
      <c r="E404" s="23">
        <v>0</v>
      </c>
      <c r="F404" s="23">
        <v>0</v>
      </c>
      <c r="G404" s="23">
        <v>0</v>
      </c>
      <c r="H404" s="23">
        <v>0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0</v>
      </c>
      <c r="O404" s="23">
        <v>0</v>
      </c>
      <c r="P404" s="23">
        <v>0</v>
      </c>
      <c r="Q404" s="23">
        <v>0</v>
      </c>
      <c r="R404" s="23">
        <v>0</v>
      </c>
      <c r="S404" s="23">
        <v>0</v>
      </c>
      <c r="T404" s="23">
        <v>0</v>
      </c>
      <c r="U404" s="23">
        <v>0</v>
      </c>
      <c r="V404" s="23">
        <v>0</v>
      </c>
      <c r="W404" s="23">
        <v>0</v>
      </c>
      <c r="X404" s="23">
        <v>0</v>
      </c>
      <c r="Y404" s="23">
        <v>0</v>
      </c>
      <c r="Z404" s="23">
        <v>0</v>
      </c>
      <c r="AA404" s="23">
        <v>0</v>
      </c>
      <c r="AB404" s="23">
        <v>0</v>
      </c>
      <c r="AC404" s="23">
        <v>0</v>
      </c>
      <c r="AD404" s="23">
        <v>0</v>
      </c>
      <c r="AE404" s="23">
        <v>0</v>
      </c>
      <c r="AF404" s="23">
        <v>0</v>
      </c>
      <c r="AG404" s="23">
        <v>0</v>
      </c>
      <c r="AH404" s="23">
        <v>0</v>
      </c>
      <c r="AI404" s="10" t="s">
        <v>53</v>
      </c>
    </row>
    <row r="405" spans="2:35" x14ac:dyDescent="0.25">
      <c r="B405" s="23">
        <v>0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0</v>
      </c>
      <c r="L405" s="23">
        <v>0</v>
      </c>
      <c r="M405" s="23">
        <v>0</v>
      </c>
      <c r="N405" s="23">
        <v>0</v>
      </c>
      <c r="O405" s="23">
        <v>0</v>
      </c>
      <c r="P405" s="23">
        <v>0</v>
      </c>
      <c r="Q405" s="23">
        <v>0</v>
      </c>
      <c r="R405" s="23">
        <v>0</v>
      </c>
      <c r="S405" s="23">
        <v>0</v>
      </c>
      <c r="T405" s="23">
        <v>0</v>
      </c>
      <c r="U405" s="23">
        <v>0</v>
      </c>
      <c r="V405" s="23">
        <v>0</v>
      </c>
      <c r="W405" s="23">
        <v>0</v>
      </c>
      <c r="X405" s="23">
        <v>0</v>
      </c>
      <c r="Y405" s="23">
        <v>0</v>
      </c>
      <c r="Z405" s="23">
        <v>0</v>
      </c>
      <c r="AA405" s="23">
        <v>0</v>
      </c>
      <c r="AB405" s="23">
        <v>0</v>
      </c>
      <c r="AC405" s="23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0</v>
      </c>
      <c r="AI405" s="10" t="s">
        <v>54</v>
      </c>
    </row>
    <row r="406" spans="2:35" x14ac:dyDescent="0.25">
      <c r="B406" s="23">
        <v>0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X406" s="23">
        <v>0</v>
      </c>
      <c r="Y406" s="23">
        <v>0</v>
      </c>
      <c r="Z406" s="23">
        <v>0</v>
      </c>
      <c r="AA406" s="23">
        <v>0</v>
      </c>
      <c r="AB406" s="23">
        <v>0</v>
      </c>
      <c r="AC406" s="23">
        <v>0</v>
      </c>
      <c r="AD406" s="23">
        <v>0</v>
      </c>
      <c r="AE406" s="23">
        <v>0</v>
      </c>
      <c r="AF406" s="23">
        <v>0</v>
      </c>
      <c r="AG406" s="23">
        <v>0</v>
      </c>
      <c r="AH406" s="23">
        <v>0</v>
      </c>
      <c r="AI406" s="10" t="s">
        <v>55</v>
      </c>
    </row>
    <row r="407" spans="2:35" x14ac:dyDescent="0.25">
      <c r="B407" s="23">
        <v>0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0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  <c r="X407" s="23">
        <v>0</v>
      </c>
      <c r="Y407" s="23">
        <v>0</v>
      </c>
      <c r="Z407" s="23">
        <v>0</v>
      </c>
      <c r="AA407" s="23">
        <v>0</v>
      </c>
      <c r="AB407" s="23">
        <v>0</v>
      </c>
      <c r="AC407" s="23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0</v>
      </c>
      <c r="AI407" s="10" t="s">
        <v>56</v>
      </c>
    </row>
    <row r="408" spans="2:35" x14ac:dyDescent="0.25">
      <c r="B408" s="23">
        <v>0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0</v>
      </c>
      <c r="W408" s="23">
        <v>0</v>
      </c>
      <c r="X408" s="23">
        <v>0</v>
      </c>
      <c r="Y408" s="23">
        <v>0</v>
      </c>
      <c r="Z408" s="23">
        <v>0</v>
      </c>
      <c r="AA408" s="23">
        <v>0</v>
      </c>
      <c r="AB408" s="23">
        <v>0</v>
      </c>
      <c r="AC408" s="23">
        <v>0</v>
      </c>
      <c r="AD408" s="23">
        <v>0</v>
      </c>
      <c r="AE408" s="23">
        <v>0</v>
      </c>
      <c r="AF408" s="23">
        <v>0</v>
      </c>
      <c r="AG408" s="23">
        <v>0</v>
      </c>
      <c r="AH408" s="23">
        <v>0</v>
      </c>
      <c r="AI408" s="10" t="s">
        <v>57</v>
      </c>
    </row>
    <row r="409" spans="2:35" x14ac:dyDescent="0.25">
      <c r="B409" s="23">
        <v>0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0</v>
      </c>
      <c r="AB409" s="23">
        <v>0</v>
      </c>
      <c r="AC409" s="23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10" t="s">
        <v>58</v>
      </c>
    </row>
    <row r="410" spans="2:35" x14ac:dyDescent="0.25">
      <c r="B410" s="23">
        <v>0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  <c r="K410" s="23">
        <v>0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0</v>
      </c>
      <c r="V410" s="23">
        <v>0</v>
      </c>
      <c r="W410" s="23">
        <v>0</v>
      </c>
      <c r="X410" s="23">
        <v>0</v>
      </c>
      <c r="Y410" s="23">
        <v>0</v>
      </c>
      <c r="Z410" s="23">
        <v>0</v>
      </c>
      <c r="AA410" s="23">
        <v>0</v>
      </c>
      <c r="AB410" s="23">
        <v>0</v>
      </c>
      <c r="AC410" s="23">
        <v>0</v>
      </c>
      <c r="AD410" s="23">
        <v>0</v>
      </c>
      <c r="AE410" s="23">
        <v>0</v>
      </c>
      <c r="AF410" s="23">
        <v>0</v>
      </c>
      <c r="AG410" s="23">
        <v>0</v>
      </c>
      <c r="AH410" s="23">
        <v>0</v>
      </c>
      <c r="AI410" s="10" t="s">
        <v>59</v>
      </c>
    </row>
    <row r="411" spans="2:35" x14ac:dyDescent="0.25">
      <c r="B411" s="23">
        <v>0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0</v>
      </c>
      <c r="X411" s="23">
        <v>0</v>
      </c>
      <c r="Y411" s="23">
        <v>0</v>
      </c>
      <c r="Z411" s="23">
        <v>0</v>
      </c>
      <c r="AA411" s="23">
        <v>0</v>
      </c>
      <c r="AB411" s="23">
        <v>0</v>
      </c>
      <c r="AC411" s="23">
        <v>0</v>
      </c>
      <c r="AD411" s="23">
        <v>0</v>
      </c>
      <c r="AE411" s="23">
        <v>0</v>
      </c>
      <c r="AF411" s="23">
        <v>0</v>
      </c>
      <c r="AG411" s="23">
        <v>0</v>
      </c>
      <c r="AH411" s="23">
        <v>0</v>
      </c>
      <c r="AI411" s="10" t="s">
        <v>60</v>
      </c>
    </row>
    <row r="412" spans="2:35" x14ac:dyDescent="0.25">
      <c r="B412" s="23">
        <v>0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23">
        <v>0</v>
      </c>
      <c r="Y412" s="23">
        <v>0</v>
      </c>
      <c r="Z412" s="23">
        <v>0</v>
      </c>
      <c r="AA412" s="23">
        <v>0</v>
      </c>
      <c r="AB412" s="23">
        <v>0</v>
      </c>
      <c r="AC412" s="23">
        <v>0</v>
      </c>
      <c r="AD412" s="23">
        <v>0</v>
      </c>
      <c r="AE412" s="23">
        <v>0</v>
      </c>
      <c r="AF412" s="23">
        <v>0</v>
      </c>
      <c r="AG412" s="23">
        <v>0</v>
      </c>
      <c r="AH412" s="23">
        <v>0</v>
      </c>
      <c r="AI412" s="10" t="s">
        <v>61</v>
      </c>
    </row>
    <row r="413" spans="2:35" x14ac:dyDescent="0.25">
      <c r="B413" s="23">
        <v>0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23">
        <v>0</v>
      </c>
      <c r="Y413" s="23">
        <v>0</v>
      </c>
      <c r="Z413" s="23">
        <v>0</v>
      </c>
      <c r="AA413" s="23">
        <v>0</v>
      </c>
      <c r="AB413" s="23">
        <v>0</v>
      </c>
      <c r="AC413" s="23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0</v>
      </c>
      <c r="AI413" s="10" t="s">
        <v>62</v>
      </c>
    </row>
    <row r="414" spans="2:35" x14ac:dyDescent="0.25">
      <c r="B414" s="23">
        <v>0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  <c r="K414" s="23">
        <v>0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0</v>
      </c>
      <c r="V414" s="23">
        <v>0</v>
      </c>
      <c r="W414" s="23">
        <v>0</v>
      </c>
      <c r="X414" s="23">
        <v>0</v>
      </c>
      <c r="Y414" s="23">
        <v>0</v>
      </c>
      <c r="Z414" s="23">
        <v>0</v>
      </c>
      <c r="AA414" s="23">
        <v>0</v>
      </c>
      <c r="AB414" s="23">
        <v>0</v>
      </c>
      <c r="AC414" s="23">
        <v>0</v>
      </c>
      <c r="AD414" s="23">
        <v>0</v>
      </c>
      <c r="AE414" s="23">
        <v>0</v>
      </c>
      <c r="AF414" s="23">
        <v>0</v>
      </c>
      <c r="AG414" s="23">
        <v>0</v>
      </c>
      <c r="AH414" s="23">
        <v>0</v>
      </c>
      <c r="AI414" s="10" t="s">
        <v>63</v>
      </c>
    </row>
    <row r="415" spans="2:35" x14ac:dyDescent="0.25">
      <c r="B415" s="23">
        <v>0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0</v>
      </c>
      <c r="AC415" s="23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10" t="s">
        <v>64</v>
      </c>
    </row>
    <row r="416" spans="2:35" x14ac:dyDescent="0.25">
      <c r="B416" s="23">
        <v>0</v>
      </c>
      <c r="C416" s="23">
        <v>0</v>
      </c>
      <c r="D416" s="23">
        <v>0</v>
      </c>
      <c r="E416" s="23">
        <v>0</v>
      </c>
      <c r="F416" s="23">
        <v>0</v>
      </c>
      <c r="G416" s="23">
        <v>0</v>
      </c>
      <c r="H416" s="23">
        <v>0</v>
      </c>
      <c r="I416" s="23">
        <v>0</v>
      </c>
      <c r="J416" s="23">
        <v>0</v>
      </c>
      <c r="K416" s="23">
        <v>0</v>
      </c>
      <c r="L416" s="23">
        <v>0</v>
      </c>
      <c r="M416" s="23">
        <v>0</v>
      </c>
      <c r="N416" s="23">
        <v>0</v>
      </c>
      <c r="O416" s="23">
        <v>0</v>
      </c>
      <c r="P416" s="23">
        <v>0</v>
      </c>
      <c r="Q416" s="23">
        <v>0</v>
      </c>
      <c r="R416" s="23">
        <v>0</v>
      </c>
      <c r="S416" s="23">
        <v>0</v>
      </c>
      <c r="T416" s="23">
        <v>0</v>
      </c>
      <c r="U416" s="23">
        <v>0</v>
      </c>
      <c r="V416" s="23">
        <v>0</v>
      </c>
      <c r="W416" s="23">
        <v>0</v>
      </c>
      <c r="X416" s="23">
        <v>0</v>
      </c>
      <c r="Y416" s="23">
        <v>0</v>
      </c>
      <c r="Z416" s="23">
        <v>0</v>
      </c>
      <c r="AA416" s="23">
        <v>0</v>
      </c>
      <c r="AB416" s="23">
        <v>0</v>
      </c>
      <c r="AC416" s="23">
        <v>0</v>
      </c>
      <c r="AD416" s="23">
        <v>0</v>
      </c>
      <c r="AE416" s="23">
        <v>0</v>
      </c>
      <c r="AF416" s="23">
        <v>0</v>
      </c>
      <c r="AG416" s="23">
        <v>0</v>
      </c>
      <c r="AH416" s="23">
        <v>0</v>
      </c>
      <c r="AI416" s="10" t="s">
        <v>65</v>
      </c>
    </row>
    <row r="417" spans="2:35" x14ac:dyDescent="0.25">
      <c r="B417" s="23">
        <v>0</v>
      </c>
      <c r="C417" s="23">
        <v>0</v>
      </c>
      <c r="D417" s="23">
        <v>0</v>
      </c>
      <c r="E417" s="23">
        <v>0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  <c r="L417" s="23">
        <v>0</v>
      </c>
      <c r="M417" s="23">
        <v>0</v>
      </c>
      <c r="N417" s="23">
        <v>0</v>
      </c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0</v>
      </c>
      <c r="U417" s="23">
        <v>0</v>
      </c>
      <c r="V417" s="23">
        <v>0</v>
      </c>
      <c r="W417" s="23">
        <v>0</v>
      </c>
      <c r="X417" s="23">
        <v>0</v>
      </c>
      <c r="Y417" s="23">
        <v>0</v>
      </c>
      <c r="Z417" s="23">
        <v>0</v>
      </c>
      <c r="AA417" s="23">
        <v>0</v>
      </c>
      <c r="AB417" s="23">
        <v>0</v>
      </c>
      <c r="AC417" s="23">
        <v>0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10" t="s">
        <v>66</v>
      </c>
    </row>
    <row r="418" spans="2:35" x14ac:dyDescent="0.25">
      <c r="B418" s="23">
        <v>0</v>
      </c>
      <c r="C418" s="23">
        <v>0</v>
      </c>
      <c r="D418" s="23">
        <v>0</v>
      </c>
      <c r="E418" s="23">
        <v>0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  <c r="L418" s="23">
        <v>0</v>
      </c>
      <c r="M418" s="23">
        <v>0</v>
      </c>
      <c r="N418" s="23">
        <v>0</v>
      </c>
      <c r="O418" s="23">
        <v>0</v>
      </c>
      <c r="P418" s="23">
        <v>0</v>
      </c>
      <c r="Q418" s="23">
        <v>0</v>
      </c>
      <c r="R418" s="23">
        <v>0</v>
      </c>
      <c r="S418" s="23">
        <v>0</v>
      </c>
      <c r="T418" s="23">
        <v>0</v>
      </c>
      <c r="U418" s="23">
        <v>0</v>
      </c>
      <c r="V418" s="23">
        <v>0</v>
      </c>
      <c r="W418" s="23">
        <v>0</v>
      </c>
      <c r="X418" s="23">
        <v>0</v>
      </c>
      <c r="Y418" s="23">
        <v>0</v>
      </c>
      <c r="Z418" s="23">
        <v>0</v>
      </c>
      <c r="AA418" s="23">
        <v>0</v>
      </c>
      <c r="AB418" s="23">
        <v>0</v>
      </c>
      <c r="AC418" s="23">
        <v>0</v>
      </c>
      <c r="AD418" s="23">
        <v>0</v>
      </c>
      <c r="AE418" s="23">
        <v>0</v>
      </c>
      <c r="AF418" s="23">
        <v>0</v>
      </c>
      <c r="AG418" s="23">
        <v>0</v>
      </c>
      <c r="AH418" s="23">
        <v>0</v>
      </c>
      <c r="AI418" s="10" t="s">
        <v>67</v>
      </c>
    </row>
    <row r="419" spans="2:35" x14ac:dyDescent="0.25">
      <c r="B419" s="23">
        <v>0</v>
      </c>
      <c r="C419" s="23">
        <v>0</v>
      </c>
      <c r="D419" s="23">
        <v>0</v>
      </c>
      <c r="E419" s="23">
        <v>0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0</v>
      </c>
      <c r="V419" s="23">
        <v>0</v>
      </c>
      <c r="W419" s="23">
        <v>0</v>
      </c>
      <c r="X419" s="23">
        <v>0</v>
      </c>
      <c r="Y419" s="23">
        <v>0</v>
      </c>
      <c r="Z419" s="23">
        <v>0</v>
      </c>
      <c r="AA419" s="23">
        <v>0</v>
      </c>
      <c r="AB419" s="23">
        <v>0</v>
      </c>
      <c r="AC419" s="23">
        <v>0</v>
      </c>
      <c r="AD419" s="23">
        <v>0</v>
      </c>
      <c r="AE419" s="23">
        <v>0</v>
      </c>
      <c r="AF419" s="23">
        <v>0</v>
      </c>
      <c r="AG419" s="23">
        <v>0</v>
      </c>
      <c r="AH419" s="23">
        <v>0</v>
      </c>
      <c r="AI419" s="10" t="s">
        <v>68</v>
      </c>
    </row>
    <row r="421" spans="2:7" x14ac:dyDescent="0.25">
      <c r="B421" s="19" t="str">
        <f>IF(C31="","", CONCATENATE("U",C31,"X"))</f>
        <v/>
      </c>
      <c r="C421" s="19" t="str">
        <f>IF(D31="","", CONCATENATE("U",D31,"Y"))</f>
        <v/>
      </c>
      <c r="D421" s="19" t="str">
        <f>IF(E31="","", CONCATENATE("U",E31,"θ"))</f>
        <v/>
      </c>
      <c r="E421" s="19" t="str">
        <f>IF(F31="","", CONCATENATE("U",F31,"X"))</f>
        <v/>
      </c>
      <c r="F421" s="19" t="str">
        <f>IF(G31="","", CONCATENATE("U",G31,"Y"))</f>
        <v/>
      </c>
      <c r="G421" s="19" t="str">
        <f>IF(H31="","", CONCATENATE("U",H31,"θ"))</f>
        <v/>
      </c>
    </row>
    <row r="422" spans="2:8" x14ac:dyDescent="0.25">
      <c r="B422" s="12">
        <f>IF(I18="", 0, O18*J18*J18+P18*K18*K18)</f>
        <v>0</v>
      </c>
      <c r="C422" s="12">
        <f>IF(I18="", 0, (O18-P18)*(J18*K18))</f>
        <v>0</v>
      </c>
      <c r="D422" s="12">
        <f>IF(I18="", 0, -Q18*K18)</f>
        <v>0</v>
      </c>
      <c r="E422" s="12">
        <f>-B422</f>
        <v>0</v>
      </c>
      <c r="F422" s="12">
        <f>-C422</f>
        <v>0</v>
      </c>
      <c r="G422" s="12">
        <f>D422</f>
        <v>0</v>
      </c>
      <c r="H422" s="20">
        <f>B421</f>
      </c>
    </row>
    <row r="423" spans="2:8" x14ac:dyDescent="0.25">
      <c r="B423" s="12">
        <f>C422</f>
        <v>0</v>
      </c>
      <c r="C423" s="12">
        <f>IF(I18="", 0, O18*K18*K18+P18*J18*J18)</f>
        <v>0</v>
      </c>
      <c r="D423" s="12">
        <f>IF(I18="", 0, Q18*J18)</f>
        <v>0</v>
      </c>
      <c r="E423" s="12">
        <f>-B423</f>
        <v>0</v>
      </c>
      <c r="F423" s="12">
        <f>-C423</f>
        <v>0</v>
      </c>
      <c r="G423" s="12">
        <f>D423</f>
        <v>0</v>
      </c>
      <c r="H423" s="20">
        <f>C421</f>
      </c>
    </row>
    <row r="424" spans="1:8" x14ac:dyDescent="0.25">
      <c r="A424" s="21" t="s">
        <v>77</v>
      </c>
      <c r="B424" s="12">
        <f>D422</f>
        <v>0</v>
      </c>
      <c r="C424" s="12">
        <f>D423</f>
        <v>0</v>
      </c>
      <c r="D424" s="12">
        <f>IF(I18="", 0, R18)</f>
        <v>0</v>
      </c>
      <c r="E424" s="12">
        <f>-B424</f>
        <v>0</v>
      </c>
      <c r="F424" s="12">
        <f>-C424</f>
        <v>0</v>
      </c>
      <c r="G424" s="12">
        <f>IF(I18="", 0, S18)</f>
        <v>0</v>
      </c>
      <c r="H424" s="20">
        <f>D421</f>
      </c>
    </row>
    <row r="425" spans="2:8" x14ac:dyDescent="0.25">
      <c r="B425" s="12">
        <f>E422</f>
        <v>0</v>
      </c>
      <c r="C425" s="12">
        <f>E423</f>
        <v>0</v>
      </c>
      <c r="D425" s="12">
        <f>E424</f>
        <v>0</v>
      </c>
      <c r="E425" s="12">
        <f>B422</f>
        <v>0</v>
      </c>
      <c r="F425" s="12">
        <f>C422</f>
        <v>0</v>
      </c>
      <c r="G425" s="12">
        <f>-D422</f>
        <v>0</v>
      </c>
      <c r="H425" s="20">
        <f>E421</f>
      </c>
    </row>
    <row r="426" spans="2:8" x14ac:dyDescent="0.25">
      <c r="B426" s="12">
        <f>F422</f>
        <v>0</v>
      </c>
      <c r="C426" s="12">
        <f>F423</f>
        <v>0</v>
      </c>
      <c r="D426" s="12">
        <f>F424</f>
        <v>0</v>
      </c>
      <c r="E426" s="12">
        <f>F425</f>
        <v>0</v>
      </c>
      <c r="F426" s="12">
        <f>C423</f>
        <v>0</v>
      </c>
      <c r="G426" s="12">
        <f>-D423</f>
        <v>0</v>
      </c>
      <c r="H426" s="20">
        <f>F421</f>
      </c>
    </row>
    <row r="427" spans="2:8" x14ac:dyDescent="0.25">
      <c r="B427" s="12">
        <f>G422</f>
        <v>0</v>
      </c>
      <c r="C427" s="12">
        <f>G423</f>
        <v>0</v>
      </c>
      <c r="D427" s="12">
        <f>G424</f>
        <v>0</v>
      </c>
      <c r="E427" s="12">
        <f>G425</f>
        <v>0</v>
      </c>
      <c r="F427" s="12">
        <f>G426</f>
        <v>0</v>
      </c>
      <c r="G427" s="12">
        <f>D424</f>
        <v>0</v>
      </c>
      <c r="H427" s="20">
        <f>G421</f>
      </c>
    </row>
    <row r="429" spans="2:34" x14ac:dyDescent="0.25">
      <c r="B429" s="10" t="s">
        <v>36</v>
      </c>
      <c r="C429" s="10" t="s">
        <v>37</v>
      </c>
      <c r="D429" s="10" t="s">
        <v>38</v>
      </c>
      <c r="E429" s="10" t="s">
        <v>39</v>
      </c>
      <c r="F429" s="10" t="s">
        <v>40</v>
      </c>
      <c r="G429" s="10" t="s">
        <v>41</v>
      </c>
      <c r="H429" s="10" t="s">
        <v>42</v>
      </c>
      <c r="I429" s="10" t="s">
        <v>43</v>
      </c>
      <c r="J429" s="10" t="s">
        <v>44</v>
      </c>
      <c r="K429" s="10" t="s">
        <v>45</v>
      </c>
      <c r="L429" s="10" t="s">
        <v>46</v>
      </c>
      <c r="M429" s="10" t="s">
        <v>47</v>
      </c>
      <c r="N429" s="10" t="s">
        <v>48</v>
      </c>
      <c r="O429" s="10" t="s">
        <v>49</v>
      </c>
      <c r="P429" s="10" t="s">
        <v>50</v>
      </c>
      <c r="Q429" s="10" t="s">
        <v>51</v>
      </c>
      <c r="R429" s="10" t="s">
        <v>52</v>
      </c>
      <c r="S429" s="10" t="s">
        <v>53</v>
      </c>
      <c r="T429" s="10" t="s">
        <v>54</v>
      </c>
      <c r="U429" s="10" t="s">
        <v>55</v>
      </c>
      <c r="V429" s="10" t="s">
        <v>56</v>
      </c>
      <c r="W429" s="10" t="s">
        <v>57</v>
      </c>
      <c r="X429" s="10" t="s">
        <v>58</v>
      </c>
      <c r="Y429" s="10" t="s">
        <v>59</v>
      </c>
      <c r="Z429" s="10" t="s">
        <v>60</v>
      </c>
      <c r="AA429" s="10" t="s">
        <v>61</v>
      </c>
      <c r="AB429" s="10" t="s">
        <v>62</v>
      </c>
      <c r="AC429" s="10" t="s">
        <v>63</v>
      </c>
      <c r="AD429" s="10" t="s">
        <v>64</v>
      </c>
      <c r="AE429" s="10" t="s">
        <v>65</v>
      </c>
      <c r="AF429" s="10" t="s">
        <v>66</v>
      </c>
      <c r="AG429" s="10" t="s">
        <v>67</v>
      </c>
      <c r="AH429" s="10" t="s">
        <v>68</v>
      </c>
    </row>
    <row r="430" spans="2:35" x14ac:dyDescent="0.25">
      <c r="B430" s="23">
        <v>0</v>
      </c>
      <c r="C430" s="23">
        <v>0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3">
        <v>0</v>
      </c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0</v>
      </c>
      <c r="V430" s="23">
        <v>0</v>
      </c>
      <c r="W430" s="23">
        <v>0</v>
      </c>
      <c r="X430" s="23">
        <v>0</v>
      </c>
      <c r="Y430" s="23">
        <v>0</v>
      </c>
      <c r="Z430" s="23">
        <v>0</v>
      </c>
      <c r="AA430" s="23">
        <v>0</v>
      </c>
      <c r="AB430" s="23">
        <v>0</v>
      </c>
      <c r="AC430" s="23">
        <v>0</v>
      </c>
      <c r="AD430" s="23">
        <v>0</v>
      </c>
      <c r="AE430" s="23">
        <v>0</v>
      </c>
      <c r="AF430" s="23">
        <v>0</v>
      </c>
      <c r="AG430" s="23">
        <v>0</v>
      </c>
      <c r="AH430" s="23">
        <v>0</v>
      </c>
      <c r="AI430" s="10" t="s">
        <v>36</v>
      </c>
    </row>
    <row r="431" spans="2:35" x14ac:dyDescent="0.25">
      <c r="B431" s="23">
        <v>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v>0</v>
      </c>
      <c r="X431" s="23">
        <v>0</v>
      </c>
      <c r="Y431" s="23">
        <v>0</v>
      </c>
      <c r="Z431" s="23">
        <v>0</v>
      </c>
      <c r="AA431" s="23">
        <v>0</v>
      </c>
      <c r="AB431" s="23">
        <v>0</v>
      </c>
      <c r="AC431" s="23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0</v>
      </c>
      <c r="AI431" s="10" t="s">
        <v>37</v>
      </c>
    </row>
    <row r="432" spans="2:35" x14ac:dyDescent="0.25">
      <c r="B432" s="23">
        <v>0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0</v>
      </c>
      <c r="V432" s="23">
        <v>0</v>
      </c>
      <c r="W432" s="23">
        <v>0</v>
      </c>
      <c r="X432" s="23">
        <v>0</v>
      </c>
      <c r="Y432" s="23">
        <v>0</v>
      </c>
      <c r="Z432" s="23">
        <v>0</v>
      </c>
      <c r="AA432" s="23">
        <v>0</v>
      </c>
      <c r="AB432" s="23">
        <v>0</v>
      </c>
      <c r="AC432" s="23">
        <v>0</v>
      </c>
      <c r="AD432" s="23">
        <v>0</v>
      </c>
      <c r="AE432" s="23">
        <v>0</v>
      </c>
      <c r="AF432" s="23">
        <v>0</v>
      </c>
      <c r="AG432" s="23">
        <v>0</v>
      </c>
      <c r="AH432" s="23">
        <v>0</v>
      </c>
      <c r="AI432" s="10" t="s">
        <v>38</v>
      </c>
    </row>
    <row r="433" spans="2:35" x14ac:dyDescent="0.25">
      <c r="B433" s="23">
        <v>0</v>
      </c>
      <c r="C433" s="23">
        <v>0</v>
      </c>
      <c r="D433" s="23">
        <v>0</v>
      </c>
      <c r="E433" s="23">
        <v>0</v>
      </c>
      <c r="F433" s="23">
        <v>0</v>
      </c>
      <c r="G433" s="23">
        <v>0</v>
      </c>
      <c r="H433" s="23">
        <v>0</v>
      </c>
      <c r="I433" s="23">
        <v>0</v>
      </c>
      <c r="J433" s="23">
        <v>0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23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10" t="s">
        <v>39</v>
      </c>
    </row>
    <row r="434" spans="2:35" x14ac:dyDescent="0.25">
      <c r="B434" s="23">
        <v>0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0</v>
      </c>
      <c r="V434" s="23">
        <v>0</v>
      </c>
      <c r="W434" s="23">
        <v>0</v>
      </c>
      <c r="X434" s="23">
        <v>0</v>
      </c>
      <c r="Y434" s="23">
        <v>0</v>
      </c>
      <c r="Z434" s="23">
        <v>0</v>
      </c>
      <c r="AA434" s="23">
        <v>0</v>
      </c>
      <c r="AB434" s="23">
        <v>0</v>
      </c>
      <c r="AC434" s="23">
        <v>0</v>
      </c>
      <c r="AD434" s="23">
        <v>0</v>
      </c>
      <c r="AE434" s="23">
        <v>0</v>
      </c>
      <c r="AF434" s="23">
        <v>0</v>
      </c>
      <c r="AG434" s="23">
        <v>0</v>
      </c>
      <c r="AH434" s="23">
        <v>0</v>
      </c>
      <c r="AI434" s="10" t="s">
        <v>40</v>
      </c>
    </row>
    <row r="435" spans="2:35" x14ac:dyDescent="0.25">
      <c r="B435" s="23">
        <v>0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  <c r="L435" s="23">
        <v>0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v>0</v>
      </c>
      <c r="X435" s="23">
        <v>0</v>
      </c>
      <c r="Y435" s="23">
        <v>0</v>
      </c>
      <c r="Z435" s="23">
        <v>0</v>
      </c>
      <c r="AA435" s="23">
        <v>0</v>
      </c>
      <c r="AB435" s="23">
        <v>0</v>
      </c>
      <c r="AC435" s="23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0</v>
      </c>
      <c r="AI435" s="10" t="s">
        <v>41</v>
      </c>
    </row>
    <row r="436" spans="2:35" x14ac:dyDescent="0.25">
      <c r="B436" s="23">
        <v>0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0</v>
      </c>
      <c r="W436" s="23">
        <v>0</v>
      </c>
      <c r="X436" s="23">
        <v>0</v>
      </c>
      <c r="Y436" s="23">
        <v>0</v>
      </c>
      <c r="Z436" s="23">
        <v>0</v>
      </c>
      <c r="AA436" s="23">
        <v>0</v>
      </c>
      <c r="AB436" s="23">
        <v>0</v>
      </c>
      <c r="AC436" s="23">
        <v>0</v>
      </c>
      <c r="AD436" s="23">
        <v>0</v>
      </c>
      <c r="AE436" s="23">
        <v>0</v>
      </c>
      <c r="AF436" s="23">
        <v>0</v>
      </c>
      <c r="AG436" s="23">
        <v>0</v>
      </c>
      <c r="AH436" s="23">
        <v>0</v>
      </c>
      <c r="AI436" s="10" t="s">
        <v>42</v>
      </c>
    </row>
    <row r="437" spans="2:35" x14ac:dyDescent="0.25">
      <c r="B437" s="23">
        <v>0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  <c r="L437" s="23">
        <v>0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0</v>
      </c>
      <c r="V437" s="23">
        <v>0</v>
      </c>
      <c r="W437" s="23">
        <v>0</v>
      </c>
      <c r="X437" s="23">
        <v>0</v>
      </c>
      <c r="Y437" s="23">
        <v>0</v>
      </c>
      <c r="Z437" s="23">
        <v>0</v>
      </c>
      <c r="AA437" s="23">
        <v>0</v>
      </c>
      <c r="AB437" s="23">
        <v>0</v>
      </c>
      <c r="AC437" s="23">
        <v>0</v>
      </c>
      <c r="AD437" s="23">
        <v>0</v>
      </c>
      <c r="AE437" s="23">
        <v>0</v>
      </c>
      <c r="AF437" s="23">
        <v>0</v>
      </c>
      <c r="AG437" s="23">
        <v>0</v>
      </c>
      <c r="AH437" s="23">
        <v>0</v>
      </c>
      <c r="AI437" s="10" t="s">
        <v>43</v>
      </c>
    </row>
    <row r="438" spans="2:35" x14ac:dyDescent="0.25">
      <c r="B438" s="23">
        <v>0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0</v>
      </c>
      <c r="U438" s="23">
        <v>0</v>
      </c>
      <c r="V438" s="23">
        <v>0</v>
      </c>
      <c r="W438" s="23">
        <v>0</v>
      </c>
      <c r="X438" s="23">
        <v>0</v>
      </c>
      <c r="Y438" s="23">
        <v>0</v>
      </c>
      <c r="Z438" s="23">
        <v>0</v>
      </c>
      <c r="AA438" s="23">
        <v>0</v>
      </c>
      <c r="AB438" s="23">
        <v>0</v>
      </c>
      <c r="AC438" s="23">
        <v>0</v>
      </c>
      <c r="AD438" s="23">
        <v>0</v>
      </c>
      <c r="AE438" s="23">
        <v>0</v>
      </c>
      <c r="AF438" s="23">
        <v>0</v>
      </c>
      <c r="AG438" s="23">
        <v>0</v>
      </c>
      <c r="AH438" s="23">
        <v>0</v>
      </c>
      <c r="AI438" s="10" t="s">
        <v>44</v>
      </c>
    </row>
    <row r="439" spans="2:35" x14ac:dyDescent="0.25">
      <c r="B439" s="23">
        <v>0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  <c r="L439" s="23">
        <v>0</v>
      </c>
      <c r="M439" s="23">
        <v>0</v>
      </c>
      <c r="N439" s="23">
        <v>0</v>
      </c>
      <c r="O439" s="23">
        <v>0</v>
      </c>
      <c r="P439" s="23">
        <v>0</v>
      </c>
      <c r="Q439" s="23">
        <v>0</v>
      </c>
      <c r="R439" s="23">
        <v>0</v>
      </c>
      <c r="S439" s="23">
        <v>0</v>
      </c>
      <c r="T439" s="23">
        <v>0</v>
      </c>
      <c r="U439" s="23">
        <v>0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0</v>
      </c>
      <c r="AI439" s="10" t="s">
        <v>45</v>
      </c>
    </row>
    <row r="440" spans="2:35" x14ac:dyDescent="0.25">
      <c r="B440" s="23">
        <v>0</v>
      </c>
      <c r="C440" s="23">
        <v>0</v>
      </c>
      <c r="D440" s="23">
        <v>0</v>
      </c>
      <c r="E440" s="23">
        <v>0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0</v>
      </c>
      <c r="V440" s="23">
        <v>0</v>
      </c>
      <c r="W440" s="23">
        <v>0</v>
      </c>
      <c r="X440" s="23">
        <v>0</v>
      </c>
      <c r="Y440" s="23">
        <v>0</v>
      </c>
      <c r="Z440" s="23">
        <v>0</v>
      </c>
      <c r="AA440" s="23">
        <v>0</v>
      </c>
      <c r="AB440" s="23">
        <v>0</v>
      </c>
      <c r="AC440" s="23">
        <v>0</v>
      </c>
      <c r="AD440" s="23">
        <v>0</v>
      </c>
      <c r="AE440" s="23">
        <v>0</v>
      </c>
      <c r="AF440" s="23">
        <v>0</v>
      </c>
      <c r="AG440" s="23">
        <v>0</v>
      </c>
      <c r="AH440" s="23">
        <v>0</v>
      </c>
      <c r="AI440" s="10" t="s">
        <v>46</v>
      </c>
    </row>
    <row r="441" spans="2:35" x14ac:dyDescent="0.25">
      <c r="B441" s="23">
        <v>0</v>
      </c>
      <c r="C441" s="23">
        <v>0</v>
      </c>
      <c r="D441" s="23">
        <v>0</v>
      </c>
      <c r="E441" s="23">
        <v>0</v>
      </c>
      <c r="F441" s="23">
        <v>0</v>
      </c>
      <c r="G441" s="23">
        <v>0</v>
      </c>
      <c r="H441" s="23">
        <v>0</v>
      </c>
      <c r="I441" s="23">
        <v>0</v>
      </c>
      <c r="J441" s="23">
        <v>0</v>
      </c>
      <c r="K441" s="23">
        <v>0</v>
      </c>
      <c r="L441" s="23">
        <v>0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v>0</v>
      </c>
      <c r="X441" s="23">
        <v>0</v>
      </c>
      <c r="Y441" s="23">
        <v>0</v>
      </c>
      <c r="Z441" s="23">
        <v>0</v>
      </c>
      <c r="AA441" s="23">
        <v>0</v>
      </c>
      <c r="AB441" s="23">
        <v>0</v>
      </c>
      <c r="AC441" s="23">
        <v>0</v>
      </c>
      <c r="AD441" s="23">
        <v>0</v>
      </c>
      <c r="AE441" s="23">
        <v>0</v>
      </c>
      <c r="AF441" s="23">
        <v>0</v>
      </c>
      <c r="AG441" s="23">
        <v>0</v>
      </c>
      <c r="AH441" s="23">
        <v>0</v>
      </c>
      <c r="AI441" s="10" t="s">
        <v>47</v>
      </c>
    </row>
    <row r="442" spans="2:35" x14ac:dyDescent="0.25">
      <c r="B442" s="23">
        <v>0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23">
        <v>0</v>
      </c>
      <c r="Y442" s="23">
        <v>0</v>
      </c>
      <c r="Z442" s="23">
        <v>0</v>
      </c>
      <c r="AA442" s="23">
        <v>0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23">
        <v>0</v>
      </c>
      <c r="AH442" s="23">
        <v>0</v>
      </c>
      <c r="AI442" s="10" t="s">
        <v>48</v>
      </c>
    </row>
    <row r="443" spans="2:35" x14ac:dyDescent="0.25">
      <c r="B443" s="23">
        <v>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  <c r="L443" s="23">
        <v>0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3">
        <v>0</v>
      </c>
      <c r="T443" s="23">
        <v>0</v>
      </c>
      <c r="U443" s="23">
        <v>0</v>
      </c>
      <c r="V443" s="23">
        <v>0</v>
      </c>
      <c r="W443" s="23">
        <v>0</v>
      </c>
      <c r="X443" s="23">
        <v>0</v>
      </c>
      <c r="Y443" s="23">
        <v>0</v>
      </c>
      <c r="Z443" s="23">
        <v>0</v>
      </c>
      <c r="AA443" s="23">
        <v>0</v>
      </c>
      <c r="AB443" s="23">
        <v>0</v>
      </c>
      <c r="AC443" s="23">
        <v>0</v>
      </c>
      <c r="AD443" s="23">
        <v>0</v>
      </c>
      <c r="AE443" s="23">
        <v>0</v>
      </c>
      <c r="AF443" s="23">
        <v>0</v>
      </c>
      <c r="AG443" s="23">
        <v>0</v>
      </c>
      <c r="AH443" s="23">
        <v>0</v>
      </c>
      <c r="AI443" s="10" t="s">
        <v>49</v>
      </c>
    </row>
    <row r="444" spans="2:35" x14ac:dyDescent="0.25">
      <c r="B444" s="23">
        <v>0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  <c r="L444" s="23">
        <v>0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0</v>
      </c>
      <c r="U444" s="23">
        <v>0</v>
      </c>
      <c r="V444" s="23">
        <v>0</v>
      </c>
      <c r="W444" s="23">
        <v>0</v>
      </c>
      <c r="X444" s="23">
        <v>0</v>
      </c>
      <c r="Y444" s="23">
        <v>0</v>
      </c>
      <c r="Z444" s="23">
        <v>0</v>
      </c>
      <c r="AA444" s="23">
        <v>0</v>
      </c>
      <c r="AB444" s="23">
        <v>0</v>
      </c>
      <c r="AC444" s="23">
        <v>0</v>
      </c>
      <c r="AD444" s="23">
        <v>0</v>
      </c>
      <c r="AE444" s="23">
        <v>0</v>
      </c>
      <c r="AF444" s="23">
        <v>0</v>
      </c>
      <c r="AG444" s="23">
        <v>0</v>
      </c>
      <c r="AH444" s="23">
        <v>0</v>
      </c>
      <c r="AI444" s="10" t="s">
        <v>50</v>
      </c>
    </row>
    <row r="445" spans="2:35" x14ac:dyDescent="0.25">
      <c r="B445" s="23">
        <v>0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  <c r="AA445" s="23">
        <v>0</v>
      </c>
      <c r="AB445" s="23">
        <v>0</v>
      </c>
      <c r="AC445" s="23">
        <v>0</v>
      </c>
      <c r="AD445" s="23">
        <v>0</v>
      </c>
      <c r="AE445" s="23">
        <v>0</v>
      </c>
      <c r="AF445" s="23">
        <v>0</v>
      </c>
      <c r="AG445" s="23">
        <v>0</v>
      </c>
      <c r="AH445" s="23">
        <v>0</v>
      </c>
      <c r="AI445" s="10" t="s">
        <v>51</v>
      </c>
    </row>
    <row r="446" spans="2:35" x14ac:dyDescent="0.25">
      <c r="B446" s="23">
        <v>0</v>
      </c>
      <c r="C446" s="23">
        <v>0</v>
      </c>
      <c r="D446" s="23">
        <v>0</v>
      </c>
      <c r="E446" s="23">
        <v>0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v>0</v>
      </c>
      <c r="X446" s="23">
        <v>0</v>
      </c>
      <c r="Y446" s="23">
        <v>0</v>
      </c>
      <c r="Z446" s="23">
        <v>0</v>
      </c>
      <c r="AA446" s="23">
        <v>0</v>
      </c>
      <c r="AB446" s="23">
        <v>0</v>
      </c>
      <c r="AC446" s="23">
        <v>0</v>
      </c>
      <c r="AD446" s="23">
        <v>0</v>
      </c>
      <c r="AE446" s="23">
        <v>0</v>
      </c>
      <c r="AF446" s="23">
        <v>0</v>
      </c>
      <c r="AG446" s="23">
        <v>0</v>
      </c>
      <c r="AH446" s="23">
        <v>0</v>
      </c>
      <c r="AI446" s="10" t="s">
        <v>52</v>
      </c>
    </row>
    <row r="447" spans="2:35" x14ac:dyDescent="0.25">
      <c r="B447" s="23">
        <v>0</v>
      </c>
      <c r="C447" s="23">
        <v>0</v>
      </c>
      <c r="D447" s="23">
        <v>0</v>
      </c>
      <c r="E447" s="23">
        <v>0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v>0</v>
      </c>
      <c r="X447" s="23">
        <v>0</v>
      </c>
      <c r="Y447" s="23">
        <v>0</v>
      </c>
      <c r="Z447" s="23">
        <v>0</v>
      </c>
      <c r="AA447" s="23">
        <v>0</v>
      </c>
      <c r="AB447" s="23">
        <v>0</v>
      </c>
      <c r="AC447" s="23">
        <v>0</v>
      </c>
      <c r="AD447" s="23">
        <v>0</v>
      </c>
      <c r="AE447" s="23">
        <v>0</v>
      </c>
      <c r="AF447" s="23">
        <v>0</v>
      </c>
      <c r="AG447" s="23">
        <v>0</v>
      </c>
      <c r="AH447" s="23">
        <v>0</v>
      </c>
      <c r="AI447" s="10" t="s">
        <v>53</v>
      </c>
    </row>
    <row r="448" spans="2:35" x14ac:dyDescent="0.25">
      <c r="B448" s="23">
        <v>0</v>
      </c>
      <c r="C448" s="23">
        <v>0</v>
      </c>
      <c r="D448" s="23">
        <v>0</v>
      </c>
      <c r="E448" s="23">
        <v>0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v>0</v>
      </c>
      <c r="X448" s="23">
        <v>0</v>
      </c>
      <c r="Y448" s="23">
        <v>0</v>
      </c>
      <c r="Z448" s="23">
        <v>0</v>
      </c>
      <c r="AA448" s="23">
        <v>0</v>
      </c>
      <c r="AB448" s="23">
        <v>0</v>
      </c>
      <c r="AC448" s="23">
        <v>0</v>
      </c>
      <c r="AD448" s="23">
        <v>0</v>
      </c>
      <c r="AE448" s="23">
        <v>0</v>
      </c>
      <c r="AF448" s="23">
        <v>0</v>
      </c>
      <c r="AG448" s="23">
        <v>0</v>
      </c>
      <c r="AH448" s="23">
        <v>0</v>
      </c>
      <c r="AI448" s="10" t="s">
        <v>54</v>
      </c>
    </row>
    <row r="449" spans="2:35" x14ac:dyDescent="0.25">
      <c r="B449" s="23">
        <v>0</v>
      </c>
      <c r="C449" s="23">
        <v>0</v>
      </c>
      <c r="D449" s="23">
        <v>0</v>
      </c>
      <c r="E449" s="23">
        <v>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3">
        <v>0</v>
      </c>
      <c r="S449" s="23">
        <v>0</v>
      </c>
      <c r="T449" s="23">
        <v>0</v>
      </c>
      <c r="U449" s="23">
        <v>0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  <c r="AA449" s="23">
        <v>0</v>
      </c>
      <c r="AB449" s="23">
        <v>0</v>
      </c>
      <c r="AC449" s="23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0</v>
      </c>
      <c r="AI449" s="10" t="s">
        <v>55</v>
      </c>
    </row>
    <row r="450" spans="2:35" x14ac:dyDescent="0.25">
      <c r="B450" s="23">
        <v>0</v>
      </c>
      <c r="C450" s="23">
        <v>0</v>
      </c>
      <c r="D450" s="23">
        <v>0</v>
      </c>
      <c r="E450" s="23">
        <v>0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  <c r="L450" s="23">
        <v>0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0</v>
      </c>
      <c r="V450" s="23">
        <v>0</v>
      </c>
      <c r="W450" s="23">
        <v>0</v>
      </c>
      <c r="X450" s="23">
        <v>0</v>
      </c>
      <c r="Y450" s="23">
        <v>0</v>
      </c>
      <c r="Z450" s="23">
        <v>0</v>
      </c>
      <c r="AA450" s="23">
        <v>0</v>
      </c>
      <c r="AB450" s="23">
        <v>0</v>
      </c>
      <c r="AC450" s="23">
        <v>0</v>
      </c>
      <c r="AD450" s="23">
        <v>0</v>
      </c>
      <c r="AE450" s="23">
        <v>0</v>
      </c>
      <c r="AF450" s="23">
        <v>0</v>
      </c>
      <c r="AG450" s="23">
        <v>0</v>
      </c>
      <c r="AH450" s="23">
        <v>0</v>
      </c>
      <c r="AI450" s="10" t="s">
        <v>56</v>
      </c>
    </row>
    <row r="451" spans="2:35" x14ac:dyDescent="0.25">
      <c r="B451" s="23">
        <v>0</v>
      </c>
      <c r="C451" s="23">
        <v>0</v>
      </c>
      <c r="D451" s="23">
        <v>0</v>
      </c>
      <c r="E451" s="23">
        <v>0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3">
        <v>0</v>
      </c>
      <c r="AF451" s="23">
        <v>0</v>
      </c>
      <c r="AG451" s="23">
        <v>0</v>
      </c>
      <c r="AH451" s="23">
        <v>0</v>
      </c>
      <c r="AI451" s="10" t="s">
        <v>57</v>
      </c>
    </row>
    <row r="452" spans="2:35" x14ac:dyDescent="0.25">
      <c r="B452" s="23">
        <v>0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0</v>
      </c>
      <c r="X452" s="23">
        <v>0</v>
      </c>
      <c r="Y452" s="23">
        <v>0</v>
      </c>
      <c r="Z452" s="23">
        <v>0</v>
      </c>
      <c r="AA452" s="23">
        <v>0</v>
      </c>
      <c r="AB452" s="23">
        <v>0</v>
      </c>
      <c r="AC452" s="23">
        <v>0</v>
      </c>
      <c r="AD452" s="23">
        <v>0</v>
      </c>
      <c r="AE452" s="23">
        <v>0</v>
      </c>
      <c r="AF452" s="23">
        <v>0</v>
      </c>
      <c r="AG452" s="23">
        <v>0</v>
      </c>
      <c r="AH452" s="23">
        <v>0</v>
      </c>
      <c r="AI452" s="10" t="s">
        <v>58</v>
      </c>
    </row>
    <row r="453" spans="2:35" x14ac:dyDescent="0.25">
      <c r="B453" s="23">
        <v>0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  <c r="L453" s="23">
        <v>0</v>
      </c>
      <c r="M453" s="23">
        <v>0</v>
      </c>
      <c r="N453" s="23">
        <v>0</v>
      </c>
      <c r="O453" s="23">
        <v>0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0</v>
      </c>
      <c r="V453" s="23">
        <v>0</v>
      </c>
      <c r="W453" s="23">
        <v>0</v>
      </c>
      <c r="X453" s="23">
        <v>0</v>
      </c>
      <c r="Y453" s="23">
        <v>0</v>
      </c>
      <c r="Z453" s="23">
        <v>0</v>
      </c>
      <c r="AA453" s="23">
        <v>0</v>
      </c>
      <c r="AB453" s="23">
        <v>0</v>
      </c>
      <c r="AC453" s="23">
        <v>0</v>
      </c>
      <c r="AD453" s="23">
        <v>0</v>
      </c>
      <c r="AE453" s="23">
        <v>0</v>
      </c>
      <c r="AF453" s="23">
        <v>0</v>
      </c>
      <c r="AG453" s="23">
        <v>0</v>
      </c>
      <c r="AH453" s="23">
        <v>0</v>
      </c>
      <c r="AI453" s="10" t="s">
        <v>59</v>
      </c>
    </row>
    <row r="454" spans="2:35" x14ac:dyDescent="0.25">
      <c r="B454" s="23">
        <v>0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  <c r="L454" s="23">
        <v>0</v>
      </c>
      <c r="M454" s="23">
        <v>0</v>
      </c>
      <c r="N454" s="23">
        <v>0</v>
      </c>
      <c r="O454" s="23">
        <v>0</v>
      </c>
      <c r="P454" s="23">
        <v>0</v>
      </c>
      <c r="Q454" s="23">
        <v>0</v>
      </c>
      <c r="R454" s="23">
        <v>0</v>
      </c>
      <c r="S454" s="23">
        <v>0</v>
      </c>
      <c r="T454" s="23">
        <v>0</v>
      </c>
      <c r="U454" s="23">
        <v>0</v>
      </c>
      <c r="V454" s="23">
        <v>0</v>
      </c>
      <c r="W454" s="23">
        <v>0</v>
      </c>
      <c r="X454" s="23">
        <v>0</v>
      </c>
      <c r="Y454" s="23">
        <v>0</v>
      </c>
      <c r="Z454" s="23">
        <v>0</v>
      </c>
      <c r="AA454" s="23">
        <v>0</v>
      </c>
      <c r="AB454" s="23">
        <v>0</v>
      </c>
      <c r="AC454" s="23">
        <v>0</v>
      </c>
      <c r="AD454" s="23">
        <v>0</v>
      </c>
      <c r="AE454" s="23">
        <v>0</v>
      </c>
      <c r="AF454" s="23">
        <v>0</v>
      </c>
      <c r="AG454" s="23">
        <v>0</v>
      </c>
      <c r="AH454" s="23">
        <v>0</v>
      </c>
      <c r="AI454" s="10" t="s">
        <v>60</v>
      </c>
    </row>
    <row r="455" spans="2:35" x14ac:dyDescent="0.25">
      <c r="B455" s="23">
        <v>0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3">
        <v>0</v>
      </c>
      <c r="T455" s="23">
        <v>0</v>
      </c>
      <c r="U455" s="23">
        <v>0</v>
      </c>
      <c r="V455" s="23">
        <v>0</v>
      </c>
      <c r="W455" s="23">
        <v>0</v>
      </c>
      <c r="X455" s="23">
        <v>0</v>
      </c>
      <c r="Y455" s="23">
        <v>0</v>
      </c>
      <c r="Z455" s="23">
        <v>0</v>
      </c>
      <c r="AA455" s="23">
        <v>0</v>
      </c>
      <c r="AB455" s="23">
        <v>0</v>
      </c>
      <c r="AC455" s="23">
        <v>0</v>
      </c>
      <c r="AD455" s="23">
        <v>0</v>
      </c>
      <c r="AE455" s="23">
        <v>0</v>
      </c>
      <c r="AF455" s="23">
        <v>0</v>
      </c>
      <c r="AG455" s="23">
        <v>0</v>
      </c>
      <c r="AH455" s="23">
        <v>0</v>
      </c>
      <c r="AI455" s="10" t="s">
        <v>61</v>
      </c>
    </row>
    <row r="456" spans="2:35" x14ac:dyDescent="0.25">
      <c r="B456" s="23">
        <v>0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3">
        <v>0</v>
      </c>
      <c r="R456" s="23">
        <v>0</v>
      </c>
      <c r="S456" s="23">
        <v>0</v>
      </c>
      <c r="T456" s="23">
        <v>0</v>
      </c>
      <c r="U456" s="23">
        <v>0</v>
      </c>
      <c r="V456" s="23">
        <v>0</v>
      </c>
      <c r="W456" s="23">
        <v>0</v>
      </c>
      <c r="X456" s="23">
        <v>0</v>
      </c>
      <c r="Y456" s="23">
        <v>0</v>
      </c>
      <c r="Z456" s="23">
        <v>0</v>
      </c>
      <c r="AA456" s="23">
        <v>0</v>
      </c>
      <c r="AB456" s="23">
        <v>0</v>
      </c>
      <c r="AC456" s="23">
        <v>0</v>
      </c>
      <c r="AD456" s="23">
        <v>0</v>
      </c>
      <c r="AE456" s="23">
        <v>0</v>
      </c>
      <c r="AF456" s="23">
        <v>0</v>
      </c>
      <c r="AG456" s="23">
        <v>0</v>
      </c>
      <c r="AH456" s="23">
        <v>0</v>
      </c>
      <c r="AI456" s="10" t="s">
        <v>62</v>
      </c>
    </row>
    <row r="457" spans="2:35" x14ac:dyDescent="0.25">
      <c r="B457" s="23">
        <v>0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0</v>
      </c>
      <c r="S457" s="23">
        <v>0</v>
      </c>
      <c r="T457" s="23">
        <v>0</v>
      </c>
      <c r="U457" s="23">
        <v>0</v>
      </c>
      <c r="V457" s="23">
        <v>0</v>
      </c>
      <c r="W457" s="23">
        <v>0</v>
      </c>
      <c r="X457" s="23">
        <v>0</v>
      </c>
      <c r="Y457" s="23">
        <v>0</v>
      </c>
      <c r="Z457" s="23">
        <v>0</v>
      </c>
      <c r="AA457" s="23">
        <v>0</v>
      </c>
      <c r="AB457" s="23">
        <v>0</v>
      </c>
      <c r="AC457" s="23">
        <v>0</v>
      </c>
      <c r="AD457" s="23">
        <v>0</v>
      </c>
      <c r="AE457" s="23">
        <v>0</v>
      </c>
      <c r="AF457" s="23">
        <v>0</v>
      </c>
      <c r="AG457" s="23">
        <v>0</v>
      </c>
      <c r="AH457" s="23">
        <v>0</v>
      </c>
      <c r="AI457" s="10" t="s">
        <v>63</v>
      </c>
    </row>
    <row r="458" spans="2:35" x14ac:dyDescent="0.25">
      <c r="B458" s="23">
        <v>0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  <c r="L458" s="23">
        <v>0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0</v>
      </c>
      <c r="S458" s="23">
        <v>0</v>
      </c>
      <c r="T458" s="23">
        <v>0</v>
      </c>
      <c r="U458" s="23">
        <v>0</v>
      </c>
      <c r="V458" s="23">
        <v>0</v>
      </c>
      <c r="W458" s="23">
        <v>0</v>
      </c>
      <c r="X458" s="23">
        <v>0</v>
      </c>
      <c r="Y458" s="23">
        <v>0</v>
      </c>
      <c r="Z458" s="23">
        <v>0</v>
      </c>
      <c r="AA458" s="23">
        <v>0</v>
      </c>
      <c r="AB458" s="23">
        <v>0</v>
      </c>
      <c r="AC458" s="23">
        <v>0</v>
      </c>
      <c r="AD458" s="23">
        <v>0</v>
      </c>
      <c r="AE458" s="23">
        <v>0</v>
      </c>
      <c r="AF458" s="23">
        <v>0</v>
      </c>
      <c r="AG458" s="23">
        <v>0</v>
      </c>
      <c r="AH458" s="23">
        <v>0</v>
      </c>
      <c r="AI458" s="10" t="s">
        <v>64</v>
      </c>
    </row>
    <row r="459" spans="2:35" x14ac:dyDescent="0.25">
      <c r="B459" s="23">
        <v>0</v>
      </c>
      <c r="C459" s="23">
        <v>0</v>
      </c>
      <c r="D459" s="23">
        <v>0</v>
      </c>
      <c r="E459" s="23">
        <v>0</v>
      </c>
      <c r="F459" s="23">
        <v>0</v>
      </c>
      <c r="G459" s="23">
        <v>0</v>
      </c>
      <c r="H459" s="23">
        <v>0</v>
      </c>
      <c r="I459" s="23">
        <v>0</v>
      </c>
      <c r="J459" s="23">
        <v>0</v>
      </c>
      <c r="K459" s="23">
        <v>0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0</v>
      </c>
      <c r="W459" s="23">
        <v>0</v>
      </c>
      <c r="X459" s="23">
        <v>0</v>
      </c>
      <c r="Y459" s="23">
        <v>0</v>
      </c>
      <c r="Z459" s="23">
        <v>0</v>
      </c>
      <c r="AA459" s="23">
        <v>0</v>
      </c>
      <c r="AB459" s="23">
        <v>0</v>
      </c>
      <c r="AC459" s="23">
        <v>0</v>
      </c>
      <c r="AD459" s="23">
        <v>0</v>
      </c>
      <c r="AE459" s="23">
        <v>0</v>
      </c>
      <c r="AF459" s="23">
        <v>0</v>
      </c>
      <c r="AG459" s="23">
        <v>0</v>
      </c>
      <c r="AH459" s="23">
        <v>0</v>
      </c>
      <c r="AI459" s="10" t="s">
        <v>65</v>
      </c>
    </row>
    <row r="460" spans="2:35" x14ac:dyDescent="0.25">
      <c r="B460" s="23">
        <v>0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v>0</v>
      </c>
      <c r="X460" s="23">
        <v>0</v>
      </c>
      <c r="Y460" s="23">
        <v>0</v>
      </c>
      <c r="Z460" s="23">
        <v>0</v>
      </c>
      <c r="AA460" s="23">
        <v>0</v>
      </c>
      <c r="AB460" s="23">
        <v>0</v>
      </c>
      <c r="AC460" s="23">
        <v>0</v>
      </c>
      <c r="AD460" s="23">
        <v>0</v>
      </c>
      <c r="AE460" s="23">
        <v>0</v>
      </c>
      <c r="AF460" s="23">
        <v>0</v>
      </c>
      <c r="AG460" s="23">
        <v>0</v>
      </c>
      <c r="AH460" s="23">
        <v>0</v>
      </c>
      <c r="AI460" s="10" t="s">
        <v>66</v>
      </c>
    </row>
    <row r="461" spans="2:35" x14ac:dyDescent="0.25">
      <c r="B461" s="23">
        <v>0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0</v>
      </c>
      <c r="U461" s="23">
        <v>0</v>
      </c>
      <c r="V461" s="23">
        <v>0</v>
      </c>
      <c r="W461" s="23">
        <v>0</v>
      </c>
      <c r="X461" s="23">
        <v>0</v>
      </c>
      <c r="Y461" s="23">
        <v>0</v>
      </c>
      <c r="Z461" s="23">
        <v>0</v>
      </c>
      <c r="AA461" s="23">
        <v>0</v>
      </c>
      <c r="AB461" s="23">
        <v>0</v>
      </c>
      <c r="AC461" s="23">
        <v>0</v>
      </c>
      <c r="AD461" s="23">
        <v>0</v>
      </c>
      <c r="AE461" s="23">
        <v>0</v>
      </c>
      <c r="AF461" s="23">
        <v>0</v>
      </c>
      <c r="AG461" s="23">
        <v>0</v>
      </c>
      <c r="AH461" s="23">
        <v>0</v>
      </c>
      <c r="AI461" s="10" t="s">
        <v>67</v>
      </c>
    </row>
    <row r="462" spans="2:35" x14ac:dyDescent="0.25">
      <c r="B462" s="23">
        <v>0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  <c r="L462" s="23">
        <v>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0</v>
      </c>
      <c r="V462" s="23">
        <v>0</v>
      </c>
      <c r="W462" s="23">
        <v>0</v>
      </c>
      <c r="X462" s="23">
        <v>0</v>
      </c>
      <c r="Y462" s="23">
        <v>0</v>
      </c>
      <c r="Z462" s="23">
        <v>0</v>
      </c>
      <c r="AA462" s="23">
        <v>0</v>
      </c>
      <c r="AB462" s="23">
        <v>0</v>
      </c>
      <c r="AC462" s="23">
        <v>0</v>
      </c>
      <c r="AD462" s="23">
        <v>0</v>
      </c>
      <c r="AE462" s="23">
        <v>0</v>
      </c>
      <c r="AF462" s="23">
        <v>0</v>
      </c>
      <c r="AG462" s="23">
        <v>0</v>
      </c>
      <c r="AH462" s="23">
        <v>0</v>
      </c>
      <c r="AI462" s="10" t="s">
        <v>68</v>
      </c>
    </row>
    <row r="465" spans="2:34" x14ac:dyDescent="0.25">
      <c r="B465" s="1" t="s">
        <v>78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2:34" x14ac:dyDescent="0.25">
      <c r="B466" s="10" t="s">
        <v>36</v>
      </c>
      <c r="C466" s="10" t="s">
        <v>37</v>
      </c>
      <c r="D466" s="10" t="s">
        <v>38</v>
      </c>
      <c r="E466" s="10" t="s">
        <v>39</v>
      </c>
      <c r="F466" s="10" t="s">
        <v>40</v>
      </c>
      <c r="G466" s="10" t="s">
        <v>41</v>
      </c>
      <c r="H466" s="10" t="s">
        <v>42</v>
      </c>
      <c r="I466" s="10" t="s">
        <v>43</v>
      </c>
      <c r="J466" s="10" t="s">
        <v>44</v>
      </c>
      <c r="K466" s="10" t="s">
        <v>45</v>
      </c>
      <c r="L466" s="10" t="s">
        <v>46</v>
      </c>
      <c r="M466" s="10" t="s">
        <v>47</v>
      </c>
      <c r="N466" s="10" t="s">
        <v>48</v>
      </c>
      <c r="O466" s="10" t="s">
        <v>49</v>
      </c>
      <c r="P466" s="10" t="s">
        <v>50</v>
      </c>
      <c r="Q466" s="10" t="s">
        <v>51</v>
      </c>
      <c r="R466" s="10" t="s">
        <v>52</v>
      </c>
      <c r="S466" s="10" t="s">
        <v>53</v>
      </c>
      <c r="T466" s="10" t="s">
        <v>54</v>
      </c>
      <c r="U466" s="10" t="s">
        <v>55</v>
      </c>
      <c r="V466" s="10" t="s">
        <v>56</v>
      </c>
      <c r="W466" s="10" t="s">
        <v>57</v>
      </c>
      <c r="X466" s="10" t="s">
        <v>58</v>
      </c>
      <c r="Y466" s="10" t="s">
        <v>59</v>
      </c>
      <c r="Z466" s="10" t="s">
        <v>60</v>
      </c>
      <c r="AA466" s="10" t="s">
        <v>61</v>
      </c>
      <c r="AB466" s="10" t="s">
        <v>62</v>
      </c>
      <c r="AC466" s="10" t="s">
        <v>63</v>
      </c>
      <c r="AD466" s="10" t="s">
        <v>64</v>
      </c>
      <c r="AE466" s="10" t="s">
        <v>65</v>
      </c>
      <c r="AF466" s="10" t="s">
        <v>66</v>
      </c>
      <c r="AG466" s="10" t="s">
        <v>67</v>
      </c>
      <c r="AH466" s="10" t="s">
        <v>68</v>
      </c>
    </row>
    <row r="467" spans="2:35" x14ac:dyDescent="0.25">
      <c r="B467" s="24">
        <f>B43+B86+B129+B172+B215+B258+B301+B344+B387+B430</f>
        <v>0</v>
      </c>
      <c r="C467" s="12">
        <f>C43+C86+C129+C172+C215+C258+C301+C344+C387+C430</f>
        <v>0</v>
      </c>
      <c r="D467" s="12">
        <f>D43+D86+D129+D172+D215+D258+D301+D344+D387+D430</f>
        <v>0</v>
      </c>
      <c r="E467" s="12">
        <f>E43+E86+E129+E172+E215+E258+E301+E344+E387+E430</f>
        <v>0</v>
      </c>
      <c r="F467" s="12">
        <f>F43+F86+F129+F172+F215+F258+F301+F344+F387+F430</f>
        <v>0</v>
      </c>
      <c r="G467" s="12">
        <f>G43+G86+G129+G172+G215+G258+G301+G344+G387+G430</f>
        <v>0</v>
      </c>
      <c r="H467" s="12">
        <f>H43+H86+H129+H172+H215+H258+H301+H344+H387+H430</f>
        <v>0</v>
      </c>
      <c r="I467" s="12">
        <f>I43+I86+I129+I172+I215+I258+I301+I344+I387+I430</f>
        <v>0</v>
      </c>
      <c r="J467" s="12">
        <f>J43+J86+J129+J172+J215+J258+J301+J344+J387+J430</f>
        <v>0</v>
      </c>
      <c r="K467" s="12">
        <f>K43+K86+K129+K172+K215+K258+K301+K344+K387+K430</f>
        <v>0</v>
      </c>
      <c r="L467" s="12">
        <f>L43+L86+L129+L172+L215+L258+L301+L344+L387+L430</f>
        <v>0</v>
      </c>
      <c r="M467" s="12">
        <f>M43+M86+M129+M172+M215+M258+M301+M344+M387+M430</f>
        <v>0</v>
      </c>
      <c r="N467" s="12">
        <f>N43+N86+N129+N172+N215+N258+N301+N344+N387+N430</f>
        <v>0</v>
      </c>
      <c r="O467" s="12">
        <f>O43+O86+O129+O172+O215+O258+O301+O344+O387+O430</f>
        <v>0</v>
      </c>
      <c r="P467" s="12">
        <f>P43+P86+P129+P172+P215+P258+P301+P344+P387+P430</f>
        <v>0</v>
      </c>
      <c r="Q467" s="12">
        <f>Q43+Q86+Q129+Q172+Q215+Q258+Q301+Q344+Q387+Q430</f>
        <v>0</v>
      </c>
      <c r="R467" s="12">
        <f>R43+R86+R129+R172+R215+R258+R301+R344+R387+R430</f>
        <v>0</v>
      </c>
      <c r="S467" s="12">
        <f>S43+S86+S129+S172+S215+S258+S301+S344+S387+S430</f>
        <v>0</v>
      </c>
      <c r="T467" s="12">
        <f>T43+T86+T129+T172+T215+T258+T301+T344+T387+T430</f>
        <v>0</v>
      </c>
      <c r="U467" s="12">
        <f>U43+U86+U129+U172+U215+U258+U301+U344+U387+U430</f>
        <v>0</v>
      </c>
      <c r="V467" s="12">
        <f>V43+V86+V129+V172+V215+V258+V301+V344+V387+V430</f>
        <v>0</v>
      </c>
      <c r="W467" s="12">
        <f>W43+W86+W129+W172+W215+W258+W301+W344+W387+W430</f>
        <v>0</v>
      </c>
      <c r="X467" s="12">
        <f>X43+X86+X129+X172+X215+X258+X301+X344+X387+X430</f>
        <v>0</v>
      </c>
      <c r="Y467" s="12">
        <f>Y43+Y86+Y129+Y172+Y215+Y258+Y301+Y344+Y387+Y430</f>
        <v>0</v>
      </c>
      <c r="Z467" s="12">
        <f>Z43+Z86+Z129+Z172+Z215+Z258+Z301+Z344+Z387+Z430</f>
        <v>0</v>
      </c>
      <c r="AA467" s="12">
        <f>AA43+AA86+AA129+AA172+AA215+AA258+AA301+AA344+AA387+AA430</f>
        <v>0</v>
      </c>
      <c r="AB467" s="12">
        <f>AB43+AB86+AB129+AB172+AB215+AB258+AB301+AB344+AB387+AB430</f>
        <v>0</v>
      </c>
      <c r="AC467" s="12">
        <f>AC43+AC86+AC129+AC172+AC215+AC258+AC301+AC344+AC387+AC430</f>
        <v>0</v>
      </c>
      <c r="AD467" s="12">
        <f>AD43+AD86+AD129+AD172+AD215+AD258+AD301+AD344+AD387+AD430</f>
        <v>0</v>
      </c>
      <c r="AE467" s="12">
        <f>AE43+AE86+AE129+AE172+AE215+AE258+AE301+AE344+AE387+AE430</f>
        <v>0</v>
      </c>
      <c r="AF467" s="12">
        <f>AF43+AF86+AF129+AF172+AF215+AF258+AF301+AF344+AF387+AF430</f>
        <v>0</v>
      </c>
      <c r="AG467" s="12">
        <f>AG43+AG86+AG129+AG172+AG215+AG258+AG301+AG344+AG387+AG430</f>
        <v>0</v>
      </c>
      <c r="AH467" s="12">
        <f>AH43+AH86+AH129+AH172+AH215+AH258+AH301+AH344+AH387+AH430</f>
        <v>0</v>
      </c>
      <c r="AI467" s="10" t="s">
        <v>36</v>
      </c>
    </row>
    <row r="468" spans="2:35" x14ac:dyDescent="0.25">
      <c r="B468" s="12">
        <f>B44+B87+B130+B173+B216+B259+B302+B345+B388+B431</f>
        <v>0</v>
      </c>
      <c r="C468" s="24">
        <f>C44+C87+C130+C173+C216+C259+C302+C345+C388+C431</f>
        <v>0</v>
      </c>
      <c r="D468" s="12">
        <f>D44+D87+D130+D173+D216+D259+D302+D345+D388+D431</f>
        <v>0</v>
      </c>
      <c r="E468" s="12">
        <f>E44+E87+E130+E173+E216+E259+E302+E345+E388+E431</f>
        <v>0</v>
      </c>
      <c r="F468" s="12">
        <f>F44+F87+F130+F173+F216+F259+F302+F345+F388+F431</f>
        <v>0</v>
      </c>
      <c r="G468" s="12">
        <f>G44+G87+G130+G173+G216+G259+G302+G345+G388+G431</f>
        <v>0</v>
      </c>
      <c r="H468" s="12">
        <f>H44+H87+H130+H173+H216+H259+H302+H345+H388+H431</f>
        <v>0</v>
      </c>
      <c r="I468" s="12">
        <f>I44+I87+I130+I173+I216+I259+I302+I345+I388+I431</f>
        <v>0</v>
      </c>
      <c r="J468" s="12">
        <f>J44+J87+J130+J173+J216+J259+J302+J345+J388+J431</f>
        <v>0</v>
      </c>
      <c r="K468" s="12">
        <f>K44+K87+K130+K173+K216+K259+K302+K345+K388+K431</f>
        <v>0</v>
      </c>
      <c r="L468" s="12">
        <f>L44+L87+L130+L173+L216+L259+L302+L345+L388+L431</f>
        <v>0</v>
      </c>
      <c r="M468" s="12">
        <f>M44+M87+M130+M173+M216+M259+M302+M345+M388+M431</f>
        <v>0</v>
      </c>
      <c r="N468" s="12">
        <f>N44+N87+N130+N173+N216+N259+N302+N345+N388+N431</f>
        <v>0</v>
      </c>
      <c r="O468" s="12">
        <f>O44+O87+O130+O173+O216+O259+O302+O345+O388+O431</f>
        <v>0</v>
      </c>
      <c r="P468" s="12">
        <f>P44+P87+P130+P173+P216+P259+P302+P345+P388+P431</f>
        <v>0</v>
      </c>
      <c r="Q468" s="12">
        <f>Q44+Q87+Q130+Q173+Q216+Q259+Q302+Q345+Q388+Q431</f>
        <v>0</v>
      </c>
      <c r="R468" s="12">
        <f>R44+R87+R130+R173+R216+R259+R302+R345+R388+R431</f>
        <v>0</v>
      </c>
      <c r="S468" s="12">
        <f>S44+S87+S130+S173+S216+S259+S302+S345+S388+S431</f>
        <v>0</v>
      </c>
      <c r="T468" s="12">
        <f>T44+T87+T130+T173+T216+T259+T302+T345+T388+T431</f>
        <v>0</v>
      </c>
      <c r="U468" s="12">
        <f>U44+U87+U130+U173+U216+U259+U302+U345+U388+U431</f>
        <v>0</v>
      </c>
      <c r="V468" s="12">
        <f>V44+V87+V130+V173+V216+V259+V302+V345+V388+V431</f>
        <v>0</v>
      </c>
      <c r="W468" s="12">
        <f>W44+W87+W130+W173+W216+W259+W302+W345+W388+W431</f>
        <v>0</v>
      </c>
      <c r="X468" s="12">
        <f>X44+X87+X130+X173+X216+X259+X302+X345+X388+X431</f>
        <v>0</v>
      </c>
      <c r="Y468" s="12">
        <f>Y44+Y87+Y130+Y173+Y216+Y259+Y302+Y345+Y388+Y431</f>
        <v>0</v>
      </c>
      <c r="Z468" s="12">
        <f>Z44+Z87+Z130+Z173+Z216+Z259+Z302+Z345+Z388+Z431</f>
        <v>0</v>
      </c>
      <c r="AA468" s="12">
        <f>AA44+AA87+AA130+AA173+AA216+AA259+AA302+AA345+AA388+AA431</f>
        <v>0</v>
      </c>
      <c r="AB468" s="12">
        <f>AB44+AB87+AB130+AB173+AB216+AB259+AB302+AB345+AB388+AB431</f>
        <v>0</v>
      </c>
      <c r="AC468" s="12">
        <f>AC44+AC87+AC130+AC173+AC216+AC259+AC302+AC345+AC388+AC431</f>
        <v>0</v>
      </c>
      <c r="AD468" s="12">
        <f>AD44+AD87+AD130+AD173+AD216+AD259+AD302+AD345+AD388+AD431</f>
        <v>0</v>
      </c>
      <c r="AE468" s="12">
        <f>AE44+AE87+AE130+AE173+AE216+AE259+AE302+AE345+AE388+AE431</f>
        <v>0</v>
      </c>
      <c r="AF468" s="12">
        <f>AF44+AF87+AF130+AF173+AF216+AF259+AF302+AF345+AF388+AF431</f>
        <v>0</v>
      </c>
      <c r="AG468" s="12">
        <f>AG44+AG87+AG130+AG173+AG216+AG259+AG302+AG345+AG388+AG431</f>
        <v>0</v>
      </c>
      <c r="AH468" s="12">
        <f>AH44+AH87+AH130+AH173+AH216+AH259+AH302+AH345+AH388+AH431</f>
        <v>0</v>
      </c>
      <c r="AI468" s="10" t="s">
        <v>37</v>
      </c>
    </row>
    <row r="469" spans="2:35" x14ac:dyDescent="0.25">
      <c r="B469" s="12">
        <f>B45+B88+B131+B174+B217+B260+B303+B346+B389+B432</f>
        <v>0</v>
      </c>
      <c r="C469" s="12">
        <f>C45+C88+C131+C174+C217+C260+C303+C346+C389+C432</f>
        <v>0</v>
      </c>
      <c r="D469" s="24">
        <f>D45+D88+D131+D174+D217+D260+D303+D346+D389+D432</f>
        <v>0</v>
      </c>
      <c r="E469" s="12">
        <f>E45+E88+E131+E174+E217+E260+E303+E346+E389+E432</f>
        <v>0</v>
      </c>
      <c r="F469" s="12">
        <f>F45+F88+F131+F174+F217+F260+F303+F346+F389+F432</f>
        <v>0</v>
      </c>
      <c r="G469" s="12">
        <f>G45+G88+G131+G174+G217+G260+G303+G346+G389+G432</f>
        <v>0</v>
      </c>
      <c r="H469" s="12">
        <f>H45+H88+H131+H174+H217+H260+H303+H346+H389+H432</f>
        <v>0</v>
      </c>
      <c r="I469" s="12">
        <f>I45+I88+I131+I174+I217+I260+I303+I346+I389+I432</f>
        <v>0</v>
      </c>
      <c r="J469" s="12">
        <f>J45+J88+J131+J174+J217+J260+J303+J346+J389+J432</f>
        <v>0</v>
      </c>
      <c r="K469" s="12">
        <f>K45+K88+K131+K174+K217+K260+K303+K346+K389+K432</f>
        <v>0</v>
      </c>
      <c r="L469" s="12">
        <f>L45+L88+L131+L174+L217+L260+L303+L346+L389+L432</f>
        <v>0</v>
      </c>
      <c r="M469" s="12">
        <f>M45+M88+M131+M174+M217+M260+M303+M346+M389+M432</f>
        <v>0</v>
      </c>
      <c r="N469" s="12">
        <f>N45+N88+N131+N174+N217+N260+N303+N346+N389+N432</f>
        <v>0</v>
      </c>
      <c r="O469" s="12">
        <f>O45+O88+O131+O174+O217+O260+O303+O346+O389+O432</f>
        <v>0</v>
      </c>
      <c r="P469" s="12">
        <f>P45+P88+P131+P174+P217+P260+P303+P346+P389+P432</f>
        <v>0</v>
      </c>
      <c r="Q469" s="12">
        <f>Q45+Q88+Q131+Q174+Q217+Q260+Q303+Q346+Q389+Q432</f>
        <v>0</v>
      </c>
      <c r="R469" s="12">
        <f>R45+R88+R131+R174+R217+R260+R303+R346+R389+R432</f>
        <v>0</v>
      </c>
      <c r="S469" s="12">
        <f>S45+S88+S131+S174+S217+S260+S303+S346+S389+S432</f>
        <v>0</v>
      </c>
      <c r="T469" s="12">
        <f>T45+T88+T131+T174+T217+T260+T303+T346+T389+T432</f>
        <v>0</v>
      </c>
      <c r="U469" s="12">
        <f>U45+U88+U131+U174+U217+U260+U303+U346+U389+U432</f>
        <v>0</v>
      </c>
      <c r="V469" s="12">
        <f>V45+V88+V131+V174+V217+V260+V303+V346+V389+V432</f>
        <v>0</v>
      </c>
      <c r="W469" s="12">
        <f>W45+W88+W131+W174+W217+W260+W303+W346+W389+W432</f>
        <v>0</v>
      </c>
      <c r="X469" s="12">
        <f>X45+X88+X131+X174+X217+X260+X303+X346+X389+X432</f>
        <v>0</v>
      </c>
      <c r="Y469" s="12">
        <f>Y45+Y88+Y131+Y174+Y217+Y260+Y303+Y346+Y389+Y432</f>
        <v>0</v>
      </c>
      <c r="Z469" s="12">
        <f>Z45+Z88+Z131+Z174+Z217+Z260+Z303+Z346+Z389+Z432</f>
        <v>0</v>
      </c>
      <c r="AA469" s="12">
        <f>AA45+AA88+AA131+AA174+AA217+AA260+AA303+AA346+AA389+AA432</f>
        <v>0</v>
      </c>
      <c r="AB469" s="12">
        <f>AB45+AB88+AB131+AB174+AB217+AB260+AB303+AB346+AB389+AB432</f>
        <v>0</v>
      </c>
      <c r="AC469" s="12">
        <f>AC45+AC88+AC131+AC174+AC217+AC260+AC303+AC346+AC389+AC432</f>
        <v>0</v>
      </c>
      <c r="AD469" s="12">
        <f>AD45+AD88+AD131+AD174+AD217+AD260+AD303+AD346+AD389+AD432</f>
        <v>0</v>
      </c>
      <c r="AE469" s="12">
        <f>AE45+AE88+AE131+AE174+AE217+AE260+AE303+AE346+AE389+AE432</f>
        <v>0</v>
      </c>
      <c r="AF469" s="12">
        <f>AF45+AF88+AF131+AF174+AF217+AF260+AF303+AF346+AF389+AF432</f>
        <v>0</v>
      </c>
      <c r="AG469" s="12">
        <f>AG45+AG88+AG131+AG174+AG217+AG260+AG303+AG346+AG389+AG432</f>
        <v>0</v>
      </c>
      <c r="AH469" s="12">
        <f>AH45+AH88+AH131+AH174+AH217+AH260+AH303+AH346+AH389+AH432</f>
        <v>0</v>
      </c>
      <c r="AI469" s="10" t="s">
        <v>38</v>
      </c>
    </row>
    <row r="470" spans="2:35" x14ac:dyDescent="0.25">
      <c r="B470" s="12">
        <f>B46+B89+B132+B175+B218+B261+B304+B347+B390+B433</f>
        <v>0</v>
      </c>
      <c r="C470" s="12">
        <f>C46+C89+C132+C175+C218+C261+C304+C347+C390+C433</f>
        <v>0</v>
      </c>
      <c r="D470" s="12">
        <f>D46+D89+D132+D175+D218+D261+D304+D347+D390+D433</f>
        <v>0</v>
      </c>
      <c r="E470" s="24">
        <f>E46+E89+E132+E175+E218+E261+E304+E347+E390+E433</f>
        <v>0</v>
      </c>
      <c r="F470" s="12">
        <f>F46+F89+F132+F175+F218+F261+F304+F347+F390+F433</f>
        <v>0</v>
      </c>
      <c r="G470" s="12">
        <f>G46+G89+G132+G175+G218+G261+G304+G347+G390+G433</f>
        <v>0</v>
      </c>
      <c r="H470" s="12">
        <f>H46+H89+H132+H175+H218+H261+H304+H347+H390+H433</f>
        <v>0</v>
      </c>
      <c r="I470" s="12">
        <f>I46+I89+I132+I175+I218+I261+I304+I347+I390+I433</f>
        <v>0</v>
      </c>
      <c r="J470" s="12">
        <f>J46+J89+J132+J175+J218+J261+J304+J347+J390+J433</f>
        <v>0</v>
      </c>
      <c r="K470" s="12">
        <f>K46+K89+K132+K175+K218+K261+K304+K347+K390+K433</f>
        <v>0</v>
      </c>
      <c r="L470" s="12">
        <f>L46+L89+L132+L175+L218+L261+L304+L347+L390+L433</f>
        <v>0</v>
      </c>
      <c r="M470" s="12">
        <f>M46+M89+M132+M175+M218+M261+M304+M347+M390+M433</f>
        <v>0</v>
      </c>
      <c r="N470" s="12">
        <f>N46+N89+N132+N175+N218+N261+N304+N347+N390+N433</f>
        <v>0</v>
      </c>
      <c r="O470" s="12">
        <f>O46+O89+O132+O175+O218+O261+O304+O347+O390+O433</f>
        <v>0</v>
      </c>
      <c r="P470" s="12">
        <f>P46+P89+P132+P175+P218+P261+P304+P347+P390+P433</f>
        <v>0</v>
      </c>
      <c r="Q470" s="12">
        <f>Q46+Q89+Q132+Q175+Q218+Q261+Q304+Q347+Q390+Q433</f>
        <v>0</v>
      </c>
      <c r="R470" s="12">
        <f>R46+R89+R132+R175+R218+R261+R304+R347+R390+R433</f>
        <v>0</v>
      </c>
      <c r="S470" s="12">
        <f>S46+S89+S132+S175+S218+S261+S304+S347+S390+S433</f>
        <v>0</v>
      </c>
      <c r="T470" s="12">
        <f>T46+T89+T132+T175+T218+T261+T304+T347+T390+T433</f>
        <v>0</v>
      </c>
      <c r="U470" s="12">
        <f>U46+U89+U132+U175+U218+U261+U304+U347+U390+U433</f>
        <v>0</v>
      </c>
      <c r="V470" s="12">
        <f>V46+V89+V132+V175+V218+V261+V304+V347+V390+V433</f>
        <v>0</v>
      </c>
      <c r="W470" s="12">
        <f>W46+W89+W132+W175+W218+W261+W304+W347+W390+W433</f>
        <v>0</v>
      </c>
      <c r="X470" s="12">
        <f>X46+X89+X132+X175+X218+X261+X304+X347+X390+X433</f>
        <v>0</v>
      </c>
      <c r="Y470" s="12">
        <f>Y46+Y89+Y132+Y175+Y218+Y261+Y304+Y347+Y390+Y433</f>
        <v>0</v>
      </c>
      <c r="Z470" s="12">
        <f>Z46+Z89+Z132+Z175+Z218+Z261+Z304+Z347+Z390+Z433</f>
        <v>0</v>
      </c>
      <c r="AA470" s="12">
        <f>AA46+AA89+AA132+AA175+AA218+AA261+AA304+AA347+AA390+AA433</f>
        <v>0</v>
      </c>
      <c r="AB470" s="12">
        <f>AB46+AB89+AB132+AB175+AB218+AB261+AB304+AB347+AB390+AB433</f>
        <v>0</v>
      </c>
      <c r="AC470" s="12">
        <f>AC46+AC89+AC132+AC175+AC218+AC261+AC304+AC347+AC390+AC433</f>
        <v>0</v>
      </c>
      <c r="AD470" s="12">
        <f>AD46+AD89+AD132+AD175+AD218+AD261+AD304+AD347+AD390+AD433</f>
        <v>0</v>
      </c>
      <c r="AE470" s="12">
        <f>AE46+AE89+AE132+AE175+AE218+AE261+AE304+AE347+AE390+AE433</f>
        <v>0</v>
      </c>
      <c r="AF470" s="12">
        <f>AF46+AF89+AF132+AF175+AF218+AF261+AF304+AF347+AF390+AF433</f>
        <v>0</v>
      </c>
      <c r="AG470" s="12">
        <f>AG46+AG89+AG132+AG175+AG218+AG261+AG304+AG347+AG390+AG433</f>
        <v>0</v>
      </c>
      <c r="AH470" s="12">
        <f>AH46+AH89+AH132+AH175+AH218+AH261+AH304+AH347+AH390+AH433</f>
        <v>0</v>
      </c>
      <c r="AI470" s="10" t="s">
        <v>39</v>
      </c>
    </row>
    <row r="471" spans="2:35" x14ac:dyDescent="0.25">
      <c r="B471" s="12">
        <f>B47+B90+B133+B176+B219+B262+B305+B348+B391+B434</f>
        <v>0</v>
      </c>
      <c r="C471" s="12">
        <f>C47+C90+C133+C176+C219+C262+C305+C348+C391+C434</f>
        <v>0</v>
      </c>
      <c r="D471" s="12">
        <f>D47+D90+D133+D176+D219+D262+D305+D348+D391+D434</f>
        <v>0</v>
      </c>
      <c r="E471" s="12">
        <f>E47+E90+E133+E176+E219+E262+E305+E348+E391+E434</f>
        <v>0</v>
      </c>
      <c r="F471" s="24">
        <f>F47+F90+F133+F176+F219+F262+F305+F348+F391+F434</f>
        <v>0</v>
      </c>
      <c r="G471" s="12">
        <f>G47+G90+G133+G176+G219+G262+G305+G348+G391+G434</f>
        <v>0</v>
      </c>
      <c r="H471" s="12">
        <f>H47+H90+H133+H176+H219+H262+H305+H348+H391+H434</f>
        <v>0</v>
      </c>
      <c r="I471" s="12">
        <f>I47+I90+I133+I176+I219+I262+I305+I348+I391+I434</f>
        <v>0</v>
      </c>
      <c r="J471" s="12">
        <f>J47+J90+J133+J176+J219+J262+J305+J348+J391+J434</f>
        <v>0</v>
      </c>
      <c r="K471" s="12">
        <f>K47+K90+K133+K176+K219+K262+K305+K348+K391+K434</f>
        <v>0</v>
      </c>
      <c r="L471" s="12">
        <f>L47+L90+L133+L176+L219+L262+L305+L348+L391+L434</f>
        <v>0</v>
      </c>
      <c r="M471" s="12">
        <f>M47+M90+M133+M176+M219+M262+M305+M348+M391+M434</f>
        <v>0</v>
      </c>
      <c r="N471" s="12">
        <f>N47+N90+N133+N176+N219+N262+N305+N348+N391+N434</f>
        <v>0</v>
      </c>
      <c r="O471" s="12">
        <f>O47+O90+O133+O176+O219+O262+O305+O348+O391+O434</f>
        <v>0</v>
      </c>
      <c r="P471" s="12">
        <f>P47+P90+P133+P176+P219+P262+P305+P348+P391+P434</f>
        <v>0</v>
      </c>
      <c r="Q471" s="12">
        <f>Q47+Q90+Q133+Q176+Q219+Q262+Q305+Q348+Q391+Q434</f>
        <v>0</v>
      </c>
      <c r="R471" s="12">
        <f>R47+R90+R133+R176+R219+R262+R305+R348+R391+R434</f>
        <v>0</v>
      </c>
      <c r="S471" s="12">
        <f>S47+S90+S133+S176+S219+S262+S305+S348+S391+S434</f>
        <v>0</v>
      </c>
      <c r="T471" s="12">
        <f>T47+T90+T133+T176+T219+T262+T305+T348+T391+T434</f>
        <v>0</v>
      </c>
      <c r="U471" s="12">
        <f>U47+U90+U133+U176+U219+U262+U305+U348+U391+U434</f>
        <v>0</v>
      </c>
      <c r="V471" s="12">
        <f>V47+V90+V133+V176+V219+V262+V305+V348+V391+V434</f>
        <v>0</v>
      </c>
      <c r="W471" s="12">
        <f>W47+W90+W133+W176+W219+W262+W305+W348+W391+W434</f>
        <v>0</v>
      </c>
      <c r="X471" s="12">
        <f>X47+X90+X133+X176+X219+X262+X305+X348+X391+X434</f>
        <v>0</v>
      </c>
      <c r="Y471" s="12">
        <f>Y47+Y90+Y133+Y176+Y219+Y262+Y305+Y348+Y391+Y434</f>
        <v>0</v>
      </c>
      <c r="Z471" s="12">
        <f>Z47+Z90+Z133+Z176+Z219+Z262+Z305+Z348+Z391+Z434</f>
        <v>0</v>
      </c>
      <c r="AA471" s="12">
        <f>AA47+AA90+AA133+AA176+AA219+AA262+AA305+AA348+AA391+AA434</f>
        <v>0</v>
      </c>
      <c r="AB471" s="12">
        <f>AB47+AB90+AB133+AB176+AB219+AB262+AB305+AB348+AB391+AB434</f>
        <v>0</v>
      </c>
      <c r="AC471" s="12">
        <f>AC47+AC90+AC133+AC176+AC219+AC262+AC305+AC348+AC391+AC434</f>
        <v>0</v>
      </c>
      <c r="AD471" s="12">
        <f>AD47+AD90+AD133+AD176+AD219+AD262+AD305+AD348+AD391+AD434</f>
        <v>0</v>
      </c>
      <c r="AE471" s="12">
        <f>AE47+AE90+AE133+AE176+AE219+AE262+AE305+AE348+AE391+AE434</f>
        <v>0</v>
      </c>
      <c r="AF471" s="12">
        <f>AF47+AF90+AF133+AF176+AF219+AF262+AF305+AF348+AF391+AF434</f>
        <v>0</v>
      </c>
      <c r="AG471" s="12">
        <f>AG47+AG90+AG133+AG176+AG219+AG262+AG305+AG348+AG391+AG434</f>
        <v>0</v>
      </c>
      <c r="AH471" s="12">
        <f>AH47+AH90+AH133+AH176+AH219+AH262+AH305+AH348+AH391+AH434</f>
        <v>0</v>
      </c>
      <c r="AI471" s="10" t="s">
        <v>40</v>
      </c>
    </row>
    <row r="472" spans="2:35" x14ac:dyDescent="0.25">
      <c r="B472" s="12">
        <f>B48+B91+B134+B177+B220+B263+B306+B349+B392+B435</f>
        <v>0</v>
      </c>
      <c r="C472" s="12">
        <f>C48+C91+C134+C177+C220+C263+C306+C349+C392+C435</f>
        <v>0</v>
      </c>
      <c r="D472" s="12">
        <f>D48+D91+D134+D177+D220+D263+D306+D349+D392+D435</f>
        <v>0</v>
      </c>
      <c r="E472" s="12">
        <f>E48+E91+E134+E177+E220+E263+E306+E349+E392+E435</f>
        <v>0</v>
      </c>
      <c r="F472" s="12">
        <f>F48+F91+F134+F177+F220+F263+F306+F349+F392+F435</f>
        <v>0</v>
      </c>
      <c r="G472" s="24">
        <f>G48+G91+G134+G177+G220+G263+G306+G349+G392+G435</f>
        <v>0</v>
      </c>
      <c r="H472" s="12">
        <f>H48+H91+H134+H177+H220+H263+H306+H349+H392+H435</f>
        <v>0</v>
      </c>
      <c r="I472" s="12">
        <f>I48+I91+I134+I177+I220+I263+I306+I349+I392+I435</f>
        <v>0</v>
      </c>
      <c r="J472" s="12">
        <f>J48+J91+J134+J177+J220+J263+J306+J349+J392+J435</f>
        <v>0</v>
      </c>
      <c r="K472" s="12">
        <f>K48+K91+K134+K177+K220+K263+K306+K349+K392+K435</f>
        <v>0</v>
      </c>
      <c r="L472" s="12">
        <f>L48+L91+L134+L177+L220+L263+L306+L349+L392+L435</f>
        <v>0</v>
      </c>
      <c r="M472" s="12">
        <f>M48+M91+M134+M177+M220+M263+M306+M349+M392+M435</f>
        <v>0</v>
      </c>
      <c r="N472" s="12">
        <f>N48+N91+N134+N177+N220+N263+N306+N349+N392+N435</f>
        <v>0</v>
      </c>
      <c r="O472" s="12">
        <f>O48+O91+O134+O177+O220+O263+O306+O349+O392+O435</f>
        <v>0</v>
      </c>
      <c r="P472" s="12">
        <f>P48+P91+P134+P177+P220+P263+P306+P349+P392+P435</f>
        <v>0</v>
      </c>
      <c r="Q472" s="12">
        <f>Q48+Q91+Q134+Q177+Q220+Q263+Q306+Q349+Q392+Q435</f>
        <v>0</v>
      </c>
      <c r="R472" s="12">
        <f>R48+R91+R134+R177+R220+R263+R306+R349+R392+R435</f>
        <v>0</v>
      </c>
      <c r="S472" s="12">
        <f>S48+S91+S134+S177+S220+S263+S306+S349+S392+S435</f>
        <v>0</v>
      </c>
      <c r="T472" s="12">
        <f>T48+T91+T134+T177+T220+T263+T306+T349+T392+T435</f>
        <v>0</v>
      </c>
      <c r="U472" s="12">
        <f>U48+U91+U134+U177+U220+U263+U306+U349+U392+U435</f>
        <v>0</v>
      </c>
      <c r="V472" s="12">
        <f>V48+V91+V134+V177+V220+V263+V306+V349+V392+V435</f>
        <v>0</v>
      </c>
      <c r="W472" s="12">
        <f>W48+W91+W134+W177+W220+W263+W306+W349+W392+W435</f>
        <v>0</v>
      </c>
      <c r="X472" s="12">
        <f>X48+X91+X134+X177+X220+X263+X306+X349+X392+X435</f>
        <v>0</v>
      </c>
      <c r="Y472" s="12">
        <f>Y48+Y91+Y134+Y177+Y220+Y263+Y306+Y349+Y392+Y435</f>
        <v>0</v>
      </c>
      <c r="Z472" s="12">
        <f>Z48+Z91+Z134+Z177+Z220+Z263+Z306+Z349+Z392+Z435</f>
        <v>0</v>
      </c>
      <c r="AA472" s="12">
        <f>AA48+AA91+AA134+AA177+AA220+AA263+AA306+AA349+AA392+AA435</f>
        <v>0</v>
      </c>
      <c r="AB472" s="12">
        <f>AB48+AB91+AB134+AB177+AB220+AB263+AB306+AB349+AB392+AB435</f>
        <v>0</v>
      </c>
      <c r="AC472" s="12">
        <f>AC48+AC91+AC134+AC177+AC220+AC263+AC306+AC349+AC392+AC435</f>
        <v>0</v>
      </c>
      <c r="AD472" s="12">
        <f>AD48+AD91+AD134+AD177+AD220+AD263+AD306+AD349+AD392+AD435</f>
        <v>0</v>
      </c>
      <c r="AE472" s="12">
        <f>AE48+AE91+AE134+AE177+AE220+AE263+AE306+AE349+AE392+AE435</f>
        <v>0</v>
      </c>
      <c r="AF472" s="12">
        <f>AF48+AF91+AF134+AF177+AF220+AF263+AF306+AF349+AF392+AF435</f>
        <v>0</v>
      </c>
      <c r="AG472" s="12">
        <f>AG48+AG91+AG134+AG177+AG220+AG263+AG306+AG349+AG392+AG435</f>
        <v>0</v>
      </c>
      <c r="AH472" s="12">
        <f>AH48+AH91+AH134+AH177+AH220+AH263+AH306+AH349+AH392+AH435</f>
        <v>0</v>
      </c>
      <c r="AI472" s="10" t="s">
        <v>41</v>
      </c>
    </row>
    <row r="473" spans="2:35" x14ac:dyDescent="0.25">
      <c r="B473" s="12">
        <f>B49+B92+B135+B178+B221+B264+B307+B350+B393+B436</f>
        <v>0</v>
      </c>
      <c r="C473" s="12">
        <f>C49+C92+C135+C178+C221+C264+C307+C350+C393+C436</f>
        <v>0</v>
      </c>
      <c r="D473" s="12">
        <f>D49+D92+D135+D178+D221+D264+D307+D350+D393+D436</f>
        <v>0</v>
      </c>
      <c r="E473" s="12">
        <f>E49+E92+E135+E178+E221+E264+E307+E350+E393+E436</f>
        <v>0</v>
      </c>
      <c r="F473" s="12">
        <f>F49+F92+F135+F178+F221+F264+F307+F350+F393+F436</f>
        <v>0</v>
      </c>
      <c r="G473" s="12">
        <f>G49+G92+G135+G178+G221+G264+G307+G350+G393+G436</f>
        <v>0</v>
      </c>
      <c r="H473" s="24">
        <f>H49+H92+H135+H178+H221+H264+H307+H350+H393+H436</f>
        <v>0</v>
      </c>
      <c r="I473" s="12">
        <f>I49+I92+I135+I178+I221+I264+I307+I350+I393+I436</f>
        <v>0</v>
      </c>
      <c r="J473" s="12">
        <f>J49+J92+J135+J178+J221+J264+J307+J350+J393+J436</f>
        <v>0</v>
      </c>
      <c r="K473" s="12">
        <f>K49+K92+K135+K178+K221+K264+K307+K350+K393+K436</f>
        <v>0</v>
      </c>
      <c r="L473" s="12">
        <f>L49+L92+L135+L178+L221+L264+L307+L350+L393+L436</f>
        <v>0</v>
      </c>
      <c r="M473" s="12">
        <f>M49+M92+M135+M178+M221+M264+M307+M350+M393+M436</f>
        <v>0</v>
      </c>
      <c r="N473" s="12">
        <f>N49+N92+N135+N178+N221+N264+N307+N350+N393+N436</f>
        <v>0</v>
      </c>
      <c r="O473" s="12">
        <f>O49+O92+O135+O178+O221+O264+O307+O350+O393+O436</f>
        <v>0</v>
      </c>
      <c r="P473" s="12">
        <f>P49+P92+P135+P178+P221+P264+P307+P350+P393+P436</f>
        <v>0</v>
      </c>
      <c r="Q473" s="12">
        <f>Q49+Q92+Q135+Q178+Q221+Q264+Q307+Q350+Q393+Q436</f>
        <v>0</v>
      </c>
      <c r="R473" s="12">
        <f>R49+R92+R135+R178+R221+R264+R307+R350+R393+R436</f>
        <v>0</v>
      </c>
      <c r="S473" s="12">
        <f>S49+S92+S135+S178+S221+S264+S307+S350+S393+S436</f>
        <v>0</v>
      </c>
      <c r="T473" s="12">
        <f>T49+T92+T135+T178+T221+T264+T307+T350+T393+T436</f>
        <v>0</v>
      </c>
      <c r="U473" s="12">
        <f>U49+U92+U135+U178+U221+U264+U307+U350+U393+U436</f>
        <v>0</v>
      </c>
      <c r="V473" s="12">
        <f>V49+V92+V135+V178+V221+V264+V307+V350+V393+V436</f>
        <v>0</v>
      </c>
      <c r="W473" s="12">
        <f>W49+W92+W135+W178+W221+W264+W307+W350+W393+W436</f>
        <v>0</v>
      </c>
      <c r="X473" s="12">
        <f>X49+X92+X135+X178+X221+X264+X307+X350+X393+X436</f>
        <v>0</v>
      </c>
      <c r="Y473" s="12">
        <f>Y49+Y92+Y135+Y178+Y221+Y264+Y307+Y350+Y393+Y436</f>
        <v>0</v>
      </c>
      <c r="Z473" s="12">
        <f>Z49+Z92+Z135+Z178+Z221+Z264+Z307+Z350+Z393+Z436</f>
        <v>0</v>
      </c>
      <c r="AA473" s="12">
        <f>AA49+AA92+AA135+AA178+AA221+AA264+AA307+AA350+AA393+AA436</f>
        <v>0</v>
      </c>
      <c r="AB473" s="12">
        <f>AB49+AB92+AB135+AB178+AB221+AB264+AB307+AB350+AB393+AB436</f>
        <v>0</v>
      </c>
      <c r="AC473" s="12">
        <f>AC49+AC92+AC135+AC178+AC221+AC264+AC307+AC350+AC393+AC436</f>
        <v>0</v>
      </c>
      <c r="AD473" s="12">
        <f>AD49+AD92+AD135+AD178+AD221+AD264+AD307+AD350+AD393+AD436</f>
        <v>0</v>
      </c>
      <c r="AE473" s="12">
        <f>AE49+AE92+AE135+AE178+AE221+AE264+AE307+AE350+AE393+AE436</f>
        <v>0</v>
      </c>
      <c r="AF473" s="12">
        <f>AF49+AF92+AF135+AF178+AF221+AF264+AF307+AF350+AF393+AF436</f>
        <v>0</v>
      </c>
      <c r="AG473" s="12">
        <f>AG49+AG92+AG135+AG178+AG221+AG264+AG307+AG350+AG393+AG436</f>
        <v>0</v>
      </c>
      <c r="AH473" s="12">
        <f>AH49+AH92+AH135+AH178+AH221+AH264+AH307+AH350+AH393+AH436</f>
        <v>0</v>
      </c>
      <c r="AI473" s="10" t="s">
        <v>42</v>
      </c>
    </row>
    <row r="474" spans="2:35" x14ac:dyDescent="0.25">
      <c r="B474" s="12">
        <f>B50+B93+B136+B179+B222+B265+B308+B351+B394+B437</f>
        <v>0</v>
      </c>
      <c r="C474" s="12">
        <f>C50+C93+C136+C179+C222+C265+C308+C351+C394+C437</f>
        <v>0</v>
      </c>
      <c r="D474" s="12">
        <f>D50+D93+D136+D179+D222+D265+D308+D351+D394+D437</f>
        <v>0</v>
      </c>
      <c r="E474" s="12">
        <f>E50+E93+E136+E179+E222+E265+E308+E351+E394+E437</f>
        <v>0</v>
      </c>
      <c r="F474" s="12">
        <f>F50+F93+F136+F179+F222+F265+F308+F351+F394+F437</f>
        <v>0</v>
      </c>
      <c r="G474" s="12">
        <f>G50+G93+G136+G179+G222+G265+G308+G351+G394+G437</f>
        <v>0</v>
      </c>
      <c r="H474" s="12">
        <f>H50+H93+H136+H179+H222+H265+H308+H351+H394+H437</f>
        <v>0</v>
      </c>
      <c r="I474" s="24">
        <f>I50+I93+I136+I179+I222+I265+I308+I351+I394+I437</f>
        <v>0</v>
      </c>
      <c r="J474" s="12">
        <f>J50+J93+J136+J179+J222+J265+J308+J351+J394+J437</f>
        <v>0</v>
      </c>
      <c r="K474" s="12">
        <f>K50+K93+K136+K179+K222+K265+K308+K351+K394+K437</f>
        <v>0</v>
      </c>
      <c r="L474" s="12">
        <f>L50+L93+L136+L179+L222+L265+L308+L351+L394+L437</f>
        <v>0</v>
      </c>
      <c r="M474" s="12">
        <f>M50+M93+M136+M179+M222+M265+M308+M351+M394+M437</f>
        <v>0</v>
      </c>
      <c r="N474" s="12">
        <f>N50+N93+N136+N179+N222+N265+N308+N351+N394+N437</f>
        <v>0</v>
      </c>
      <c r="O474" s="12">
        <f>O50+O93+O136+O179+O222+O265+O308+O351+O394+O437</f>
        <v>0</v>
      </c>
      <c r="P474" s="12">
        <f>P50+P93+P136+P179+P222+P265+P308+P351+P394+P437</f>
        <v>0</v>
      </c>
      <c r="Q474" s="12">
        <f>Q50+Q93+Q136+Q179+Q222+Q265+Q308+Q351+Q394+Q437</f>
        <v>0</v>
      </c>
      <c r="R474" s="12">
        <f>R50+R93+R136+R179+R222+R265+R308+R351+R394+R437</f>
        <v>0</v>
      </c>
      <c r="S474" s="12">
        <f>S50+S93+S136+S179+S222+S265+S308+S351+S394+S437</f>
        <v>0</v>
      </c>
      <c r="T474" s="12">
        <f>T50+T93+T136+T179+T222+T265+T308+T351+T394+T437</f>
        <v>0</v>
      </c>
      <c r="U474" s="12">
        <f>U50+U93+U136+U179+U222+U265+U308+U351+U394+U437</f>
        <v>0</v>
      </c>
      <c r="V474" s="12">
        <f>V50+V93+V136+V179+V222+V265+V308+V351+V394+V437</f>
        <v>0</v>
      </c>
      <c r="W474" s="12">
        <f>W50+W93+W136+W179+W222+W265+W308+W351+W394+W437</f>
        <v>0</v>
      </c>
      <c r="X474" s="12">
        <f>X50+X93+X136+X179+X222+X265+X308+X351+X394+X437</f>
        <v>0</v>
      </c>
      <c r="Y474" s="12">
        <f>Y50+Y93+Y136+Y179+Y222+Y265+Y308+Y351+Y394+Y437</f>
        <v>0</v>
      </c>
      <c r="Z474" s="12">
        <f>Z50+Z93+Z136+Z179+Z222+Z265+Z308+Z351+Z394+Z437</f>
        <v>0</v>
      </c>
      <c r="AA474" s="12">
        <f>AA50+AA93+AA136+AA179+AA222+AA265+AA308+AA351+AA394+AA437</f>
        <v>0</v>
      </c>
      <c r="AB474" s="12">
        <f>AB50+AB93+AB136+AB179+AB222+AB265+AB308+AB351+AB394+AB437</f>
        <v>0</v>
      </c>
      <c r="AC474" s="12">
        <f>AC50+AC93+AC136+AC179+AC222+AC265+AC308+AC351+AC394+AC437</f>
        <v>0</v>
      </c>
      <c r="AD474" s="12">
        <f>AD50+AD93+AD136+AD179+AD222+AD265+AD308+AD351+AD394+AD437</f>
        <v>0</v>
      </c>
      <c r="AE474" s="12">
        <f>AE50+AE93+AE136+AE179+AE222+AE265+AE308+AE351+AE394+AE437</f>
        <v>0</v>
      </c>
      <c r="AF474" s="12">
        <f>AF50+AF93+AF136+AF179+AF222+AF265+AF308+AF351+AF394+AF437</f>
        <v>0</v>
      </c>
      <c r="AG474" s="12">
        <f>AG50+AG93+AG136+AG179+AG222+AG265+AG308+AG351+AG394+AG437</f>
        <v>0</v>
      </c>
      <c r="AH474" s="12">
        <f>AH50+AH93+AH136+AH179+AH222+AH265+AH308+AH351+AH394+AH437</f>
        <v>0</v>
      </c>
      <c r="AI474" s="10" t="s">
        <v>43</v>
      </c>
    </row>
    <row r="475" spans="2:35" x14ac:dyDescent="0.25">
      <c r="B475" s="12">
        <f>B51+B94+B137+B180+B223+B266+B309+B352+B395+B438</f>
        <v>0</v>
      </c>
      <c r="C475" s="12">
        <f>C51+C94+C137+C180+C223+C266+C309+C352+C395+C438</f>
        <v>0</v>
      </c>
      <c r="D475" s="12">
        <f>D51+D94+D137+D180+D223+D266+D309+D352+D395+D438</f>
        <v>0</v>
      </c>
      <c r="E475" s="12">
        <f>E51+E94+E137+E180+E223+E266+E309+E352+E395+E438</f>
        <v>0</v>
      </c>
      <c r="F475" s="12">
        <f>F51+F94+F137+F180+F223+F266+F309+F352+F395+F438</f>
        <v>0</v>
      </c>
      <c r="G475" s="12">
        <f>G51+G94+G137+G180+G223+G266+G309+G352+G395+G438</f>
        <v>0</v>
      </c>
      <c r="H475" s="12">
        <f>H51+H94+H137+H180+H223+H266+H309+H352+H395+H438</f>
        <v>0</v>
      </c>
      <c r="I475" s="12">
        <f>I51+I94+I137+I180+I223+I266+I309+I352+I395+I438</f>
        <v>0</v>
      </c>
      <c r="J475" s="24">
        <f>J51+J94+J137+J180+J223+J266+J309+J352+J395+J438</f>
        <v>0</v>
      </c>
      <c r="K475" s="12">
        <f>K51+K94+K137+K180+K223+K266+K309+K352+K395+K438</f>
        <v>0</v>
      </c>
      <c r="L475" s="12">
        <f>L51+L94+L137+L180+L223+L266+L309+L352+L395+L438</f>
        <v>0</v>
      </c>
      <c r="M475" s="12">
        <f>M51+M94+M137+M180+M223+M266+M309+M352+M395+M438</f>
        <v>0</v>
      </c>
      <c r="N475" s="12">
        <f>N51+N94+N137+N180+N223+N266+N309+N352+N395+N438</f>
        <v>0</v>
      </c>
      <c r="O475" s="12">
        <f>O51+O94+O137+O180+O223+O266+O309+O352+O395+O438</f>
        <v>0</v>
      </c>
      <c r="P475" s="12">
        <f>P51+P94+P137+P180+P223+P266+P309+P352+P395+P438</f>
        <v>0</v>
      </c>
      <c r="Q475" s="12">
        <f>Q51+Q94+Q137+Q180+Q223+Q266+Q309+Q352+Q395+Q438</f>
        <v>0</v>
      </c>
      <c r="R475" s="12">
        <f>R51+R94+R137+R180+R223+R266+R309+R352+R395+R438</f>
        <v>0</v>
      </c>
      <c r="S475" s="12">
        <f>S51+S94+S137+S180+S223+S266+S309+S352+S395+S438</f>
        <v>0</v>
      </c>
      <c r="T475" s="12">
        <f>T51+T94+T137+T180+T223+T266+T309+T352+T395+T438</f>
        <v>0</v>
      </c>
      <c r="U475" s="12">
        <f>U51+U94+U137+U180+U223+U266+U309+U352+U395+U438</f>
        <v>0</v>
      </c>
      <c r="V475" s="12">
        <f>V51+V94+V137+V180+V223+V266+V309+V352+V395+V438</f>
        <v>0</v>
      </c>
      <c r="W475" s="12">
        <f>W51+W94+W137+W180+W223+W266+W309+W352+W395+W438</f>
        <v>0</v>
      </c>
      <c r="X475" s="12">
        <f>X51+X94+X137+X180+X223+X266+X309+X352+X395+X438</f>
        <v>0</v>
      </c>
      <c r="Y475" s="12">
        <f>Y51+Y94+Y137+Y180+Y223+Y266+Y309+Y352+Y395+Y438</f>
        <v>0</v>
      </c>
      <c r="Z475" s="12">
        <f>Z51+Z94+Z137+Z180+Z223+Z266+Z309+Z352+Z395+Z438</f>
        <v>0</v>
      </c>
      <c r="AA475" s="12">
        <f>AA51+AA94+AA137+AA180+AA223+AA266+AA309+AA352+AA395+AA438</f>
        <v>0</v>
      </c>
      <c r="AB475" s="12">
        <f>AB51+AB94+AB137+AB180+AB223+AB266+AB309+AB352+AB395+AB438</f>
        <v>0</v>
      </c>
      <c r="AC475" s="12">
        <f>AC51+AC94+AC137+AC180+AC223+AC266+AC309+AC352+AC395+AC438</f>
        <v>0</v>
      </c>
      <c r="AD475" s="12">
        <f>AD51+AD94+AD137+AD180+AD223+AD266+AD309+AD352+AD395+AD438</f>
        <v>0</v>
      </c>
      <c r="AE475" s="12">
        <f>AE51+AE94+AE137+AE180+AE223+AE266+AE309+AE352+AE395+AE438</f>
        <v>0</v>
      </c>
      <c r="AF475" s="12">
        <f>AF51+AF94+AF137+AF180+AF223+AF266+AF309+AF352+AF395+AF438</f>
        <v>0</v>
      </c>
      <c r="AG475" s="12">
        <f>AG51+AG94+AG137+AG180+AG223+AG266+AG309+AG352+AG395+AG438</f>
        <v>0</v>
      </c>
      <c r="AH475" s="12">
        <f>AH51+AH94+AH137+AH180+AH223+AH266+AH309+AH352+AH395+AH438</f>
        <v>0</v>
      </c>
      <c r="AI475" s="10" t="s">
        <v>44</v>
      </c>
    </row>
    <row r="476" spans="2:35" x14ac:dyDescent="0.25">
      <c r="B476" s="12">
        <f>B52+B95+B138+B181+B224+B267+B310+B353+B396+B439</f>
        <v>0</v>
      </c>
      <c r="C476" s="12">
        <f>C52+C95+C138+C181+C224+C267+C310+C353+C396+C439</f>
        <v>0</v>
      </c>
      <c r="D476" s="12">
        <f>D52+D95+D138+D181+D224+D267+D310+D353+D396+D439</f>
        <v>0</v>
      </c>
      <c r="E476" s="12">
        <f>E52+E95+E138+E181+E224+E267+E310+E353+E396+E439</f>
        <v>0</v>
      </c>
      <c r="F476" s="12">
        <f>F52+F95+F138+F181+F224+F267+F310+F353+F396+F439</f>
        <v>0</v>
      </c>
      <c r="G476" s="12">
        <f>G52+G95+G138+G181+G224+G267+G310+G353+G396+G439</f>
        <v>0</v>
      </c>
      <c r="H476" s="12">
        <f>H52+H95+H138+H181+H224+H267+H310+H353+H396+H439</f>
        <v>0</v>
      </c>
      <c r="I476" s="12">
        <f>I52+I95+I138+I181+I224+I267+I310+I353+I396+I439</f>
        <v>0</v>
      </c>
      <c r="J476" s="12">
        <f>J52+J95+J138+J181+J224+J267+J310+J353+J396+J439</f>
        <v>0</v>
      </c>
      <c r="K476" s="24">
        <f>K52+K95+K138+K181+K224+K267+K310+K353+K396+K439</f>
        <v>0</v>
      </c>
      <c r="L476" s="12">
        <f>L52+L95+L138+L181+L224+L267+L310+L353+L396+L439</f>
        <v>0</v>
      </c>
      <c r="M476" s="12">
        <f>M52+M95+M138+M181+M224+M267+M310+M353+M396+M439</f>
        <v>0</v>
      </c>
      <c r="N476" s="12">
        <f>N52+N95+N138+N181+N224+N267+N310+N353+N396+N439</f>
        <v>0</v>
      </c>
      <c r="O476" s="12">
        <f>O52+O95+O138+O181+O224+O267+O310+O353+O396+O439</f>
        <v>0</v>
      </c>
      <c r="P476" s="12">
        <f>P52+P95+P138+P181+P224+P267+P310+P353+P396+P439</f>
        <v>0</v>
      </c>
      <c r="Q476" s="12">
        <f>Q52+Q95+Q138+Q181+Q224+Q267+Q310+Q353+Q396+Q439</f>
        <v>0</v>
      </c>
      <c r="R476" s="12">
        <f>R52+R95+R138+R181+R224+R267+R310+R353+R396+R439</f>
        <v>0</v>
      </c>
      <c r="S476" s="12">
        <f>S52+S95+S138+S181+S224+S267+S310+S353+S396+S439</f>
        <v>0</v>
      </c>
      <c r="T476" s="12">
        <f>T52+T95+T138+T181+T224+T267+T310+T353+T396+T439</f>
        <v>0</v>
      </c>
      <c r="U476" s="12">
        <f>U52+U95+U138+U181+U224+U267+U310+U353+U396+U439</f>
        <v>0</v>
      </c>
      <c r="V476" s="12">
        <f>V52+V95+V138+V181+V224+V267+V310+V353+V396+V439</f>
        <v>0</v>
      </c>
      <c r="W476" s="12">
        <f>W52+W95+W138+W181+W224+W267+W310+W353+W396+W439</f>
        <v>0</v>
      </c>
      <c r="X476" s="12">
        <f>X52+X95+X138+X181+X224+X267+X310+X353+X396+X439</f>
        <v>0</v>
      </c>
      <c r="Y476" s="12">
        <f>Y52+Y95+Y138+Y181+Y224+Y267+Y310+Y353+Y396+Y439</f>
        <v>0</v>
      </c>
      <c r="Z476" s="12">
        <f>Z52+Z95+Z138+Z181+Z224+Z267+Z310+Z353+Z396+Z439</f>
        <v>0</v>
      </c>
      <c r="AA476" s="12">
        <f>AA52+AA95+AA138+AA181+AA224+AA267+AA310+AA353+AA396+AA439</f>
        <v>0</v>
      </c>
      <c r="AB476" s="12">
        <f>AB52+AB95+AB138+AB181+AB224+AB267+AB310+AB353+AB396+AB439</f>
        <v>0</v>
      </c>
      <c r="AC476" s="12">
        <f>AC52+AC95+AC138+AC181+AC224+AC267+AC310+AC353+AC396+AC439</f>
        <v>0</v>
      </c>
      <c r="AD476" s="12">
        <f>AD52+AD95+AD138+AD181+AD224+AD267+AD310+AD353+AD396+AD439</f>
        <v>0</v>
      </c>
      <c r="AE476" s="12">
        <f>AE52+AE95+AE138+AE181+AE224+AE267+AE310+AE353+AE396+AE439</f>
        <v>0</v>
      </c>
      <c r="AF476" s="12">
        <f>AF52+AF95+AF138+AF181+AF224+AF267+AF310+AF353+AF396+AF439</f>
        <v>0</v>
      </c>
      <c r="AG476" s="12">
        <f>AG52+AG95+AG138+AG181+AG224+AG267+AG310+AG353+AG396+AG439</f>
        <v>0</v>
      </c>
      <c r="AH476" s="12">
        <f>AH52+AH95+AH138+AH181+AH224+AH267+AH310+AH353+AH396+AH439</f>
        <v>0</v>
      </c>
      <c r="AI476" s="10" t="s">
        <v>45</v>
      </c>
    </row>
    <row r="477" spans="2:35" x14ac:dyDescent="0.25">
      <c r="B477" s="12">
        <f>B53+B96+B139+B182+B225+B268+B311+B354+B397+B440</f>
        <v>0</v>
      </c>
      <c r="C477" s="12">
        <f>C53+C96+C139+C182+C225+C268+C311+C354+C397+C440</f>
        <v>0</v>
      </c>
      <c r="D477" s="12">
        <f>D53+D96+D139+D182+D225+D268+D311+D354+D397+D440</f>
        <v>0</v>
      </c>
      <c r="E477" s="12">
        <f>E53+E96+E139+E182+E225+E268+E311+E354+E397+E440</f>
        <v>0</v>
      </c>
      <c r="F477" s="12">
        <f>F53+F96+F139+F182+F225+F268+F311+F354+F397+F440</f>
        <v>0</v>
      </c>
      <c r="G477" s="12">
        <f>G53+G96+G139+G182+G225+G268+G311+G354+G397+G440</f>
        <v>0</v>
      </c>
      <c r="H477" s="12">
        <f>H53+H96+H139+H182+H225+H268+H311+H354+H397+H440</f>
        <v>0</v>
      </c>
      <c r="I477" s="12">
        <f>I53+I96+I139+I182+I225+I268+I311+I354+I397+I440</f>
        <v>0</v>
      </c>
      <c r="J477" s="12">
        <f>J53+J96+J139+J182+J225+J268+J311+J354+J397+J440</f>
        <v>0</v>
      </c>
      <c r="K477" s="12">
        <f>K53+K96+K139+K182+K225+K268+K311+K354+K397+K440</f>
        <v>0</v>
      </c>
      <c r="L477" s="24">
        <f>L53+L96+L139+L182+L225+L268+L311+L354+L397+L440</f>
        <v>0</v>
      </c>
      <c r="M477" s="12">
        <f>M53+M96+M139+M182+M225+M268+M311+M354+M397+M440</f>
        <v>0</v>
      </c>
      <c r="N477" s="12">
        <f>N53+N96+N139+N182+N225+N268+N311+N354+N397+N440</f>
        <v>0</v>
      </c>
      <c r="O477" s="12">
        <f>O53+O96+O139+O182+O225+O268+O311+O354+O397+O440</f>
        <v>0</v>
      </c>
      <c r="P477" s="12">
        <f>P53+P96+P139+P182+P225+P268+P311+P354+P397+P440</f>
        <v>0</v>
      </c>
      <c r="Q477" s="12">
        <f>Q53+Q96+Q139+Q182+Q225+Q268+Q311+Q354+Q397+Q440</f>
        <v>0</v>
      </c>
      <c r="R477" s="12">
        <f>R53+R96+R139+R182+R225+R268+R311+R354+R397+R440</f>
        <v>0</v>
      </c>
      <c r="S477" s="12">
        <f>S53+S96+S139+S182+S225+S268+S311+S354+S397+S440</f>
        <v>0</v>
      </c>
      <c r="T477" s="12">
        <f>T53+T96+T139+T182+T225+T268+T311+T354+T397+T440</f>
        <v>0</v>
      </c>
      <c r="U477" s="12">
        <f>U53+U96+U139+U182+U225+U268+U311+U354+U397+U440</f>
        <v>0</v>
      </c>
      <c r="V477" s="12">
        <f>V53+V96+V139+V182+V225+V268+V311+V354+V397+V440</f>
        <v>0</v>
      </c>
      <c r="W477" s="12">
        <f>W53+W96+W139+W182+W225+W268+W311+W354+W397+W440</f>
        <v>0</v>
      </c>
      <c r="X477" s="12">
        <f>X53+X96+X139+X182+X225+X268+X311+X354+X397+X440</f>
        <v>0</v>
      </c>
      <c r="Y477" s="12">
        <f>Y53+Y96+Y139+Y182+Y225+Y268+Y311+Y354+Y397+Y440</f>
        <v>0</v>
      </c>
      <c r="Z477" s="12">
        <f>Z53+Z96+Z139+Z182+Z225+Z268+Z311+Z354+Z397+Z440</f>
        <v>0</v>
      </c>
      <c r="AA477" s="12">
        <f>AA53+AA96+AA139+AA182+AA225+AA268+AA311+AA354+AA397+AA440</f>
        <v>0</v>
      </c>
      <c r="AB477" s="12">
        <f>AB53+AB96+AB139+AB182+AB225+AB268+AB311+AB354+AB397+AB440</f>
        <v>0</v>
      </c>
      <c r="AC477" s="12">
        <f>AC53+AC96+AC139+AC182+AC225+AC268+AC311+AC354+AC397+AC440</f>
        <v>0</v>
      </c>
      <c r="AD477" s="12">
        <f>AD53+AD96+AD139+AD182+AD225+AD268+AD311+AD354+AD397+AD440</f>
        <v>0</v>
      </c>
      <c r="AE477" s="12">
        <f>AE53+AE96+AE139+AE182+AE225+AE268+AE311+AE354+AE397+AE440</f>
        <v>0</v>
      </c>
      <c r="AF477" s="12">
        <f>AF53+AF96+AF139+AF182+AF225+AF268+AF311+AF354+AF397+AF440</f>
        <v>0</v>
      </c>
      <c r="AG477" s="12">
        <f>AG53+AG96+AG139+AG182+AG225+AG268+AG311+AG354+AG397+AG440</f>
        <v>0</v>
      </c>
      <c r="AH477" s="12">
        <f>AH53+AH96+AH139+AH182+AH225+AH268+AH311+AH354+AH397+AH440</f>
        <v>0</v>
      </c>
      <c r="AI477" s="10" t="s">
        <v>46</v>
      </c>
    </row>
    <row r="478" spans="2:35" x14ac:dyDescent="0.25">
      <c r="B478" s="12">
        <f>B54+B97+B140+B183+B226+B269+B312+B355+B398+B441</f>
        <v>0</v>
      </c>
      <c r="C478" s="12">
        <f>C54+C97+C140+C183+C226+C269+C312+C355+C398+C441</f>
        <v>0</v>
      </c>
      <c r="D478" s="12">
        <f>D54+D97+D140+D183+D226+D269+D312+D355+D398+D441</f>
        <v>0</v>
      </c>
      <c r="E478" s="12">
        <f>E54+E97+E140+E183+E226+E269+E312+E355+E398+E441</f>
        <v>0</v>
      </c>
      <c r="F478" s="12">
        <f>F54+F97+F140+F183+F226+F269+F312+F355+F398+F441</f>
        <v>0</v>
      </c>
      <c r="G478" s="12">
        <f>G54+G97+G140+G183+G226+G269+G312+G355+G398+G441</f>
        <v>0</v>
      </c>
      <c r="H478" s="12">
        <f>H54+H97+H140+H183+H226+H269+H312+H355+H398+H441</f>
        <v>0</v>
      </c>
      <c r="I478" s="12">
        <f>I54+I97+I140+I183+I226+I269+I312+I355+I398+I441</f>
        <v>0</v>
      </c>
      <c r="J478" s="12">
        <f>J54+J97+J140+J183+J226+J269+J312+J355+J398+J441</f>
        <v>0</v>
      </c>
      <c r="K478" s="12">
        <f>K54+K97+K140+K183+K226+K269+K312+K355+K398+K441</f>
        <v>0</v>
      </c>
      <c r="L478" s="12">
        <f>L54+L97+L140+L183+L226+L269+L312+L355+L398+L441</f>
        <v>0</v>
      </c>
      <c r="M478" s="24">
        <f>M54+M97+M140+M183+M226+M269+M312+M355+M398+M441</f>
        <v>0</v>
      </c>
      <c r="N478" s="12">
        <f>N54+N97+N140+N183+N226+N269+N312+N355+N398+N441</f>
        <v>0</v>
      </c>
      <c r="O478" s="12">
        <f>O54+O97+O140+O183+O226+O269+O312+O355+O398+O441</f>
        <v>0</v>
      </c>
      <c r="P478" s="12">
        <f>P54+P97+P140+P183+P226+P269+P312+P355+P398+P441</f>
        <v>0</v>
      </c>
      <c r="Q478" s="12">
        <f>Q54+Q97+Q140+Q183+Q226+Q269+Q312+Q355+Q398+Q441</f>
        <v>0</v>
      </c>
      <c r="R478" s="12">
        <f>R54+R97+R140+R183+R226+R269+R312+R355+R398+R441</f>
        <v>0</v>
      </c>
      <c r="S478" s="12">
        <f>S54+S97+S140+S183+S226+S269+S312+S355+S398+S441</f>
        <v>0</v>
      </c>
      <c r="T478" s="12">
        <f>T54+T97+T140+T183+T226+T269+T312+T355+T398+T441</f>
        <v>0</v>
      </c>
      <c r="U478" s="12">
        <f>U54+U97+U140+U183+U226+U269+U312+U355+U398+U441</f>
        <v>0</v>
      </c>
      <c r="V478" s="12">
        <f>V54+V97+V140+V183+V226+V269+V312+V355+V398+V441</f>
        <v>0</v>
      </c>
      <c r="W478" s="12">
        <f>W54+W97+W140+W183+W226+W269+W312+W355+W398+W441</f>
        <v>0</v>
      </c>
      <c r="X478" s="12">
        <f>X54+X97+X140+X183+X226+X269+X312+X355+X398+X441</f>
        <v>0</v>
      </c>
      <c r="Y478" s="12">
        <f>Y54+Y97+Y140+Y183+Y226+Y269+Y312+Y355+Y398+Y441</f>
        <v>0</v>
      </c>
      <c r="Z478" s="12">
        <f>Z54+Z97+Z140+Z183+Z226+Z269+Z312+Z355+Z398+Z441</f>
        <v>0</v>
      </c>
      <c r="AA478" s="12">
        <f>AA54+AA97+AA140+AA183+AA226+AA269+AA312+AA355+AA398+AA441</f>
        <v>0</v>
      </c>
      <c r="AB478" s="12">
        <f>AB54+AB97+AB140+AB183+AB226+AB269+AB312+AB355+AB398+AB441</f>
        <v>0</v>
      </c>
      <c r="AC478" s="12">
        <f>AC54+AC97+AC140+AC183+AC226+AC269+AC312+AC355+AC398+AC441</f>
        <v>0</v>
      </c>
      <c r="AD478" s="12">
        <f>AD54+AD97+AD140+AD183+AD226+AD269+AD312+AD355+AD398+AD441</f>
        <v>0</v>
      </c>
      <c r="AE478" s="12">
        <f>AE54+AE97+AE140+AE183+AE226+AE269+AE312+AE355+AE398+AE441</f>
        <v>0</v>
      </c>
      <c r="AF478" s="12">
        <f>AF54+AF97+AF140+AF183+AF226+AF269+AF312+AF355+AF398+AF441</f>
        <v>0</v>
      </c>
      <c r="AG478" s="12">
        <f>AG54+AG97+AG140+AG183+AG226+AG269+AG312+AG355+AG398+AG441</f>
        <v>0</v>
      </c>
      <c r="AH478" s="12">
        <f>AH54+AH97+AH140+AH183+AH226+AH269+AH312+AH355+AH398+AH441</f>
        <v>0</v>
      </c>
      <c r="AI478" s="10" t="s">
        <v>47</v>
      </c>
    </row>
    <row r="479" spans="2:35" x14ac:dyDescent="0.25">
      <c r="B479" s="12">
        <f>B55+B98+B141+B184+B227+B270+B313+B356+B399+B442</f>
        <v>0</v>
      </c>
      <c r="C479" s="12">
        <f>C55+C98+C141+C184+C227+C270+C313+C356+C399+C442</f>
        <v>0</v>
      </c>
      <c r="D479" s="12">
        <f>D55+D98+D141+D184+D227+D270+D313+D356+D399+D442</f>
        <v>0</v>
      </c>
      <c r="E479" s="12">
        <f>E55+E98+E141+E184+E227+E270+E313+E356+E399+E442</f>
        <v>0</v>
      </c>
      <c r="F479" s="12">
        <f>F55+F98+F141+F184+F227+F270+F313+F356+F399+F442</f>
        <v>0</v>
      </c>
      <c r="G479" s="12">
        <f>G55+G98+G141+G184+G227+G270+G313+G356+G399+G442</f>
        <v>0</v>
      </c>
      <c r="H479" s="12">
        <f>H55+H98+H141+H184+H227+H270+H313+H356+H399+H442</f>
        <v>0</v>
      </c>
      <c r="I479" s="12">
        <f>I55+I98+I141+I184+I227+I270+I313+I356+I399+I442</f>
        <v>0</v>
      </c>
      <c r="J479" s="12">
        <f>J55+J98+J141+J184+J227+J270+J313+J356+J399+J442</f>
        <v>0</v>
      </c>
      <c r="K479" s="12">
        <f>K55+K98+K141+K184+K227+K270+K313+K356+K399+K442</f>
        <v>0</v>
      </c>
      <c r="L479" s="12">
        <f>L55+L98+L141+L184+L227+L270+L313+L356+L399+L442</f>
        <v>0</v>
      </c>
      <c r="M479" s="12">
        <f>M55+M98+M141+M184+M227+M270+M313+M356+M399+M442</f>
        <v>0</v>
      </c>
      <c r="N479" s="24">
        <f>N55+N98+N141+N184+N227+N270+N313+N356+N399+N442</f>
        <v>0</v>
      </c>
      <c r="O479" s="12">
        <f>O55+O98+O141+O184+O227+O270+O313+O356+O399+O442</f>
        <v>0</v>
      </c>
      <c r="P479" s="12">
        <f>P55+P98+P141+P184+P227+P270+P313+P356+P399+P442</f>
        <v>0</v>
      </c>
      <c r="Q479" s="12">
        <f>Q55+Q98+Q141+Q184+Q227+Q270+Q313+Q356+Q399+Q442</f>
        <v>0</v>
      </c>
      <c r="R479" s="12">
        <f>R55+R98+R141+R184+R227+R270+R313+R356+R399+R442</f>
        <v>0</v>
      </c>
      <c r="S479" s="12">
        <f>S55+S98+S141+S184+S227+S270+S313+S356+S399+S442</f>
        <v>0</v>
      </c>
      <c r="T479" s="12">
        <f>T55+T98+T141+T184+T227+T270+T313+T356+T399+T442</f>
        <v>0</v>
      </c>
      <c r="U479" s="12">
        <f>U55+U98+U141+U184+U227+U270+U313+U356+U399+U442</f>
        <v>0</v>
      </c>
      <c r="V479" s="12">
        <f>V55+V98+V141+V184+V227+V270+V313+V356+V399+V442</f>
        <v>0</v>
      </c>
      <c r="W479" s="12">
        <f>W55+W98+W141+W184+W227+W270+W313+W356+W399+W442</f>
        <v>0</v>
      </c>
      <c r="X479" s="12">
        <f>X55+X98+X141+X184+X227+X270+X313+X356+X399+X442</f>
        <v>0</v>
      </c>
      <c r="Y479" s="12">
        <f>Y55+Y98+Y141+Y184+Y227+Y270+Y313+Y356+Y399+Y442</f>
        <v>0</v>
      </c>
      <c r="Z479" s="12">
        <f>Z55+Z98+Z141+Z184+Z227+Z270+Z313+Z356+Z399+Z442</f>
        <v>0</v>
      </c>
      <c r="AA479" s="12">
        <f>AA55+AA98+AA141+AA184+AA227+AA270+AA313+AA356+AA399+AA442</f>
        <v>0</v>
      </c>
      <c r="AB479" s="12">
        <f>AB55+AB98+AB141+AB184+AB227+AB270+AB313+AB356+AB399+AB442</f>
        <v>0</v>
      </c>
      <c r="AC479" s="12">
        <f>AC55+AC98+AC141+AC184+AC227+AC270+AC313+AC356+AC399+AC442</f>
        <v>0</v>
      </c>
      <c r="AD479" s="12">
        <f>AD55+AD98+AD141+AD184+AD227+AD270+AD313+AD356+AD399+AD442</f>
        <v>0</v>
      </c>
      <c r="AE479" s="12">
        <f>AE55+AE98+AE141+AE184+AE227+AE270+AE313+AE356+AE399+AE442</f>
        <v>0</v>
      </c>
      <c r="AF479" s="12">
        <f>AF55+AF98+AF141+AF184+AF227+AF270+AF313+AF356+AF399+AF442</f>
        <v>0</v>
      </c>
      <c r="AG479" s="12">
        <f>AG55+AG98+AG141+AG184+AG227+AG270+AG313+AG356+AG399+AG442</f>
        <v>0</v>
      </c>
      <c r="AH479" s="12">
        <f>AH55+AH98+AH141+AH184+AH227+AH270+AH313+AH356+AH399+AH442</f>
        <v>0</v>
      </c>
      <c r="AI479" s="10" t="s">
        <v>48</v>
      </c>
    </row>
    <row r="480" spans="2:35" x14ac:dyDescent="0.25">
      <c r="B480" s="12">
        <f>B56+B99+B142+B185+B228+B271+B314+B357+B400+B443</f>
        <v>0</v>
      </c>
      <c r="C480" s="12">
        <f>C56+C99+C142+C185+C228+C271+C314+C357+C400+C443</f>
        <v>0</v>
      </c>
      <c r="D480" s="12">
        <f>D56+D99+D142+D185+D228+D271+D314+D357+D400+D443</f>
        <v>0</v>
      </c>
      <c r="E480" s="12">
        <f>E56+E99+E142+E185+E228+E271+E314+E357+E400+E443</f>
        <v>0</v>
      </c>
      <c r="F480" s="12">
        <f>F56+F99+F142+F185+F228+F271+F314+F357+F400+F443</f>
        <v>0</v>
      </c>
      <c r="G480" s="12">
        <f>G56+G99+G142+G185+G228+G271+G314+G357+G400+G443</f>
        <v>0</v>
      </c>
      <c r="H480" s="12">
        <f>H56+H99+H142+H185+H228+H271+H314+H357+H400+H443</f>
        <v>0</v>
      </c>
      <c r="I480" s="12">
        <f>I56+I99+I142+I185+I228+I271+I314+I357+I400+I443</f>
        <v>0</v>
      </c>
      <c r="J480" s="12">
        <f>J56+J99+J142+J185+J228+J271+J314+J357+J400+J443</f>
        <v>0</v>
      </c>
      <c r="K480" s="12">
        <f>K56+K99+K142+K185+K228+K271+K314+K357+K400+K443</f>
        <v>0</v>
      </c>
      <c r="L480" s="12">
        <f>L56+L99+L142+L185+L228+L271+L314+L357+L400+L443</f>
        <v>0</v>
      </c>
      <c r="M480" s="12">
        <f>M56+M99+M142+M185+M228+M271+M314+M357+M400+M443</f>
        <v>0</v>
      </c>
      <c r="N480" s="12">
        <f>N56+N99+N142+N185+N228+N271+N314+N357+N400+N443</f>
        <v>0</v>
      </c>
      <c r="O480" s="24">
        <f>O56+O99+O142+O185+O228+O271+O314+O357+O400+O443</f>
        <v>0</v>
      </c>
      <c r="P480" s="12">
        <f>P56+P99+P142+P185+P228+P271+P314+P357+P400+P443</f>
        <v>0</v>
      </c>
      <c r="Q480" s="12">
        <f>Q56+Q99+Q142+Q185+Q228+Q271+Q314+Q357+Q400+Q443</f>
        <v>0</v>
      </c>
      <c r="R480" s="12">
        <f>R56+R99+R142+R185+R228+R271+R314+R357+R400+R443</f>
        <v>0</v>
      </c>
      <c r="S480" s="12">
        <f>S56+S99+S142+S185+S228+S271+S314+S357+S400+S443</f>
        <v>0</v>
      </c>
      <c r="T480" s="12">
        <f>T56+T99+T142+T185+T228+T271+T314+T357+T400+T443</f>
        <v>0</v>
      </c>
      <c r="U480" s="12">
        <f>U56+U99+U142+U185+U228+U271+U314+U357+U400+U443</f>
        <v>0</v>
      </c>
      <c r="V480" s="12">
        <f>V56+V99+V142+V185+V228+V271+V314+V357+V400+V443</f>
        <v>0</v>
      </c>
      <c r="W480" s="12">
        <f>W56+W99+W142+W185+W228+W271+W314+W357+W400+W443</f>
        <v>0</v>
      </c>
      <c r="X480" s="12">
        <f>X56+X99+X142+X185+X228+X271+X314+X357+X400+X443</f>
        <v>0</v>
      </c>
      <c r="Y480" s="12">
        <f>Y56+Y99+Y142+Y185+Y228+Y271+Y314+Y357+Y400+Y443</f>
        <v>0</v>
      </c>
      <c r="Z480" s="12">
        <f>Z56+Z99+Z142+Z185+Z228+Z271+Z314+Z357+Z400+Z443</f>
        <v>0</v>
      </c>
      <c r="AA480" s="12">
        <f>AA56+AA99+AA142+AA185+AA228+AA271+AA314+AA357+AA400+AA443</f>
        <v>0</v>
      </c>
      <c r="AB480" s="12">
        <f>AB56+AB99+AB142+AB185+AB228+AB271+AB314+AB357+AB400+AB443</f>
        <v>0</v>
      </c>
      <c r="AC480" s="12">
        <f>AC56+AC99+AC142+AC185+AC228+AC271+AC314+AC357+AC400+AC443</f>
        <v>0</v>
      </c>
      <c r="AD480" s="12">
        <f>AD56+AD99+AD142+AD185+AD228+AD271+AD314+AD357+AD400+AD443</f>
        <v>0</v>
      </c>
      <c r="AE480" s="12">
        <f>AE56+AE99+AE142+AE185+AE228+AE271+AE314+AE357+AE400+AE443</f>
        <v>0</v>
      </c>
      <c r="AF480" s="12">
        <f>AF56+AF99+AF142+AF185+AF228+AF271+AF314+AF357+AF400+AF443</f>
        <v>0</v>
      </c>
      <c r="AG480" s="12">
        <f>AG56+AG99+AG142+AG185+AG228+AG271+AG314+AG357+AG400+AG443</f>
        <v>0</v>
      </c>
      <c r="AH480" s="12">
        <f>AH56+AH99+AH142+AH185+AH228+AH271+AH314+AH357+AH400+AH443</f>
        <v>0</v>
      </c>
      <c r="AI480" s="10" t="s">
        <v>49</v>
      </c>
    </row>
    <row r="481" spans="2:35" x14ac:dyDescent="0.25">
      <c r="B481" s="12">
        <f>B57+B100+B143+B186+B229+B272+B315+B358+B401+B444</f>
        <v>0</v>
      </c>
      <c r="C481" s="12">
        <f>C57+C100+C143+C186+C229+C272+C315+C358+C401+C444</f>
        <v>0</v>
      </c>
      <c r="D481" s="12">
        <f>D57+D100+D143+D186+D229+D272+D315+D358+D401+D444</f>
        <v>0</v>
      </c>
      <c r="E481" s="12">
        <f>E57+E100+E143+E186+E229+E272+E315+E358+E401+E444</f>
        <v>0</v>
      </c>
      <c r="F481" s="12">
        <f>F57+F100+F143+F186+F229+F272+F315+F358+F401+F444</f>
        <v>0</v>
      </c>
      <c r="G481" s="12">
        <f>G57+G100+G143+G186+G229+G272+G315+G358+G401+G444</f>
        <v>0</v>
      </c>
      <c r="H481" s="12">
        <f>H57+H100+H143+H186+H229+H272+H315+H358+H401+H444</f>
        <v>0</v>
      </c>
      <c r="I481" s="12">
        <f>I57+I100+I143+I186+I229+I272+I315+I358+I401+I444</f>
        <v>0</v>
      </c>
      <c r="J481" s="12">
        <f>J57+J100+J143+J186+J229+J272+J315+J358+J401+J444</f>
        <v>0</v>
      </c>
      <c r="K481" s="12">
        <f>K57+K100+K143+K186+K229+K272+K315+K358+K401+K444</f>
        <v>0</v>
      </c>
      <c r="L481" s="12">
        <f>L57+L100+L143+L186+L229+L272+L315+L358+L401+L444</f>
        <v>0</v>
      </c>
      <c r="M481" s="12">
        <f>M57+M100+M143+M186+M229+M272+M315+M358+M401+M444</f>
        <v>0</v>
      </c>
      <c r="N481" s="12">
        <f>N57+N100+N143+N186+N229+N272+N315+N358+N401+N444</f>
        <v>0</v>
      </c>
      <c r="O481" s="12">
        <f>O57+O100+O143+O186+O229+O272+O315+O358+O401+O444</f>
        <v>0</v>
      </c>
      <c r="P481" s="24">
        <f>P57+P100+P143+P186+P229+P272+P315+P358+P401+P444</f>
        <v>0</v>
      </c>
      <c r="Q481" s="12">
        <f>Q57+Q100+Q143+Q186+Q229+Q272+Q315+Q358+Q401+Q444</f>
        <v>0</v>
      </c>
      <c r="R481" s="12">
        <f>R57+R100+R143+R186+R229+R272+R315+R358+R401+R444</f>
        <v>0</v>
      </c>
      <c r="S481" s="12">
        <f>S57+S100+S143+S186+S229+S272+S315+S358+S401+S444</f>
        <v>0</v>
      </c>
      <c r="T481" s="12">
        <f>T57+T100+T143+T186+T229+T272+T315+T358+T401+T444</f>
        <v>0</v>
      </c>
      <c r="U481" s="12">
        <f>U57+U100+U143+U186+U229+U272+U315+U358+U401+U444</f>
        <v>0</v>
      </c>
      <c r="V481" s="12">
        <f>V57+V100+V143+V186+V229+V272+V315+V358+V401+V444</f>
        <v>0</v>
      </c>
      <c r="W481" s="12">
        <f>W57+W100+W143+W186+W229+W272+W315+W358+W401+W444</f>
        <v>0</v>
      </c>
      <c r="X481" s="12">
        <f>X57+X100+X143+X186+X229+X272+X315+X358+X401+X444</f>
        <v>0</v>
      </c>
      <c r="Y481" s="12">
        <f>Y57+Y100+Y143+Y186+Y229+Y272+Y315+Y358+Y401+Y444</f>
        <v>0</v>
      </c>
      <c r="Z481" s="12">
        <f>Z57+Z100+Z143+Z186+Z229+Z272+Z315+Z358+Z401+Z444</f>
        <v>0</v>
      </c>
      <c r="AA481" s="12">
        <f>AA57+AA100+AA143+AA186+AA229+AA272+AA315+AA358+AA401+AA444</f>
        <v>0</v>
      </c>
      <c r="AB481" s="12">
        <f>AB57+AB100+AB143+AB186+AB229+AB272+AB315+AB358+AB401+AB444</f>
        <v>0</v>
      </c>
      <c r="AC481" s="12">
        <f>AC57+AC100+AC143+AC186+AC229+AC272+AC315+AC358+AC401+AC444</f>
        <v>0</v>
      </c>
      <c r="AD481" s="12">
        <f>AD57+AD100+AD143+AD186+AD229+AD272+AD315+AD358+AD401+AD444</f>
        <v>0</v>
      </c>
      <c r="AE481" s="12">
        <f>AE57+AE100+AE143+AE186+AE229+AE272+AE315+AE358+AE401+AE444</f>
        <v>0</v>
      </c>
      <c r="AF481" s="12">
        <f>AF57+AF100+AF143+AF186+AF229+AF272+AF315+AF358+AF401+AF444</f>
        <v>0</v>
      </c>
      <c r="AG481" s="12">
        <f>AG57+AG100+AG143+AG186+AG229+AG272+AG315+AG358+AG401+AG444</f>
        <v>0</v>
      </c>
      <c r="AH481" s="12">
        <f>AH57+AH100+AH143+AH186+AH229+AH272+AH315+AH358+AH401+AH444</f>
        <v>0</v>
      </c>
      <c r="AI481" s="10" t="s">
        <v>50</v>
      </c>
    </row>
    <row r="482" spans="2:35" x14ac:dyDescent="0.25">
      <c r="B482" s="12">
        <f>B58+B101+B144+B187+B230+B273+B316+B359+B402+B445</f>
        <v>0</v>
      </c>
      <c r="C482" s="12">
        <f>C58+C101+C144+C187+C230+C273+C316+C359+C402+C445</f>
        <v>0</v>
      </c>
      <c r="D482" s="12">
        <f>D58+D101+D144+D187+D230+D273+D316+D359+D402+D445</f>
        <v>0</v>
      </c>
      <c r="E482" s="12">
        <f>E58+E101+E144+E187+E230+E273+E316+E359+E402+E445</f>
        <v>0</v>
      </c>
      <c r="F482" s="12">
        <f>F58+F101+F144+F187+F230+F273+F316+F359+F402+F445</f>
        <v>0</v>
      </c>
      <c r="G482" s="12">
        <f>G58+G101+G144+G187+G230+G273+G316+G359+G402+G445</f>
        <v>0</v>
      </c>
      <c r="H482" s="12">
        <f>H58+H101+H144+H187+H230+H273+H316+H359+H402+H445</f>
        <v>0</v>
      </c>
      <c r="I482" s="12">
        <f>I58+I101+I144+I187+I230+I273+I316+I359+I402+I445</f>
        <v>0</v>
      </c>
      <c r="J482" s="12">
        <f>J58+J101+J144+J187+J230+J273+J316+J359+J402+J445</f>
        <v>0</v>
      </c>
      <c r="K482" s="12">
        <f>K58+K101+K144+K187+K230+K273+K316+K359+K402+K445</f>
        <v>0</v>
      </c>
      <c r="L482" s="12">
        <f>L58+L101+L144+L187+L230+L273+L316+L359+L402+L445</f>
        <v>0</v>
      </c>
      <c r="M482" s="12">
        <f>M58+M101+M144+M187+M230+M273+M316+M359+M402+M445</f>
        <v>0</v>
      </c>
      <c r="N482" s="12">
        <f>N58+N101+N144+N187+N230+N273+N316+N359+N402+N445</f>
        <v>0</v>
      </c>
      <c r="O482" s="12">
        <f>O58+O101+O144+O187+O230+O273+O316+O359+O402+O445</f>
        <v>0</v>
      </c>
      <c r="P482" s="12">
        <f>P58+P101+P144+P187+P230+P273+P316+P359+P402+P445</f>
        <v>0</v>
      </c>
      <c r="Q482" s="24">
        <f>Q58+Q101+Q144+Q187+Q230+Q273+Q316+Q359+Q402+Q445</f>
        <v>0</v>
      </c>
      <c r="R482" s="12">
        <f>R58+R101+R144+R187+R230+R273+R316+R359+R402+R445</f>
        <v>0</v>
      </c>
      <c r="S482" s="12">
        <f>S58+S101+S144+S187+S230+S273+S316+S359+S402+S445</f>
        <v>0</v>
      </c>
      <c r="T482" s="12">
        <f>T58+T101+T144+T187+T230+T273+T316+T359+T402+T445</f>
        <v>0</v>
      </c>
      <c r="U482" s="12">
        <f>U58+U101+U144+U187+U230+U273+U316+U359+U402+U445</f>
        <v>0</v>
      </c>
      <c r="V482" s="12">
        <f>V58+V101+V144+V187+V230+V273+V316+V359+V402+V445</f>
        <v>0</v>
      </c>
      <c r="W482" s="12">
        <f>W58+W101+W144+W187+W230+W273+W316+W359+W402+W445</f>
        <v>0</v>
      </c>
      <c r="X482" s="12">
        <f>X58+X101+X144+X187+X230+X273+X316+X359+X402+X445</f>
        <v>0</v>
      </c>
      <c r="Y482" s="12">
        <f>Y58+Y101+Y144+Y187+Y230+Y273+Y316+Y359+Y402+Y445</f>
        <v>0</v>
      </c>
      <c r="Z482" s="12">
        <f>Z58+Z101+Z144+Z187+Z230+Z273+Z316+Z359+Z402+Z445</f>
        <v>0</v>
      </c>
      <c r="AA482" s="12">
        <f>AA58+AA101+AA144+AA187+AA230+AA273+AA316+AA359+AA402+AA445</f>
        <v>0</v>
      </c>
      <c r="AB482" s="12">
        <f>AB58+AB101+AB144+AB187+AB230+AB273+AB316+AB359+AB402+AB445</f>
        <v>0</v>
      </c>
      <c r="AC482" s="12">
        <f>AC58+AC101+AC144+AC187+AC230+AC273+AC316+AC359+AC402+AC445</f>
        <v>0</v>
      </c>
      <c r="AD482" s="12">
        <f>AD58+AD101+AD144+AD187+AD230+AD273+AD316+AD359+AD402+AD445</f>
        <v>0</v>
      </c>
      <c r="AE482" s="12">
        <f>AE58+AE101+AE144+AE187+AE230+AE273+AE316+AE359+AE402+AE445</f>
        <v>0</v>
      </c>
      <c r="AF482" s="12">
        <f>AF58+AF101+AF144+AF187+AF230+AF273+AF316+AF359+AF402+AF445</f>
        <v>0</v>
      </c>
      <c r="AG482" s="12">
        <f>AG58+AG101+AG144+AG187+AG230+AG273+AG316+AG359+AG402+AG445</f>
        <v>0</v>
      </c>
      <c r="AH482" s="12">
        <f>AH58+AH101+AH144+AH187+AH230+AH273+AH316+AH359+AH402+AH445</f>
        <v>0</v>
      </c>
      <c r="AI482" s="10" t="s">
        <v>51</v>
      </c>
    </row>
    <row r="483" spans="1:35" x14ac:dyDescent="0.25">
      <c r="A483" s="21" t="s">
        <v>79</v>
      </c>
      <c r="B483" s="12">
        <f>B59+B102+B145+B188+B231+B274+B317+B360+B403+B446</f>
        <v>0</v>
      </c>
      <c r="C483" s="12">
        <f>C59+C102+C145+C188+C231+C274+C317+C360+C403+C446</f>
        <v>0</v>
      </c>
      <c r="D483" s="12">
        <f>D59+D102+D145+D188+D231+D274+D317+D360+D403+D446</f>
        <v>0</v>
      </c>
      <c r="E483" s="12">
        <f>E59+E102+E145+E188+E231+E274+E317+E360+E403+E446</f>
        <v>0</v>
      </c>
      <c r="F483" s="12">
        <f>F59+F102+F145+F188+F231+F274+F317+F360+F403+F446</f>
        <v>0</v>
      </c>
      <c r="G483" s="12">
        <f>G59+G102+G145+G188+G231+G274+G317+G360+G403+G446</f>
        <v>0</v>
      </c>
      <c r="H483" s="12">
        <f>H59+H102+H145+H188+H231+H274+H317+H360+H403+H446</f>
        <v>0</v>
      </c>
      <c r="I483" s="12">
        <f>I59+I102+I145+I188+I231+I274+I317+I360+I403+I446</f>
        <v>0</v>
      </c>
      <c r="J483" s="12">
        <f>J59+J102+J145+J188+J231+J274+J317+J360+J403+J446</f>
        <v>0</v>
      </c>
      <c r="K483" s="12">
        <f>K59+K102+K145+K188+K231+K274+K317+K360+K403+K446</f>
        <v>0</v>
      </c>
      <c r="L483" s="12">
        <f>L59+L102+L145+L188+L231+L274+L317+L360+L403+L446</f>
        <v>0</v>
      </c>
      <c r="M483" s="12">
        <f>M59+M102+M145+M188+M231+M274+M317+M360+M403+M446</f>
        <v>0</v>
      </c>
      <c r="N483" s="12">
        <f>N59+N102+N145+N188+N231+N274+N317+N360+N403+N446</f>
        <v>0</v>
      </c>
      <c r="O483" s="12">
        <f>O59+O102+O145+O188+O231+O274+O317+O360+O403+O446</f>
        <v>0</v>
      </c>
      <c r="P483" s="12">
        <f>P59+P102+P145+P188+P231+P274+P317+P360+P403+P446</f>
        <v>0</v>
      </c>
      <c r="Q483" s="12">
        <f>Q59+Q102+Q145+Q188+Q231+Q274+Q317+Q360+Q403+Q446</f>
        <v>0</v>
      </c>
      <c r="R483" s="24">
        <f>R59+R102+R145+R188+R231+R274+R317+R360+R403+R446</f>
        <v>0</v>
      </c>
      <c r="S483" s="12">
        <f>S59+S102+S145+S188+S231+S274+S317+S360+S403+S446</f>
        <v>0</v>
      </c>
      <c r="T483" s="12">
        <f>T59+T102+T145+T188+T231+T274+T317+T360+T403+T446</f>
        <v>0</v>
      </c>
      <c r="U483" s="12">
        <f>U59+U102+U145+U188+U231+U274+U317+U360+U403+U446</f>
        <v>0</v>
      </c>
      <c r="V483" s="12">
        <f>V59+V102+V145+V188+V231+V274+V317+V360+V403+V446</f>
        <v>0</v>
      </c>
      <c r="W483" s="12">
        <f>W59+W102+W145+W188+W231+W274+W317+W360+W403+W446</f>
        <v>0</v>
      </c>
      <c r="X483" s="12">
        <f>X59+X102+X145+X188+X231+X274+X317+X360+X403+X446</f>
        <v>0</v>
      </c>
      <c r="Y483" s="12">
        <f>Y59+Y102+Y145+Y188+Y231+Y274+Y317+Y360+Y403+Y446</f>
        <v>0</v>
      </c>
      <c r="Z483" s="12">
        <f>Z59+Z102+Z145+Z188+Z231+Z274+Z317+Z360+Z403+Z446</f>
        <v>0</v>
      </c>
      <c r="AA483" s="12">
        <f>AA59+AA102+AA145+AA188+AA231+AA274+AA317+AA360+AA403+AA446</f>
        <v>0</v>
      </c>
      <c r="AB483" s="12">
        <f>AB59+AB102+AB145+AB188+AB231+AB274+AB317+AB360+AB403+AB446</f>
        <v>0</v>
      </c>
      <c r="AC483" s="12">
        <f>AC59+AC102+AC145+AC188+AC231+AC274+AC317+AC360+AC403+AC446</f>
        <v>0</v>
      </c>
      <c r="AD483" s="12">
        <f>AD59+AD102+AD145+AD188+AD231+AD274+AD317+AD360+AD403+AD446</f>
        <v>0</v>
      </c>
      <c r="AE483" s="12">
        <f>AE59+AE102+AE145+AE188+AE231+AE274+AE317+AE360+AE403+AE446</f>
        <v>0</v>
      </c>
      <c r="AF483" s="12">
        <f>AF59+AF102+AF145+AF188+AF231+AF274+AF317+AF360+AF403+AF446</f>
        <v>0</v>
      </c>
      <c r="AG483" s="12">
        <f>AG59+AG102+AG145+AG188+AG231+AG274+AG317+AG360+AG403+AG446</f>
        <v>0</v>
      </c>
      <c r="AH483" s="12">
        <f>AH59+AH102+AH145+AH188+AH231+AH274+AH317+AH360+AH403+AH446</f>
        <v>0</v>
      </c>
      <c r="AI483" s="10" t="s">
        <v>52</v>
      </c>
    </row>
    <row r="484" spans="2:35" x14ac:dyDescent="0.25">
      <c r="B484" s="12">
        <f>B60+B103+B146+B189+B232+B275+B318+B361+B404+B447</f>
        <v>0</v>
      </c>
      <c r="C484" s="12">
        <f>C60+C103+C146+C189+C232+C275+C318+C361+C404+C447</f>
        <v>0</v>
      </c>
      <c r="D484" s="12">
        <f>D60+D103+D146+D189+D232+D275+D318+D361+D404+D447</f>
        <v>0</v>
      </c>
      <c r="E484" s="12">
        <f>E60+E103+E146+E189+E232+E275+E318+E361+E404+E447</f>
        <v>0</v>
      </c>
      <c r="F484" s="12">
        <f>F60+F103+F146+F189+F232+F275+F318+F361+F404+F447</f>
        <v>0</v>
      </c>
      <c r="G484" s="12">
        <f>G60+G103+G146+G189+G232+G275+G318+G361+G404+G447</f>
        <v>0</v>
      </c>
      <c r="H484" s="12">
        <f>H60+H103+H146+H189+H232+H275+H318+H361+H404+H447</f>
        <v>0</v>
      </c>
      <c r="I484" s="12">
        <f>I60+I103+I146+I189+I232+I275+I318+I361+I404+I447</f>
        <v>0</v>
      </c>
      <c r="J484" s="12">
        <f>J60+J103+J146+J189+J232+J275+J318+J361+J404+J447</f>
        <v>0</v>
      </c>
      <c r="K484" s="12">
        <f>K60+K103+K146+K189+K232+K275+K318+K361+K404+K447</f>
        <v>0</v>
      </c>
      <c r="L484" s="12">
        <f>L60+L103+L146+L189+L232+L275+L318+L361+L404+L447</f>
        <v>0</v>
      </c>
      <c r="M484" s="12">
        <f>M60+M103+M146+M189+M232+M275+M318+M361+M404+M447</f>
        <v>0</v>
      </c>
      <c r="N484" s="12">
        <f>N60+N103+N146+N189+N232+N275+N318+N361+N404+N447</f>
        <v>0</v>
      </c>
      <c r="O484" s="12">
        <f>O60+O103+O146+O189+O232+O275+O318+O361+O404+O447</f>
        <v>0</v>
      </c>
      <c r="P484" s="12">
        <f>P60+P103+P146+P189+P232+P275+P318+P361+P404+P447</f>
        <v>0</v>
      </c>
      <c r="Q484" s="12">
        <f>Q60+Q103+Q146+Q189+Q232+Q275+Q318+Q361+Q404+Q447</f>
        <v>0</v>
      </c>
      <c r="R484" s="12">
        <f>R60+R103+R146+R189+R232+R275+R318+R361+R404+R447</f>
        <v>0</v>
      </c>
      <c r="S484" s="24">
        <f>S60+S103+S146+S189+S232+S275+S318+S361+S404+S447</f>
        <v>0</v>
      </c>
      <c r="T484" s="12">
        <f>T60+T103+T146+T189+T232+T275+T318+T361+T404+T447</f>
        <v>0</v>
      </c>
      <c r="U484" s="12">
        <f>U60+U103+U146+U189+U232+U275+U318+U361+U404+U447</f>
        <v>0</v>
      </c>
      <c r="V484" s="12">
        <f>V60+V103+V146+V189+V232+V275+V318+V361+V404+V447</f>
        <v>0</v>
      </c>
      <c r="W484" s="12">
        <f>W60+W103+W146+W189+W232+W275+W318+W361+W404+W447</f>
        <v>0</v>
      </c>
      <c r="X484" s="12">
        <f>X60+X103+X146+X189+X232+X275+X318+X361+X404+X447</f>
        <v>0</v>
      </c>
      <c r="Y484" s="12">
        <f>Y60+Y103+Y146+Y189+Y232+Y275+Y318+Y361+Y404+Y447</f>
        <v>0</v>
      </c>
      <c r="Z484" s="12">
        <f>Z60+Z103+Z146+Z189+Z232+Z275+Z318+Z361+Z404+Z447</f>
        <v>0</v>
      </c>
      <c r="AA484" s="12">
        <f>AA60+AA103+AA146+AA189+AA232+AA275+AA318+AA361+AA404+AA447</f>
        <v>0</v>
      </c>
      <c r="AB484" s="12">
        <f>AB60+AB103+AB146+AB189+AB232+AB275+AB318+AB361+AB404+AB447</f>
        <v>0</v>
      </c>
      <c r="AC484" s="12">
        <f>AC60+AC103+AC146+AC189+AC232+AC275+AC318+AC361+AC404+AC447</f>
        <v>0</v>
      </c>
      <c r="AD484" s="12">
        <f>AD60+AD103+AD146+AD189+AD232+AD275+AD318+AD361+AD404+AD447</f>
        <v>0</v>
      </c>
      <c r="AE484" s="12">
        <f>AE60+AE103+AE146+AE189+AE232+AE275+AE318+AE361+AE404+AE447</f>
        <v>0</v>
      </c>
      <c r="AF484" s="12">
        <f>AF60+AF103+AF146+AF189+AF232+AF275+AF318+AF361+AF404+AF447</f>
        <v>0</v>
      </c>
      <c r="AG484" s="12">
        <f>AG60+AG103+AG146+AG189+AG232+AG275+AG318+AG361+AG404+AG447</f>
        <v>0</v>
      </c>
      <c r="AH484" s="12">
        <f>AH60+AH103+AH146+AH189+AH232+AH275+AH318+AH361+AH404+AH447</f>
        <v>0</v>
      </c>
      <c r="AI484" s="10" t="s">
        <v>53</v>
      </c>
    </row>
    <row r="485" spans="2:35" x14ac:dyDescent="0.25">
      <c r="B485" s="12">
        <f>B61+B104+B147+B190+B233+B276+B319+B362+B405+B448</f>
        <v>0</v>
      </c>
      <c r="C485" s="12">
        <f>C61+C104+C147+C190+C233+C276+C319+C362+C405+C448</f>
        <v>0</v>
      </c>
      <c r="D485" s="12">
        <f>D61+D104+D147+D190+D233+D276+D319+D362+D405+D448</f>
        <v>0</v>
      </c>
      <c r="E485" s="12">
        <f>E61+E104+E147+E190+E233+E276+E319+E362+E405+E448</f>
        <v>0</v>
      </c>
      <c r="F485" s="12">
        <f>F61+F104+F147+F190+F233+F276+F319+F362+F405+F448</f>
        <v>0</v>
      </c>
      <c r="G485" s="12">
        <f>G61+G104+G147+G190+G233+G276+G319+G362+G405+G448</f>
        <v>0</v>
      </c>
      <c r="H485" s="12">
        <f>H61+H104+H147+H190+H233+H276+H319+H362+H405+H448</f>
        <v>0</v>
      </c>
      <c r="I485" s="12">
        <f>I61+I104+I147+I190+I233+I276+I319+I362+I405+I448</f>
        <v>0</v>
      </c>
      <c r="J485" s="12">
        <f>J61+J104+J147+J190+J233+J276+J319+J362+J405+J448</f>
        <v>0</v>
      </c>
      <c r="K485" s="12">
        <f>K61+K104+K147+K190+K233+K276+K319+K362+K405+K448</f>
        <v>0</v>
      </c>
      <c r="L485" s="12">
        <f>L61+L104+L147+L190+L233+L276+L319+L362+L405+L448</f>
        <v>0</v>
      </c>
      <c r="M485" s="12">
        <f>M61+M104+M147+M190+M233+M276+M319+M362+M405+M448</f>
        <v>0</v>
      </c>
      <c r="N485" s="12">
        <f>N61+N104+N147+N190+N233+N276+N319+N362+N405+N448</f>
        <v>0</v>
      </c>
      <c r="O485" s="12">
        <f>O61+O104+O147+O190+O233+O276+O319+O362+O405+O448</f>
        <v>0</v>
      </c>
      <c r="P485" s="12">
        <f>P61+P104+P147+P190+P233+P276+P319+P362+P405+P448</f>
        <v>0</v>
      </c>
      <c r="Q485" s="12">
        <f>Q61+Q104+Q147+Q190+Q233+Q276+Q319+Q362+Q405+Q448</f>
        <v>0</v>
      </c>
      <c r="R485" s="12">
        <f>R61+R104+R147+R190+R233+R276+R319+R362+R405+R448</f>
        <v>0</v>
      </c>
      <c r="S485" s="12">
        <f>S61+S104+S147+S190+S233+S276+S319+S362+S405+S448</f>
        <v>0</v>
      </c>
      <c r="T485" s="24">
        <f>T61+T104+T147+T190+T233+T276+T319+T362+T405+T448</f>
        <v>0</v>
      </c>
      <c r="U485" s="12">
        <f>U61+U104+U147+U190+U233+U276+U319+U362+U405+U448</f>
        <v>0</v>
      </c>
      <c r="V485" s="12">
        <f>V61+V104+V147+V190+V233+V276+V319+V362+V405+V448</f>
        <v>0</v>
      </c>
      <c r="W485" s="12">
        <f>W61+W104+W147+W190+W233+W276+W319+W362+W405+W448</f>
        <v>0</v>
      </c>
      <c r="X485" s="12">
        <f>X61+X104+X147+X190+X233+X276+X319+X362+X405+X448</f>
        <v>0</v>
      </c>
      <c r="Y485" s="12">
        <f>Y61+Y104+Y147+Y190+Y233+Y276+Y319+Y362+Y405+Y448</f>
        <v>0</v>
      </c>
      <c r="Z485" s="12">
        <f>Z61+Z104+Z147+Z190+Z233+Z276+Z319+Z362+Z405+Z448</f>
        <v>0</v>
      </c>
      <c r="AA485" s="12">
        <f>AA61+AA104+AA147+AA190+AA233+AA276+AA319+AA362+AA405+AA448</f>
        <v>0</v>
      </c>
      <c r="AB485" s="12">
        <f>AB61+AB104+AB147+AB190+AB233+AB276+AB319+AB362+AB405+AB448</f>
        <v>0</v>
      </c>
      <c r="AC485" s="12">
        <f>AC61+AC104+AC147+AC190+AC233+AC276+AC319+AC362+AC405+AC448</f>
        <v>0</v>
      </c>
      <c r="AD485" s="12">
        <f>AD61+AD104+AD147+AD190+AD233+AD276+AD319+AD362+AD405+AD448</f>
        <v>0</v>
      </c>
      <c r="AE485" s="12">
        <f>AE61+AE104+AE147+AE190+AE233+AE276+AE319+AE362+AE405+AE448</f>
        <v>0</v>
      </c>
      <c r="AF485" s="12">
        <f>AF61+AF104+AF147+AF190+AF233+AF276+AF319+AF362+AF405+AF448</f>
        <v>0</v>
      </c>
      <c r="AG485" s="12">
        <f>AG61+AG104+AG147+AG190+AG233+AG276+AG319+AG362+AG405+AG448</f>
        <v>0</v>
      </c>
      <c r="AH485" s="12">
        <f>AH61+AH104+AH147+AH190+AH233+AH276+AH319+AH362+AH405+AH448</f>
        <v>0</v>
      </c>
      <c r="AI485" s="10" t="s">
        <v>54</v>
      </c>
    </row>
    <row r="486" spans="2:35" x14ac:dyDescent="0.25">
      <c r="B486" s="12">
        <f>B62+B105+B148+B191+B234+B277+B320+B363+B406+B449</f>
        <v>0</v>
      </c>
      <c r="C486" s="12">
        <f>C62+C105+C148+C191+C234+C277+C320+C363+C406+C449</f>
        <v>0</v>
      </c>
      <c r="D486" s="12">
        <f>D62+D105+D148+D191+D234+D277+D320+D363+D406+D449</f>
        <v>0</v>
      </c>
      <c r="E486" s="12">
        <f>E62+E105+E148+E191+E234+E277+E320+E363+E406+E449</f>
        <v>0</v>
      </c>
      <c r="F486" s="12">
        <f>F62+F105+F148+F191+F234+F277+F320+F363+F406+F449</f>
        <v>0</v>
      </c>
      <c r="G486" s="12">
        <f>G62+G105+G148+G191+G234+G277+G320+G363+G406+G449</f>
        <v>0</v>
      </c>
      <c r="H486" s="12">
        <f>H62+H105+H148+H191+H234+H277+H320+H363+H406+H449</f>
        <v>0</v>
      </c>
      <c r="I486" s="12">
        <f>I62+I105+I148+I191+I234+I277+I320+I363+I406+I449</f>
        <v>0</v>
      </c>
      <c r="J486" s="12">
        <f>J62+J105+J148+J191+J234+J277+J320+J363+J406+J449</f>
        <v>0</v>
      </c>
      <c r="K486" s="12">
        <f>K62+K105+K148+K191+K234+K277+K320+K363+K406+K449</f>
        <v>0</v>
      </c>
      <c r="L486" s="12">
        <f>L62+L105+L148+L191+L234+L277+L320+L363+L406+L449</f>
        <v>0</v>
      </c>
      <c r="M486" s="12">
        <f>M62+M105+M148+M191+M234+M277+M320+M363+M406+M449</f>
        <v>0</v>
      </c>
      <c r="N486" s="12">
        <f>N62+N105+N148+N191+N234+N277+N320+N363+N406+N449</f>
        <v>0</v>
      </c>
      <c r="O486" s="12">
        <f>O62+O105+O148+O191+O234+O277+O320+O363+O406+O449</f>
        <v>0</v>
      </c>
      <c r="P486" s="12">
        <f>P62+P105+P148+P191+P234+P277+P320+P363+P406+P449</f>
        <v>0</v>
      </c>
      <c r="Q486" s="12">
        <f>Q62+Q105+Q148+Q191+Q234+Q277+Q320+Q363+Q406+Q449</f>
        <v>0</v>
      </c>
      <c r="R486" s="12">
        <f>R62+R105+R148+R191+R234+R277+R320+R363+R406+R449</f>
        <v>0</v>
      </c>
      <c r="S486" s="12">
        <f>S62+S105+S148+S191+S234+S277+S320+S363+S406+S449</f>
        <v>0</v>
      </c>
      <c r="T486" s="12">
        <f>T62+T105+T148+T191+T234+T277+T320+T363+T406+T449</f>
        <v>0</v>
      </c>
      <c r="U486" s="24">
        <f>U62+U105+U148+U191+U234+U277+U320+U363+U406+U449</f>
        <v>0</v>
      </c>
      <c r="V486" s="12">
        <f>V62+V105+V148+V191+V234+V277+V320+V363+V406+V449</f>
        <v>0</v>
      </c>
      <c r="W486" s="12">
        <f>W62+W105+W148+W191+W234+W277+W320+W363+W406+W449</f>
        <v>0</v>
      </c>
      <c r="X486" s="12">
        <f>X62+X105+X148+X191+X234+X277+X320+X363+X406+X449</f>
        <v>0</v>
      </c>
      <c r="Y486" s="12">
        <f>Y62+Y105+Y148+Y191+Y234+Y277+Y320+Y363+Y406+Y449</f>
        <v>0</v>
      </c>
      <c r="Z486" s="12">
        <f>Z62+Z105+Z148+Z191+Z234+Z277+Z320+Z363+Z406+Z449</f>
        <v>0</v>
      </c>
      <c r="AA486" s="12">
        <f>AA62+AA105+AA148+AA191+AA234+AA277+AA320+AA363+AA406+AA449</f>
        <v>0</v>
      </c>
      <c r="AB486" s="12">
        <f>AB62+AB105+AB148+AB191+AB234+AB277+AB320+AB363+AB406+AB449</f>
        <v>0</v>
      </c>
      <c r="AC486" s="12">
        <f>AC62+AC105+AC148+AC191+AC234+AC277+AC320+AC363+AC406+AC449</f>
        <v>0</v>
      </c>
      <c r="AD486" s="12">
        <f>AD62+AD105+AD148+AD191+AD234+AD277+AD320+AD363+AD406+AD449</f>
        <v>0</v>
      </c>
      <c r="AE486" s="12">
        <f>AE62+AE105+AE148+AE191+AE234+AE277+AE320+AE363+AE406+AE449</f>
        <v>0</v>
      </c>
      <c r="AF486" s="12">
        <f>AF62+AF105+AF148+AF191+AF234+AF277+AF320+AF363+AF406+AF449</f>
        <v>0</v>
      </c>
      <c r="AG486" s="12">
        <f>AG62+AG105+AG148+AG191+AG234+AG277+AG320+AG363+AG406+AG449</f>
        <v>0</v>
      </c>
      <c r="AH486" s="12">
        <f>AH62+AH105+AH148+AH191+AH234+AH277+AH320+AH363+AH406+AH449</f>
        <v>0</v>
      </c>
      <c r="AI486" s="10" t="s">
        <v>55</v>
      </c>
    </row>
    <row r="487" spans="2:35" x14ac:dyDescent="0.25">
      <c r="B487" s="12">
        <f>B63+B106+B149+B192+B235+B278+B321+B364+B407+B450</f>
        <v>0</v>
      </c>
      <c r="C487" s="12">
        <f>C63+C106+C149+C192+C235+C278+C321+C364+C407+C450</f>
        <v>0</v>
      </c>
      <c r="D487" s="12">
        <f>D63+D106+D149+D192+D235+D278+D321+D364+D407+D450</f>
        <v>0</v>
      </c>
      <c r="E487" s="12">
        <f>E63+E106+E149+E192+E235+E278+E321+E364+E407+E450</f>
        <v>0</v>
      </c>
      <c r="F487" s="12">
        <f>F63+F106+F149+F192+F235+F278+F321+F364+F407+F450</f>
        <v>0</v>
      </c>
      <c r="G487" s="12">
        <f>G63+G106+G149+G192+G235+G278+G321+G364+G407+G450</f>
        <v>0</v>
      </c>
      <c r="H487" s="12">
        <f>H63+H106+H149+H192+H235+H278+H321+H364+H407+H450</f>
        <v>0</v>
      </c>
      <c r="I487" s="12">
        <f>I63+I106+I149+I192+I235+I278+I321+I364+I407+I450</f>
        <v>0</v>
      </c>
      <c r="J487" s="12">
        <f>J63+J106+J149+J192+J235+J278+J321+J364+J407+J450</f>
        <v>0</v>
      </c>
      <c r="K487" s="12">
        <f>K63+K106+K149+K192+K235+K278+K321+K364+K407+K450</f>
        <v>0</v>
      </c>
      <c r="L487" s="12">
        <f>L63+L106+L149+L192+L235+L278+L321+L364+L407+L450</f>
        <v>0</v>
      </c>
      <c r="M487" s="12">
        <f>M63+M106+M149+M192+M235+M278+M321+M364+M407+M450</f>
        <v>0</v>
      </c>
      <c r="N487" s="12">
        <f>N63+N106+N149+N192+N235+N278+N321+N364+N407+N450</f>
        <v>0</v>
      </c>
      <c r="O487" s="12">
        <f>O63+O106+O149+O192+O235+O278+O321+O364+O407+O450</f>
        <v>0</v>
      </c>
      <c r="P487" s="12">
        <f>P63+P106+P149+P192+P235+P278+P321+P364+P407+P450</f>
        <v>0</v>
      </c>
      <c r="Q487" s="12">
        <f>Q63+Q106+Q149+Q192+Q235+Q278+Q321+Q364+Q407+Q450</f>
        <v>0</v>
      </c>
      <c r="R487" s="12">
        <f>R63+R106+R149+R192+R235+R278+R321+R364+R407+R450</f>
        <v>0</v>
      </c>
      <c r="S487" s="12">
        <f>S63+S106+S149+S192+S235+S278+S321+S364+S407+S450</f>
        <v>0</v>
      </c>
      <c r="T487" s="12">
        <f>T63+T106+T149+T192+T235+T278+T321+T364+T407+T450</f>
        <v>0</v>
      </c>
      <c r="U487" s="12">
        <f>U63+U106+U149+U192+U235+U278+U321+U364+U407+U450</f>
        <v>0</v>
      </c>
      <c r="V487" s="24">
        <f>V63+V106+V149+V192+V235+V278+V321+V364+V407+V450</f>
        <v>0</v>
      </c>
      <c r="W487" s="12">
        <f>W63+W106+W149+W192+W235+W278+W321+W364+W407+W450</f>
        <v>0</v>
      </c>
      <c r="X487" s="12">
        <f>X63+X106+X149+X192+X235+X278+X321+X364+X407+X450</f>
        <v>0</v>
      </c>
      <c r="Y487" s="12">
        <f>Y63+Y106+Y149+Y192+Y235+Y278+Y321+Y364+Y407+Y450</f>
        <v>0</v>
      </c>
      <c r="Z487" s="12">
        <f>Z63+Z106+Z149+Z192+Z235+Z278+Z321+Z364+Z407+Z450</f>
        <v>0</v>
      </c>
      <c r="AA487" s="12">
        <f>AA63+AA106+AA149+AA192+AA235+AA278+AA321+AA364+AA407+AA450</f>
        <v>0</v>
      </c>
      <c r="AB487" s="12">
        <f>AB63+AB106+AB149+AB192+AB235+AB278+AB321+AB364+AB407+AB450</f>
        <v>0</v>
      </c>
      <c r="AC487" s="12">
        <f>AC63+AC106+AC149+AC192+AC235+AC278+AC321+AC364+AC407+AC450</f>
        <v>0</v>
      </c>
      <c r="AD487" s="12">
        <f>AD63+AD106+AD149+AD192+AD235+AD278+AD321+AD364+AD407+AD450</f>
        <v>0</v>
      </c>
      <c r="AE487" s="12">
        <f>AE63+AE106+AE149+AE192+AE235+AE278+AE321+AE364+AE407+AE450</f>
        <v>0</v>
      </c>
      <c r="AF487" s="12">
        <f>AF63+AF106+AF149+AF192+AF235+AF278+AF321+AF364+AF407+AF450</f>
        <v>0</v>
      </c>
      <c r="AG487" s="12">
        <f>AG63+AG106+AG149+AG192+AG235+AG278+AG321+AG364+AG407+AG450</f>
        <v>0</v>
      </c>
      <c r="AH487" s="12">
        <f>AH63+AH106+AH149+AH192+AH235+AH278+AH321+AH364+AH407+AH450</f>
        <v>0</v>
      </c>
      <c r="AI487" s="10" t="s">
        <v>56</v>
      </c>
    </row>
    <row r="488" spans="2:35" x14ac:dyDescent="0.25">
      <c r="B488" s="12">
        <f>B64+B107+B150+B193+B236+B279+B322+B365+B408+B451</f>
        <v>0</v>
      </c>
      <c r="C488" s="12">
        <f>C64+C107+C150+C193+C236+C279+C322+C365+C408+C451</f>
        <v>0</v>
      </c>
      <c r="D488" s="12">
        <f>D64+D107+D150+D193+D236+D279+D322+D365+D408+D451</f>
        <v>0</v>
      </c>
      <c r="E488" s="12">
        <f>E64+E107+E150+E193+E236+E279+E322+E365+E408+E451</f>
        <v>0</v>
      </c>
      <c r="F488" s="12">
        <f>F64+F107+F150+F193+F236+F279+F322+F365+F408+F451</f>
        <v>0</v>
      </c>
      <c r="G488" s="12">
        <f>G64+G107+G150+G193+G236+G279+G322+G365+G408+G451</f>
        <v>0</v>
      </c>
      <c r="H488" s="12">
        <f>H64+H107+H150+H193+H236+H279+H322+H365+H408+H451</f>
        <v>0</v>
      </c>
      <c r="I488" s="12">
        <f>I64+I107+I150+I193+I236+I279+I322+I365+I408+I451</f>
        <v>0</v>
      </c>
      <c r="J488" s="12">
        <f>J64+J107+J150+J193+J236+J279+J322+J365+J408+J451</f>
        <v>0</v>
      </c>
      <c r="K488" s="12">
        <f>K64+K107+K150+K193+K236+K279+K322+K365+K408+K451</f>
        <v>0</v>
      </c>
      <c r="L488" s="12">
        <f>L64+L107+L150+L193+L236+L279+L322+L365+L408+L451</f>
        <v>0</v>
      </c>
      <c r="M488" s="12">
        <f>M64+M107+M150+M193+M236+M279+M322+M365+M408+M451</f>
        <v>0</v>
      </c>
      <c r="N488" s="12">
        <f>N64+N107+N150+N193+N236+N279+N322+N365+N408+N451</f>
        <v>0</v>
      </c>
      <c r="O488" s="12">
        <f>O64+O107+O150+O193+O236+O279+O322+O365+O408+O451</f>
        <v>0</v>
      </c>
      <c r="P488" s="12">
        <f>P64+P107+P150+P193+P236+P279+P322+P365+P408+P451</f>
        <v>0</v>
      </c>
      <c r="Q488" s="12">
        <f>Q64+Q107+Q150+Q193+Q236+Q279+Q322+Q365+Q408+Q451</f>
        <v>0</v>
      </c>
      <c r="R488" s="12">
        <f>R64+R107+R150+R193+R236+R279+R322+R365+R408+R451</f>
        <v>0</v>
      </c>
      <c r="S488" s="12">
        <f>S64+S107+S150+S193+S236+S279+S322+S365+S408+S451</f>
        <v>0</v>
      </c>
      <c r="T488" s="12">
        <f>T64+T107+T150+T193+T236+T279+T322+T365+T408+T451</f>
        <v>0</v>
      </c>
      <c r="U488" s="12">
        <f>U64+U107+U150+U193+U236+U279+U322+U365+U408+U451</f>
        <v>0</v>
      </c>
      <c r="V488" s="12">
        <f>V64+V107+V150+V193+V236+V279+V322+V365+V408+V451</f>
        <v>0</v>
      </c>
      <c r="W488" s="24">
        <f>W64+W107+W150+W193+W236+W279+W322+W365+W408+W451</f>
        <v>0</v>
      </c>
      <c r="X488" s="12">
        <f>X64+X107+X150+X193+X236+X279+X322+X365+X408+X451</f>
        <v>0</v>
      </c>
      <c r="Y488" s="12">
        <f>Y64+Y107+Y150+Y193+Y236+Y279+Y322+Y365+Y408+Y451</f>
        <v>0</v>
      </c>
      <c r="Z488" s="12">
        <f>Z64+Z107+Z150+Z193+Z236+Z279+Z322+Z365+Z408+Z451</f>
        <v>0</v>
      </c>
      <c r="AA488" s="12">
        <f>AA64+AA107+AA150+AA193+AA236+AA279+AA322+AA365+AA408+AA451</f>
        <v>0</v>
      </c>
      <c r="AB488" s="12">
        <f>AB64+AB107+AB150+AB193+AB236+AB279+AB322+AB365+AB408+AB451</f>
        <v>0</v>
      </c>
      <c r="AC488" s="12">
        <f>AC64+AC107+AC150+AC193+AC236+AC279+AC322+AC365+AC408+AC451</f>
        <v>0</v>
      </c>
      <c r="AD488" s="12">
        <f>AD64+AD107+AD150+AD193+AD236+AD279+AD322+AD365+AD408+AD451</f>
        <v>0</v>
      </c>
      <c r="AE488" s="12">
        <f>AE64+AE107+AE150+AE193+AE236+AE279+AE322+AE365+AE408+AE451</f>
        <v>0</v>
      </c>
      <c r="AF488" s="12">
        <f>AF64+AF107+AF150+AF193+AF236+AF279+AF322+AF365+AF408+AF451</f>
        <v>0</v>
      </c>
      <c r="AG488" s="12">
        <f>AG64+AG107+AG150+AG193+AG236+AG279+AG322+AG365+AG408+AG451</f>
        <v>0</v>
      </c>
      <c r="AH488" s="12">
        <f>AH64+AH107+AH150+AH193+AH236+AH279+AH322+AH365+AH408+AH451</f>
        <v>0</v>
      </c>
      <c r="AI488" s="10" t="s">
        <v>57</v>
      </c>
    </row>
    <row r="489" spans="2:35" x14ac:dyDescent="0.25">
      <c r="B489" s="12">
        <f>B65+B108+B151+B194+B237+B280+B323+B366+B409+B452</f>
        <v>0</v>
      </c>
      <c r="C489" s="12">
        <f>C65+C108+C151+C194+C237+C280+C323+C366+C409+C452</f>
        <v>0</v>
      </c>
      <c r="D489" s="12">
        <f>D65+D108+D151+D194+D237+D280+D323+D366+D409+D452</f>
        <v>0</v>
      </c>
      <c r="E489" s="12">
        <f>E65+E108+E151+E194+E237+E280+E323+E366+E409+E452</f>
        <v>0</v>
      </c>
      <c r="F489" s="12">
        <f>F65+F108+F151+F194+F237+F280+F323+F366+F409+F452</f>
        <v>0</v>
      </c>
      <c r="G489" s="12">
        <f>G65+G108+G151+G194+G237+G280+G323+G366+G409+G452</f>
        <v>0</v>
      </c>
      <c r="H489" s="12">
        <f>H65+H108+H151+H194+H237+H280+H323+H366+H409+H452</f>
        <v>0</v>
      </c>
      <c r="I489" s="12">
        <f>I65+I108+I151+I194+I237+I280+I323+I366+I409+I452</f>
        <v>0</v>
      </c>
      <c r="J489" s="12">
        <f>J65+J108+J151+J194+J237+J280+J323+J366+J409+J452</f>
        <v>0</v>
      </c>
      <c r="K489" s="12">
        <f>K65+K108+K151+K194+K237+K280+K323+K366+K409+K452</f>
        <v>0</v>
      </c>
      <c r="L489" s="12">
        <f>L65+L108+L151+L194+L237+L280+L323+L366+L409+L452</f>
        <v>0</v>
      </c>
      <c r="M489" s="12">
        <f>M65+M108+M151+M194+M237+M280+M323+M366+M409+M452</f>
        <v>0</v>
      </c>
      <c r="N489" s="12">
        <f>N65+N108+N151+N194+N237+N280+N323+N366+N409+N452</f>
        <v>0</v>
      </c>
      <c r="O489" s="12">
        <f>O65+O108+O151+O194+O237+O280+O323+O366+O409+O452</f>
        <v>0</v>
      </c>
      <c r="P489" s="12">
        <f>P65+P108+P151+P194+P237+P280+P323+P366+P409+P452</f>
        <v>0</v>
      </c>
      <c r="Q489" s="12">
        <f>Q65+Q108+Q151+Q194+Q237+Q280+Q323+Q366+Q409+Q452</f>
        <v>0</v>
      </c>
      <c r="R489" s="12">
        <f>R65+R108+R151+R194+R237+R280+R323+R366+R409+R452</f>
        <v>0</v>
      </c>
      <c r="S489" s="12">
        <f>S65+S108+S151+S194+S237+S280+S323+S366+S409+S452</f>
        <v>0</v>
      </c>
      <c r="T489" s="12">
        <f>T65+T108+T151+T194+T237+T280+T323+T366+T409+T452</f>
        <v>0</v>
      </c>
      <c r="U489" s="12">
        <f>U65+U108+U151+U194+U237+U280+U323+U366+U409+U452</f>
        <v>0</v>
      </c>
      <c r="V489" s="12">
        <f>V65+V108+V151+V194+V237+V280+V323+V366+V409+V452</f>
        <v>0</v>
      </c>
      <c r="W489" s="12">
        <f>W65+W108+W151+W194+W237+W280+W323+W366+W409+W452</f>
        <v>0</v>
      </c>
      <c r="X489" s="24">
        <f>X65+X108+X151+X194+X237+X280+X323+X366+X409+X452</f>
        <v>0</v>
      </c>
      <c r="Y489" s="12">
        <f>Y65+Y108+Y151+Y194+Y237+Y280+Y323+Y366+Y409+Y452</f>
        <v>0</v>
      </c>
      <c r="Z489" s="12">
        <f>Z65+Z108+Z151+Z194+Z237+Z280+Z323+Z366+Z409+Z452</f>
        <v>0</v>
      </c>
      <c r="AA489" s="12">
        <f>AA65+AA108+AA151+AA194+AA237+AA280+AA323+AA366+AA409+AA452</f>
        <v>0</v>
      </c>
      <c r="AB489" s="12">
        <f>AB65+AB108+AB151+AB194+AB237+AB280+AB323+AB366+AB409+AB452</f>
        <v>0</v>
      </c>
      <c r="AC489" s="12">
        <f>AC65+AC108+AC151+AC194+AC237+AC280+AC323+AC366+AC409+AC452</f>
        <v>0</v>
      </c>
      <c r="AD489" s="12">
        <f>AD65+AD108+AD151+AD194+AD237+AD280+AD323+AD366+AD409+AD452</f>
        <v>0</v>
      </c>
      <c r="AE489" s="12">
        <f>AE65+AE108+AE151+AE194+AE237+AE280+AE323+AE366+AE409+AE452</f>
        <v>0</v>
      </c>
      <c r="AF489" s="12">
        <f>AF65+AF108+AF151+AF194+AF237+AF280+AF323+AF366+AF409+AF452</f>
        <v>0</v>
      </c>
      <c r="AG489" s="12">
        <f>AG65+AG108+AG151+AG194+AG237+AG280+AG323+AG366+AG409+AG452</f>
        <v>0</v>
      </c>
      <c r="AH489" s="12">
        <f>AH65+AH108+AH151+AH194+AH237+AH280+AH323+AH366+AH409+AH452</f>
        <v>0</v>
      </c>
      <c r="AI489" s="10" t="s">
        <v>58</v>
      </c>
    </row>
    <row r="490" spans="2:35" x14ac:dyDescent="0.25">
      <c r="B490" s="12">
        <f>B66+B109+B152+B195+B238+B281+B324+B367+B410+B453</f>
        <v>0</v>
      </c>
      <c r="C490" s="12">
        <f>C66+C109+C152+C195+C238+C281+C324+C367+C410+C453</f>
        <v>0</v>
      </c>
      <c r="D490" s="12">
        <f>D66+D109+D152+D195+D238+D281+D324+D367+D410+D453</f>
        <v>0</v>
      </c>
      <c r="E490" s="12">
        <f>E66+E109+E152+E195+E238+E281+E324+E367+E410+E453</f>
        <v>0</v>
      </c>
      <c r="F490" s="12">
        <f>F66+F109+F152+F195+F238+F281+F324+F367+F410+F453</f>
        <v>0</v>
      </c>
      <c r="G490" s="12">
        <f>G66+G109+G152+G195+G238+G281+G324+G367+G410+G453</f>
        <v>0</v>
      </c>
      <c r="H490" s="12">
        <f>H66+H109+H152+H195+H238+H281+H324+H367+H410+H453</f>
        <v>0</v>
      </c>
      <c r="I490" s="12">
        <f>I66+I109+I152+I195+I238+I281+I324+I367+I410+I453</f>
        <v>0</v>
      </c>
      <c r="J490" s="12">
        <f>J66+J109+J152+J195+J238+J281+J324+J367+J410+J453</f>
        <v>0</v>
      </c>
      <c r="K490" s="12">
        <f>K66+K109+K152+K195+K238+K281+K324+K367+K410+K453</f>
        <v>0</v>
      </c>
      <c r="L490" s="12">
        <f>L66+L109+L152+L195+L238+L281+L324+L367+L410+L453</f>
        <v>0</v>
      </c>
      <c r="M490" s="12">
        <f>M66+M109+M152+M195+M238+M281+M324+M367+M410+M453</f>
        <v>0</v>
      </c>
      <c r="N490" s="12">
        <f>N66+N109+N152+N195+N238+N281+N324+N367+N410+N453</f>
        <v>0</v>
      </c>
      <c r="O490" s="12">
        <f>O66+O109+O152+O195+O238+O281+O324+O367+O410+O453</f>
        <v>0</v>
      </c>
      <c r="P490" s="12">
        <f>P66+P109+P152+P195+P238+P281+P324+P367+P410+P453</f>
        <v>0</v>
      </c>
      <c r="Q490" s="12">
        <f>Q66+Q109+Q152+Q195+Q238+Q281+Q324+Q367+Q410+Q453</f>
        <v>0</v>
      </c>
      <c r="R490" s="12">
        <f>R66+R109+R152+R195+R238+R281+R324+R367+R410+R453</f>
        <v>0</v>
      </c>
      <c r="S490" s="12">
        <f>S66+S109+S152+S195+S238+S281+S324+S367+S410+S453</f>
        <v>0</v>
      </c>
      <c r="T490" s="12">
        <f>T66+T109+T152+T195+T238+T281+T324+T367+T410+T453</f>
        <v>0</v>
      </c>
      <c r="U490" s="12">
        <f>U66+U109+U152+U195+U238+U281+U324+U367+U410+U453</f>
        <v>0</v>
      </c>
      <c r="V490" s="12">
        <f>V66+V109+V152+V195+V238+V281+V324+V367+V410+V453</f>
        <v>0</v>
      </c>
      <c r="W490" s="12">
        <f>W66+W109+W152+W195+W238+W281+W324+W367+W410+W453</f>
        <v>0</v>
      </c>
      <c r="X490" s="12">
        <f>X66+X109+X152+X195+X238+X281+X324+X367+X410+X453</f>
        <v>0</v>
      </c>
      <c r="Y490" s="24">
        <f>Y66+Y109+Y152+Y195+Y238+Y281+Y324+Y367+Y410+Y453</f>
        <v>0</v>
      </c>
      <c r="Z490" s="12">
        <f>Z66+Z109+Z152+Z195+Z238+Z281+Z324+Z367+Z410+Z453</f>
        <v>0</v>
      </c>
      <c r="AA490" s="12">
        <f>AA66+AA109+AA152+AA195+AA238+AA281+AA324+AA367+AA410+AA453</f>
        <v>0</v>
      </c>
      <c r="AB490" s="12">
        <f>AB66+AB109+AB152+AB195+AB238+AB281+AB324+AB367+AB410+AB453</f>
        <v>0</v>
      </c>
      <c r="AC490" s="12">
        <f>AC66+AC109+AC152+AC195+AC238+AC281+AC324+AC367+AC410+AC453</f>
        <v>0</v>
      </c>
      <c r="AD490" s="12">
        <f>AD66+AD109+AD152+AD195+AD238+AD281+AD324+AD367+AD410+AD453</f>
        <v>0</v>
      </c>
      <c r="AE490" s="12">
        <f>AE66+AE109+AE152+AE195+AE238+AE281+AE324+AE367+AE410+AE453</f>
        <v>0</v>
      </c>
      <c r="AF490" s="12">
        <f>AF66+AF109+AF152+AF195+AF238+AF281+AF324+AF367+AF410+AF453</f>
        <v>0</v>
      </c>
      <c r="AG490" s="12">
        <f>AG66+AG109+AG152+AG195+AG238+AG281+AG324+AG367+AG410+AG453</f>
        <v>0</v>
      </c>
      <c r="AH490" s="12">
        <f>AH66+AH109+AH152+AH195+AH238+AH281+AH324+AH367+AH410+AH453</f>
        <v>0</v>
      </c>
      <c r="AI490" s="10" t="s">
        <v>59</v>
      </c>
    </row>
    <row r="491" spans="2:35" x14ac:dyDescent="0.25">
      <c r="B491" s="12">
        <f>B67+B110+B153+B196+B239+B282+B325+B368+B411+B454</f>
        <v>0</v>
      </c>
      <c r="C491" s="12">
        <f>C67+C110+C153+C196+C239+C282+C325+C368+C411+C454</f>
        <v>0</v>
      </c>
      <c r="D491" s="12">
        <f>D67+D110+D153+D196+D239+D282+D325+D368+D411+D454</f>
        <v>0</v>
      </c>
      <c r="E491" s="12">
        <f>E67+E110+E153+E196+E239+E282+E325+E368+E411+E454</f>
        <v>0</v>
      </c>
      <c r="F491" s="12">
        <f>F67+F110+F153+F196+F239+F282+F325+F368+F411+F454</f>
        <v>0</v>
      </c>
      <c r="G491" s="12">
        <f>G67+G110+G153+G196+G239+G282+G325+G368+G411+G454</f>
        <v>0</v>
      </c>
      <c r="H491" s="12">
        <f>H67+H110+H153+H196+H239+H282+H325+H368+H411+H454</f>
        <v>0</v>
      </c>
      <c r="I491" s="12">
        <f>I67+I110+I153+I196+I239+I282+I325+I368+I411+I454</f>
        <v>0</v>
      </c>
      <c r="J491" s="12">
        <f>J67+J110+J153+J196+J239+J282+J325+J368+J411+J454</f>
        <v>0</v>
      </c>
      <c r="K491" s="12">
        <f>K67+K110+K153+K196+K239+K282+K325+K368+K411+K454</f>
        <v>0</v>
      </c>
      <c r="L491" s="12">
        <f>L67+L110+L153+L196+L239+L282+L325+L368+L411+L454</f>
        <v>0</v>
      </c>
      <c r="M491" s="12">
        <f>M67+M110+M153+M196+M239+M282+M325+M368+M411+M454</f>
        <v>0</v>
      </c>
      <c r="N491" s="12">
        <f>N67+N110+N153+N196+N239+N282+N325+N368+N411+N454</f>
        <v>0</v>
      </c>
      <c r="O491" s="12">
        <f>O67+O110+O153+O196+O239+O282+O325+O368+O411+O454</f>
        <v>0</v>
      </c>
      <c r="P491" s="12">
        <f>P67+P110+P153+P196+P239+P282+P325+P368+P411+P454</f>
        <v>0</v>
      </c>
      <c r="Q491" s="12">
        <f>Q67+Q110+Q153+Q196+Q239+Q282+Q325+Q368+Q411+Q454</f>
        <v>0</v>
      </c>
      <c r="R491" s="12">
        <f>R67+R110+R153+R196+R239+R282+R325+R368+R411+R454</f>
        <v>0</v>
      </c>
      <c r="S491" s="12">
        <f>S67+S110+S153+S196+S239+S282+S325+S368+S411+S454</f>
        <v>0</v>
      </c>
      <c r="T491" s="12">
        <f>T67+T110+T153+T196+T239+T282+T325+T368+T411+T454</f>
        <v>0</v>
      </c>
      <c r="U491" s="12">
        <f>U67+U110+U153+U196+U239+U282+U325+U368+U411+U454</f>
        <v>0</v>
      </c>
      <c r="V491" s="12">
        <f>V67+V110+V153+V196+V239+V282+V325+V368+V411+V454</f>
        <v>0</v>
      </c>
      <c r="W491" s="12">
        <f>W67+W110+W153+W196+W239+W282+W325+W368+W411+W454</f>
        <v>0</v>
      </c>
      <c r="X491" s="12">
        <f>X67+X110+X153+X196+X239+X282+X325+X368+X411+X454</f>
        <v>0</v>
      </c>
      <c r="Y491" s="12">
        <f>Y67+Y110+Y153+Y196+Y239+Y282+Y325+Y368+Y411+Y454</f>
        <v>0</v>
      </c>
      <c r="Z491" s="24">
        <f>Z67+Z110+Z153+Z196+Z239+Z282+Z325+Z368+Z411+Z454</f>
        <v>0</v>
      </c>
      <c r="AA491" s="12">
        <f>AA67+AA110+AA153+AA196+AA239+AA282+AA325+AA368+AA411+AA454</f>
        <v>0</v>
      </c>
      <c r="AB491" s="12">
        <f>AB67+AB110+AB153+AB196+AB239+AB282+AB325+AB368+AB411+AB454</f>
        <v>0</v>
      </c>
      <c r="AC491" s="12">
        <f>AC67+AC110+AC153+AC196+AC239+AC282+AC325+AC368+AC411+AC454</f>
        <v>0</v>
      </c>
      <c r="AD491" s="12">
        <f>AD67+AD110+AD153+AD196+AD239+AD282+AD325+AD368+AD411+AD454</f>
        <v>0</v>
      </c>
      <c r="AE491" s="12">
        <f>AE67+AE110+AE153+AE196+AE239+AE282+AE325+AE368+AE411+AE454</f>
        <v>0</v>
      </c>
      <c r="AF491" s="12">
        <f>AF67+AF110+AF153+AF196+AF239+AF282+AF325+AF368+AF411+AF454</f>
        <v>0</v>
      </c>
      <c r="AG491" s="12">
        <f>AG67+AG110+AG153+AG196+AG239+AG282+AG325+AG368+AG411+AG454</f>
        <v>0</v>
      </c>
      <c r="AH491" s="12">
        <f>AH67+AH110+AH153+AH196+AH239+AH282+AH325+AH368+AH411+AH454</f>
        <v>0</v>
      </c>
      <c r="AI491" s="10" t="s">
        <v>60</v>
      </c>
    </row>
    <row r="492" spans="2:35" x14ac:dyDescent="0.25">
      <c r="B492" s="12">
        <f>B68+B111+B154+B197+B240+B283+B326+B369+B412+B455</f>
        <v>0</v>
      </c>
      <c r="C492" s="12">
        <f>C68+C111+C154+C197+C240+C283+C326+C369+C412+C455</f>
        <v>0</v>
      </c>
      <c r="D492" s="12">
        <f>D68+D111+D154+D197+D240+D283+D326+D369+D412+D455</f>
        <v>0</v>
      </c>
      <c r="E492" s="12">
        <f>E68+E111+E154+E197+E240+E283+E326+E369+E412+E455</f>
        <v>0</v>
      </c>
      <c r="F492" s="12">
        <f>F68+F111+F154+F197+F240+F283+F326+F369+F412+F455</f>
        <v>0</v>
      </c>
      <c r="G492" s="12">
        <f>G68+G111+G154+G197+G240+G283+G326+G369+G412+G455</f>
        <v>0</v>
      </c>
      <c r="H492" s="12">
        <f>H68+H111+H154+H197+H240+H283+H326+H369+H412+H455</f>
        <v>0</v>
      </c>
      <c r="I492" s="12">
        <f>I68+I111+I154+I197+I240+I283+I326+I369+I412+I455</f>
        <v>0</v>
      </c>
      <c r="J492" s="12">
        <f>J68+J111+J154+J197+J240+J283+J326+J369+J412+J455</f>
        <v>0</v>
      </c>
      <c r="K492" s="12">
        <f>K68+K111+K154+K197+K240+K283+K326+K369+K412+K455</f>
        <v>0</v>
      </c>
      <c r="L492" s="12">
        <f>L68+L111+L154+L197+L240+L283+L326+L369+L412+L455</f>
        <v>0</v>
      </c>
      <c r="M492" s="12">
        <f>M68+M111+M154+M197+M240+M283+M326+M369+M412+M455</f>
        <v>0</v>
      </c>
      <c r="N492" s="12">
        <f>N68+N111+N154+N197+N240+N283+N326+N369+N412+N455</f>
        <v>0</v>
      </c>
      <c r="O492" s="12">
        <f>O68+O111+O154+O197+O240+O283+O326+O369+O412+O455</f>
        <v>0</v>
      </c>
      <c r="P492" s="12">
        <f>P68+P111+P154+P197+P240+P283+P326+P369+P412+P455</f>
        <v>0</v>
      </c>
      <c r="Q492" s="12">
        <f>Q68+Q111+Q154+Q197+Q240+Q283+Q326+Q369+Q412+Q455</f>
        <v>0</v>
      </c>
      <c r="R492" s="12">
        <f>R68+R111+R154+R197+R240+R283+R326+R369+R412+R455</f>
        <v>0</v>
      </c>
      <c r="S492" s="12">
        <f>S68+S111+S154+S197+S240+S283+S326+S369+S412+S455</f>
        <v>0</v>
      </c>
      <c r="T492" s="12">
        <f>T68+T111+T154+T197+T240+T283+T326+T369+T412+T455</f>
        <v>0</v>
      </c>
      <c r="U492" s="12">
        <f>U68+U111+U154+U197+U240+U283+U326+U369+U412+U455</f>
        <v>0</v>
      </c>
      <c r="V492" s="12">
        <f>V68+V111+V154+V197+V240+V283+V326+V369+V412+V455</f>
        <v>0</v>
      </c>
      <c r="W492" s="12">
        <f>W68+W111+W154+W197+W240+W283+W326+W369+W412+W455</f>
        <v>0</v>
      </c>
      <c r="X492" s="12">
        <f>X68+X111+X154+X197+X240+X283+X326+X369+X412+X455</f>
        <v>0</v>
      </c>
      <c r="Y492" s="12">
        <f>Y68+Y111+Y154+Y197+Y240+Y283+Y326+Y369+Y412+Y455</f>
        <v>0</v>
      </c>
      <c r="Z492" s="12">
        <f>Z68+Z111+Z154+Z197+Z240+Z283+Z326+Z369+Z412+Z455</f>
        <v>0</v>
      </c>
      <c r="AA492" s="24">
        <f>AA68+AA111+AA154+AA197+AA240+AA283+AA326+AA369+AA412+AA455</f>
        <v>0</v>
      </c>
      <c r="AB492" s="12">
        <f>AB68+AB111+AB154+AB197+AB240+AB283+AB326+AB369+AB412+AB455</f>
        <v>0</v>
      </c>
      <c r="AC492" s="12">
        <f>AC68+AC111+AC154+AC197+AC240+AC283+AC326+AC369+AC412+AC455</f>
        <v>0</v>
      </c>
      <c r="AD492" s="12">
        <f>AD68+AD111+AD154+AD197+AD240+AD283+AD326+AD369+AD412+AD455</f>
        <v>0</v>
      </c>
      <c r="AE492" s="12">
        <f>AE68+AE111+AE154+AE197+AE240+AE283+AE326+AE369+AE412+AE455</f>
        <v>0</v>
      </c>
      <c r="AF492" s="12">
        <f>AF68+AF111+AF154+AF197+AF240+AF283+AF326+AF369+AF412+AF455</f>
        <v>0</v>
      </c>
      <c r="AG492" s="12">
        <f>AG68+AG111+AG154+AG197+AG240+AG283+AG326+AG369+AG412+AG455</f>
        <v>0</v>
      </c>
      <c r="AH492" s="12">
        <f>AH68+AH111+AH154+AH197+AH240+AH283+AH326+AH369+AH412+AH455</f>
        <v>0</v>
      </c>
      <c r="AI492" s="10" t="s">
        <v>61</v>
      </c>
    </row>
    <row r="493" spans="2:35" x14ac:dyDescent="0.25">
      <c r="B493" s="12">
        <f>B69+B112+B155+B198+B241+B284+B327+B370+B413+B456</f>
        <v>0</v>
      </c>
      <c r="C493" s="12">
        <f>C69+C112+C155+C198+C241+C284+C327+C370+C413+C456</f>
        <v>0</v>
      </c>
      <c r="D493" s="12">
        <f>D69+D112+D155+D198+D241+D284+D327+D370+D413+D456</f>
        <v>0</v>
      </c>
      <c r="E493" s="12">
        <f>E69+E112+E155+E198+E241+E284+E327+E370+E413+E456</f>
        <v>0</v>
      </c>
      <c r="F493" s="12">
        <f>F69+F112+F155+F198+F241+F284+F327+F370+F413+F456</f>
        <v>0</v>
      </c>
      <c r="G493" s="12">
        <f>G69+G112+G155+G198+G241+G284+G327+G370+G413+G456</f>
        <v>0</v>
      </c>
      <c r="H493" s="12">
        <f>H69+H112+H155+H198+H241+H284+H327+H370+H413+H456</f>
        <v>0</v>
      </c>
      <c r="I493" s="12">
        <f>I69+I112+I155+I198+I241+I284+I327+I370+I413+I456</f>
        <v>0</v>
      </c>
      <c r="J493" s="12">
        <f>J69+J112+J155+J198+J241+J284+J327+J370+J413+J456</f>
        <v>0</v>
      </c>
      <c r="K493" s="12">
        <f>K69+K112+K155+K198+K241+K284+K327+K370+K413+K456</f>
        <v>0</v>
      </c>
      <c r="L493" s="12">
        <f>L69+L112+L155+L198+L241+L284+L327+L370+L413+L456</f>
        <v>0</v>
      </c>
      <c r="M493" s="12">
        <f>M69+M112+M155+M198+M241+M284+M327+M370+M413+M456</f>
        <v>0</v>
      </c>
      <c r="N493" s="12">
        <f>N69+N112+N155+N198+N241+N284+N327+N370+N413+N456</f>
        <v>0</v>
      </c>
      <c r="O493" s="12">
        <f>O69+O112+O155+O198+O241+O284+O327+O370+O413+O456</f>
        <v>0</v>
      </c>
      <c r="P493" s="12">
        <f>P69+P112+P155+P198+P241+P284+P327+P370+P413+P456</f>
        <v>0</v>
      </c>
      <c r="Q493" s="12">
        <f>Q69+Q112+Q155+Q198+Q241+Q284+Q327+Q370+Q413+Q456</f>
        <v>0</v>
      </c>
      <c r="R493" s="12">
        <f>R69+R112+R155+R198+R241+R284+R327+R370+R413+R456</f>
        <v>0</v>
      </c>
      <c r="S493" s="12">
        <f>S69+S112+S155+S198+S241+S284+S327+S370+S413+S456</f>
        <v>0</v>
      </c>
      <c r="T493" s="12">
        <f>T69+T112+T155+T198+T241+T284+T327+T370+T413+T456</f>
        <v>0</v>
      </c>
      <c r="U493" s="12">
        <f>U69+U112+U155+U198+U241+U284+U327+U370+U413+U456</f>
        <v>0</v>
      </c>
      <c r="V493" s="12">
        <f>V69+V112+V155+V198+V241+V284+V327+V370+V413+V456</f>
        <v>0</v>
      </c>
      <c r="W493" s="12">
        <f>W69+W112+W155+W198+W241+W284+W327+W370+W413+W456</f>
        <v>0</v>
      </c>
      <c r="X493" s="12">
        <f>X69+X112+X155+X198+X241+X284+X327+X370+X413+X456</f>
        <v>0</v>
      </c>
      <c r="Y493" s="12">
        <f>Y69+Y112+Y155+Y198+Y241+Y284+Y327+Y370+Y413+Y456</f>
        <v>0</v>
      </c>
      <c r="Z493" s="12">
        <f>Z69+Z112+Z155+Z198+Z241+Z284+Z327+Z370+Z413+Z456</f>
        <v>0</v>
      </c>
      <c r="AA493" s="12">
        <f>AA69+AA112+AA155+AA198+AA241+AA284+AA327+AA370+AA413+AA456</f>
        <v>0</v>
      </c>
      <c r="AB493" s="24">
        <f>AB69+AB112+AB155+AB198+AB241+AB284+AB327+AB370+AB413+AB456</f>
        <v>0</v>
      </c>
      <c r="AC493" s="12">
        <f>AC69+AC112+AC155+AC198+AC241+AC284+AC327+AC370+AC413+AC456</f>
        <v>0</v>
      </c>
      <c r="AD493" s="12">
        <f>AD69+AD112+AD155+AD198+AD241+AD284+AD327+AD370+AD413+AD456</f>
        <v>0</v>
      </c>
      <c r="AE493" s="12">
        <f>AE69+AE112+AE155+AE198+AE241+AE284+AE327+AE370+AE413+AE456</f>
        <v>0</v>
      </c>
      <c r="AF493" s="12">
        <f>AF69+AF112+AF155+AF198+AF241+AF284+AF327+AF370+AF413+AF456</f>
        <v>0</v>
      </c>
      <c r="AG493" s="12">
        <f>AG69+AG112+AG155+AG198+AG241+AG284+AG327+AG370+AG413+AG456</f>
        <v>0</v>
      </c>
      <c r="AH493" s="12">
        <f>AH69+AH112+AH155+AH198+AH241+AH284+AH327+AH370+AH413+AH456</f>
        <v>0</v>
      </c>
      <c r="AI493" s="10" t="s">
        <v>62</v>
      </c>
    </row>
    <row r="494" spans="2:35" x14ac:dyDescent="0.25">
      <c r="B494" s="12">
        <f>B70+B113+B156+B199+B242+B285+B328+B371+B414+B457</f>
        <v>0</v>
      </c>
      <c r="C494" s="12">
        <f>C70+C113+C156+C199+C242+C285+C328+C371+C414+C457</f>
        <v>0</v>
      </c>
      <c r="D494" s="12">
        <f>D70+D113+D156+D199+D242+D285+D328+D371+D414+D457</f>
        <v>0</v>
      </c>
      <c r="E494" s="12">
        <f>E70+E113+E156+E199+E242+E285+E328+E371+E414+E457</f>
        <v>0</v>
      </c>
      <c r="F494" s="12">
        <f>F70+F113+F156+F199+F242+F285+F328+F371+F414+F457</f>
        <v>0</v>
      </c>
      <c r="G494" s="12">
        <f>G70+G113+G156+G199+G242+G285+G328+G371+G414+G457</f>
        <v>0</v>
      </c>
      <c r="H494" s="12">
        <f>H70+H113+H156+H199+H242+H285+H328+H371+H414+H457</f>
        <v>0</v>
      </c>
      <c r="I494" s="12">
        <f>I70+I113+I156+I199+I242+I285+I328+I371+I414+I457</f>
        <v>0</v>
      </c>
      <c r="J494" s="12">
        <f>J70+J113+J156+J199+J242+J285+J328+J371+J414+J457</f>
        <v>0</v>
      </c>
      <c r="K494" s="12">
        <f>K70+K113+K156+K199+K242+K285+K328+K371+K414+K457</f>
        <v>0</v>
      </c>
      <c r="L494" s="12">
        <f>L70+L113+L156+L199+L242+L285+L328+L371+L414+L457</f>
        <v>0</v>
      </c>
      <c r="M494" s="12">
        <f>M70+M113+M156+M199+M242+M285+M328+M371+M414+M457</f>
        <v>0</v>
      </c>
      <c r="N494" s="12">
        <f>N70+N113+N156+N199+N242+N285+N328+N371+N414+N457</f>
        <v>0</v>
      </c>
      <c r="O494" s="12">
        <f>O70+O113+O156+O199+O242+O285+O328+O371+O414+O457</f>
        <v>0</v>
      </c>
      <c r="P494" s="12">
        <f>P70+P113+P156+P199+P242+P285+P328+P371+P414+P457</f>
        <v>0</v>
      </c>
      <c r="Q494" s="12">
        <f>Q70+Q113+Q156+Q199+Q242+Q285+Q328+Q371+Q414+Q457</f>
        <v>0</v>
      </c>
      <c r="R494" s="12">
        <f>R70+R113+R156+R199+R242+R285+R328+R371+R414+R457</f>
        <v>0</v>
      </c>
      <c r="S494" s="12">
        <f>S70+S113+S156+S199+S242+S285+S328+S371+S414+S457</f>
        <v>0</v>
      </c>
      <c r="T494" s="12">
        <f>T70+T113+T156+T199+T242+T285+T328+T371+T414+T457</f>
        <v>0</v>
      </c>
      <c r="U494" s="12">
        <f>U70+U113+U156+U199+U242+U285+U328+U371+U414+U457</f>
        <v>0</v>
      </c>
      <c r="V494" s="12">
        <f>V70+V113+V156+V199+V242+V285+V328+V371+V414+V457</f>
        <v>0</v>
      </c>
      <c r="W494" s="12">
        <f>W70+W113+W156+W199+W242+W285+W328+W371+W414+W457</f>
        <v>0</v>
      </c>
      <c r="X494" s="12">
        <f>X70+X113+X156+X199+X242+X285+X328+X371+X414+X457</f>
        <v>0</v>
      </c>
      <c r="Y494" s="12">
        <f>Y70+Y113+Y156+Y199+Y242+Y285+Y328+Y371+Y414+Y457</f>
        <v>0</v>
      </c>
      <c r="Z494" s="12">
        <f>Z70+Z113+Z156+Z199+Z242+Z285+Z328+Z371+Z414+Z457</f>
        <v>0</v>
      </c>
      <c r="AA494" s="12">
        <f>AA70+AA113+AA156+AA199+AA242+AA285+AA328+AA371+AA414+AA457</f>
        <v>0</v>
      </c>
      <c r="AB494" s="12">
        <f>AB70+AB113+AB156+AB199+AB242+AB285+AB328+AB371+AB414+AB457</f>
        <v>0</v>
      </c>
      <c r="AC494" s="24">
        <f>AC70+AC113+AC156+AC199+AC242+AC285+AC328+AC371+AC414+AC457</f>
        <v>0</v>
      </c>
      <c r="AD494" s="12">
        <f>AD70+AD113+AD156+AD199+AD242+AD285+AD328+AD371+AD414+AD457</f>
        <v>0</v>
      </c>
      <c r="AE494" s="12">
        <f>AE70+AE113+AE156+AE199+AE242+AE285+AE328+AE371+AE414+AE457</f>
        <v>0</v>
      </c>
      <c r="AF494" s="12">
        <f>AF70+AF113+AF156+AF199+AF242+AF285+AF328+AF371+AF414+AF457</f>
        <v>0</v>
      </c>
      <c r="AG494" s="12">
        <f>AG70+AG113+AG156+AG199+AG242+AG285+AG328+AG371+AG414+AG457</f>
        <v>0</v>
      </c>
      <c r="AH494" s="12">
        <f>AH70+AH113+AH156+AH199+AH242+AH285+AH328+AH371+AH414+AH457</f>
        <v>0</v>
      </c>
      <c r="AI494" s="10" t="s">
        <v>63</v>
      </c>
    </row>
    <row r="495" spans="2:35" x14ac:dyDescent="0.25">
      <c r="B495" s="12">
        <f>B71+B114+B157+B200+B243+B286+B329+B372+B415+B458</f>
        <v>0</v>
      </c>
      <c r="C495" s="12">
        <f>C71+C114+C157+C200+C243+C286+C329+C372+C415+C458</f>
        <v>0</v>
      </c>
      <c r="D495" s="12">
        <f>D71+D114+D157+D200+D243+D286+D329+D372+D415+D458</f>
        <v>0</v>
      </c>
      <c r="E495" s="12">
        <f>E71+E114+E157+E200+E243+E286+E329+E372+E415+E458</f>
        <v>0</v>
      </c>
      <c r="F495" s="12">
        <f>F71+F114+F157+F200+F243+F286+F329+F372+F415+F458</f>
        <v>0</v>
      </c>
      <c r="G495" s="12">
        <f>G71+G114+G157+G200+G243+G286+G329+G372+G415+G458</f>
        <v>0</v>
      </c>
      <c r="H495" s="12">
        <f>H71+H114+H157+H200+H243+H286+H329+H372+H415+H458</f>
        <v>0</v>
      </c>
      <c r="I495" s="12">
        <f>I71+I114+I157+I200+I243+I286+I329+I372+I415+I458</f>
        <v>0</v>
      </c>
      <c r="J495" s="12">
        <f>J71+J114+J157+J200+J243+J286+J329+J372+J415+J458</f>
        <v>0</v>
      </c>
      <c r="K495" s="12">
        <f>K71+K114+K157+K200+K243+K286+K329+K372+K415+K458</f>
        <v>0</v>
      </c>
      <c r="L495" s="12">
        <f>L71+L114+L157+L200+L243+L286+L329+L372+L415+L458</f>
        <v>0</v>
      </c>
      <c r="M495" s="12">
        <f>M71+M114+M157+M200+M243+M286+M329+M372+M415+M458</f>
        <v>0</v>
      </c>
      <c r="N495" s="12">
        <f>N71+N114+N157+N200+N243+N286+N329+N372+N415+N458</f>
        <v>0</v>
      </c>
      <c r="O495" s="12">
        <f>O71+O114+O157+O200+O243+O286+O329+O372+O415+O458</f>
        <v>0</v>
      </c>
      <c r="P495" s="12">
        <f>P71+P114+P157+P200+P243+P286+P329+P372+P415+P458</f>
        <v>0</v>
      </c>
      <c r="Q495" s="12">
        <f>Q71+Q114+Q157+Q200+Q243+Q286+Q329+Q372+Q415+Q458</f>
        <v>0</v>
      </c>
      <c r="R495" s="12">
        <f>R71+R114+R157+R200+R243+R286+R329+R372+R415+R458</f>
        <v>0</v>
      </c>
      <c r="S495" s="12">
        <f>S71+S114+S157+S200+S243+S286+S329+S372+S415+S458</f>
        <v>0</v>
      </c>
      <c r="T495" s="12">
        <f>T71+T114+T157+T200+T243+T286+T329+T372+T415+T458</f>
        <v>0</v>
      </c>
      <c r="U495" s="12">
        <f>U71+U114+U157+U200+U243+U286+U329+U372+U415+U458</f>
        <v>0</v>
      </c>
      <c r="V495" s="12">
        <f>V71+V114+V157+V200+V243+V286+V329+V372+V415+V458</f>
        <v>0</v>
      </c>
      <c r="W495" s="12">
        <f>W71+W114+W157+W200+W243+W286+W329+W372+W415+W458</f>
        <v>0</v>
      </c>
      <c r="X495" s="12">
        <f>X71+X114+X157+X200+X243+X286+X329+X372+X415+X458</f>
        <v>0</v>
      </c>
      <c r="Y495" s="12">
        <f>Y71+Y114+Y157+Y200+Y243+Y286+Y329+Y372+Y415+Y458</f>
        <v>0</v>
      </c>
      <c r="Z495" s="12">
        <f>Z71+Z114+Z157+Z200+Z243+Z286+Z329+Z372+Z415+Z458</f>
        <v>0</v>
      </c>
      <c r="AA495" s="12">
        <f>AA71+AA114+AA157+AA200+AA243+AA286+AA329+AA372+AA415+AA458</f>
        <v>0</v>
      </c>
      <c r="AB495" s="12">
        <f>AB71+AB114+AB157+AB200+AB243+AB286+AB329+AB372+AB415+AB458</f>
        <v>0</v>
      </c>
      <c r="AC495" s="12">
        <f>AC71+AC114+AC157+AC200+AC243+AC286+AC329+AC372+AC415+AC458</f>
        <v>0</v>
      </c>
      <c r="AD495" s="24">
        <f>AD71+AD114+AD157+AD200+AD243+AD286+AD329+AD372+AD415+AD458</f>
        <v>0</v>
      </c>
      <c r="AE495" s="12">
        <f>AE71+AE114+AE157+AE200+AE243+AE286+AE329+AE372+AE415+AE458</f>
        <v>0</v>
      </c>
      <c r="AF495" s="12">
        <f>AF71+AF114+AF157+AF200+AF243+AF286+AF329+AF372+AF415+AF458</f>
        <v>0</v>
      </c>
      <c r="AG495" s="12">
        <f>AG71+AG114+AG157+AG200+AG243+AG286+AG329+AG372+AG415+AG458</f>
        <v>0</v>
      </c>
      <c r="AH495" s="12">
        <f>AH71+AH114+AH157+AH200+AH243+AH286+AH329+AH372+AH415+AH458</f>
        <v>0</v>
      </c>
      <c r="AI495" s="10" t="s">
        <v>64</v>
      </c>
    </row>
    <row r="496" spans="2:35" x14ac:dyDescent="0.25">
      <c r="B496" s="12">
        <f>B72+B115+B158+B201+B244+B287+B330+B373+B416+B459</f>
        <v>0</v>
      </c>
      <c r="C496" s="12">
        <f>C72+C115+C158+C201+C244+C287+C330+C373+C416+C459</f>
        <v>0</v>
      </c>
      <c r="D496" s="12">
        <f>D72+D115+D158+D201+D244+D287+D330+D373+D416+D459</f>
        <v>0</v>
      </c>
      <c r="E496" s="12">
        <f>E72+E115+E158+E201+E244+E287+E330+E373+E416+E459</f>
        <v>0</v>
      </c>
      <c r="F496" s="12">
        <f>F72+F115+F158+F201+F244+F287+F330+F373+F416+F459</f>
        <v>0</v>
      </c>
      <c r="G496" s="12">
        <f>G72+G115+G158+G201+G244+G287+G330+G373+G416+G459</f>
        <v>0</v>
      </c>
      <c r="H496" s="12">
        <f>H72+H115+H158+H201+H244+H287+H330+H373+H416+H459</f>
        <v>0</v>
      </c>
      <c r="I496" s="12">
        <f>I72+I115+I158+I201+I244+I287+I330+I373+I416+I459</f>
        <v>0</v>
      </c>
      <c r="J496" s="12">
        <f>J72+J115+J158+J201+J244+J287+J330+J373+J416+J459</f>
        <v>0</v>
      </c>
      <c r="K496" s="12">
        <f>K72+K115+K158+K201+K244+K287+K330+K373+K416+K459</f>
        <v>0</v>
      </c>
      <c r="L496" s="12">
        <f>L72+L115+L158+L201+L244+L287+L330+L373+L416+L459</f>
        <v>0</v>
      </c>
      <c r="M496" s="12">
        <f>M72+M115+M158+M201+M244+M287+M330+M373+M416+M459</f>
        <v>0</v>
      </c>
      <c r="N496" s="12">
        <f>N72+N115+N158+N201+N244+N287+N330+N373+N416+N459</f>
        <v>0</v>
      </c>
      <c r="O496" s="12">
        <f>O72+O115+O158+O201+O244+O287+O330+O373+O416+O459</f>
        <v>0</v>
      </c>
      <c r="P496" s="12">
        <f>P72+P115+P158+P201+P244+P287+P330+P373+P416+P459</f>
        <v>0</v>
      </c>
      <c r="Q496" s="12">
        <f>Q72+Q115+Q158+Q201+Q244+Q287+Q330+Q373+Q416+Q459</f>
        <v>0</v>
      </c>
      <c r="R496" s="12">
        <f>R72+R115+R158+R201+R244+R287+R330+R373+R416+R459</f>
        <v>0</v>
      </c>
      <c r="S496" s="12">
        <f>S72+S115+S158+S201+S244+S287+S330+S373+S416+S459</f>
        <v>0</v>
      </c>
      <c r="T496" s="12">
        <f>T72+T115+T158+T201+T244+T287+T330+T373+T416+T459</f>
        <v>0</v>
      </c>
      <c r="U496" s="12">
        <f>U72+U115+U158+U201+U244+U287+U330+U373+U416+U459</f>
        <v>0</v>
      </c>
      <c r="V496" s="12">
        <f>V72+V115+V158+V201+V244+V287+V330+V373+V416+V459</f>
        <v>0</v>
      </c>
      <c r="W496" s="12">
        <f>W72+W115+W158+W201+W244+W287+W330+W373+W416+W459</f>
        <v>0</v>
      </c>
      <c r="X496" s="12">
        <f>X72+X115+X158+X201+X244+X287+X330+X373+X416+X459</f>
        <v>0</v>
      </c>
      <c r="Y496" s="12">
        <f>Y72+Y115+Y158+Y201+Y244+Y287+Y330+Y373+Y416+Y459</f>
        <v>0</v>
      </c>
      <c r="Z496" s="12">
        <f>Z72+Z115+Z158+Z201+Z244+Z287+Z330+Z373+Z416+Z459</f>
        <v>0</v>
      </c>
      <c r="AA496" s="12">
        <f>AA72+AA115+AA158+AA201+AA244+AA287+AA330+AA373+AA416+AA459</f>
        <v>0</v>
      </c>
      <c r="AB496" s="12">
        <f>AB72+AB115+AB158+AB201+AB244+AB287+AB330+AB373+AB416+AB459</f>
        <v>0</v>
      </c>
      <c r="AC496" s="12">
        <f>AC72+AC115+AC158+AC201+AC244+AC287+AC330+AC373+AC416+AC459</f>
        <v>0</v>
      </c>
      <c r="AD496" s="12">
        <f>AD72+AD115+AD158+AD201+AD244+AD287+AD330+AD373+AD416+AD459</f>
        <v>0</v>
      </c>
      <c r="AE496" s="24">
        <f>AE72+AE115+AE158+AE201+AE244+AE287+AE330+AE373+AE416+AE459</f>
        <v>0</v>
      </c>
      <c r="AF496" s="12">
        <f>AF72+AF115+AF158+AF201+AF244+AF287+AF330+AF373+AF416+AF459</f>
        <v>0</v>
      </c>
      <c r="AG496" s="12">
        <f>AG72+AG115+AG158+AG201+AG244+AG287+AG330+AG373+AG416+AG459</f>
        <v>0</v>
      </c>
      <c r="AH496" s="12">
        <f>AH72+AH115+AH158+AH201+AH244+AH287+AH330+AH373+AH416+AH459</f>
        <v>0</v>
      </c>
      <c r="AI496" s="10" t="s">
        <v>65</v>
      </c>
    </row>
    <row r="497" spans="2:35" x14ac:dyDescent="0.25">
      <c r="B497" s="12">
        <f>B73+B116+B159+B202+B245+B288+B331+B374+B417+B460</f>
        <v>0</v>
      </c>
      <c r="C497" s="12">
        <f>C73+C116+C159+C202+C245+C288+C331+C374+C417+C460</f>
        <v>0</v>
      </c>
      <c r="D497" s="12">
        <f>D73+D116+D159+D202+D245+D288+D331+D374+D417+D460</f>
        <v>0</v>
      </c>
      <c r="E497" s="12">
        <f>E73+E116+E159+E202+E245+E288+E331+E374+E417+E460</f>
        <v>0</v>
      </c>
      <c r="F497" s="12">
        <f>F73+F116+F159+F202+F245+F288+F331+F374+F417+F460</f>
        <v>0</v>
      </c>
      <c r="G497" s="12">
        <f>G73+G116+G159+G202+G245+G288+G331+G374+G417+G460</f>
        <v>0</v>
      </c>
      <c r="H497" s="12">
        <f>H73+H116+H159+H202+H245+H288+H331+H374+H417+H460</f>
        <v>0</v>
      </c>
      <c r="I497" s="12">
        <f>I73+I116+I159+I202+I245+I288+I331+I374+I417+I460</f>
        <v>0</v>
      </c>
      <c r="J497" s="12">
        <f>J73+J116+J159+J202+J245+J288+J331+J374+J417+J460</f>
        <v>0</v>
      </c>
      <c r="K497" s="12">
        <f>K73+K116+K159+K202+K245+K288+K331+K374+K417+K460</f>
        <v>0</v>
      </c>
      <c r="L497" s="12">
        <f>L73+L116+L159+L202+L245+L288+L331+L374+L417+L460</f>
        <v>0</v>
      </c>
      <c r="M497" s="12">
        <f>M73+M116+M159+M202+M245+M288+M331+M374+M417+M460</f>
        <v>0</v>
      </c>
      <c r="N497" s="12">
        <f>N73+N116+N159+N202+N245+N288+N331+N374+N417+N460</f>
        <v>0</v>
      </c>
      <c r="O497" s="12">
        <f>O73+O116+O159+O202+O245+O288+O331+O374+O417+O460</f>
        <v>0</v>
      </c>
      <c r="P497" s="12">
        <f>P73+P116+P159+P202+P245+P288+P331+P374+P417+P460</f>
        <v>0</v>
      </c>
      <c r="Q497" s="12">
        <f>Q73+Q116+Q159+Q202+Q245+Q288+Q331+Q374+Q417+Q460</f>
        <v>0</v>
      </c>
      <c r="R497" s="12">
        <f>R73+R116+R159+R202+R245+R288+R331+R374+R417+R460</f>
        <v>0</v>
      </c>
      <c r="S497" s="12">
        <f>S73+S116+S159+S202+S245+S288+S331+S374+S417+S460</f>
        <v>0</v>
      </c>
      <c r="T497" s="12">
        <f>T73+T116+T159+T202+T245+T288+T331+T374+T417+T460</f>
        <v>0</v>
      </c>
      <c r="U497" s="12">
        <f>U73+U116+U159+U202+U245+U288+U331+U374+U417+U460</f>
        <v>0</v>
      </c>
      <c r="V497" s="12">
        <f>V73+V116+V159+V202+V245+V288+V331+V374+V417+V460</f>
        <v>0</v>
      </c>
      <c r="W497" s="12">
        <f>W73+W116+W159+W202+W245+W288+W331+W374+W417+W460</f>
        <v>0</v>
      </c>
      <c r="X497" s="12">
        <f>X73+X116+X159+X202+X245+X288+X331+X374+X417+X460</f>
        <v>0</v>
      </c>
      <c r="Y497" s="12">
        <f>Y73+Y116+Y159+Y202+Y245+Y288+Y331+Y374+Y417+Y460</f>
        <v>0</v>
      </c>
      <c r="Z497" s="12">
        <f>Z73+Z116+Z159+Z202+Z245+Z288+Z331+Z374+Z417+Z460</f>
        <v>0</v>
      </c>
      <c r="AA497" s="12">
        <f>AA73+AA116+AA159+AA202+AA245+AA288+AA331+AA374+AA417+AA460</f>
        <v>0</v>
      </c>
      <c r="AB497" s="12">
        <f>AB73+AB116+AB159+AB202+AB245+AB288+AB331+AB374+AB417+AB460</f>
        <v>0</v>
      </c>
      <c r="AC497" s="12">
        <f>AC73+AC116+AC159+AC202+AC245+AC288+AC331+AC374+AC417+AC460</f>
        <v>0</v>
      </c>
      <c r="AD497" s="12">
        <f>AD73+AD116+AD159+AD202+AD245+AD288+AD331+AD374+AD417+AD460</f>
        <v>0</v>
      </c>
      <c r="AE497" s="12">
        <f>AE73+AE116+AE159+AE202+AE245+AE288+AE331+AE374+AE417+AE460</f>
        <v>0</v>
      </c>
      <c r="AF497" s="24">
        <f>AF73+AF116+AF159+AF202+AF245+AF288+AF331+AF374+AF417+AF460</f>
        <v>0</v>
      </c>
      <c r="AG497" s="12">
        <f>AG73+AG116+AG159+AG202+AG245+AG288+AG331+AG374+AG417+AG460</f>
        <v>0</v>
      </c>
      <c r="AH497" s="12">
        <f>AH73+AH116+AH159+AH202+AH245+AH288+AH331+AH374+AH417+AH460</f>
        <v>0</v>
      </c>
      <c r="AI497" s="10" t="s">
        <v>66</v>
      </c>
    </row>
    <row r="498" spans="2:35" x14ac:dyDescent="0.25">
      <c r="B498" s="12">
        <f>B74+B117+B160+B203+B246+B289+B332+B375+B418+B461</f>
        <v>0</v>
      </c>
      <c r="C498" s="12">
        <f>C74+C117+C160+C203+C246+C289+C332+C375+C418+C461</f>
        <v>0</v>
      </c>
      <c r="D498" s="12">
        <f>D74+D117+D160+D203+D246+D289+D332+D375+D418+D461</f>
        <v>0</v>
      </c>
      <c r="E498" s="12">
        <f>E74+E117+E160+E203+E246+E289+E332+E375+E418+E461</f>
        <v>0</v>
      </c>
      <c r="F498" s="12">
        <f>F74+F117+F160+F203+F246+F289+F332+F375+F418+F461</f>
        <v>0</v>
      </c>
      <c r="G498" s="12">
        <f>G74+G117+G160+G203+G246+G289+G332+G375+G418+G461</f>
        <v>0</v>
      </c>
      <c r="H498" s="12">
        <f>H74+H117+H160+H203+H246+H289+H332+H375+H418+H461</f>
        <v>0</v>
      </c>
      <c r="I498" s="12">
        <f>I74+I117+I160+I203+I246+I289+I332+I375+I418+I461</f>
        <v>0</v>
      </c>
      <c r="J498" s="12">
        <f>J74+J117+J160+J203+J246+J289+J332+J375+J418+J461</f>
        <v>0</v>
      </c>
      <c r="K498" s="12">
        <f>K74+K117+K160+K203+K246+K289+K332+K375+K418+K461</f>
        <v>0</v>
      </c>
      <c r="L498" s="12">
        <f>L74+L117+L160+L203+L246+L289+L332+L375+L418+L461</f>
        <v>0</v>
      </c>
      <c r="M498" s="12">
        <f>M74+M117+M160+M203+M246+M289+M332+M375+M418+M461</f>
        <v>0</v>
      </c>
      <c r="N498" s="12">
        <f>N74+N117+N160+N203+N246+N289+N332+N375+N418+N461</f>
        <v>0</v>
      </c>
      <c r="O498" s="12">
        <f>O74+O117+O160+O203+O246+O289+O332+O375+O418+O461</f>
        <v>0</v>
      </c>
      <c r="P498" s="12">
        <f>P74+P117+P160+P203+P246+P289+P332+P375+P418+P461</f>
        <v>0</v>
      </c>
      <c r="Q498" s="12">
        <f>Q74+Q117+Q160+Q203+Q246+Q289+Q332+Q375+Q418+Q461</f>
        <v>0</v>
      </c>
      <c r="R498" s="12">
        <f>R74+R117+R160+R203+R246+R289+R332+R375+R418+R461</f>
        <v>0</v>
      </c>
      <c r="S498" s="12">
        <f>S74+S117+S160+S203+S246+S289+S332+S375+S418+S461</f>
        <v>0</v>
      </c>
      <c r="T498" s="12">
        <f>T74+T117+T160+T203+T246+T289+T332+T375+T418+T461</f>
        <v>0</v>
      </c>
      <c r="U498" s="12">
        <f>U74+U117+U160+U203+U246+U289+U332+U375+U418+U461</f>
        <v>0</v>
      </c>
      <c r="V498" s="12">
        <f>V74+V117+V160+V203+V246+V289+V332+V375+V418+V461</f>
        <v>0</v>
      </c>
      <c r="W498" s="12">
        <f>W74+W117+W160+W203+W246+W289+W332+W375+W418+W461</f>
        <v>0</v>
      </c>
      <c r="X498" s="12">
        <f>X74+X117+X160+X203+X246+X289+X332+X375+X418+X461</f>
        <v>0</v>
      </c>
      <c r="Y498" s="12">
        <f>Y74+Y117+Y160+Y203+Y246+Y289+Y332+Y375+Y418+Y461</f>
        <v>0</v>
      </c>
      <c r="Z498" s="12">
        <f>Z74+Z117+Z160+Z203+Z246+Z289+Z332+Z375+Z418+Z461</f>
        <v>0</v>
      </c>
      <c r="AA498" s="12">
        <f>AA74+AA117+AA160+AA203+AA246+AA289+AA332+AA375+AA418+AA461</f>
        <v>0</v>
      </c>
      <c r="AB498" s="12">
        <f>AB74+AB117+AB160+AB203+AB246+AB289+AB332+AB375+AB418+AB461</f>
        <v>0</v>
      </c>
      <c r="AC498" s="12">
        <f>AC74+AC117+AC160+AC203+AC246+AC289+AC332+AC375+AC418+AC461</f>
        <v>0</v>
      </c>
      <c r="AD498" s="12">
        <f>AD74+AD117+AD160+AD203+AD246+AD289+AD332+AD375+AD418+AD461</f>
        <v>0</v>
      </c>
      <c r="AE498" s="12">
        <f>AE74+AE117+AE160+AE203+AE246+AE289+AE332+AE375+AE418+AE461</f>
        <v>0</v>
      </c>
      <c r="AF498" s="12">
        <f>AF74+AF117+AF160+AF203+AF246+AF289+AF332+AF375+AF418+AF461</f>
        <v>0</v>
      </c>
      <c r="AG498" s="24">
        <f>AG74+AG117+AG160+AG203+AG246+AG289+AG332+AG375+AG418+AG461</f>
        <v>0</v>
      </c>
      <c r="AH498" s="12">
        <f>AH74+AH117+AH160+AH203+AH246+AH289+AH332+AH375+AH418+AH461</f>
        <v>0</v>
      </c>
      <c r="AI498" s="10" t="s">
        <v>67</v>
      </c>
    </row>
    <row r="499" spans="2:35" x14ac:dyDescent="0.25">
      <c r="B499" s="12">
        <f>B75+B118+B161+B204+B247+B290+B333+B376+B419+B462</f>
        <v>0</v>
      </c>
      <c r="C499" s="12">
        <f>C75+C118+C161+C204+C247+C290+C333+C376+C419+C462</f>
        <v>0</v>
      </c>
      <c r="D499" s="12">
        <f>D75+D118+D161+D204+D247+D290+D333+D376+D419+D462</f>
        <v>0</v>
      </c>
      <c r="E499" s="12">
        <f>E75+E118+E161+E204+E247+E290+E333+E376+E419+E462</f>
        <v>0</v>
      </c>
      <c r="F499" s="12">
        <f>F75+F118+F161+F204+F247+F290+F333+F376+F419+F462</f>
        <v>0</v>
      </c>
      <c r="G499" s="12">
        <f>G75+G118+G161+G204+G247+G290+G333+G376+G419+G462</f>
        <v>0</v>
      </c>
      <c r="H499" s="12">
        <f>H75+H118+H161+H204+H247+H290+H333+H376+H419+H462</f>
        <v>0</v>
      </c>
      <c r="I499" s="12">
        <f>I75+I118+I161+I204+I247+I290+I333+I376+I419+I462</f>
        <v>0</v>
      </c>
      <c r="J499" s="12">
        <f>J75+J118+J161+J204+J247+J290+J333+J376+J419+J462</f>
        <v>0</v>
      </c>
      <c r="K499" s="12">
        <f>K75+K118+K161+K204+K247+K290+K333+K376+K419+K462</f>
        <v>0</v>
      </c>
      <c r="L499" s="12">
        <f>L75+L118+L161+L204+L247+L290+L333+L376+L419+L462</f>
        <v>0</v>
      </c>
      <c r="M499" s="12">
        <f>M75+M118+M161+M204+M247+M290+M333+M376+M419+M462</f>
        <v>0</v>
      </c>
      <c r="N499" s="12">
        <f>N75+N118+N161+N204+N247+N290+N333+N376+N419+N462</f>
        <v>0</v>
      </c>
      <c r="O499" s="12">
        <f>O75+O118+O161+O204+O247+O290+O333+O376+O419+O462</f>
        <v>0</v>
      </c>
      <c r="P499" s="12">
        <f>P75+P118+P161+P204+P247+P290+P333+P376+P419+P462</f>
        <v>0</v>
      </c>
      <c r="Q499" s="12">
        <f>Q75+Q118+Q161+Q204+Q247+Q290+Q333+Q376+Q419+Q462</f>
        <v>0</v>
      </c>
      <c r="R499" s="12">
        <f>R75+R118+R161+R204+R247+R290+R333+R376+R419+R462</f>
        <v>0</v>
      </c>
      <c r="S499" s="12">
        <f>S75+S118+S161+S204+S247+S290+S333+S376+S419+S462</f>
        <v>0</v>
      </c>
      <c r="T499" s="12">
        <f>T75+T118+T161+T204+T247+T290+T333+T376+T419+T462</f>
        <v>0</v>
      </c>
      <c r="U499" s="12">
        <f>U75+U118+U161+U204+U247+U290+U333+U376+U419+U462</f>
        <v>0</v>
      </c>
      <c r="V499" s="12">
        <f>V75+V118+V161+V204+V247+V290+V333+V376+V419+V462</f>
        <v>0</v>
      </c>
      <c r="W499" s="12">
        <f>W75+W118+W161+W204+W247+W290+W333+W376+W419+W462</f>
        <v>0</v>
      </c>
      <c r="X499" s="12">
        <f>X75+X118+X161+X204+X247+X290+X333+X376+X419+X462</f>
        <v>0</v>
      </c>
      <c r="Y499" s="12">
        <f>Y75+Y118+Y161+Y204+Y247+Y290+Y333+Y376+Y419+Y462</f>
        <v>0</v>
      </c>
      <c r="Z499" s="12">
        <f>Z75+Z118+Z161+Z204+Z247+Z290+Z333+Z376+Z419+Z462</f>
        <v>0</v>
      </c>
      <c r="AA499" s="12">
        <f>AA75+AA118+AA161+AA204+AA247+AA290+AA333+AA376+AA419+AA462</f>
        <v>0</v>
      </c>
      <c r="AB499" s="12">
        <f>AB75+AB118+AB161+AB204+AB247+AB290+AB333+AB376+AB419+AB462</f>
        <v>0</v>
      </c>
      <c r="AC499" s="12">
        <f>AC75+AC118+AC161+AC204+AC247+AC290+AC333+AC376+AC419+AC462</f>
        <v>0</v>
      </c>
      <c r="AD499" s="12">
        <f>AD75+AD118+AD161+AD204+AD247+AD290+AD333+AD376+AD419+AD462</f>
        <v>0</v>
      </c>
      <c r="AE499" s="12">
        <f>AE75+AE118+AE161+AE204+AE247+AE290+AE333+AE376+AE419+AE462</f>
        <v>0</v>
      </c>
      <c r="AF499" s="12">
        <f>AF75+AF118+AF161+AF204+AF247+AF290+AF333+AF376+AF419+AF462</f>
        <v>0</v>
      </c>
      <c r="AG499" s="12">
        <f>AG75+AG118+AG161+AG204+AG247+AG290+AG333+AG376+AG419+AG462</f>
        <v>0</v>
      </c>
      <c r="AH499" s="24">
        <f>AH75+AH118+AH161+AH204+AH247+AH290+AH333+AH376+AH419+AH462</f>
        <v>0</v>
      </c>
      <c r="AI499" s="10" t="s">
        <v>68</v>
      </c>
    </row>
    <row r="502" spans="2:14" x14ac:dyDescent="0.25">
      <c r="B502" s="1" t="s">
        <v>80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x14ac:dyDescent="0.25">
      <c r="B503" s="10" t="s">
        <v>81</v>
      </c>
      <c r="C503" s="10" t="s">
        <v>82</v>
      </c>
      <c r="D503" s="10" t="s">
        <v>83</v>
      </c>
      <c r="E503" s="10" t="s">
        <v>84</v>
      </c>
      <c r="H503" s="10" t="s">
        <v>81</v>
      </c>
      <c r="N503" s="10" t="s">
        <v>85</v>
      </c>
    </row>
    <row r="504" spans="2:14" x14ac:dyDescent="0.25">
      <c r="B504" s="10" t="s">
        <v>36</v>
      </c>
      <c r="C504" s="25">
        <v>1</v>
      </c>
      <c r="D504" s="25" t="s">
        <v>32</v>
      </c>
      <c r="E504" s="11">
        <v>800</v>
      </c>
      <c r="H504" s="26" t="s">
        <v>36</v>
      </c>
      <c r="N504" s="27" t="s">
        <v>86</v>
      </c>
    </row>
    <row r="505" spans="2:14" x14ac:dyDescent="0.25">
      <c r="B505" s="10" t="s">
        <v>37</v>
      </c>
      <c r="C505" s="25">
        <v>1</v>
      </c>
      <c r="D505" s="25" t="s">
        <v>33</v>
      </c>
      <c r="E505" s="11">
        <v>0</v>
      </c>
      <c r="H505" s="26" t="s">
        <v>37</v>
      </c>
      <c r="N505" s="27" t="s">
        <v>86</v>
      </c>
    </row>
    <row r="506" spans="2:14" x14ac:dyDescent="0.25">
      <c r="B506" s="10" t="s">
        <v>38</v>
      </c>
      <c r="C506" s="25">
        <v>1</v>
      </c>
      <c r="D506" s="25" t="s">
        <v>34</v>
      </c>
      <c r="E506" s="11">
        <v>-53333.333333333336</v>
      </c>
      <c r="H506" s="26" t="s">
        <v>38</v>
      </c>
      <c r="N506" s="27" t="s">
        <v>86</v>
      </c>
    </row>
    <row r="507" spans="2:14" x14ac:dyDescent="0.25">
      <c r="B507" s="10" t="s">
        <v>39</v>
      </c>
      <c r="C507" s="25">
        <v>2</v>
      </c>
      <c r="D507" s="25" t="s">
        <v>32</v>
      </c>
      <c r="E507" s="11">
        <v>800</v>
      </c>
      <c r="H507" s="26" t="s">
        <v>39</v>
      </c>
      <c r="N507" s="28" t="s">
        <v>87</v>
      </c>
    </row>
    <row r="508" spans="2:14" x14ac:dyDescent="0.25">
      <c r="B508" s="10" t="s">
        <v>40</v>
      </c>
      <c r="C508" s="25">
        <v>2</v>
      </c>
      <c r="D508" s="25" t="s">
        <v>33</v>
      </c>
      <c r="E508" s="11">
        <v>0</v>
      </c>
      <c r="H508" s="26" t="s">
        <v>40</v>
      </c>
      <c r="N508" s="28" t="s">
        <v>87</v>
      </c>
    </row>
    <row r="509" spans="2:14" x14ac:dyDescent="0.25">
      <c r="B509" s="10" t="s">
        <v>41</v>
      </c>
      <c r="C509" s="25">
        <v>2</v>
      </c>
      <c r="D509" s="25" t="s">
        <v>34</v>
      </c>
      <c r="E509" s="11">
        <v>53333.333333333336</v>
      </c>
      <c r="H509" s="26" t="s">
        <v>41</v>
      </c>
      <c r="N509" s="28" t="s">
        <v>87</v>
      </c>
    </row>
    <row r="510" spans="2:14" x14ac:dyDescent="0.25">
      <c r="B510" s="10" t="s">
        <v>42</v>
      </c>
      <c r="C510" s="25">
        <v>3</v>
      </c>
      <c r="D510" s="25" t="s">
        <v>32</v>
      </c>
      <c r="E510" s="11">
        <v>0</v>
      </c>
      <c r="H510" s="26" t="s">
        <v>42</v>
      </c>
      <c r="N510" s="28" t="s">
        <v>87</v>
      </c>
    </row>
    <row r="511" spans="2:14" x14ac:dyDescent="0.25">
      <c r="B511" s="10" t="s">
        <v>43</v>
      </c>
      <c r="C511" s="25">
        <v>3</v>
      </c>
      <c r="D511" s="25" t="s">
        <v>33</v>
      </c>
      <c r="E511" s="11">
        <v>-7000</v>
      </c>
      <c r="H511" s="26" t="s">
        <v>43</v>
      </c>
      <c r="N511" s="28" t="s">
        <v>87</v>
      </c>
    </row>
    <row r="512" spans="2:14" x14ac:dyDescent="0.25">
      <c r="B512" s="10" t="s">
        <v>44</v>
      </c>
      <c r="C512" s="25">
        <v>3</v>
      </c>
      <c r="D512" s="25" t="s">
        <v>34</v>
      </c>
      <c r="E512" s="11">
        <v>0</v>
      </c>
      <c r="H512" s="26" t="s">
        <v>44</v>
      </c>
      <c r="N512" s="28" t="s">
        <v>87</v>
      </c>
    </row>
    <row r="513" spans="2:14" x14ac:dyDescent="0.25">
      <c r="B513" s="10" t="s">
        <v>45</v>
      </c>
      <c r="C513" s="25">
        <v>4</v>
      </c>
      <c r="D513" s="25" t="s">
        <v>32</v>
      </c>
      <c r="E513" s="11">
        <v>0</v>
      </c>
      <c r="H513" s="26" t="s">
        <v>45</v>
      </c>
      <c r="N513" s="28" t="s">
        <v>87</v>
      </c>
    </row>
    <row r="514" spans="2:14" x14ac:dyDescent="0.25">
      <c r="B514" s="10" t="s">
        <v>46</v>
      </c>
      <c r="C514" s="25">
        <v>4</v>
      </c>
      <c r="D514" s="25" t="s">
        <v>33</v>
      </c>
      <c r="E514" s="11">
        <v>0</v>
      </c>
      <c r="H514" s="26" t="s">
        <v>46</v>
      </c>
      <c r="N514" s="28" t="s">
        <v>87</v>
      </c>
    </row>
    <row r="515" spans="2:14" x14ac:dyDescent="0.25">
      <c r="B515" s="10" t="s">
        <v>47</v>
      </c>
      <c r="C515" s="25">
        <v>4</v>
      </c>
      <c r="D515" s="25" t="s">
        <v>34</v>
      </c>
      <c r="E515" s="11">
        <v>0</v>
      </c>
      <c r="H515" s="26" t="s">
        <v>47</v>
      </c>
      <c r="N515" s="28" t="s">
        <v>87</v>
      </c>
    </row>
    <row r="516" spans="2:14" x14ac:dyDescent="0.25">
      <c r="B516" s="10" t="s">
        <v>48</v>
      </c>
      <c r="C516" s="25">
        <v>5</v>
      </c>
      <c r="D516" s="25" t="s">
        <v>32</v>
      </c>
      <c r="E516" s="11">
        <v>0</v>
      </c>
      <c r="H516" s="26" t="s">
        <v>48</v>
      </c>
      <c r="N516" s="28" t="s">
        <v>87</v>
      </c>
    </row>
    <row r="517" spans="2:14" x14ac:dyDescent="0.25">
      <c r="B517" s="10" t="s">
        <v>49</v>
      </c>
      <c r="C517" s="25">
        <v>5</v>
      </c>
      <c r="D517" s="25" t="s">
        <v>33</v>
      </c>
      <c r="E517" s="11">
        <v>0</v>
      </c>
      <c r="H517" s="26" t="s">
        <v>49</v>
      </c>
      <c r="N517" s="28" t="s">
        <v>87</v>
      </c>
    </row>
    <row r="518" spans="2:14" x14ac:dyDescent="0.25">
      <c r="B518" s="10" t="s">
        <v>50</v>
      </c>
      <c r="C518" s="25">
        <v>5</v>
      </c>
      <c r="D518" s="25" t="s">
        <v>34</v>
      </c>
      <c r="E518" s="11">
        <v>-100000</v>
      </c>
      <c r="H518" s="26" t="s">
        <v>50</v>
      </c>
      <c r="N518" s="28" t="s">
        <v>87</v>
      </c>
    </row>
    <row r="519" spans="2:14" x14ac:dyDescent="0.25">
      <c r="B519" s="10" t="s">
        <v>51</v>
      </c>
      <c r="C519" s="25">
        <v>6</v>
      </c>
      <c r="D519" s="25" t="s">
        <v>32</v>
      </c>
      <c r="E519" s="11">
        <v>0</v>
      </c>
      <c r="H519" s="26" t="s">
        <v>51</v>
      </c>
      <c r="N519" s="27" t="s">
        <v>86</v>
      </c>
    </row>
    <row r="520" spans="2:14" x14ac:dyDescent="0.25">
      <c r="B520" s="10" t="s">
        <v>52</v>
      </c>
      <c r="C520" s="25">
        <v>6</v>
      </c>
      <c r="D520" s="25" t="s">
        <v>33</v>
      </c>
      <c r="E520" s="11">
        <v>0</v>
      </c>
      <c r="H520" s="26" t="s">
        <v>52</v>
      </c>
      <c r="N520" s="27" t="s">
        <v>86</v>
      </c>
    </row>
    <row r="521" spans="2:14" x14ac:dyDescent="0.25">
      <c r="B521" s="10" t="s">
        <v>53</v>
      </c>
      <c r="C521" s="25">
        <v>6</v>
      </c>
      <c r="D521" s="25" t="s">
        <v>34</v>
      </c>
      <c r="E521" s="11">
        <v>0</v>
      </c>
      <c r="H521" s="26" t="s">
        <v>53</v>
      </c>
      <c r="N521" s="27" t="s">
        <v>86</v>
      </c>
    </row>
    <row r="522" spans="2:14" x14ac:dyDescent="0.25">
      <c r="B522" s="10" t="s">
        <v>54</v>
      </c>
      <c r="C522" s="25">
        <v>7</v>
      </c>
      <c r="D522" s="25" t="s">
        <v>32</v>
      </c>
      <c r="E522" s="11">
        <v>0</v>
      </c>
      <c r="H522" s="26" t="s">
        <v>54</v>
      </c>
      <c r="N522" s="28" t="s">
        <v>87</v>
      </c>
    </row>
    <row r="523" spans="2:14" x14ac:dyDescent="0.25">
      <c r="B523" s="10" t="s">
        <v>55</v>
      </c>
      <c r="C523" s="25">
        <v>7</v>
      </c>
      <c r="D523" s="25" t="s">
        <v>33</v>
      </c>
      <c r="E523" s="11">
        <v>0</v>
      </c>
      <c r="H523" s="26" t="s">
        <v>55</v>
      </c>
      <c r="N523" s="28" t="s">
        <v>87</v>
      </c>
    </row>
    <row r="524" spans="2:14" x14ac:dyDescent="0.25">
      <c r="B524" s="10" t="s">
        <v>56</v>
      </c>
      <c r="C524" s="25">
        <v>7</v>
      </c>
      <c r="D524" s="25" t="s">
        <v>34</v>
      </c>
      <c r="E524" s="11">
        <v>0</v>
      </c>
      <c r="H524" s="26" t="s">
        <v>56</v>
      </c>
      <c r="N524" s="28" t="s">
        <v>87</v>
      </c>
    </row>
    <row r="525" spans="2:14" x14ac:dyDescent="0.25">
      <c r="B525" s="10" t="s">
        <v>57</v>
      </c>
      <c r="C525" s="25">
        <v>8</v>
      </c>
      <c r="D525" s="25" t="s">
        <v>32</v>
      </c>
      <c r="E525" s="11">
        <v>0</v>
      </c>
      <c r="H525" s="26" t="s">
        <v>57</v>
      </c>
      <c r="N525" s="28" t="s">
        <v>87</v>
      </c>
    </row>
    <row r="526" spans="2:14" x14ac:dyDescent="0.25">
      <c r="B526" s="10" t="s">
        <v>58</v>
      </c>
      <c r="C526" s="25">
        <v>8</v>
      </c>
      <c r="D526" s="25" t="s">
        <v>33</v>
      </c>
      <c r="E526" s="11">
        <v>0</v>
      </c>
      <c r="H526" s="26" t="s">
        <v>58</v>
      </c>
      <c r="N526" s="28" t="s">
        <v>87</v>
      </c>
    </row>
    <row r="527" spans="2:14" x14ac:dyDescent="0.25">
      <c r="B527" s="10" t="s">
        <v>59</v>
      </c>
      <c r="C527" s="25">
        <v>8</v>
      </c>
      <c r="D527" s="25" t="s">
        <v>34</v>
      </c>
      <c r="E527" s="11">
        <v>0</v>
      </c>
      <c r="H527" s="26" t="s">
        <v>59</v>
      </c>
      <c r="N527" s="28" t="s">
        <v>87</v>
      </c>
    </row>
    <row r="528" spans="2:14" x14ac:dyDescent="0.25">
      <c r="B528" s="10" t="s">
        <v>60</v>
      </c>
      <c r="C528" s="25">
        <v>9</v>
      </c>
      <c r="D528" s="25" t="s">
        <v>32</v>
      </c>
      <c r="E528" s="11">
        <v>0</v>
      </c>
      <c r="H528" s="26" t="s">
        <v>60</v>
      </c>
      <c r="N528" s="28" t="s">
        <v>87</v>
      </c>
    </row>
    <row r="529" spans="2:14" x14ac:dyDescent="0.25">
      <c r="B529" s="10" t="s">
        <v>61</v>
      </c>
      <c r="C529" s="25">
        <v>9</v>
      </c>
      <c r="D529" s="25" t="s">
        <v>33</v>
      </c>
      <c r="E529" s="11">
        <v>0</v>
      </c>
      <c r="H529" s="26" t="s">
        <v>61</v>
      </c>
      <c r="N529" s="28" t="s">
        <v>87</v>
      </c>
    </row>
    <row r="530" spans="2:14" x14ac:dyDescent="0.25">
      <c r="B530" s="10" t="s">
        <v>62</v>
      </c>
      <c r="C530" s="25">
        <v>9</v>
      </c>
      <c r="D530" s="25" t="s">
        <v>34</v>
      </c>
      <c r="E530" s="11">
        <v>0</v>
      </c>
      <c r="H530" s="26" t="s">
        <v>62</v>
      </c>
      <c r="N530" s="28" t="s">
        <v>87</v>
      </c>
    </row>
    <row r="531" spans="2:14" x14ac:dyDescent="0.25">
      <c r="B531" s="10" t="s">
        <v>63</v>
      </c>
      <c r="C531" s="25">
        <v>10</v>
      </c>
      <c r="D531" s="25" t="s">
        <v>32</v>
      </c>
      <c r="E531" s="11">
        <v>0</v>
      </c>
      <c r="H531" s="26" t="s">
        <v>63</v>
      </c>
      <c r="N531" s="28" t="s">
        <v>87</v>
      </c>
    </row>
    <row r="532" spans="2:14" x14ac:dyDescent="0.25">
      <c r="B532" s="10" t="s">
        <v>64</v>
      </c>
      <c r="C532" s="25">
        <v>10</v>
      </c>
      <c r="D532" s="25" t="s">
        <v>33</v>
      </c>
      <c r="E532" s="11">
        <v>0</v>
      </c>
      <c r="H532" s="26" t="s">
        <v>64</v>
      </c>
      <c r="N532" s="28" t="s">
        <v>87</v>
      </c>
    </row>
    <row r="533" spans="2:14" x14ac:dyDescent="0.25">
      <c r="B533" s="10" t="s">
        <v>65</v>
      </c>
      <c r="C533" s="25">
        <v>10</v>
      </c>
      <c r="D533" s="25" t="s">
        <v>34</v>
      </c>
      <c r="E533" s="11">
        <v>0</v>
      </c>
      <c r="H533" s="26" t="s">
        <v>65</v>
      </c>
      <c r="N533" s="28" t="s">
        <v>87</v>
      </c>
    </row>
    <row r="534" spans="2:14" x14ac:dyDescent="0.25">
      <c r="B534" s="10" t="s">
        <v>66</v>
      </c>
      <c r="C534" s="25">
        <v>11</v>
      </c>
      <c r="D534" s="25" t="s">
        <v>32</v>
      </c>
      <c r="E534" s="11">
        <v>0</v>
      </c>
      <c r="H534" s="26" t="s">
        <v>66</v>
      </c>
      <c r="N534" s="28" t="s">
        <v>87</v>
      </c>
    </row>
    <row r="535" spans="2:14" x14ac:dyDescent="0.25">
      <c r="B535" s="10" t="s">
        <v>67</v>
      </c>
      <c r="C535" s="25">
        <v>11</v>
      </c>
      <c r="D535" s="25" t="s">
        <v>33</v>
      </c>
      <c r="E535" s="11">
        <v>0</v>
      </c>
      <c r="H535" s="26" t="s">
        <v>67</v>
      </c>
      <c r="N535" s="28" t="s">
        <v>87</v>
      </c>
    </row>
    <row r="536" spans="2:14" x14ac:dyDescent="0.25">
      <c r="B536" s="10" t="s">
        <v>68</v>
      </c>
      <c r="C536" s="25">
        <v>11</v>
      </c>
      <c r="D536" s="25" t="s">
        <v>34</v>
      </c>
      <c r="E536" s="11">
        <v>0</v>
      </c>
      <c r="H536" s="26" t="s">
        <v>68</v>
      </c>
      <c r="N536" s="28" t="s">
        <v>87</v>
      </c>
    </row>
    <row r="576" spans="2:34" x14ac:dyDescent="0.25">
      <c r="B576" s="1" t="s">
        <v>88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2:40" x14ac:dyDescent="0.25">
      <c r="B577" s="10" t="s">
        <v>36</v>
      </c>
      <c r="C577" s="10" t="s">
        <v>37</v>
      </c>
      <c r="D577" s="10" t="s">
        <v>38</v>
      </c>
      <c r="E577" s="10" t="s">
        <v>39</v>
      </c>
      <c r="F577" s="10" t="s">
        <v>40</v>
      </c>
      <c r="G577" s="10" t="s">
        <v>41</v>
      </c>
      <c r="H577" s="10" t="s">
        <v>42</v>
      </c>
      <c r="I577" s="10" t="s">
        <v>43</v>
      </c>
      <c r="J577" s="10" t="s">
        <v>44</v>
      </c>
      <c r="K577" s="10" t="s">
        <v>45</v>
      </c>
      <c r="L577" s="10" t="s">
        <v>46</v>
      </c>
      <c r="M577" s="10" t="s">
        <v>47</v>
      </c>
      <c r="N577" s="10" t="s">
        <v>48</v>
      </c>
      <c r="O577" s="10" t="s">
        <v>49</v>
      </c>
      <c r="P577" s="10" t="s">
        <v>50</v>
      </c>
      <c r="Q577" s="10" t="s">
        <v>51</v>
      </c>
      <c r="R577" s="10" t="s">
        <v>52</v>
      </c>
      <c r="S577" s="10" t="s">
        <v>53</v>
      </c>
      <c r="T577" s="10" t="s">
        <v>54</v>
      </c>
      <c r="U577" s="10" t="s">
        <v>55</v>
      </c>
      <c r="V577" s="10" t="s">
        <v>56</v>
      </c>
      <c r="W577" s="10" t="s">
        <v>57</v>
      </c>
      <c r="X577" s="10" t="s">
        <v>58</v>
      </c>
      <c r="Y577" s="10" t="s">
        <v>59</v>
      </c>
      <c r="Z577" s="10" t="s">
        <v>60</v>
      </c>
      <c r="AA577" s="10" t="s">
        <v>61</v>
      </c>
      <c r="AB577" s="10" t="s">
        <v>62</v>
      </c>
      <c r="AC577" s="10" t="s">
        <v>63</v>
      </c>
      <c r="AD577" s="10" t="s">
        <v>64</v>
      </c>
      <c r="AE577" s="10" t="s">
        <v>65</v>
      </c>
      <c r="AF577" s="10" t="s">
        <v>66</v>
      </c>
      <c r="AG577" s="10" t="s">
        <v>67</v>
      </c>
      <c r="AH577" s="10" t="s">
        <v>68</v>
      </c>
      <c r="AJ577" s="10" t="s">
        <v>89</v>
      </c>
      <c r="AL577" s="29" t="s">
        <v>90</v>
      </c>
      <c r="AN577" s="30" t="s">
        <v>91</v>
      </c>
    </row>
    <row r="578" spans="2:40" x14ac:dyDescent="0.25">
      <c r="B578" s="31">
        <f>IF($N504="RESTRINGIDO", 1, IF(OR($N504="", $C467=""), 1, B467))</f>
        <v>1</v>
      </c>
      <c r="C578" s="12">
        <f>IF(OR($N504="RESTRINGIDO", $N505="RESTRINGIDO"), 0, C467)</f>
        <v>0</v>
      </c>
      <c r="D578" s="12">
        <f>IF(OR($N504="RESTRINGIDO", $N506="RESTRINGIDO"), 0, D467)</f>
        <v>0</v>
      </c>
      <c r="E578" s="12">
        <f>IF(OR($N504="RESTRINGIDO", $N507="RESTRINGIDO"), 0, E467)</f>
        <v>0</v>
      </c>
      <c r="F578" s="12">
        <f>IF(OR($N504="RESTRINGIDO", $N508="RESTRINGIDO"), 0, F467)</f>
        <v>0</v>
      </c>
      <c r="G578" s="12">
        <f>IF(OR($N504="RESTRINGIDO", $N509="RESTRINGIDO"), 0, G467)</f>
        <v>0</v>
      </c>
      <c r="H578" s="12">
        <f>IF(OR($N504="RESTRINGIDO", $N510="RESTRINGIDO"), 0, H467)</f>
        <v>0</v>
      </c>
      <c r="I578" s="12">
        <f>IF(OR($N504="RESTRINGIDO", $N511="RESTRINGIDO"), 0, I467)</f>
        <v>0</v>
      </c>
      <c r="J578" s="12">
        <f>IF(OR($N504="RESTRINGIDO", $N512="RESTRINGIDO"), 0, J467)</f>
        <v>0</v>
      </c>
      <c r="K578" s="12">
        <f>IF(OR($N504="RESTRINGIDO", $N513="RESTRINGIDO"), 0, K467)</f>
        <v>0</v>
      </c>
      <c r="L578" s="12">
        <f>IF(OR($N504="RESTRINGIDO", $N514="RESTRINGIDO"), 0, L467)</f>
        <v>0</v>
      </c>
      <c r="M578" s="12">
        <f>IF(OR($N504="RESTRINGIDO", $N515="RESTRINGIDO"), 0, M467)</f>
        <v>0</v>
      </c>
      <c r="N578" s="12">
        <f>IF(OR($N504="RESTRINGIDO", $N516="RESTRINGIDO"), 0, N467)</f>
        <v>0</v>
      </c>
      <c r="O578" s="12">
        <f>IF(OR($N504="RESTRINGIDO", $N517="RESTRINGIDO"), 0, O467)</f>
        <v>0</v>
      </c>
      <c r="P578" s="12">
        <f>IF(OR($N504="RESTRINGIDO", $N518="RESTRINGIDO"), 0, P467)</f>
        <v>0</v>
      </c>
      <c r="Q578" s="12">
        <f>IF(OR($N504="RESTRINGIDO", $N519="RESTRINGIDO"), 0, Q467)</f>
        <v>0</v>
      </c>
      <c r="R578" s="12">
        <f>IF(OR($N504="RESTRINGIDO", $N520="RESTRINGIDO"), 0, R467)</f>
        <v>0</v>
      </c>
      <c r="S578" s="12">
        <f>IF(OR($N504="RESTRINGIDO", $N521="RESTRINGIDO"), 0, S467)</f>
        <v>0</v>
      </c>
      <c r="T578" s="12">
        <f>IF(OR($N504="RESTRINGIDO", $N522="RESTRINGIDO"), 0, T467)</f>
        <v>0</v>
      </c>
      <c r="U578" s="12">
        <f>IF(OR($N504="RESTRINGIDO", $N523="RESTRINGIDO"), 0, U467)</f>
        <v>0</v>
      </c>
      <c r="V578" s="12">
        <f>IF(OR($N504="RESTRINGIDO", $N524="RESTRINGIDO"), 0, V467)</f>
        <v>0</v>
      </c>
      <c r="W578" s="12">
        <f>IF(OR($N504="RESTRINGIDO", $N525="RESTRINGIDO"), 0, W467)</f>
        <v>0</v>
      </c>
      <c r="X578" s="12">
        <f>IF(OR($N504="RESTRINGIDO", $N526="RESTRINGIDO"), 0, X467)</f>
        <v>0</v>
      </c>
      <c r="Y578" s="12">
        <f>IF(OR($N504="RESTRINGIDO", $N527="RESTRINGIDO"), 0, Y467)</f>
        <v>0</v>
      </c>
      <c r="Z578" s="12">
        <f>IF(OR($N504="RESTRINGIDO", $N528="RESTRINGIDO"), 0, Z467)</f>
        <v>0</v>
      </c>
      <c r="AA578" s="12">
        <f>IF(OR($N504="RESTRINGIDO", $N529="RESTRINGIDO"), 0, AA467)</f>
        <v>0</v>
      </c>
      <c r="AB578" s="12">
        <f>IF(OR($N504="RESTRINGIDO", $N530="RESTRINGIDO"), 0, AB467)</f>
        <v>0</v>
      </c>
      <c r="AC578" s="12">
        <f>IF(OR($N504="RESTRINGIDO", $N531="RESTRINGIDO"), 0, AC467)</f>
        <v>0</v>
      </c>
      <c r="AD578" s="12">
        <f>IF(OR($N504="RESTRINGIDO", $N532="RESTRINGIDO"), 0, AD467)</f>
        <v>0</v>
      </c>
      <c r="AE578" s="12">
        <f>IF(OR($N504="RESTRINGIDO", $N533="RESTRINGIDO"), 0, AE467)</f>
        <v>0</v>
      </c>
      <c r="AF578" s="12">
        <f>IF(OR($N504="RESTRINGIDO", $N534="RESTRINGIDO"), 0, AF467)</f>
        <v>0</v>
      </c>
      <c r="AG578" s="12">
        <f>IF(OR($N504="RESTRINGIDO", $N535="RESTRINGIDO"), 0, AG467)</f>
        <v>0</v>
      </c>
      <c r="AH578" s="12">
        <f>IF(OR($N504="RESTRINGIDO", $N536="RESTRINGIDO"), 0, AH467)</f>
        <v>0</v>
      </c>
      <c r="AJ578" s="32">
        <f>IF($N504="LIBRE", IF(ISNUMBER(E504), E504, 0), 0)</f>
        <v>0</v>
      </c>
      <c r="AL578" s="33">
        <f>MMULT(MINVERSE(B578:AH610), AJ578:AJ610)</f>
        <v>0</v>
      </c>
      <c r="AN578" s="34">
        <f>MMULT(B467:AH499, AL578:AL610) - IF(ISNUMBER(E504:E536), E504:E536, 0)</f>
        <v>-745.2156816778038</v>
      </c>
    </row>
    <row r="579" spans="2:40" x14ac:dyDescent="0.25">
      <c r="B579" s="12">
        <f>IF(OR($N505="RESTRINGIDO", $N504="RESTRINGIDO"), 0, B468)</f>
        <v>0</v>
      </c>
      <c r="C579" s="31">
        <f>IF($N505="RESTRINGIDO", 1, IF(OR($N505="", $C468=""), 1, C468))</f>
        <v>1</v>
      </c>
      <c r="D579" s="12">
        <f>IF(OR($N505="RESTRINGIDO", $N506="RESTRINGIDO"), 0, D468)</f>
        <v>0</v>
      </c>
      <c r="E579" s="12">
        <f>IF(OR($N505="RESTRINGIDO", $N507="RESTRINGIDO"), 0, E468)</f>
        <v>0</v>
      </c>
      <c r="F579" s="12">
        <f>IF(OR($N505="RESTRINGIDO", $N508="RESTRINGIDO"), 0, F468)</f>
        <v>0</v>
      </c>
      <c r="G579" s="12">
        <f>IF(OR($N505="RESTRINGIDO", $N509="RESTRINGIDO"), 0, G468)</f>
        <v>0</v>
      </c>
      <c r="H579" s="12">
        <f>IF(OR($N505="RESTRINGIDO", $N510="RESTRINGIDO"), 0, H468)</f>
        <v>0</v>
      </c>
      <c r="I579" s="12">
        <f>IF(OR($N505="RESTRINGIDO", $N511="RESTRINGIDO"), 0, I468)</f>
        <v>0</v>
      </c>
      <c r="J579" s="12">
        <f>IF(OR($N505="RESTRINGIDO", $N512="RESTRINGIDO"), 0, J468)</f>
        <v>0</v>
      </c>
      <c r="K579" s="12">
        <f>IF(OR($N505="RESTRINGIDO", $N513="RESTRINGIDO"), 0, K468)</f>
        <v>0</v>
      </c>
      <c r="L579" s="12">
        <f>IF(OR($N505="RESTRINGIDO", $N514="RESTRINGIDO"), 0, L468)</f>
        <v>0</v>
      </c>
      <c r="M579" s="12">
        <f>IF(OR($N505="RESTRINGIDO", $N515="RESTRINGIDO"), 0, M468)</f>
        <v>0</v>
      </c>
      <c r="N579" s="12">
        <f>IF(OR($N505="RESTRINGIDO", $N516="RESTRINGIDO"), 0, N468)</f>
        <v>0</v>
      </c>
      <c r="O579" s="12">
        <f>IF(OR($N505="RESTRINGIDO", $N517="RESTRINGIDO"), 0, O468)</f>
        <v>0</v>
      </c>
      <c r="P579" s="12">
        <f>IF(OR($N505="RESTRINGIDO", $N518="RESTRINGIDO"), 0, P468)</f>
        <v>0</v>
      </c>
      <c r="Q579" s="12">
        <f>IF(OR($N505="RESTRINGIDO", $N519="RESTRINGIDO"), 0, Q468)</f>
        <v>0</v>
      </c>
      <c r="R579" s="12">
        <f>IF(OR($N505="RESTRINGIDO", $N520="RESTRINGIDO"), 0, R468)</f>
        <v>0</v>
      </c>
      <c r="S579" s="12">
        <f>IF(OR($N505="RESTRINGIDO", $N521="RESTRINGIDO"), 0, S468)</f>
        <v>0</v>
      </c>
      <c r="T579" s="12">
        <f>IF(OR($N505="RESTRINGIDO", $N522="RESTRINGIDO"), 0, T468)</f>
        <v>0</v>
      </c>
      <c r="U579" s="12">
        <f>IF(OR($N505="RESTRINGIDO", $N523="RESTRINGIDO"), 0, U468)</f>
        <v>0</v>
      </c>
      <c r="V579" s="12">
        <f>IF(OR($N505="RESTRINGIDO", $N524="RESTRINGIDO"), 0, V468)</f>
        <v>0</v>
      </c>
      <c r="W579" s="12">
        <f>IF(OR($N505="RESTRINGIDO", $N525="RESTRINGIDO"), 0, W468)</f>
        <v>0</v>
      </c>
      <c r="X579" s="12">
        <f>IF(OR($N505="RESTRINGIDO", $N526="RESTRINGIDO"), 0, X468)</f>
        <v>0</v>
      </c>
      <c r="Y579" s="12">
        <f>IF(OR($N505="RESTRINGIDO", $N527="RESTRINGIDO"), 0, Y468)</f>
        <v>0</v>
      </c>
      <c r="Z579" s="12">
        <f>IF(OR($N505="RESTRINGIDO", $N528="RESTRINGIDO"), 0, Z468)</f>
        <v>0</v>
      </c>
      <c r="AA579" s="12">
        <f>IF(OR($N505="RESTRINGIDO", $N529="RESTRINGIDO"), 0, AA468)</f>
        <v>0</v>
      </c>
      <c r="AB579" s="12">
        <f>IF(OR($N505="RESTRINGIDO", $N530="RESTRINGIDO"), 0, AB468)</f>
        <v>0</v>
      </c>
      <c r="AC579" s="12">
        <f>IF(OR($N505="RESTRINGIDO", $N531="RESTRINGIDO"), 0, AC468)</f>
        <v>0</v>
      </c>
      <c r="AD579" s="12">
        <f>IF(OR($N505="RESTRINGIDO", $N532="RESTRINGIDO"), 0, AD468)</f>
        <v>0</v>
      </c>
      <c r="AE579" s="12">
        <f>IF(OR($N505="RESTRINGIDO", $N533="RESTRINGIDO"), 0, AE468)</f>
        <v>0</v>
      </c>
      <c r="AF579" s="12">
        <f>IF(OR($N505="RESTRINGIDO", $N534="RESTRINGIDO"), 0, AF468)</f>
        <v>0</v>
      </c>
      <c r="AG579" s="12">
        <f>IF(OR($N505="RESTRINGIDO", $N535="RESTRINGIDO"), 0, AG468)</f>
        <v>0</v>
      </c>
      <c r="AH579" s="12">
        <f>IF(OR($N505="RESTRINGIDO", $N536="RESTRINGIDO"), 0, AH468)</f>
        <v>0</v>
      </c>
      <c r="AJ579" s="32">
        <f>IF($N505="LIBRE", IF(ISNUMBER(E505), E505, 0), 0)</f>
        <v>0</v>
      </c>
      <c r="AL579" s="33">
        <v>0</v>
      </c>
      <c r="AN579" s="34">
        <v>1347.417526004415</v>
      </c>
    </row>
    <row r="580" spans="2:40" x14ac:dyDescent="0.25">
      <c r="B580" s="12">
        <f>IF(OR($N506="RESTRINGIDO", $N504="RESTRINGIDO"), 0, B469)</f>
        <v>0</v>
      </c>
      <c r="C580" s="12">
        <f>IF(OR($N506="RESTRINGIDO", $N505="RESTRINGIDO"), 0, C469)</f>
        <v>0</v>
      </c>
      <c r="D580" s="31">
        <f>IF($N506="RESTRINGIDO", 1, IF(OR($N506="", $C469=""), 1, D469))</f>
        <v>1</v>
      </c>
      <c r="E580" s="12">
        <f>IF(OR($N506="RESTRINGIDO", $N507="RESTRINGIDO"), 0, E469)</f>
        <v>0</v>
      </c>
      <c r="F580" s="12">
        <f>IF(OR($N506="RESTRINGIDO", $N508="RESTRINGIDO"), 0, F469)</f>
        <v>0</v>
      </c>
      <c r="G580" s="12">
        <f>IF(OR($N506="RESTRINGIDO", $N509="RESTRINGIDO"), 0, G469)</f>
        <v>0</v>
      </c>
      <c r="H580" s="12">
        <f>IF(OR($N506="RESTRINGIDO", $N510="RESTRINGIDO"), 0, H469)</f>
        <v>0</v>
      </c>
      <c r="I580" s="12">
        <f>IF(OR($N506="RESTRINGIDO", $N511="RESTRINGIDO"), 0, I469)</f>
        <v>0</v>
      </c>
      <c r="J580" s="12">
        <f>IF(OR($N506="RESTRINGIDO", $N512="RESTRINGIDO"), 0, J469)</f>
        <v>0</v>
      </c>
      <c r="K580" s="12">
        <f>IF(OR($N506="RESTRINGIDO", $N513="RESTRINGIDO"), 0, K469)</f>
        <v>0</v>
      </c>
      <c r="L580" s="12">
        <f>IF(OR($N506="RESTRINGIDO", $N514="RESTRINGIDO"), 0, L469)</f>
        <v>0</v>
      </c>
      <c r="M580" s="12">
        <f>IF(OR($N506="RESTRINGIDO", $N515="RESTRINGIDO"), 0, M469)</f>
        <v>0</v>
      </c>
      <c r="N580" s="12">
        <f>IF(OR($N506="RESTRINGIDO", $N516="RESTRINGIDO"), 0, N469)</f>
        <v>0</v>
      </c>
      <c r="O580" s="12">
        <f>IF(OR($N506="RESTRINGIDO", $N517="RESTRINGIDO"), 0, O469)</f>
        <v>0</v>
      </c>
      <c r="P580" s="12">
        <f>IF(OR($N506="RESTRINGIDO", $N518="RESTRINGIDO"), 0, P469)</f>
        <v>0</v>
      </c>
      <c r="Q580" s="12">
        <f>IF(OR($N506="RESTRINGIDO", $N519="RESTRINGIDO"), 0, Q469)</f>
        <v>0</v>
      </c>
      <c r="R580" s="12">
        <f>IF(OR($N506="RESTRINGIDO", $N520="RESTRINGIDO"), 0, R469)</f>
        <v>0</v>
      </c>
      <c r="S580" s="12">
        <f>IF(OR($N506="RESTRINGIDO", $N521="RESTRINGIDO"), 0, S469)</f>
        <v>0</v>
      </c>
      <c r="T580" s="12">
        <f>IF(OR($N506="RESTRINGIDO", $N522="RESTRINGIDO"), 0, T469)</f>
        <v>0</v>
      </c>
      <c r="U580" s="12">
        <f>IF(OR($N506="RESTRINGIDO", $N523="RESTRINGIDO"), 0, U469)</f>
        <v>0</v>
      </c>
      <c r="V580" s="12">
        <f>IF(OR($N506="RESTRINGIDO", $N524="RESTRINGIDO"), 0, V469)</f>
        <v>0</v>
      </c>
      <c r="W580" s="12">
        <f>IF(OR($N506="RESTRINGIDO", $N525="RESTRINGIDO"), 0, W469)</f>
        <v>0</v>
      </c>
      <c r="X580" s="12">
        <f>IF(OR($N506="RESTRINGIDO", $N526="RESTRINGIDO"), 0, X469)</f>
        <v>0</v>
      </c>
      <c r="Y580" s="12">
        <f>IF(OR($N506="RESTRINGIDO", $N527="RESTRINGIDO"), 0, Y469)</f>
        <v>0</v>
      </c>
      <c r="Z580" s="12">
        <f>IF(OR($N506="RESTRINGIDO", $N528="RESTRINGIDO"), 0, Z469)</f>
        <v>0</v>
      </c>
      <c r="AA580" s="12">
        <f>IF(OR($N506="RESTRINGIDO", $N529="RESTRINGIDO"), 0, AA469)</f>
        <v>0</v>
      </c>
      <c r="AB580" s="12">
        <f>IF(OR($N506="RESTRINGIDO", $N530="RESTRINGIDO"), 0, AB469)</f>
        <v>0</v>
      </c>
      <c r="AC580" s="12">
        <f>IF(OR($N506="RESTRINGIDO", $N531="RESTRINGIDO"), 0, AC469)</f>
        <v>0</v>
      </c>
      <c r="AD580" s="12">
        <f>IF(OR($N506="RESTRINGIDO", $N532="RESTRINGIDO"), 0, AD469)</f>
        <v>0</v>
      </c>
      <c r="AE580" s="12">
        <f>IF(OR($N506="RESTRINGIDO", $N533="RESTRINGIDO"), 0, AE469)</f>
        <v>0</v>
      </c>
      <c r="AF580" s="12">
        <f>IF(OR($N506="RESTRINGIDO", $N534="RESTRINGIDO"), 0, AF469)</f>
        <v>0</v>
      </c>
      <c r="AG580" s="12">
        <f>IF(OR($N506="RESTRINGIDO", $N535="RESTRINGIDO"), 0, AG469)</f>
        <v>0</v>
      </c>
      <c r="AH580" s="12">
        <f>IF(OR($N506="RESTRINGIDO", $N536="RESTRINGIDO"), 0, AH469)</f>
        <v>0</v>
      </c>
      <c r="AJ580" s="32">
        <f>IF($N506="LIBRE", IF(ISNUMBER(E506), E506, 0), 0)</f>
        <v>0</v>
      </c>
      <c r="AL580" s="33">
        <v>0</v>
      </c>
      <c r="AN580" s="34">
        <v>75985.46475923556</v>
      </c>
    </row>
    <row r="581" spans="2:40" x14ac:dyDescent="0.25">
      <c r="B581" s="12">
        <f>IF(OR($N507="RESTRINGIDO", $N504="RESTRINGIDO"), 0, B470)</f>
        <v>0</v>
      </c>
      <c r="C581" s="12">
        <f>IF(OR($N507="RESTRINGIDO", $N505="RESTRINGIDO"), 0, C470)</f>
        <v>0</v>
      </c>
      <c r="D581" s="12">
        <f>IF(OR($N507="RESTRINGIDO", $N506="RESTRINGIDO"), 0, D470)</f>
        <v>0</v>
      </c>
      <c r="E581" s="24">
        <f>IF($N507="RESTRINGIDO", 1, IF(OR($N507="", $C470=""), 1, E470))</f>
        <v>0</v>
      </c>
      <c r="F581" s="12">
        <f>IF(OR($N507="RESTRINGIDO", $N508="RESTRINGIDO"), 0, F470)</f>
        <v>0</v>
      </c>
      <c r="G581" s="12">
        <f>IF(OR($N507="RESTRINGIDO", $N509="RESTRINGIDO"), 0, G470)</f>
        <v>0</v>
      </c>
      <c r="H581" s="12">
        <f>IF(OR($N507="RESTRINGIDO", $N510="RESTRINGIDO"), 0, H470)</f>
        <v>0</v>
      </c>
      <c r="I581" s="12">
        <f>IF(OR($N507="RESTRINGIDO", $N511="RESTRINGIDO"), 0, I470)</f>
        <v>0</v>
      </c>
      <c r="J581" s="12">
        <f>IF(OR($N507="RESTRINGIDO", $N512="RESTRINGIDO"), 0, J470)</f>
        <v>0</v>
      </c>
      <c r="K581" s="12">
        <f>IF(OR($N507="RESTRINGIDO", $N513="RESTRINGIDO"), 0, K470)</f>
        <v>0</v>
      </c>
      <c r="L581" s="12">
        <f>IF(OR($N507="RESTRINGIDO", $N514="RESTRINGIDO"), 0, L470)</f>
        <v>0</v>
      </c>
      <c r="M581" s="12">
        <f>IF(OR($N507="RESTRINGIDO", $N515="RESTRINGIDO"), 0, M470)</f>
        <v>0</v>
      </c>
      <c r="N581" s="12">
        <f>IF(OR($N507="RESTRINGIDO", $N516="RESTRINGIDO"), 0, N470)</f>
        <v>0</v>
      </c>
      <c r="O581" s="12">
        <f>IF(OR($N507="RESTRINGIDO", $N517="RESTRINGIDO"), 0, O470)</f>
        <v>0</v>
      </c>
      <c r="P581" s="12">
        <f>IF(OR($N507="RESTRINGIDO", $N518="RESTRINGIDO"), 0, P470)</f>
        <v>0</v>
      </c>
      <c r="Q581" s="12">
        <f>IF(OR($N507="RESTRINGIDO", $N519="RESTRINGIDO"), 0, Q470)</f>
        <v>0</v>
      </c>
      <c r="R581" s="12">
        <f>IF(OR($N507="RESTRINGIDO", $N520="RESTRINGIDO"), 0, R470)</f>
        <v>0</v>
      </c>
      <c r="S581" s="12">
        <f>IF(OR($N507="RESTRINGIDO", $N521="RESTRINGIDO"), 0, S470)</f>
        <v>0</v>
      </c>
      <c r="T581" s="12">
        <f>IF(OR($N507="RESTRINGIDO", $N522="RESTRINGIDO"), 0, T470)</f>
        <v>0</v>
      </c>
      <c r="U581" s="12">
        <f>IF(OR($N507="RESTRINGIDO", $N523="RESTRINGIDO"), 0, U470)</f>
        <v>0</v>
      </c>
      <c r="V581" s="12">
        <f>IF(OR($N507="RESTRINGIDO", $N524="RESTRINGIDO"), 0, V470)</f>
        <v>0</v>
      </c>
      <c r="W581" s="12">
        <f>IF(OR($N507="RESTRINGIDO", $N525="RESTRINGIDO"), 0, W470)</f>
        <v>0</v>
      </c>
      <c r="X581" s="12">
        <f>IF(OR($N507="RESTRINGIDO", $N526="RESTRINGIDO"), 0, X470)</f>
        <v>0</v>
      </c>
      <c r="Y581" s="12">
        <f>IF(OR($N507="RESTRINGIDO", $N527="RESTRINGIDO"), 0, Y470)</f>
        <v>0</v>
      </c>
      <c r="Z581" s="12">
        <f>IF(OR($N507="RESTRINGIDO", $N528="RESTRINGIDO"), 0, Z470)</f>
        <v>0</v>
      </c>
      <c r="AA581" s="12">
        <f>IF(OR($N507="RESTRINGIDO", $N529="RESTRINGIDO"), 0, AA470)</f>
        <v>0</v>
      </c>
      <c r="AB581" s="12">
        <f>IF(OR($N507="RESTRINGIDO", $N530="RESTRINGIDO"), 0, AB470)</f>
        <v>0</v>
      </c>
      <c r="AC581" s="12">
        <f>IF(OR($N507="RESTRINGIDO", $N531="RESTRINGIDO"), 0, AC470)</f>
        <v>0</v>
      </c>
      <c r="AD581" s="12">
        <f>IF(OR($N507="RESTRINGIDO", $N532="RESTRINGIDO"), 0, AD470)</f>
        <v>0</v>
      </c>
      <c r="AE581" s="12">
        <f>IF(OR($N507="RESTRINGIDO", $N533="RESTRINGIDO"), 0, AE470)</f>
        <v>0</v>
      </c>
      <c r="AF581" s="12">
        <f>IF(OR($N507="RESTRINGIDO", $N534="RESTRINGIDO"), 0, AF470)</f>
        <v>0</v>
      </c>
      <c r="AG581" s="12">
        <f>IF(OR($N507="RESTRINGIDO", $N535="RESTRINGIDO"), 0, AG470)</f>
        <v>0</v>
      </c>
      <c r="AH581" s="12">
        <f>IF(OR($N507="RESTRINGIDO", $N536="RESTRINGIDO"), 0, AH470)</f>
        <v>0</v>
      </c>
      <c r="AJ581" s="32">
        <f>IF($N507="LIBRE", IF(ISNUMBER(E507), E507, 0), 0)</f>
        <v>800</v>
      </c>
      <c r="AL581" s="33">
        <v>21.91119155360553</v>
      </c>
      <c r="AN581" s="34">
        <v>0</v>
      </c>
    </row>
    <row r="582" spans="2:40" x14ac:dyDescent="0.25">
      <c r="B582" s="12">
        <f>IF(OR($N508="RESTRINGIDO", $N504="RESTRINGIDO"), 0, B471)</f>
        <v>0</v>
      </c>
      <c r="C582" s="12">
        <f>IF(OR($N508="RESTRINGIDO", $N505="RESTRINGIDO"), 0, C471)</f>
        <v>0</v>
      </c>
      <c r="D582" s="12">
        <f>IF(OR($N508="RESTRINGIDO", $N506="RESTRINGIDO"), 0, D471)</f>
        <v>0</v>
      </c>
      <c r="E582" s="12">
        <f>IF(OR($N508="RESTRINGIDO", $N507="RESTRINGIDO"), 0, E471)</f>
        <v>0</v>
      </c>
      <c r="F582" s="24">
        <f>IF($N508="RESTRINGIDO", 1, IF(OR($N508="", $C471=""), 1, F471))</f>
        <v>0</v>
      </c>
      <c r="G582" s="12">
        <f>IF(OR($N508="RESTRINGIDO", $N509="RESTRINGIDO"), 0, G471)</f>
        <v>0</v>
      </c>
      <c r="H582" s="12">
        <f>IF(OR($N508="RESTRINGIDO", $N510="RESTRINGIDO"), 0, H471)</f>
        <v>0</v>
      </c>
      <c r="I582" s="12">
        <f>IF(OR($N508="RESTRINGIDO", $N511="RESTRINGIDO"), 0, I471)</f>
        <v>0</v>
      </c>
      <c r="J582" s="12">
        <f>IF(OR($N508="RESTRINGIDO", $N512="RESTRINGIDO"), 0, J471)</f>
        <v>0</v>
      </c>
      <c r="K582" s="12">
        <f>IF(OR($N508="RESTRINGIDO", $N513="RESTRINGIDO"), 0, K471)</f>
        <v>0</v>
      </c>
      <c r="L582" s="12">
        <f>IF(OR($N508="RESTRINGIDO", $N514="RESTRINGIDO"), 0, L471)</f>
        <v>0</v>
      </c>
      <c r="M582" s="12">
        <f>IF(OR($N508="RESTRINGIDO", $N515="RESTRINGIDO"), 0, M471)</f>
        <v>0</v>
      </c>
      <c r="N582" s="12">
        <f>IF(OR($N508="RESTRINGIDO", $N516="RESTRINGIDO"), 0, N471)</f>
        <v>0</v>
      </c>
      <c r="O582" s="12">
        <f>IF(OR($N508="RESTRINGIDO", $N517="RESTRINGIDO"), 0, O471)</f>
        <v>0</v>
      </c>
      <c r="P582" s="12">
        <f>IF(OR($N508="RESTRINGIDO", $N518="RESTRINGIDO"), 0, P471)</f>
        <v>0</v>
      </c>
      <c r="Q582" s="12">
        <f>IF(OR($N508="RESTRINGIDO", $N519="RESTRINGIDO"), 0, Q471)</f>
        <v>0</v>
      </c>
      <c r="R582" s="12">
        <f>IF(OR($N508="RESTRINGIDO", $N520="RESTRINGIDO"), 0, R471)</f>
        <v>0</v>
      </c>
      <c r="S582" s="12">
        <f>IF(OR($N508="RESTRINGIDO", $N521="RESTRINGIDO"), 0, S471)</f>
        <v>0</v>
      </c>
      <c r="T582" s="12">
        <f>IF(OR($N508="RESTRINGIDO", $N522="RESTRINGIDO"), 0, T471)</f>
        <v>0</v>
      </c>
      <c r="U582" s="12">
        <f>IF(OR($N508="RESTRINGIDO", $N523="RESTRINGIDO"), 0, U471)</f>
        <v>0</v>
      </c>
      <c r="V582" s="12">
        <f>IF(OR($N508="RESTRINGIDO", $N524="RESTRINGIDO"), 0, V471)</f>
        <v>0</v>
      </c>
      <c r="W582" s="12">
        <f>IF(OR($N508="RESTRINGIDO", $N525="RESTRINGIDO"), 0, W471)</f>
        <v>0</v>
      </c>
      <c r="X582" s="12">
        <f>IF(OR($N508="RESTRINGIDO", $N526="RESTRINGIDO"), 0, X471)</f>
        <v>0</v>
      </c>
      <c r="Y582" s="12">
        <f>IF(OR($N508="RESTRINGIDO", $N527="RESTRINGIDO"), 0, Y471)</f>
        <v>0</v>
      </c>
      <c r="Z582" s="12">
        <f>IF(OR($N508="RESTRINGIDO", $N528="RESTRINGIDO"), 0, Z471)</f>
        <v>0</v>
      </c>
      <c r="AA582" s="12">
        <f>IF(OR($N508="RESTRINGIDO", $N529="RESTRINGIDO"), 0, AA471)</f>
        <v>0</v>
      </c>
      <c r="AB582" s="12">
        <f>IF(OR($N508="RESTRINGIDO", $N530="RESTRINGIDO"), 0, AB471)</f>
        <v>0</v>
      </c>
      <c r="AC582" s="12">
        <f>IF(OR($N508="RESTRINGIDO", $N531="RESTRINGIDO"), 0, AC471)</f>
        <v>0</v>
      </c>
      <c r="AD582" s="12">
        <f>IF(OR($N508="RESTRINGIDO", $N532="RESTRINGIDO"), 0, AD471)</f>
        <v>0</v>
      </c>
      <c r="AE582" s="12">
        <f>IF(OR($N508="RESTRINGIDO", $N533="RESTRINGIDO"), 0, AE471)</f>
        <v>0</v>
      </c>
      <c r="AF582" s="12">
        <f>IF(OR($N508="RESTRINGIDO", $N534="RESTRINGIDO"), 0, AF471)</f>
        <v>0</v>
      </c>
      <c r="AG582" s="12">
        <f>IF(OR($N508="RESTRINGIDO", $N535="RESTRINGIDO"), 0, AG471)</f>
        <v>0</v>
      </c>
      <c r="AH582" s="12">
        <f>IF(OR($N508="RESTRINGIDO", $N536="RESTRINGIDO"), 0, AH471)</f>
        <v>0</v>
      </c>
      <c r="AJ582" s="32">
        <f>IF($N508="LIBRE", IF(ISNUMBER(E508), E508, 0), 0)</f>
        <v>0</v>
      </c>
      <c r="AL582" s="33">
        <v>-0.010266038293366973</v>
      </c>
      <c r="AN582" s="34">
        <v>-2.2737367544323206e-13</v>
      </c>
    </row>
    <row r="583" spans="2:40" x14ac:dyDescent="0.25">
      <c r="B583" s="12">
        <f>IF(OR($N509="RESTRINGIDO", $N504="RESTRINGIDO"), 0, B472)</f>
        <v>0</v>
      </c>
      <c r="C583" s="12">
        <f>IF(OR($N509="RESTRINGIDO", $N505="RESTRINGIDO"), 0, C472)</f>
        <v>0</v>
      </c>
      <c r="D583" s="12">
        <f>IF(OR($N509="RESTRINGIDO", $N506="RESTRINGIDO"), 0, D472)</f>
        <v>0</v>
      </c>
      <c r="E583" s="12">
        <f>IF(OR($N509="RESTRINGIDO", $N507="RESTRINGIDO"), 0, E472)</f>
        <v>0</v>
      </c>
      <c r="F583" s="12">
        <f>IF(OR($N509="RESTRINGIDO", $N508="RESTRINGIDO"), 0, F472)</f>
        <v>0</v>
      </c>
      <c r="G583" s="24">
        <f>IF($N509="RESTRINGIDO", 1, IF(OR($N509="", $C472=""), 1, G472))</f>
        <v>0</v>
      </c>
      <c r="H583" s="12">
        <f>IF(OR($N509="RESTRINGIDO", $N510="RESTRINGIDO"), 0, H472)</f>
        <v>0</v>
      </c>
      <c r="I583" s="12">
        <f>IF(OR($N509="RESTRINGIDO", $N511="RESTRINGIDO"), 0, I472)</f>
        <v>0</v>
      </c>
      <c r="J583" s="12">
        <f>IF(OR($N509="RESTRINGIDO", $N512="RESTRINGIDO"), 0, J472)</f>
        <v>0</v>
      </c>
      <c r="K583" s="12">
        <f>IF(OR($N509="RESTRINGIDO", $N513="RESTRINGIDO"), 0, K472)</f>
        <v>0</v>
      </c>
      <c r="L583" s="12">
        <f>IF(OR($N509="RESTRINGIDO", $N514="RESTRINGIDO"), 0, L472)</f>
        <v>0</v>
      </c>
      <c r="M583" s="12">
        <f>IF(OR($N509="RESTRINGIDO", $N515="RESTRINGIDO"), 0, M472)</f>
        <v>0</v>
      </c>
      <c r="N583" s="12">
        <f>IF(OR($N509="RESTRINGIDO", $N516="RESTRINGIDO"), 0, N472)</f>
        <v>0</v>
      </c>
      <c r="O583" s="12">
        <f>IF(OR($N509="RESTRINGIDO", $N517="RESTRINGIDO"), 0, O472)</f>
        <v>0</v>
      </c>
      <c r="P583" s="12">
        <f>IF(OR($N509="RESTRINGIDO", $N518="RESTRINGIDO"), 0, P472)</f>
        <v>0</v>
      </c>
      <c r="Q583" s="12">
        <f>IF(OR($N509="RESTRINGIDO", $N519="RESTRINGIDO"), 0, Q472)</f>
        <v>0</v>
      </c>
      <c r="R583" s="12">
        <f>IF(OR($N509="RESTRINGIDO", $N520="RESTRINGIDO"), 0, R472)</f>
        <v>0</v>
      </c>
      <c r="S583" s="12">
        <f>IF(OR($N509="RESTRINGIDO", $N521="RESTRINGIDO"), 0, S472)</f>
        <v>0</v>
      </c>
      <c r="T583" s="12">
        <f>IF(OR($N509="RESTRINGIDO", $N522="RESTRINGIDO"), 0, T472)</f>
        <v>0</v>
      </c>
      <c r="U583" s="12">
        <f>IF(OR($N509="RESTRINGIDO", $N523="RESTRINGIDO"), 0, U472)</f>
        <v>0</v>
      </c>
      <c r="V583" s="12">
        <f>IF(OR($N509="RESTRINGIDO", $N524="RESTRINGIDO"), 0, V472)</f>
        <v>0</v>
      </c>
      <c r="W583" s="12">
        <f>IF(OR($N509="RESTRINGIDO", $N525="RESTRINGIDO"), 0, W472)</f>
        <v>0</v>
      </c>
      <c r="X583" s="12">
        <f>IF(OR($N509="RESTRINGIDO", $N526="RESTRINGIDO"), 0, X472)</f>
        <v>0</v>
      </c>
      <c r="Y583" s="12">
        <f>IF(OR($N509="RESTRINGIDO", $N527="RESTRINGIDO"), 0, Y472)</f>
        <v>0</v>
      </c>
      <c r="Z583" s="12">
        <f>IF(OR($N509="RESTRINGIDO", $N528="RESTRINGIDO"), 0, Z472)</f>
        <v>0</v>
      </c>
      <c r="AA583" s="12">
        <f>IF(OR($N509="RESTRINGIDO", $N529="RESTRINGIDO"), 0, AA472)</f>
        <v>0</v>
      </c>
      <c r="AB583" s="12">
        <f>IF(OR($N509="RESTRINGIDO", $N530="RESTRINGIDO"), 0, AB472)</f>
        <v>0</v>
      </c>
      <c r="AC583" s="12">
        <f>IF(OR($N509="RESTRINGIDO", $N531="RESTRINGIDO"), 0, AC472)</f>
        <v>0</v>
      </c>
      <c r="AD583" s="12">
        <f>IF(OR($N509="RESTRINGIDO", $N532="RESTRINGIDO"), 0, AD472)</f>
        <v>0</v>
      </c>
      <c r="AE583" s="12">
        <f>IF(OR($N509="RESTRINGIDO", $N533="RESTRINGIDO"), 0, AE472)</f>
        <v>0</v>
      </c>
      <c r="AF583" s="12">
        <f>IF(OR($N509="RESTRINGIDO", $N534="RESTRINGIDO"), 0, AF472)</f>
        <v>0</v>
      </c>
      <c r="AG583" s="12">
        <f>IF(OR($N509="RESTRINGIDO", $N535="RESTRINGIDO"), 0, AG472)</f>
        <v>0</v>
      </c>
      <c r="AH583" s="12">
        <f>IF(OR($N509="RESTRINGIDO", $N536="RESTRINGIDO"), 0, AH472)</f>
        <v>0</v>
      </c>
      <c r="AJ583" s="32">
        <f>IF($N509="LIBRE", IF(ISNUMBER(E509), E509, 0), 0)</f>
        <v>53333.333333333336</v>
      </c>
      <c r="AL583" s="33">
        <v>-0.12291289633039167</v>
      </c>
      <c r="AN583" s="34">
        <v>-7.275957614183426e-12</v>
      </c>
    </row>
    <row r="584" spans="2:40" x14ac:dyDescent="0.25">
      <c r="B584" s="12">
        <f>IF(OR($N510="RESTRINGIDO", $N504="RESTRINGIDO"), 0, B473)</f>
        <v>0</v>
      </c>
      <c r="C584" s="12">
        <f>IF(OR($N510="RESTRINGIDO", $N505="RESTRINGIDO"), 0, C473)</f>
        <v>0</v>
      </c>
      <c r="D584" s="12">
        <f>IF(OR($N510="RESTRINGIDO", $N506="RESTRINGIDO"), 0, D473)</f>
        <v>0</v>
      </c>
      <c r="E584" s="12">
        <f>IF(OR($N510="RESTRINGIDO", $N507="RESTRINGIDO"), 0, E473)</f>
        <v>0</v>
      </c>
      <c r="F584" s="12">
        <f>IF(OR($N510="RESTRINGIDO", $N508="RESTRINGIDO"), 0, F473)</f>
        <v>0</v>
      </c>
      <c r="G584" s="12">
        <f>IF(OR($N510="RESTRINGIDO", $N509="RESTRINGIDO"), 0, G473)</f>
        <v>0</v>
      </c>
      <c r="H584" s="24">
        <f>IF($N510="RESTRINGIDO", 1, IF(OR($N510="", $C473=""), 1, H473))</f>
        <v>0</v>
      </c>
      <c r="I584" s="12">
        <f>IF(OR($N510="RESTRINGIDO", $N511="RESTRINGIDO"), 0, I473)</f>
        <v>0</v>
      </c>
      <c r="J584" s="12">
        <f>IF(OR($N510="RESTRINGIDO", $N512="RESTRINGIDO"), 0, J473)</f>
        <v>0</v>
      </c>
      <c r="K584" s="12">
        <f>IF(OR($N510="RESTRINGIDO", $N513="RESTRINGIDO"), 0, K473)</f>
        <v>0</v>
      </c>
      <c r="L584" s="12">
        <f>IF(OR($N510="RESTRINGIDO", $N514="RESTRINGIDO"), 0, L473)</f>
        <v>0</v>
      </c>
      <c r="M584" s="12">
        <f>IF(OR($N510="RESTRINGIDO", $N515="RESTRINGIDO"), 0, M473)</f>
        <v>0</v>
      </c>
      <c r="N584" s="12">
        <f>IF(OR($N510="RESTRINGIDO", $N516="RESTRINGIDO"), 0, N473)</f>
        <v>0</v>
      </c>
      <c r="O584" s="12">
        <f>IF(OR($N510="RESTRINGIDO", $N517="RESTRINGIDO"), 0, O473)</f>
        <v>0</v>
      </c>
      <c r="P584" s="12">
        <f>IF(OR($N510="RESTRINGIDO", $N518="RESTRINGIDO"), 0, P473)</f>
        <v>0</v>
      </c>
      <c r="Q584" s="12">
        <f>IF(OR($N510="RESTRINGIDO", $N519="RESTRINGIDO"), 0, Q473)</f>
        <v>0</v>
      </c>
      <c r="R584" s="12">
        <f>IF(OR($N510="RESTRINGIDO", $N520="RESTRINGIDO"), 0, R473)</f>
        <v>0</v>
      </c>
      <c r="S584" s="12">
        <f>IF(OR($N510="RESTRINGIDO", $N521="RESTRINGIDO"), 0, S473)</f>
        <v>0</v>
      </c>
      <c r="T584" s="12">
        <f>IF(OR($N510="RESTRINGIDO", $N522="RESTRINGIDO"), 0, T473)</f>
        <v>0</v>
      </c>
      <c r="U584" s="12">
        <f>IF(OR($N510="RESTRINGIDO", $N523="RESTRINGIDO"), 0, U473)</f>
        <v>0</v>
      </c>
      <c r="V584" s="12">
        <f>IF(OR($N510="RESTRINGIDO", $N524="RESTRINGIDO"), 0, V473)</f>
        <v>0</v>
      </c>
      <c r="W584" s="12">
        <f>IF(OR($N510="RESTRINGIDO", $N525="RESTRINGIDO"), 0, W473)</f>
        <v>0</v>
      </c>
      <c r="X584" s="12">
        <f>IF(OR($N510="RESTRINGIDO", $N526="RESTRINGIDO"), 0, X473)</f>
        <v>0</v>
      </c>
      <c r="Y584" s="12">
        <f>IF(OR($N510="RESTRINGIDO", $N527="RESTRINGIDO"), 0, Y473)</f>
        <v>0</v>
      </c>
      <c r="Z584" s="12">
        <f>IF(OR($N510="RESTRINGIDO", $N528="RESTRINGIDO"), 0, Z473)</f>
        <v>0</v>
      </c>
      <c r="AA584" s="12">
        <f>IF(OR($N510="RESTRINGIDO", $N529="RESTRINGIDO"), 0, AA473)</f>
        <v>0</v>
      </c>
      <c r="AB584" s="12">
        <f>IF(OR($N510="RESTRINGIDO", $N530="RESTRINGIDO"), 0, AB473)</f>
        <v>0</v>
      </c>
      <c r="AC584" s="12">
        <f>IF(OR($N510="RESTRINGIDO", $N531="RESTRINGIDO"), 0, AC473)</f>
        <v>0</v>
      </c>
      <c r="AD584" s="12">
        <f>IF(OR($N510="RESTRINGIDO", $N532="RESTRINGIDO"), 0, AD473)</f>
        <v>0</v>
      </c>
      <c r="AE584" s="12">
        <f>IF(OR($N510="RESTRINGIDO", $N533="RESTRINGIDO"), 0, AE473)</f>
        <v>0</v>
      </c>
      <c r="AF584" s="12">
        <f>IF(OR($N510="RESTRINGIDO", $N534="RESTRINGIDO"), 0, AF473)</f>
        <v>0</v>
      </c>
      <c r="AG584" s="12">
        <f>IF(OR($N510="RESTRINGIDO", $N535="RESTRINGIDO"), 0, AG473)</f>
        <v>0</v>
      </c>
      <c r="AH584" s="12">
        <f>IF(OR($N510="RESTRINGIDO", $N536="RESTRINGIDO"), 0, AH473)</f>
        <v>0</v>
      </c>
      <c r="AJ584" s="32">
        <f>IF($N510="LIBRE", IF(ISNUMBER(E510), E510, 0), 0)</f>
        <v>0</v>
      </c>
      <c r="AL584" s="33">
        <v>21.906307071786546</v>
      </c>
      <c r="AN584" s="34">
        <v>-1.862645149230957e-9</v>
      </c>
    </row>
    <row r="585" spans="2:40" x14ac:dyDescent="0.25">
      <c r="B585" s="12">
        <f>IF(OR($N511="RESTRINGIDO", $N504="RESTRINGIDO"), 0, B474)</f>
        <v>0</v>
      </c>
      <c r="C585" s="12">
        <f>IF(OR($N511="RESTRINGIDO", $N505="RESTRINGIDO"), 0, C474)</f>
        <v>0</v>
      </c>
      <c r="D585" s="12">
        <f>IF(OR($N511="RESTRINGIDO", $N506="RESTRINGIDO"), 0, D474)</f>
        <v>0</v>
      </c>
      <c r="E585" s="12">
        <f>IF(OR($N511="RESTRINGIDO", $N507="RESTRINGIDO"), 0, E474)</f>
        <v>0</v>
      </c>
      <c r="F585" s="12">
        <f>IF(OR($N511="RESTRINGIDO", $N508="RESTRINGIDO"), 0, F474)</f>
        <v>0</v>
      </c>
      <c r="G585" s="12">
        <f>IF(OR($N511="RESTRINGIDO", $N509="RESTRINGIDO"), 0, G474)</f>
        <v>0</v>
      </c>
      <c r="H585" s="12">
        <f>IF(OR($N511="RESTRINGIDO", $N510="RESTRINGIDO"), 0, H474)</f>
        <v>0</v>
      </c>
      <c r="I585" s="24">
        <f>IF($N511="RESTRINGIDO", 1, IF(OR($N511="", $C474=""), 1, I474))</f>
        <v>0</v>
      </c>
      <c r="J585" s="12">
        <f>IF(OR($N511="RESTRINGIDO", $N512="RESTRINGIDO"), 0, J474)</f>
        <v>0</v>
      </c>
      <c r="K585" s="12">
        <f>IF(OR($N511="RESTRINGIDO", $N513="RESTRINGIDO"), 0, K474)</f>
        <v>0</v>
      </c>
      <c r="L585" s="12">
        <f>IF(OR($N511="RESTRINGIDO", $N514="RESTRINGIDO"), 0, L474)</f>
        <v>0</v>
      </c>
      <c r="M585" s="12">
        <f>IF(OR($N511="RESTRINGIDO", $N515="RESTRINGIDO"), 0, M474)</f>
        <v>0</v>
      </c>
      <c r="N585" s="12">
        <f>IF(OR($N511="RESTRINGIDO", $N516="RESTRINGIDO"), 0, N474)</f>
        <v>0</v>
      </c>
      <c r="O585" s="12">
        <f>IF(OR($N511="RESTRINGIDO", $N517="RESTRINGIDO"), 0, O474)</f>
        <v>0</v>
      </c>
      <c r="P585" s="12">
        <f>IF(OR($N511="RESTRINGIDO", $N518="RESTRINGIDO"), 0, P474)</f>
        <v>0</v>
      </c>
      <c r="Q585" s="12">
        <f>IF(OR($N511="RESTRINGIDO", $N519="RESTRINGIDO"), 0, Q474)</f>
        <v>0</v>
      </c>
      <c r="R585" s="12">
        <f>IF(OR($N511="RESTRINGIDO", $N520="RESTRINGIDO"), 0, R474)</f>
        <v>0</v>
      </c>
      <c r="S585" s="12">
        <f>IF(OR($N511="RESTRINGIDO", $N521="RESTRINGIDO"), 0, S474)</f>
        <v>0</v>
      </c>
      <c r="T585" s="12">
        <f>IF(OR($N511="RESTRINGIDO", $N522="RESTRINGIDO"), 0, T474)</f>
        <v>0</v>
      </c>
      <c r="U585" s="12">
        <f>IF(OR($N511="RESTRINGIDO", $N523="RESTRINGIDO"), 0, U474)</f>
        <v>0</v>
      </c>
      <c r="V585" s="12">
        <f>IF(OR($N511="RESTRINGIDO", $N524="RESTRINGIDO"), 0, V474)</f>
        <v>0</v>
      </c>
      <c r="W585" s="12">
        <f>IF(OR($N511="RESTRINGIDO", $N525="RESTRINGIDO"), 0, W474)</f>
        <v>0</v>
      </c>
      <c r="X585" s="12">
        <f>IF(OR($N511="RESTRINGIDO", $N526="RESTRINGIDO"), 0, X474)</f>
        <v>0</v>
      </c>
      <c r="Y585" s="12">
        <f>IF(OR($N511="RESTRINGIDO", $N527="RESTRINGIDO"), 0, Y474)</f>
        <v>0</v>
      </c>
      <c r="Z585" s="12">
        <f>IF(OR($N511="RESTRINGIDO", $N528="RESTRINGIDO"), 0, Z474)</f>
        <v>0</v>
      </c>
      <c r="AA585" s="12">
        <f>IF(OR($N511="RESTRINGIDO", $N529="RESTRINGIDO"), 0, AA474)</f>
        <v>0</v>
      </c>
      <c r="AB585" s="12">
        <f>IF(OR($N511="RESTRINGIDO", $N530="RESTRINGIDO"), 0, AB474)</f>
        <v>0</v>
      </c>
      <c r="AC585" s="12">
        <f>IF(OR($N511="RESTRINGIDO", $N531="RESTRINGIDO"), 0, AC474)</f>
        <v>0</v>
      </c>
      <c r="AD585" s="12">
        <f>IF(OR($N511="RESTRINGIDO", $N532="RESTRINGIDO"), 0, AD474)</f>
        <v>0</v>
      </c>
      <c r="AE585" s="12">
        <f>IF(OR($N511="RESTRINGIDO", $N533="RESTRINGIDO"), 0, AE474)</f>
        <v>0</v>
      </c>
      <c r="AF585" s="12">
        <f>IF(OR($N511="RESTRINGIDO", $N534="RESTRINGIDO"), 0, AF474)</f>
        <v>0</v>
      </c>
      <c r="AG585" s="12">
        <f>IF(OR($N511="RESTRINGIDO", $N535="RESTRINGIDO"), 0, AG474)</f>
        <v>0</v>
      </c>
      <c r="AH585" s="12">
        <f>IF(OR($N511="RESTRINGIDO", $N536="RESTRINGIDO"), 0, AH474)</f>
        <v>0</v>
      </c>
      <c r="AJ585" s="32">
        <f>IF($N511="LIBRE", IF(ISNUMBER(E511), E511, 0), 0)</f>
        <v>-7000</v>
      </c>
      <c r="AL585" s="33">
        <v>-21.726052898053254</v>
      </c>
      <c r="AN585" s="34">
        <v>3.637978807091713e-12</v>
      </c>
    </row>
    <row r="586" spans="2:40" x14ac:dyDescent="0.25">
      <c r="B586" s="12">
        <f>IF(OR($N512="RESTRINGIDO", $N504="RESTRINGIDO"), 0, B475)</f>
        <v>0</v>
      </c>
      <c r="C586" s="12">
        <f>IF(OR($N512="RESTRINGIDO", $N505="RESTRINGIDO"), 0, C475)</f>
        <v>0</v>
      </c>
      <c r="D586" s="12">
        <f>IF(OR($N512="RESTRINGIDO", $N506="RESTRINGIDO"), 0, D475)</f>
        <v>0</v>
      </c>
      <c r="E586" s="12">
        <f>IF(OR($N512="RESTRINGIDO", $N507="RESTRINGIDO"), 0, E475)</f>
        <v>0</v>
      </c>
      <c r="F586" s="12">
        <f>IF(OR($N512="RESTRINGIDO", $N508="RESTRINGIDO"), 0, F475)</f>
        <v>0</v>
      </c>
      <c r="G586" s="12">
        <f>IF(OR($N512="RESTRINGIDO", $N509="RESTRINGIDO"), 0, G475)</f>
        <v>0</v>
      </c>
      <c r="H586" s="12">
        <f>IF(OR($N512="RESTRINGIDO", $N510="RESTRINGIDO"), 0, H475)</f>
        <v>0</v>
      </c>
      <c r="I586" s="12">
        <f>IF(OR($N512="RESTRINGIDO", $N511="RESTRINGIDO"), 0, I475)</f>
        <v>0</v>
      </c>
      <c r="J586" s="24">
        <f>IF($N512="RESTRINGIDO", 1, IF(OR($N512="", $C475=""), 1, J475))</f>
        <v>0</v>
      </c>
      <c r="K586" s="12">
        <f>IF(OR($N512="RESTRINGIDO", $N513="RESTRINGIDO"), 0, K475)</f>
        <v>0</v>
      </c>
      <c r="L586" s="12">
        <f>IF(OR($N512="RESTRINGIDO", $N514="RESTRINGIDO"), 0, L475)</f>
        <v>0</v>
      </c>
      <c r="M586" s="12">
        <f>IF(OR($N512="RESTRINGIDO", $N515="RESTRINGIDO"), 0, M475)</f>
        <v>0</v>
      </c>
      <c r="N586" s="12">
        <f>IF(OR($N512="RESTRINGIDO", $N516="RESTRINGIDO"), 0, N475)</f>
        <v>0</v>
      </c>
      <c r="O586" s="12">
        <f>IF(OR($N512="RESTRINGIDO", $N517="RESTRINGIDO"), 0, O475)</f>
        <v>0</v>
      </c>
      <c r="P586" s="12">
        <f>IF(OR($N512="RESTRINGIDO", $N518="RESTRINGIDO"), 0, P475)</f>
        <v>0</v>
      </c>
      <c r="Q586" s="12">
        <f>IF(OR($N512="RESTRINGIDO", $N519="RESTRINGIDO"), 0, Q475)</f>
        <v>0</v>
      </c>
      <c r="R586" s="12">
        <f>IF(OR($N512="RESTRINGIDO", $N520="RESTRINGIDO"), 0, R475)</f>
        <v>0</v>
      </c>
      <c r="S586" s="12">
        <f>IF(OR($N512="RESTRINGIDO", $N521="RESTRINGIDO"), 0, S475)</f>
        <v>0</v>
      </c>
      <c r="T586" s="12">
        <f>IF(OR($N512="RESTRINGIDO", $N522="RESTRINGIDO"), 0, T475)</f>
        <v>0</v>
      </c>
      <c r="U586" s="12">
        <f>IF(OR($N512="RESTRINGIDO", $N523="RESTRINGIDO"), 0, U475)</f>
        <v>0</v>
      </c>
      <c r="V586" s="12">
        <f>IF(OR($N512="RESTRINGIDO", $N524="RESTRINGIDO"), 0, V475)</f>
        <v>0</v>
      </c>
      <c r="W586" s="12">
        <f>IF(OR($N512="RESTRINGIDO", $N525="RESTRINGIDO"), 0, W475)</f>
        <v>0</v>
      </c>
      <c r="X586" s="12">
        <f>IF(OR($N512="RESTRINGIDO", $N526="RESTRINGIDO"), 0, X475)</f>
        <v>0</v>
      </c>
      <c r="Y586" s="12">
        <f>IF(OR($N512="RESTRINGIDO", $N527="RESTRINGIDO"), 0, Y475)</f>
        <v>0</v>
      </c>
      <c r="Z586" s="12">
        <f>IF(OR($N512="RESTRINGIDO", $N528="RESTRINGIDO"), 0, Z475)</f>
        <v>0</v>
      </c>
      <c r="AA586" s="12">
        <f>IF(OR($N512="RESTRINGIDO", $N529="RESTRINGIDO"), 0, AA475)</f>
        <v>0</v>
      </c>
      <c r="AB586" s="12">
        <f>IF(OR($N512="RESTRINGIDO", $N530="RESTRINGIDO"), 0, AB475)</f>
        <v>0</v>
      </c>
      <c r="AC586" s="12">
        <f>IF(OR($N512="RESTRINGIDO", $N531="RESTRINGIDO"), 0, AC475)</f>
        <v>0</v>
      </c>
      <c r="AD586" s="12">
        <f>IF(OR($N512="RESTRINGIDO", $N532="RESTRINGIDO"), 0, AD475)</f>
        <v>0</v>
      </c>
      <c r="AE586" s="12">
        <f>IF(OR($N512="RESTRINGIDO", $N533="RESTRINGIDO"), 0, AE475)</f>
        <v>0</v>
      </c>
      <c r="AF586" s="12">
        <f>IF(OR($N512="RESTRINGIDO", $N534="RESTRINGIDO"), 0, AF475)</f>
        <v>0</v>
      </c>
      <c r="AG586" s="12">
        <f>IF(OR($N512="RESTRINGIDO", $N535="RESTRINGIDO"), 0, AG475)</f>
        <v>0</v>
      </c>
      <c r="AH586" s="12">
        <f>IF(OR($N512="RESTRINGIDO", $N536="RESTRINGIDO"), 0, AH475)</f>
        <v>0</v>
      </c>
      <c r="AJ586" s="32">
        <f>IF($N512="LIBRE", IF(ISNUMBER(E512), E512, 0), 0)</f>
        <v>0</v>
      </c>
      <c r="AL586" s="33">
        <v>0.1629296732125979</v>
      </c>
      <c r="AN586" s="34">
        <v>-1.7462298274040222e-10</v>
      </c>
    </row>
    <row r="587" spans="2:40" x14ac:dyDescent="0.25">
      <c r="B587" s="12">
        <f>IF(OR($N513="RESTRINGIDO", $N504="RESTRINGIDO"), 0, B476)</f>
        <v>0</v>
      </c>
      <c r="C587" s="12">
        <f>IF(OR($N513="RESTRINGIDO", $N505="RESTRINGIDO"), 0, C476)</f>
        <v>0</v>
      </c>
      <c r="D587" s="12">
        <f>IF(OR($N513="RESTRINGIDO", $N506="RESTRINGIDO"), 0, D476)</f>
        <v>0</v>
      </c>
      <c r="E587" s="12">
        <f>IF(OR($N513="RESTRINGIDO", $N507="RESTRINGIDO"), 0, E476)</f>
        <v>0</v>
      </c>
      <c r="F587" s="12">
        <f>IF(OR($N513="RESTRINGIDO", $N508="RESTRINGIDO"), 0, F476)</f>
        <v>0</v>
      </c>
      <c r="G587" s="12">
        <f>IF(OR($N513="RESTRINGIDO", $N509="RESTRINGIDO"), 0, G476)</f>
        <v>0</v>
      </c>
      <c r="H587" s="12">
        <f>IF(OR($N513="RESTRINGIDO", $N510="RESTRINGIDO"), 0, H476)</f>
        <v>0</v>
      </c>
      <c r="I587" s="12">
        <f>IF(OR($N513="RESTRINGIDO", $N511="RESTRINGIDO"), 0, I476)</f>
        <v>0</v>
      </c>
      <c r="J587" s="12">
        <f>IF(OR($N513="RESTRINGIDO", $N512="RESTRINGIDO"), 0, J476)</f>
        <v>0</v>
      </c>
      <c r="K587" s="24">
        <f>IF($N513="RESTRINGIDO", 1, IF(OR($N513="", $C476=""), 1, K476))</f>
        <v>0</v>
      </c>
      <c r="L587" s="12">
        <f>IF(OR($N513="RESTRINGIDO", $N514="RESTRINGIDO"), 0, L476)</f>
        <v>0</v>
      </c>
      <c r="M587" s="12">
        <f>IF(OR($N513="RESTRINGIDO", $N515="RESTRINGIDO"), 0, M476)</f>
        <v>0</v>
      </c>
      <c r="N587" s="12">
        <f>IF(OR($N513="RESTRINGIDO", $N516="RESTRINGIDO"), 0, N476)</f>
        <v>0</v>
      </c>
      <c r="O587" s="12">
        <f>IF(OR($N513="RESTRINGIDO", $N517="RESTRINGIDO"), 0, O476)</f>
        <v>0</v>
      </c>
      <c r="P587" s="12">
        <f>IF(OR($N513="RESTRINGIDO", $N518="RESTRINGIDO"), 0, P476)</f>
        <v>0</v>
      </c>
      <c r="Q587" s="12">
        <f>IF(OR($N513="RESTRINGIDO", $N519="RESTRINGIDO"), 0, Q476)</f>
        <v>0</v>
      </c>
      <c r="R587" s="12">
        <f>IF(OR($N513="RESTRINGIDO", $N520="RESTRINGIDO"), 0, R476)</f>
        <v>0</v>
      </c>
      <c r="S587" s="12">
        <f>IF(OR($N513="RESTRINGIDO", $N521="RESTRINGIDO"), 0, S476)</f>
        <v>0</v>
      </c>
      <c r="T587" s="12">
        <f>IF(OR($N513="RESTRINGIDO", $N522="RESTRINGIDO"), 0, T476)</f>
        <v>0</v>
      </c>
      <c r="U587" s="12">
        <f>IF(OR($N513="RESTRINGIDO", $N523="RESTRINGIDO"), 0, U476)</f>
        <v>0</v>
      </c>
      <c r="V587" s="12">
        <f>IF(OR($N513="RESTRINGIDO", $N524="RESTRINGIDO"), 0, V476)</f>
        <v>0</v>
      </c>
      <c r="W587" s="12">
        <f>IF(OR($N513="RESTRINGIDO", $N525="RESTRINGIDO"), 0, W476)</f>
        <v>0</v>
      </c>
      <c r="X587" s="12">
        <f>IF(OR($N513="RESTRINGIDO", $N526="RESTRINGIDO"), 0, X476)</f>
        <v>0</v>
      </c>
      <c r="Y587" s="12">
        <f>IF(OR($N513="RESTRINGIDO", $N527="RESTRINGIDO"), 0, Y476)</f>
        <v>0</v>
      </c>
      <c r="Z587" s="12">
        <f>IF(OR($N513="RESTRINGIDO", $N528="RESTRINGIDO"), 0, Z476)</f>
        <v>0</v>
      </c>
      <c r="AA587" s="12">
        <f>IF(OR($N513="RESTRINGIDO", $N529="RESTRINGIDO"), 0, AA476)</f>
        <v>0</v>
      </c>
      <c r="AB587" s="12">
        <f>IF(OR($N513="RESTRINGIDO", $N530="RESTRINGIDO"), 0, AB476)</f>
        <v>0</v>
      </c>
      <c r="AC587" s="12">
        <f>IF(OR($N513="RESTRINGIDO", $N531="RESTRINGIDO"), 0, AC476)</f>
        <v>0</v>
      </c>
      <c r="AD587" s="12">
        <f>IF(OR($N513="RESTRINGIDO", $N532="RESTRINGIDO"), 0, AD476)</f>
        <v>0</v>
      </c>
      <c r="AE587" s="12">
        <f>IF(OR($N513="RESTRINGIDO", $N533="RESTRINGIDO"), 0, AE476)</f>
        <v>0</v>
      </c>
      <c r="AF587" s="12">
        <f>IF(OR($N513="RESTRINGIDO", $N534="RESTRINGIDO"), 0, AF476)</f>
        <v>0</v>
      </c>
      <c r="AG587" s="12">
        <f>IF(OR($N513="RESTRINGIDO", $N535="RESTRINGIDO"), 0, AG476)</f>
        <v>0</v>
      </c>
      <c r="AH587" s="12">
        <f>IF(OR($N513="RESTRINGIDO", $N536="RESTRINGIDO"), 0, AH476)</f>
        <v>0</v>
      </c>
      <c r="AJ587" s="32">
        <f>IF($N513="LIBRE", IF(ISNUMBER(E513), E513, 0), 0)</f>
        <v>0</v>
      </c>
      <c r="AL587" s="33">
        <v>21.904678911180223</v>
      </c>
      <c r="AN587" s="34">
        <v>1.7416823538951576e-10</v>
      </c>
    </row>
    <row r="588" spans="2:40" x14ac:dyDescent="0.25">
      <c r="B588" s="12">
        <f>IF(OR($N514="RESTRINGIDO", $N504="RESTRINGIDO"), 0, B477)</f>
        <v>0</v>
      </c>
      <c r="C588" s="12">
        <f>IF(OR($N514="RESTRINGIDO", $N505="RESTRINGIDO"), 0, C477)</f>
        <v>0</v>
      </c>
      <c r="D588" s="12">
        <f>IF(OR($N514="RESTRINGIDO", $N506="RESTRINGIDO"), 0, D477)</f>
        <v>0</v>
      </c>
      <c r="E588" s="12">
        <f>IF(OR($N514="RESTRINGIDO", $N507="RESTRINGIDO"), 0, E477)</f>
        <v>0</v>
      </c>
      <c r="F588" s="12">
        <f>IF(OR($N514="RESTRINGIDO", $N508="RESTRINGIDO"), 0, F477)</f>
        <v>0</v>
      </c>
      <c r="G588" s="12">
        <f>IF(OR($N514="RESTRINGIDO", $N509="RESTRINGIDO"), 0, G477)</f>
        <v>0</v>
      </c>
      <c r="H588" s="12">
        <f>IF(OR($N514="RESTRINGIDO", $N510="RESTRINGIDO"), 0, H477)</f>
        <v>0</v>
      </c>
      <c r="I588" s="12">
        <f>IF(OR($N514="RESTRINGIDO", $N511="RESTRINGIDO"), 0, I477)</f>
        <v>0</v>
      </c>
      <c r="J588" s="12">
        <f>IF(OR($N514="RESTRINGIDO", $N512="RESTRINGIDO"), 0, J477)</f>
        <v>0</v>
      </c>
      <c r="K588" s="12">
        <f>IF(OR($N514="RESTRINGIDO", $N513="RESTRINGIDO"), 0, K477)</f>
        <v>0</v>
      </c>
      <c r="L588" s="24">
        <f>IF($N514="RESTRINGIDO", 1, IF(OR($N514="", $C477=""), 1, L477))</f>
        <v>0</v>
      </c>
      <c r="M588" s="12">
        <f>IF(OR($N514="RESTRINGIDO", $N515="RESTRINGIDO"), 0, M477)</f>
        <v>0</v>
      </c>
      <c r="N588" s="12">
        <f>IF(OR($N514="RESTRINGIDO", $N516="RESTRINGIDO"), 0, N477)</f>
        <v>0</v>
      </c>
      <c r="O588" s="12">
        <f>IF(OR($N514="RESTRINGIDO", $N517="RESTRINGIDO"), 0, O477)</f>
        <v>0</v>
      </c>
      <c r="P588" s="12">
        <f>IF(OR($N514="RESTRINGIDO", $N518="RESTRINGIDO"), 0, P477)</f>
        <v>0</v>
      </c>
      <c r="Q588" s="12">
        <f>IF(OR($N514="RESTRINGIDO", $N519="RESTRINGIDO"), 0, Q477)</f>
        <v>0</v>
      </c>
      <c r="R588" s="12">
        <f>IF(OR($N514="RESTRINGIDO", $N520="RESTRINGIDO"), 0, R477)</f>
        <v>0</v>
      </c>
      <c r="S588" s="12">
        <f>IF(OR($N514="RESTRINGIDO", $N521="RESTRINGIDO"), 0, S477)</f>
        <v>0</v>
      </c>
      <c r="T588" s="12">
        <f>IF(OR($N514="RESTRINGIDO", $N522="RESTRINGIDO"), 0, T477)</f>
        <v>0</v>
      </c>
      <c r="U588" s="12">
        <f>IF(OR($N514="RESTRINGIDO", $N523="RESTRINGIDO"), 0, U477)</f>
        <v>0</v>
      </c>
      <c r="V588" s="12">
        <f>IF(OR($N514="RESTRINGIDO", $N524="RESTRINGIDO"), 0, V477)</f>
        <v>0</v>
      </c>
      <c r="W588" s="12">
        <f>IF(OR($N514="RESTRINGIDO", $N525="RESTRINGIDO"), 0, W477)</f>
        <v>0</v>
      </c>
      <c r="X588" s="12">
        <f>IF(OR($N514="RESTRINGIDO", $N526="RESTRINGIDO"), 0, X477)</f>
        <v>0</v>
      </c>
      <c r="Y588" s="12">
        <f>IF(OR($N514="RESTRINGIDO", $N527="RESTRINGIDO"), 0, Y477)</f>
        <v>0</v>
      </c>
      <c r="Z588" s="12">
        <f>IF(OR($N514="RESTRINGIDO", $N528="RESTRINGIDO"), 0, Z477)</f>
        <v>0</v>
      </c>
      <c r="AA588" s="12">
        <f>IF(OR($N514="RESTRINGIDO", $N529="RESTRINGIDO"), 0, AA477)</f>
        <v>0</v>
      </c>
      <c r="AB588" s="12">
        <f>IF(OR($N514="RESTRINGIDO", $N530="RESTRINGIDO"), 0, AB477)</f>
        <v>0</v>
      </c>
      <c r="AC588" s="12">
        <f>IF(OR($N514="RESTRINGIDO", $N531="RESTRINGIDO"), 0, AC477)</f>
        <v>0</v>
      </c>
      <c r="AD588" s="12">
        <f>IF(OR($N514="RESTRINGIDO", $N532="RESTRINGIDO"), 0, AD477)</f>
        <v>0</v>
      </c>
      <c r="AE588" s="12">
        <f>IF(OR($N514="RESTRINGIDO", $N533="RESTRINGIDO"), 0, AE477)</f>
        <v>0</v>
      </c>
      <c r="AF588" s="12">
        <f>IF(OR($N514="RESTRINGIDO", $N534="RESTRINGIDO"), 0, AF477)</f>
        <v>0</v>
      </c>
      <c r="AG588" s="12">
        <f>IF(OR($N514="RESTRINGIDO", $N535="RESTRINGIDO"), 0, AG477)</f>
        <v>0</v>
      </c>
      <c r="AH588" s="12">
        <f>IF(OR($N514="RESTRINGIDO", $N536="RESTRINGIDO"), 0, AH477)</f>
        <v>0</v>
      </c>
      <c r="AJ588" s="32">
        <f>IF($N514="LIBRE", IF(ISNUMBER(E514), E514, 0), 0)</f>
        <v>0</v>
      </c>
      <c r="AL588" s="33">
        <v>-0.043067295039966355</v>
      </c>
      <c r="AN588" s="34">
        <v>0</v>
      </c>
    </row>
    <row r="589" spans="2:40" x14ac:dyDescent="0.25">
      <c r="B589" s="12">
        <f>IF(OR($N515="RESTRINGIDO", $N504="RESTRINGIDO"), 0, B478)</f>
        <v>0</v>
      </c>
      <c r="C589" s="12">
        <f>IF(OR($N515="RESTRINGIDO", $N505="RESTRINGIDO"), 0, C478)</f>
        <v>0</v>
      </c>
      <c r="D589" s="12">
        <f>IF(OR($N515="RESTRINGIDO", $N506="RESTRINGIDO"), 0, D478)</f>
        <v>0</v>
      </c>
      <c r="E589" s="12">
        <f>IF(OR($N515="RESTRINGIDO", $N507="RESTRINGIDO"), 0, E478)</f>
        <v>0</v>
      </c>
      <c r="F589" s="12">
        <f>IF(OR($N515="RESTRINGIDO", $N508="RESTRINGIDO"), 0, F478)</f>
        <v>0</v>
      </c>
      <c r="G589" s="12">
        <f>IF(OR($N515="RESTRINGIDO", $N509="RESTRINGIDO"), 0, G478)</f>
        <v>0</v>
      </c>
      <c r="H589" s="12">
        <f>IF(OR($N515="RESTRINGIDO", $N510="RESTRINGIDO"), 0, H478)</f>
        <v>0</v>
      </c>
      <c r="I589" s="12">
        <f>IF(OR($N515="RESTRINGIDO", $N511="RESTRINGIDO"), 0, I478)</f>
        <v>0</v>
      </c>
      <c r="J589" s="12">
        <f>IF(OR($N515="RESTRINGIDO", $N512="RESTRINGIDO"), 0, J478)</f>
        <v>0</v>
      </c>
      <c r="K589" s="12">
        <f>IF(OR($N515="RESTRINGIDO", $N513="RESTRINGIDO"), 0, K478)</f>
        <v>0</v>
      </c>
      <c r="L589" s="12">
        <f>IF(OR($N515="RESTRINGIDO", $N514="RESTRINGIDO"), 0, L478)</f>
        <v>0</v>
      </c>
      <c r="M589" s="24">
        <f>IF($N515="RESTRINGIDO", 1, IF(OR($N515="", $C478=""), 1, M478))</f>
        <v>0</v>
      </c>
      <c r="N589" s="12">
        <f>IF(OR($N515="RESTRINGIDO", $N516="RESTRINGIDO"), 0, N478)</f>
        <v>0</v>
      </c>
      <c r="O589" s="12">
        <f>IF(OR($N515="RESTRINGIDO", $N517="RESTRINGIDO"), 0, O478)</f>
        <v>0</v>
      </c>
      <c r="P589" s="12">
        <f>IF(OR($N515="RESTRINGIDO", $N518="RESTRINGIDO"), 0, P478)</f>
        <v>0</v>
      </c>
      <c r="Q589" s="12">
        <f>IF(OR($N515="RESTRINGIDO", $N519="RESTRINGIDO"), 0, Q478)</f>
        <v>0</v>
      </c>
      <c r="R589" s="12">
        <f>IF(OR($N515="RESTRINGIDO", $N520="RESTRINGIDO"), 0, R478)</f>
        <v>0</v>
      </c>
      <c r="S589" s="12">
        <f>IF(OR($N515="RESTRINGIDO", $N521="RESTRINGIDO"), 0, S478)</f>
        <v>0</v>
      </c>
      <c r="T589" s="12">
        <f>IF(OR($N515="RESTRINGIDO", $N522="RESTRINGIDO"), 0, T478)</f>
        <v>0</v>
      </c>
      <c r="U589" s="12">
        <f>IF(OR($N515="RESTRINGIDO", $N523="RESTRINGIDO"), 0, U478)</f>
        <v>0</v>
      </c>
      <c r="V589" s="12">
        <f>IF(OR($N515="RESTRINGIDO", $N524="RESTRINGIDO"), 0, V478)</f>
        <v>0</v>
      </c>
      <c r="W589" s="12">
        <f>IF(OR($N515="RESTRINGIDO", $N525="RESTRINGIDO"), 0, W478)</f>
        <v>0</v>
      </c>
      <c r="X589" s="12">
        <f>IF(OR($N515="RESTRINGIDO", $N526="RESTRINGIDO"), 0, X478)</f>
        <v>0</v>
      </c>
      <c r="Y589" s="12">
        <f>IF(OR($N515="RESTRINGIDO", $N527="RESTRINGIDO"), 0, Y478)</f>
        <v>0</v>
      </c>
      <c r="Z589" s="12">
        <f>IF(OR($N515="RESTRINGIDO", $N528="RESTRINGIDO"), 0, Z478)</f>
        <v>0</v>
      </c>
      <c r="AA589" s="12">
        <f>IF(OR($N515="RESTRINGIDO", $N529="RESTRINGIDO"), 0, AA478)</f>
        <v>0</v>
      </c>
      <c r="AB589" s="12">
        <f>IF(OR($N515="RESTRINGIDO", $N530="RESTRINGIDO"), 0, AB478)</f>
        <v>0</v>
      </c>
      <c r="AC589" s="12">
        <f>IF(OR($N515="RESTRINGIDO", $N531="RESTRINGIDO"), 0, AC478)</f>
        <v>0</v>
      </c>
      <c r="AD589" s="12">
        <f>IF(OR($N515="RESTRINGIDO", $N532="RESTRINGIDO"), 0, AD478)</f>
        <v>0</v>
      </c>
      <c r="AE589" s="12">
        <f>IF(OR($N515="RESTRINGIDO", $N533="RESTRINGIDO"), 0, AE478)</f>
        <v>0</v>
      </c>
      <c r="AF589" s="12">
        <f>IF(OR($N515="RESTRINGIDO", $N534="RESTRINGIDO"), 0, AF478)</f>
        <v>0</v>
      </c>
      <c r="AG589" s="12">
        <f>IF(OR($N515="RESTRINGIDO", $N535="RESTRINGIDO"), 0, AG478)</f>
        <v>0</v>
      </c>
      <c r="AH589" s="12">
        <f>IF(OR($N515="RESTRINGIDO", $N536="RESTRINGIDO"), 0, AH478)</f>
        <v>0</v>
      </c>
      <c r="AJ589" s="32">
        <f>IF($N515="LIBRE", IF(ISNUMBER(E515), E515, 0), 0)</f>
        <v>0</v>
      </c>
      <c r="AL589" s="33">
        <v>0.18459544876773515</v>
      </c>
      <c r="AN589" s="34">
        <v>2.6193447411060333e-10</v>
      </c>
    </row>
    <row r="590" spans="2:40" x14ac:dyDescent="0.25">
      <c r="B590" s="12">
        <f>IF(OR($N516="RESTRINGIDO", $N504="RESTRINGIDO"), 0, B479)</f>
        <v>0</v>
      </c>
      <c r="C590" s="12">
        <f>IF(OR($N516="RESTRINGIDO", $N505="RESTRINGIDO"), 0, C479)</f>
        <v>0</v>
      </c>
      <c r="D590" s="12">
        <f>IF(OR($N516="RESTRINGIDO", $N506="RESTRINGIDO"), 0, D479)</f>
        <v>0</v>
      </c>
      <c r="E590" s="12">
        <f>IF(OR($N516="RESTRINGIDO", $N507="RESTRINGIDO"), 0, E479)</f>
        <v>0</v>
      </c>
      <c r="F590" s="12">
        <f>IF(OR($N516="RESTRINGIDO", $N508="RESTRINGIDO"), 0, F479)</f>
        <v>0</v>
      </c>
      <c r="G590" s="12">
        <f>IF(OR($N516="RESTRINGIDO", $N509="RESTRINGIDO"), 0, G479)</f>
        <v>0</v>
      </c>
      <c r="H590" s="12">
        <f>IF(OR($N516="RESTRINGIDO", $N510="RESTRINGIDO"), 0, H479)</f>
        <v>0</v>
      </c>
      <c r="I590" s="12">
        <f>IF(OR($N516="RESTRINGIDO", $N511="RESTRINGIDO"), 0, I479)</f>
        <v>0</v>
      </c>
      <c r="J590" s="12">
        <f>IF(OR($N516="RESTRINGIDO", $N512="RESTRINGIDO"), 0, J479)</f>
        <v>0</v>
      </c>
      <c r="K590" s="12">
        <f>IF(OR($N516="RESTRINGIDO", $N513="RESTRINGIDO"), 0, K479)</f>
        <v>0</v>
      </c>
      <c r="L590" s="12">
        <f>IF(OR($N516="RESTRINGIDO", $N514="RESTRINGIDO"), 0, L479)</f>
        <v>0</v>
      </c>
      <c r="M590" s="12">
        <f>IF(OR($N516="RESTRINGIDO", $N515="RESTRINGIDO"), 0, M479)</f>
        <v>0</v>
      </c>
      <c r="N590" s="24">
        <f>IF($N516="RESTRINGIDO", 1, IF(OR($N516="", $C479=""), 1, N479))</f>
        <v>0</v>
      </c>
      <c r="O590" s="12">
        <f>IF(OR($N516="RESTRINGIDO", $N517="RESTRINGIDO"), 0, O479)</f>
        <v>0</v>
      </c>
      <c r="P590" s="12">
        <f>IF(OR($N516="RESTRINGIDO", $N518="RESTRINGIDO"), 0, P479)</f>
        <v>0</v>
      </c>
      <c r="Q590" s="12">
        <f>IF(OR($N516="RESTRINGIDO", $N519="RESTRINGIDO"), 0, Q479)</f>
        <v>0</v>
      </c>
      <c r="R590" s="12">
        <f>IF(OR($N516="RESTRINGIDO", $N520="RESTRINGIDO"), 0, R479)</f>
        <v>0</v>
      </c>
      <c r="S590" s="12">
        <f>IF(OR($N516="RESTRINGIDO", $N521="RESTRINGIDO"), 0, S479)</f>
        <v>0</v>
      </c>
      <c r="T590" s="12">
        <f>IF(OR($N516="RESTRINGIDO", $N522="RESTRINGIDO"), 0, T479)</f>
        <v>0</v>
      </c>
      <c r="U590" s="12">
        <f>IF(OR($N516="RESTRINGIDO", $N523="RESTRINGIDO"), 0, U479)</f>
        <v>0</v>
      </c>
      <c r="V590" s="12">
        <f>IF(OR($N516="RESTRINGIDO", $N524="RESTRINGIDO"), 0, V479)</f>
        <v>0</v>
      </c>
      <c r="W590" s="12">
        <f>IF(OR($N516="RESTRINGIDO", $N525="RESTRINGIDO"), 0, W479)</f>
        <v>0</v>
      </c>
      <c r="X590" s="12">
        <f>IF(OR($N516="RESTRINGIDO", $N526="RESTRINGIDO"), 0, X479)</f>
        <v>0</v>
      </c>
      <c r="Y590" s="12">
        <f>IF(OR($N516="RESTRINGIDO", $N527="RESTRINGIDO"), 0, Y479)</f>
        <v>0</v>
      </c>
      <c r="Z590" s="12">
        <f>IF(OR($N516="RESTRINGIDO", $N528="RESTRINGIDO"), 0, Z479)</f>
        <v>0</v>
      </c>
      <c r="AA590" s="12">
        <f>IF(OR($N516="RESTRINGIDO", $N529="RESTRINGIDO"), 0, AA479)</f>
        <v>0</v>
      </c>
      <c r="AB590" s="12">
        <f>IF(OR($N516="RESTRINGIDO", $N530="RESTRINGIDO"), 0, AB479)</f>
        <v>0</v>
      </c>
      <c r="AC590" s="12">
        <f>IF(OR($N516="RESTRINGIDO", $N531="RESTRINGIDO"), 0, AC479)</f>
        <v>0</v>
      </c>
      <c r="AD590" s="12">
        <f>IF(OR($N516="RESTRINGIDO", $N532="RESTRINGIDO"), 0, AD479)</f>
        <v>0</v>
      </c>
      <c r="AE590" s="12">
        <f>IF(OR($N516="RESTRINGIDO", $N533="RESTRINGIDO"), 0, AE479)</f>
        <v>0</v>
      </c>
      <c r="AF590" s="12">
        <f>IF(OR($N516="RESTRINGIDO", $N534="RESTRINGIDO"), 0, AF479)</f>
        <v>0</v>
      </c>
      <c r="AG590" s="12">
        <f>IF(OR($N516="RESTRINGIDO", $N535="RESTRINGIDO"), 0, AG479)</f>
        <v>0</v>
      </c>
      <c r="AH590" s="12">
        <f>IF(OR($N516="RESTRINGIDO", $N536="RESTRINGIDO"), 0, AH479)</f>
        <v>0</v>
      </c>
      <c r="AJ590" s="32">
        <f>IF($N516="LIBRE", IF(ISNUMBER(E516), E516, 0), 0)</f>
        <v>0</v>
      </c>
      <c r="AL590" s="33">
        <v>14.424925343195593</v>
      </c>
      <c r="AN590" s="34">
        <v>4.547473508864641e-13</v>
      </c>
    </row>
    <row r="591" spans="2:40" x14ac:dyDescent="0.25">
      <c r="B591" s="12">
        <f>IF(OR($N517="RESTRINGIDO", $N504="RESTRINGIDO"), 0, B480)</f>
        <v>0</v>
      </c>
      <c r="C591" s="12">
        <f>IF(OR($N517="RESTRINGIDO", $N505="RESTRINGIDO"), 0, C480)</f>
        <v>0</v>
      </c>
      <c r="D591" s="12">
        <f>IF(OR($N517="RESTRINGIDO", $N506="RESTRINGIDO"), 0, D480)</f>
        <v>0</v>
      </c>
      <c r="E591" s="12">
        <f>IF(OR($N517="RESTRINGIDO", $N507="RESTRINGIDO"), 0, E480)</f>
        <v>0</v>
      </c>
      <c r="F591" s="12">
        <f>IF(OR($N517="RESTRINGIDO", $N508="RESTRINGIDO"), 0, F480)</f>
        <v>0</v>
      </c>
      <c r="G591" s="12">
        <f>IF(OR($N517="RESTRINGIDO", $N509="RESTRINGIDO"), 0, G480)</f>
        <v>0</v>
      </c>
      <c r="H591" s="12">
        <f>IF(OR($N517="RESTRINGIDO", $N510="RESTRINGIDO"), 0, H480)</f>
        <v>0</v>
      </c>
      <c r="I591" s="12">
        <f>IF(OR($N517="RESTRINGIDO", $N511="RESTRINGIDO"), 0, I480)</f>
        <v>0</v>
      </c>
      <c r="J591" s="12">
        <f>IF(OR($N517="RESTRINGIDO", $N512="RESTRINGIDO"), 0, J480)</f>
        <v>0</v>
      </c>
      <c r="K591" s="12">
        <f>IF(OR($N517="RESTRINGIDO", $N513="RESTRINGIDO"), 0, K480)</f>
        <v>0</v>
      </c>
      <c r="L591" s="12">
        <f>IF(OR($N517="RESTRINGIDO", $N514="RESTRINGIDO"), 0, L480)</f>
        <v>0</v>
      </c>
      <c r="M591" s="12">
        <f>IF(OR($N517="RESTRINGIDO", $N515="RESTRINGIDO"), 0, M480)</f>
        <v>0</v>
      </c>
      <c r="N591" s="12">
        <f>IF(OR($N517="RESTRINGIDO", $N516="RESTRINGIDO"), 0, N480)</f>
        <v>0</v>
      </c>
      <c r="O591" s="24">
        <f>IF($N517="RESTRINGIDO", 1, IF(OR($N517="", $C480=""), 1, O480))</f>
        <v>0</v>
      </c>
      <c r="P591" s="12">
        <f>IF(OR($N517="RESTRINGIDO", $N518="RESTRINGIDO"), 0, P480)</f>
        <v>0</v>
      </c>
      <c r="Q591" s="12">
        <f>IF(OR($N517="RESTRINGIDO", $N519="RESTRINGIDO"), 0, Q480)</f>
        <v>0</v>
      </c>
      <c r="R591" s="12">
        <f>IF(OR($N517="RESTRINGIDO", $N520="RESTRINGIDO"), 0, R480)</f>
        <v>0</v>
      </c>
      <c r="S591" s="12">
        <f>IF(OR($N517="RESTRINGIDO", $N521="RESTRINGIDO"), 0, S480)</f>
        <v>0</v>
      </c>
      <c r="T591" s="12">
        <f>IF(OR($N517="RESTRINGIDO", $N522="RESTRINGIDO"), 0, T480)</f>
        <v>0</v>
      </c>
      <c r="U591" s="12">
        <f>IF(OR($N517="RESTRINGIDO", $N523="RESTRINGIDO"), 0, U480)</f>
        <v>0</v>
      </c>
      <c r="V591" s="12">
        <f>IF(OR($N517="RESTRINGIDO", $N524="RESTRINGIDO"), 0, V480)</f>
        <v>0</v>
      </c>
      <c r="W591" s="12">
        <f>IF(OR($N517="RESTRINGIDO", $N525="RESTRINGIDO"), 0, W480)</f>
        <v>0</v>
      </c>
      <c r="X591" s="12">
        <f>IF(OR($N517="RESTRINGIDO", $N526="RESTRINGIDO"), 0, X480)</f>
        <v>0</v>
      </c>
      <c r="Y591" s="12">
        <f>IF(OR($N517="RESTRINGIDO", $N527="RESTRINGIDO"), 0, Y480)</f>
        <v>0</v>
      </c>
      <c r="Z591" s="12">
        <f>IF(OR($N517="RESTRINGIDO", $N528="RESTRINGIDO"), 0, Z480)</f>
        <v>0</v>
      </c>
      <c r="AA591" s="12">
        <f>IF(OR($N517="RESTRINGIDO", $N529="RESTRINGIDO"), 0, AA480)</f>
        <v>0</v>
      </c>
      <c r="AB591" s="12">
        <f>IF(OR($N517="RESTRINGIDO", $N530="RESTRINGIDO"), 0, AB480)</f>
        <v>0</v>
      </c>
      <c r="AC591" s="12">
        <f>IF(OR($N517="RESTRINGIDO", $N531="RESTRINGIDO"), 0, AC480)</f>
        <v>0</v>
      </c>
      <c r="AD591" s="12">
        <f>IF(OR($N517="RESTRINGIDO", $N532="RESTRINGIDO"), 0, AD480)</f>
        <v>0</v>
      </c>
      <c r="AE591" s="12">
        <f>IF(OR($N517="RESTRINGIDO", $N533="RESTRINGIDO"), 0, AE480)</f>
        <v>0</v>
      </c>
      <c r="AF591" s="12">
        <f>IF(OR($N517="RESTRINGIDO", $N534="RESTRINGIDO"), 0, AF480)</f>
        <v>0</v>
      </c>
      <c r="AG591" s="12">
        <f>IF(OR($N517="RESTRINGIDO", $N535="RESTRINGIDO"), 0, AG480)</f>
        <v>0</v>
      </c>
      <c r="AH591" s="12">
        <f>IF(OR($N517="RESTRINGIDO", $N536="RESTRINGIDO"), 0, AH480)</f>
        <v>0</v>
      </c>
      <c r="AJ591" s="32">
        <f>IF($N517="LIBRE", IF(ISNUMBER(E517), E517, 0), 0)</f>
        <v>0</v>
      </c>
      <c r="AL591" s="33">
        <v>-0.01615023563998738</v>
      </c>
      <c r="AN591" s="34">
        <v>0</v>
      </c>
    </row>
    <row r="592" spans="2:40" x14ac:dyDescent="0.25">
      <c r="B592" s="12">
        <f>IF(OR($N518="RESTRINGIDO", $N504="RESTRINGIDO"), 0, B481)</f>
        <v>0</v>
      </c>
      <c r="C592" s="12">
        <f>IF(OR($N518="RESTRINGIDO", $N505="RESTRINGIDO"), 0, C481)</f>
        <v>0</v>
      </c>
      <c r="D592" s="12">
        <f>IF(OR($N518="RESTRINGIDO", $N506="RESTRINGIDO"), 0, D481)</f>
        <v>0</v>
      </c>
      <c r="E592" s="12">
        <f>IF(OR($N518="RESTRINGIDO", $N507="RESTRINGIDO"), 0, E481)</f>
        <v>0</v>
      </c>
      <c r="F592" s="12">
        <f>IF(OR($N518="RESTRINGIDO", $N508="RESTRINGIDO"), 0, F481)</f>
        <v>0</v>
      </c>
      <c r="G592" s="12">
        <f>IF(OR($N518="RESTRINGIDO", $N509="RESTRINGIDO"), 0, G481)</f>
        <v>0</v>
      </c>
      <c r="H592" s="12">
        <f>IF(OR($N518="RESTRINGIDO", $N510="RESTRINGIDO"), 0, H481)</f>
        <v>0</v>
      </c>
      <c r="I592" s="12">
        <f>IF(OR($N518="RESTRINGIDO", $N511="RESTRINGIDO"), 0, I481)</f>
        <v>0</v>
      </c>
      <c r="J592" s="12">
        <f>IF(OR($N518="RESTRINGIDO", $N512="RESTRINGIDO"), 0, J481)</f>
        <v>0</v>
      </c>
      <c r="K592" s="12">
        <f>IF(OR($N518="RESTRINGIDO", $N513="RESTRINGIDO"), 0, K481)</f>
        <v>0</v>
      </c>
      <c r="L592" s="12">
        <f>IF(OR($N518="RESTRINGIDO", $N514="RESTRINGIDO"), 0, L481)</f>
        <v>0</v>
      </c>
      <c r="M592" s="12">
        <f>IF(OR($N518="RESTRINGIDO", $N515="RESTRINGIDO"), 0, M481)</f>
        <v>0</v>
      </c>
      <c r="N592" s="12">
        <f>IF(OR($N518="RESTRINGIDO", $N516="RESTRINGIDO"), 0, N481)</f>
        <v>0</v>
      </c>
      <c r="O592" s="12">
        <f>IF(OR($N518="RESTRINGIDO", $N517="RESTRINGIDO"), 0, O481)</f>
        <v>0</v>
      </c>
      <c r="P592" s="24">
        <f>IF($N518="RESTRINGIDO", 1, IF(OR($N518="", $C481=""), 1, P481))</f>
        <v>0</v>
      </c>
      <c r="Q592" s="12">
        <f>IF(OR($N518="RESTRINGIDO", $N519="RESTRINGIDO"), 0, Q481)</f>
        <v>0</v>
      </c>
      <c r="R592" s="12">
        <f>IF(OR($N518="RESTRINGIDO", $N520="RESTRINGIDO"), 0, R481)</f>
        <v>0</v>
      </c>
      <c r="S592" s="12">
        <f>IF(OR($N518="RESTRINGIDO", $N521="RESTRINGIDO"), 0, S481)</f>
        <v>0</v>
      </c>
      <c r="T592" s="12">
        <f>IF(OR($N518="RESTRINGIDO", $N522="RESTRINGIDO"), 0, T481)</f>
        <v>0</v>
      </c>
      <c r="U592" s="12">
        <f>IF(OR($N518="RESTRINGIDO", $N523="RESTRINGIDO"), 0, U481)</f>
        <v>0</v>
      </c>
      <c r="V592" s="12">
        <f>IF(OR($N518="RESTRINGIDO", $N524="RESTRINGIDO"), 0, V481)</f>
        <v>0</v>
      </c>
      <c r="W592" s="12">
        <f>IF(OR($N518="RESTRINGIDO", $N525="RESTRINGIDO"), 0, W481)</f>
        <v>0</v>
      </c>
      <c r="X592" s="12">
        <f>IF(OR($N518="RESTRINGIDO", $N526="RESTRINGIDO"), 0, X481)</f>
        <v>0</v>
      </c>
      <c r="Y592" s="12">
        <f>IF(OR($N518="RESTRINGIDO", $N527="RESTRINGIDO"), 0, Y481)</f>
        <v>0</v>
      </c>
      <c r="Z592" s="12">
        <f>IF(OR($N518="RESTRINGIDO", $N528="RESTRINGIDO"), 0, Z481)</f>
        <v>0</v>
      </c>
      <c r="AA592" s="12">
        <f>IF(OR($N518="RESTRINGIDO", $N529="RESTRINGIDO"), 0, AA481)</f>
        <v>0</v>
      </c>
      <c r="AB592" s="12">
        <f>IF(OR($N518="RESTRINGIDO", $N530="RESTRINGIDO"), 0, AB481)</f>
        <v>0</v>
      </c>
      <c r="AC592" s="12">
        <f>IF(OR($N518="RESTRINGIDO", $N531="RESTRINGIDO"), 0, AC481)</f>
        <v>0</v>
      </c>
      <c r="AD592" s="12">
        <f>IF(OR($N518="RESTRINGIDO", $N532="RESTRINGIDO"), 0, AD481)</f>
        <v>0</v>
      </c>
      <c r="AE592" s="12">
        <f>IF(OR($N518="RESTRINGIDO", $N533="RESTRINGIDO"), 0, AE481)</f>
        <v>0</v>
      </c>
      <c r="AF592" s="12">
        <f>IF(OR($N518="RESTRINGIDO", $N534="RESTRINGIDO"), 0, AF481)</f>
        <v>0</v>
      </c>
      <c r="AG592" s="12">
        <f>IF(OR($N518="RESTRINGIDO", $N535="RESTRINGIDO"), 0, AG481)</f>
        <v>0</v>
      </c>
      <c r="AH592" s="12">
        <f>IF(OR($N518="RESTRINGIDO", $N536="RESTRINGIDO"), 0, AH481)</f>
        <v>0</v>
      </c>
      <c r="AJ592" s="32">
        <f>IF($N518="LIBRE", IF(ISNUMBER(E518), E518, 0), 0)</f>
        <v>-100000</v>
      </c>
      <c r="AL592" s="33">
        <v>-0.16302544699545965</v>
      </c>
      <c r="AN592" s="34">
        <v>1.1641532182693481e-10</v>
      </c>
    </row>
    <row r="593" spans="2:40" x14ac:dyDescent="0.25">
      <c r="B593" s="12">
        <f>IF(OR($N519="RESTRINGIDO", $N504="RESTRINGIDO"), 0, B482)</f>
        <v>0</v>
      </c>
      <c r="C593" s="12">
        <f>IF(OR($N519="RESTRINGIDO", $N505="RESTRINGIDO"), 0, C482)</f>
        <v>0</v>
      </c>
      <c r="D593" s="12">
        <f>IF(OR($N519="RESTRINGIDO", $N506="RESTRINGIDO"), 0, D482)</f>
        <v>0</v>
      </c>
      <c r="E593" s="12">
        <f>IF(OR($N519="RESTRINGIDO", $N507="RESTRINGIDO"), 0, E482)</f>
        <v>0</v>
      </c>
      <c r="F593" s="12">
        <f>IF(OR($N519="RESTRINGIDO", $N508="RESTRINGIDO"), 0, F482)</f>
        <v>0</v>
      </c>
      <c r="G593" s="12">
        <f>IF(OR($N519="RESTRINGIDO", $N509="RESTRINGIDO"), 0, G482)</f>
        <v>0</v>
      </c>
      <c r="H593" s="12">
        <f>IF(OR($N519="RESTRINGIDO", $N510="RESTRINGIDO"), 0, H482)</f>
        <v>0</v>
      </c>
      <c r="I593" s="12">
        <f>IF(OR($N519="RESTRINGIDO", $N511="RESTRINGIDO"), 0, I482)</f>
        <v>0</v>
      </c>
      <c r="J593" s="12">
        <f>IF(OR($N519="RESTRINGIDO", $N512="RESTRINGIDO"), 0, J482)</f>
        <v>0</v>
      </c>
      <c r="K593" s="12">
        <f>IF(OR($N519="RESTRINGIDO", $N513="RESTRINGIDO"), 0, K482)</f>
        <v>0</v>
      </c>
      <c r="L593" s="12">
        <f>IF(OR($N519="RESTRINGIDO", $N514="RESTRINGIDO"), 0, L482)</f>
        <v>0</v>
      </c>
      <c r="M593" s="12">
        <f>IF(OR($N519="RESTRINGIDO", $N515="RESTRINGIDO"), 0, M482)</f>
        <v>0</v>
      </c>
      <c r="N593" s="12">
        <f>IF(OR($N519="RESTRINGIDO", $N516="RESTRINGIDO"), 0, N482)</f>
        <v>0</v>
      </c>
      <c r="O593" s="12">
        <f>IF(OR($N519="RESTRINGIDO", $N517="RESTRINGIDO"), 0, O482)</f>
        <v>0</v>
      </c>
      <c r="P593" s="12">
        <f>IF(OR($N519="RESTRINGIDO", $N518="RESTRINGIDO"), 0, P482)</f>
        <v>0</v>
      </c>
      <c r="Q593" s="31">
        <f>IF($N519="RESTRINGIDO", 1, IF(OR($N519="", $C482=""), 1, Q482))</f>
        <v>1</v>
      </c>
      <c r="R593" s="12">
        <f>IF(OR($N519="RESTRINGIDO", $N520="RESTRINGIDO"), 0, R482)</f>
        <v>0</v>
      </c>
      <c r="S593" s="12">
        <f>IF(OR($N519="RESTRINGIDO", $N521="RESTRINGIDO"), 0, S482)</f>
        <v>0</v>
      </c>
      <c r="T593" s="12">
        <f>IF(OR($N519="RESTRINGIDO", $N522="RESTRINGIDO"), 0, T482)</f>
        <v>0</v>
      </c>
      <c r="U593" s="12">
        <f>IF(OR($N519="RESTRINGIDO", $N523="RESTRINGIDO"), 0, U482)</f>
        <v>0</v>
      </c>
      <c r="V593" s="12">
        <f>IF(OR($N519="RESTRINGIDO", $N524="RESTRINGIDO"), 0, V482)</f>
        <v>0</v>
      </c>
      <c r="W593" s="12">
        <f>IF(OR($N519="RESTRINGIDO", $N525="RESTRINGIDO"), 0, W482)</f>
        <v>0</v>
      </c>
      <c r="X593" s="12">
        <f>IF(OR($N519="RESTRINGIDO", $N526="RESTRINGIDO"), 0, X482)</f>
        <v>0</v>
      </c>
      <c r="Y593" s="12">
        <f>IF(OR($N519="RESTRINGIDO", $N527="RESTRINGIDO"), 0, Y482)</f>
        <v>0</v>
      </c>
      <c r="Z593" s="12">
        <f>IF(OR($N519="RESTRINGIDO", $N528="RESTRINGIDO"), 0, Z482)</f>
        <v>0</v>
      </c>
      <c r="AA593" s="12">
        <f>IF(OR($N519="RESTRINGIDO", $N529="RESTRINGIDO"), 0, AA482)</f>
        <v>0</v>
      </c>
      <c r="AB593" s="12">
        <f>IF(OR($N519="RESTRINGIDO", $N530="RESTRINGIDO"), 0, AB482)</f>
        <v>0</v>
      </c>
      <c r="AC593" s="12">
        <f>IF(OR($N519="RESTRINGIDO", $N531="RESTRINGIDO"), 0, AC482)</f>
        <v>0</v>
      </c>
      <c r="AD593" s="12">
        <f>IF(OR($N519="RESTRINGIDO", $N532="RESTRINGIDO"), 0, AD482)</f>
        <v>0</v>
      </c>
      <c r="AE593" s="12">
        <f>IF(OR($N519="RESTRINGIDO", $N533="RESTRINGIDO"), 0, AE482)</f>
        <v>0</v>
      </c>
      <c r="AF593" s="12">
        <f>IF(OR($N519="RESTRINGIDO", $N534="RESTRINGIDO"), 0, AF482)</f>
        <v>0</v>
      </c>
      <c r="AG593" s="12">
        <f>IF(OR($N519="RESTRINGIDO", $N535="RESTRINGIDO"), 0, AG482)</f>
        <v>0</v>
      </c>
      <c r="AH593" s="12">
        <f>IF(OR($N519="RESTRINGIDO", $N536="RESTRINGIDO"), 0, AH482)</f>
        <v>0</v>
      </c>
      <c r="AJ593" s="32">
        <f>IF($N519="LIBRE", IF(ISNUMBER(E519), E519, 0), 0)</f>
        <v>0</v>
      </c>
      <c r="AL593" s="33">
        <v>0</v>
      </c>
      <c r="AN593" s="34">
        <v>-854.7843183196019</v>
      </c>
    </row>
    <row r="594" spans="2:40" x14ac:dyDescent="0.25">
      <c r="B594" s="12">
        <f>IF(OR($N520="RESTRINGIDO", $N504="RESTRINGIDO"), 0, B483)</f>
        <v>0</v>
      </c>
      <c r="C594" s="12">
        <f>IF(OR($N520="RESTRINGIDO", $N505="RESTRINGIDO"), 0, C483)</f>
        <v>0</v>
      </c>
      <c r="D594" s="12">
        <f>IF(OR($N520="RESTRINGIDO", $N506="RESTRINGIDO"), 0, D483)</f>
        <v>0</v>
      </c>
      <c r="E594" s="12">
        <f>IF(OR($N520="RESTRINGIDO", $N507="RESTRINGIDO"), 0, E483)</f>
        <v>0</v>
      </c>
      <c r="F594" s="12">
        <f>IF(OR($N520="RESTRINGIDO", $N508="RESTRINGIDO"), 0, F483)</f>
        <v>0</v>
      </c>
      <c r="G594" s="12">
        <f>IF(OR($N520="RESTRINGIDO", $N509="RESTRINGIDO"), 0, G483)</f>
        <v>0</v>
      </c>
      <c r="H594" s="12">
        <f>IF(OR($N520="RESTRINGIDO", $N510="RESTRINGIDO"), 0, H483)</f>
        <v>0</v>
      </c>
      <c r="I594" s="12">
        <f>IF(OR($N520="RESTRINGIDO", $N511="RESTRINGIDO"), 0, I483)</f>
        <v>0</v>
      </c>
      <c r="J594" s="12">
        <f>IF(OR($N520="RESTRINGIDO", $N512="RESTRINGIDO"), 0, J483)</f>
        <v>0</v>
      </c>
      <c r="K594" s="12">
        <f>IF(OR($N520="RESTRINGIDO", $N513="RESTRINGIDO"), 0, K483)</f>
        <v>0</v>
      </c>
      <c r="L594" s="12">
        <f>IF(OR($N520="RESTRINGIDO", $N514="RESTRINGIDO"), 0, L483)</f>
        <v>0</v>
      </c>
      <c r="M594" s="12">
        <f>IF(OR($N520="RESTRINGIDO", $N515="RESTRINGIDO"), 0, M483)</f>
        <v>0</v>
      </c>
      <c r="N594" s="12">
        <f>IF(OR($N520="RESTRINGIDO", $N516="RESTRINGIDO"), 0, N483)</f>
        <v>0</v>
      </c>
      <c r="O594" s="12">
        <f>IF(OR($N520="RESTRINGIDO", $N517="RESTRINGIDO"), 0, O483)</f>
        <v>0</v>
      </c>
      <c r="P594" s="12">
        <f>IF(OR($N520="RESTRINGIDO", $N518="RESTRINGIDO"), 0, P483)</f>
        <v>0</v>
      </c>
      <c r="Q594" s="12">
        <f>IF(OR($N520="RESTRINGIDO", $N519="RESTRINGIDO"), 0, Q483)</f>
        <v>0</v>
      </c>
      <c r="R594" s="31">
        <f>IF($N520="RESTRINGIDO", 1, IF(OR($N520="", $C483=""), 1, R483))</f>
        <v>1</v>
      </c>
      <c r="S594" s="12">
        <f>IF(OR($N520="RESTRINGIDO", $N521="RESTRINGIDO"), 0, S483)</f>
        <v>0</v>
      </c>
      <c r="T594" s="12">
        <f>IF(OR($N520="RESTRINGIDO", $N522="RESTRINGIDO"), 0, T483)</f>
        <v>0</v>
      </c>
      <c r="U594" s="12">
        <f>IF(OR($N520="RESTRINGIDO", $N523="RESTRINGIDO"), 0, U483)</f>
        <v>0</v>
      </c>
      <c r="V594" s="12">
        <f>IF(OR($N520="RESTRINGIDO", $N524="RESTRINGIDO"), 0, V483)</f>
        <v>0</v>
      </c>
      <c r="W594" s="12">
        <f>IF(OR($N520="RESTRINGIDO", $N525="RESTRINGIDO"), 0, W483)</f>
        <v>0</v>
      </c>
      <c r="X594" s="12">
        <f>IF(OR($N520="RESTRINGIDO", $N526="RESTRINGIDO"), 0, X483)</f>
        <v>0</v>
      </c>
      <c r="Y594" s="12">
        <f>IF(OR($N520="RESTRINGIDO", $N527="RESTRINGIDO"), 0, Y483)</f>
        <v>0</v>
      </c>
      <c r="Z594" s="12">
        <f>IF(OR($N520="RESTRINGIDO", $N528="RESTRINGIDO"), 0, Z483)</f>
        <v>0</v>
      </c>
      <c r="AA594" s="12">
        <f>IF(OR($N520="RESTRINGIDO", $N529="RESTRINGIDO"), 0, AA483)</f>
        <v>0</v>
      </c>
      <c r="AB594" s="12">
        <f>IF(OR($N520="RESTRINGIDO", $N530="RESTRINGIDO"), 0, AB483)</f>
        <v>0</v>
      </c>
      <c r="AC594" s="12">
        <f>IF(OR($N520="RESTRINGIDO", $N531="RESTRINGIDO"), 0, AC483)</f>
        <v>0</v>
      </c>
      <c r="AD594" s="12">
        <f>IF(OR($N520="RESTRINGIDO", $N532="RESTRINGIDO"), 0, AD483)</f>
        <v>0</v>
      </c>
      <c r="AE594" s="12">
        <f>IF(OR($N520="RESTRINGIDO", $N533="RESTRINGIDO"), 0, AE483)</f>
        <v>0</v>
      </c>
      <c r="AF594" s="12">
        <f>IF(OR($N520="RESTRINGIDO", $N534="RESTRINGIDO"), 0, AF483)</f>
        <v>0</v>
      </c>
      <c r="AG594" s="12">
        <f>IF(OR($N520="RESTRINGIDO", $N535="RESTRINGIDO"), 0, AG483)</f>
        <v>0</v>
      </c>
      <c r="AH594" s="12">
        <f>IF(OR($N520="RESTRINGIDO", $N536="RESTRINGIDO"), 0, AH483)</f>
        <v>0</v>
      </c>
      <c r="AJ594" s="32">
        <f>IF($N520="LIBRE", IF(ISNUMBER(E520), E520, 0), 0)</f>
        <v>0</v>
      </c>
      <c r="AL594" s="33">
        <v>0</v>
      </c>
      <c r="AN594" s="34">
        <v>5652.582473995583</v>
      </c>
    </row>
    <row r="595" spans="2:40" x14ac:dyDescent="0.25">
      <c r="B595" s="12">
        <f>IF(OR($N521="RESTRINGIDO", $N504="RESTRINGIDO"), 0, B484)</f>
        <v>0</v>
      </c>
      <c r="C595" s="12">
        <f>IF(OR($N521="RESTRINGIDO", $N505="RESTRINGIDO"), 0, C484)</f>
        <v>0</v>
      </c>
      <c r="D595" s="12">
        <f>IF(OR($N521="RESTRINGIDO", $N506="RESTRINGIDO"), 0, D484)</f>
        <v>0</v>
      </c>
      <c r="E595" s="12">
        <f>IF(OR($N521="RESTRINGIDO", $N507="RESTRINGIDO"), 0, E484)</f>
        <v>0</v>
      </c>
      <c r="F595" s="12">
        <f>IF(OR($N521="RESTRINGIDO", $N508="RESTRINGIDO"), 0, F484)</f>
        <v>0</v>
      </c>
      <c r="G595" s="12">
        <f>IF(OR($N521="RESTRINGIDO", $N509="RESTRINGIDO"), 0, G484)</f>
        <v>0</v>
      </c>
      <c r="H595" s="12">
        <f>IF(OR($N521="RESTRINGIDO", $N510="RESTRINGIDO"), 0, H484)</f>
        <v>0</v>
      </c>
      <c r="I595" s="12">
        <f>IF(OR($N521="RESTRINGIDO", $N511="RESTRINGIDO"), 0, I484)</f>
        <v>0</v>
      </c>
      <c r="J595" s="12">
        <f>IF(OR($N521="RESTRINGIDO", $N512="RESTRINGIDO"), 0, J484)</f>
        <v>0</v>
      </c>
      <c r="K595" s="12">
        <f>IF(OR($N521="RESTRINGIDO", $N513="RESTRINGIDO"), 0, K484)</f>
        <v>0</v>
      </c>
      <c r="L595" s="12">
        <f>IF(OR($N521="RESTRINGIDO", $N514="RESTRINGIDO"), 0, L484)</f>
        <v>0</v>
      </c>
      <c r="M595" s="12">
        <f>IF(OR($N521="RESTRINGIDO", $N515="RESTRINGIDO"), 0, M484)</f>
        <v>0</v>
      </c>
      <c r="N595" s="12">
        <f>IF(OR($N521="RESTRINGIDO", $N516="RESTRINGIDO"), 0, N484)</f>
        <v>0</v>
      </c>
      <c r="O595" s="12">
        <f>IF(OR($N521="RESTRINGIDO", $N517="RESTRINGIDO"), 0, O484)</f>
        <v>0</v>
      </c>
      <c r="P595" s="12">
        <f>IF(OR($N521="RESTRINGIDO", $N518="RESTRINGIDO"), 0, P484)</f>
        <v>0</v>
      </c>
      <c r="Q595" s="12">
        <f>IF(OR($N521="RESTRINGIDO", $N519="RESTRINGIDO"), 0, Q484)</f>
        <v>0</v>
      </c>
      <c r="R595" s="12">
        <f>IF(OR($N521="RESTRINGIDO", $N520="RESTRINGIDO"), 0, R484)</f>
        <v>0</v>
      </c>
      <c r="S595" s="31">
        <f>IF($N521="RESTRINGIDO", 1, IF(OR($N521="", $C484=""), 1, S484))</f>
        <v>1</v>
      </c>
      <c r="T595" s="12">
        <f>IF(OR($N521="RESTRINGIDO", $N522="RESTRINGIDO"), 0, T484)</f>
        <v>0</v>
      </c>
      <c r="U595" s="12">
        <f>IF(OR($N521="RESTRINGIDO", $N523="RESTRINGIDO"), 0, U484)</f>
        <v>0</v>
      </c>
      <c r="V595" s="12">
        <f>IF(OR($N521="RESTRINGIDO", $N524="RESTRINGIDO"), 0, V484)</f>
        <v>0</v>
      </c>
      <c r="W595" s="12">
        <f>IF(OR($N521="RESTRINGIDO", $N525="RESTRINGIDO"), 0, W484)</f>
        <v>0</v>
      </c>
      <c r="X595" s="12">
        <f>IF(OR($N521="RESTRINGIDO", $N526="RESTRINGIDO"), 0, X484)</f>
        <v>0</v>
      </c>
      <c r="Y595" s="12">
        <f>IF(OR($N521="RESTRINGIDO", $N527="RESTRINGIDO"), 0, Y484)</f>
        <v>0</v>
      </c>
      <c r="Z595" s="12">
        <f>IF(OR($N521="RESTRINGIDO", $N528="RESTRINGIDO"), 0, Z484)</f>
        <v>0</v>
      </c>
      <c r="AA595" s="12">
        <f>IF(OR($N521="RESTRINGIDO", $N529="RESTRINGIDO"), 0, AA484)</f>
        <v>0</v>
      </c>
      <c r="AB595" s="12">
        <f>IF(OR($N521="RESTRINGIDO", $N530="RESTRINGIDO"), 0, AB484)</f>
        <v>0</v>
      </c>
      <c r="AC595" s="12">
        <f>IF(OR($N521="RESTRINGIDO", $N531="RESTRINGIDO"), 0, AC484)</f>
        <v>0</v>
      </c>
      <c r="AD595" s="12">
        <f>IF(OR($N521="RESTRINGIDO", $N532="RESTRINGIDO"), 0, AD484)</f>
        <v>0</v>
      </c>
      <c r="AE595" s="12">
        <f>IF(OR($N521="RESTRINGIDO", $N533="RESTRINGIDO"), 0, AE484)</f>
        <v>0</v>
      </c>
      <c r="AF595" s="12">
        <f>IF(OR($N521="RESTRINGIDO", $N534="RESTRINGIDO"), 0, AF484)</f>
        <v>0</v>
      </c>
      <c r="AG595" s="12">
        <f>IF(OR($N521="RESTRINGIDO", $N535="RESTRINGIDO"), 0, AG484)</f>
        <v>0</v>
      </c>
      <c r="AH595" s="12">
        <f>IF(OR($N521="RESTRINGIDO", $N536="RESTRINGIDO"), 0, AH484)</f>
        <v>0</v>
      </c>
      <c r="AJ595" s="32">
        <f>IF($N521="LIBRE", IF(ISNUMBER(E521), E521, 0), 0)</f>
        <v>0</v>
      </c>
      <c r="AL595" s="33">
        <v>0</v>
      </c>
      <c r="AN595" s="34">
        <v>182981.54564149282</v>
      </c>
    </row>
    <row r="596" spans="2:40" x14ac:dyDescent="0.25">
      <c r="B596" s="12">
        <f>IF(OR($N522="RESTRINGIDO", $N504="RESTRINGIDO"), 0, B485)</f>
        <v>0</v>
      </c>
      <c r="C596" s="12">
        <f>IF(OR($N522="RESTRINGIDO", $N505="RESTRINGIDO"), 0, C485)</f>
        <v>0</v>
      </c>
      <c r="D596" s="12">
        <f>IF(OR($N522="RESTRINGIDO", $N506="RESTRINGIDO"), 0, D485)</f>
        <v>0</v>
      </c>
      <c r="E596" s="12">
        <f>IF(OR($N522="RESTRINGIDO", $N507="RESTRINGIDO"), 0, E485)</f>
        <v>0</v>
      </c>
      <c r="F596" s="12">
        <f>IF(OR($N522="RESTRINGIDO", $N508="RESTRINGIDO"), 0, F485)</f>
        <v>0</v>
      </c>
      <c r="G596" s="12">
        <f>IF(OR($N522="RESTRINGIDO", $N509="RESTRINGIDO"), 0, G485)</f>
        <v>0</v>
      </c>
      <c r="H596" s="12">
        <f>IF(OR($N522="RESTRINGIDO", $N510="RESTRINGIDO"), 0, H485)</f>
        <v>0</v>
      </c>
      <c r="I596" s="12">
        <f>IF(OR($N522="RESTRINGIDO", $N511="RESTRINGIDO"), 0, I485)</f>
        <v>0</v>
      </c>
      <c r="J596" s="12">
        <f>IF(OR($N522="RESTRINGIDO", $N512="RESTRINGIDO"), 0, J485)</f>
        <v>0</v>
      </c>
      <c r="K596" s="12">
        <f>IF(OR($N522="RESTRINGIDO", $N513="RESTRINGIDO"), 0, K485)</f>
        <v>0</v>
      </c>
      <c r="L596" s="12">
        <f>IF(OR($N522="RESTRINGIDO", $N514="RESTRINGIDO"), 0, L485)</f>
        <v>0</v>
      </c>
      <c r="M596" s="12">
        <f>IF(OR($N522="RESTRINGIDO", $N515="RESTRINGIDO"), 0, M485)</f>
        <v>0</v>
      </c>
      <c r="N596" s="12">
        <f>IF(OR($N522="RESTRINGIDO", $N516="RESTRINGIDO"), 0, N485)</f>
        <v>0</v>
      </c>
      <c r="O596" s="12">
        <f>IF(OR($N522="RESTRINGIDO", $N517="RESTRINGIDO"), 0, O485)</f>
        <v>0</v>
      </c>
      <c r="P596" s="12">
        <f>IF(OR($N522="RESTRINGIDO", $N518="RESTRINGIDO"), 0, P485)</f>
        <v>0</v>
      </c>
      <c r="Q596" s="12">
        <f>IF(OR($N522="RESTRINGIDO", $N519="RESTRINGIDO"), 0, Q485)</f>
        <v>0</v>
      </c>
      <c r="R596" s="12">
        <f>IF(OR($N522="RESTRINGIDO", $N520="RESTRINGIDO"), 0, R485)</f>
        <v>0</v>
      </c>
      <c r="S596" s="12">
        <f>IF(OR($N522="RESTRINGIDO", $N521="RESTRINGIDO"), 0, S485)</f>
        <v>0</v>
      </c>
      <c r="T596" s="24">
        <f>IF($N522="RESTRINGIDO", 1, IF(OR($N522="", $C485=""), 1, T485))</f>
        <v>0</v>
      </c>
      <c r="U596" s="12">
        <f>IF(OR($N522="RESTRINGIDO", $N523="RESTRINGIDO"), 0, U485)</f>
        <v>0</v>
      </c>
      <c r="V596" s="12">
        <f>IF(OR($N522="RESTRINGIDO", $N524="RESTRINGIDO"), 0, V485)</f>
        <v>0</v>
      </c>
      <c r="W596" s="12">
        <f>IF(OR($N522="RESTRINGIDO", $N525="RESTRINGIDO"), 0, W485)</f>
        <v>0</v>
      </c>
      <c r="X596" s="12">
        <f>IF(OR($N522="RESTRINGIDO", $N526="RESTRINGIDO"), 0, X485)</f>
        <v>0</v>
      </c>
      <c r="Y596" s="12">
        <f>IF(OR($N522="RESTRINGIDO", $N527="RESTRINGIDO"), 0, Y485)</f>
        <v>0</v>
      </c>
      <c r="Z596" s="12">
        <f>IF(OR($N522="RESTRINGIDO", $N528="RESTRINGIDO"), 0, Z485)</f>
        <v>0</v>
      </c>
      <c r="AA596" s="12">
        <f>IF(OR($N522="RESTRINGIDO", $N529="RESTRINGIDO"), 0, AA485)</f>
        <v>0</v>
      </c>
      <c r="AB596" s="12">
        <f>IF(OR($N522="RESTRINGIDO", $N530="RESTRINGIDO"), 0, AB485)</f>
        <v>0</v>
      </c>
      <c r="AC596" s="12">
        <f>IF(OR($N522="RESTRINGIDO", $N531="RESTRINGIDO"), 0, AC485)</f>
        <v>0</v>
      </c>
      <c r="AD596" s="12">
        <f>IF(OR($N522="RESTRINGIDO", $N532="RESTRINGIDO"), 0, AD485)</f>
        <v>0</v>
      </c>
      <c r="AE596" s="12">
        <f>IF(OR($N522="RESTRINGIDO", $N533="RESTRINGIDO"), 0, AE485)</f>
        <v>0</v>
      </c>
      <c r="AF596" s="12">
        <f>IF(OR($N522="RESTRINGIDO", $N534="RESTRINGIDO"), 0, AF485)</f>
        <v>0</v>
      </c>
      <c r="AG596" s="12">
        <f>IF(OR($N522="RESTRINGIDO", $N535="RESTRINGIDO"), 0, AG485)</f>
        <v>0</v>
      </c>
      <c r="AH596" s="12">
        <f>IF(OR($N522="RESTRINGIDO", $N536="RESTRINGIDO"), 0, AH485)</f>
        <v>0</v>
      </c>
      <c r="AJ596" s="32">
        <f>IF($N522="LIBRE", IF(ISNUMBER(E522), E522, 0), 0)</f>
        <v>0</v>
      </c>
      <c r="AL596" s="33">
        <v>0</v>
      </c>
      <c r="AN596" s="34">
        <v>0</v>
      </c>
    </row>
    <row r="597" spans="2:40" x14ac:dyDescent="0.25">
      <c r="B597" s="12">
        <f>IF(OR($N523="RESTRINGIDO", $N504="RESTRINGIDO"), 0, B486)</f>
        <v>0</v>
      </c>
      <c r="C597" s="12">
        <f>IF(OR($N523="RESTRINGIDO", $N505="RESTRINGIDO"), 0, C486)</f>
        <v>0</v>
      </c>
      <c r="D597" s="12">
        <f>IF(OR($N523="RESTRINGIDO", $N506="RESTRINGIDO"), 0, D486)</f>
        <v>0</v>
      </c>
      <c r="E597" s="12">
        <f>IF(OR($N523="RESTRINGIDO", $N507="RESTRINGIDO"), 0, E486)</f>
        <v>0</v>
      </c>
      <c r="F597" s="12">
        <f>IF(OR($N523="RESTRINGIDO", $N508="RESTRINGIDO"), 0, F486)</f>
        <v>0</v>
      </c>
      <c r="G597" s="12">
        <f>IF(OR($N523="RESTRINGIDO", $N509="RESTRINGIDO"), 0, G486)</f>
        <v>0</v>
      </c>
      <c r="H597" s="12">
        <f>IF(OR($N523="RESTRINGIDO", $N510="RESTRINGIDO"), 0, H486)</f>
        <v>0</v>
      </c>
      <c r="I597" s="12">
        <f>IF(OR($N523="RESTRINGIDO", $N511="RESTRINGIDO"), 0, I486)</f>
        <v>0</v>
      </c>
      <c r="J597" s="12">
        <f>IF(OR($N523="RESTRINGIDO", $N512="RESTRINGIDO"), 0, J486)</f>
        <v>0</v>
      </c>
      <c r="K597" s="12">
        <f>IF(OR($N523="RESTRINGIDO", $N513="RESTRINGIDO"), 0, K486)</f>
        <v>0</v>
      </c>
      <c r="L597" s="12">
        <f>IF(OR($N523="RESTRINGIDO", $N514="RESTRINGIDO"), 0, L486)</f>
        <v>0</v>
      </c>
      <c r="M597" s="12">
        <f>IF(OR($N523="RESTRINGIDO", $N515="RESTRINGIDO"), 0, M486)</f>
        <v>0</v>
      </c>
      <c r="N597" s="12">
        <f>IF(OR($N523="RESTRINGIDO", $N516="RESTRINGIDO"), 0, N486)</f>
        <v>0</v>
      </c>
      <c r="O597" s="12">
        <f>IF(OR($N523="RESTRINGIDO", $N517="RESTRINGIDO"), 0, O486)</f>
        <v>0</v>
      </c>
      <c r="P597" s="12">
        <f>IF(OR($N523="RESTRINGIDO", $N518="RESTRINGIDO"), 0, P486)</f>
        <v>0</v>
      </c>
      <c r="Q597" s="12">
        <f>IF(OR($N523="RESTRINGIDO", $N519="RESTRINGIDO"), 0, Q486)</f>
        <v>0</v>
      </c>
      <c r="R597" s="12">
        <f>IF(OR($N523="RESTRINGIDO", $N520="RESTRINGIDO"), 0, R486)</f>
        <v>0</v>
      </c>
      <c r="S597" s="12">
        <f>IF(OR($N523="RESTRINGIDO", $N521="RESTRINGIDO"), 0, S486)</f>
        <v>0</v>
      </c>
      <c r="T597" s="12">
        <f>IF(OR($N523="RESTRINGIDO", $N522="RESTRINGIDO"), 0, T486)</f>
        <v>0</v>
      </c>
      <c r="U597" s="24">
        <f>IF($N523="RESTRINGIDO", 1, IF(OR($N523="", $C486=""), 1, U486))</f>
        <v>0</v>
      </c>
      <c r="V597" s="12">
        <f>IF(OR($N523="RESTRINGIDO", $N524="RESTRINGIDO"), 0, V486)</f>
        <v>0</v>
      </c>
      <c r="W597" s="12">
        <f>IF(OR($N523="RESTRINGIDO", $N525="RESTRINGIDO"), 0, W486)</f>
        <v>0</v>
      </c>
      <c r="X597" s="12">
        <f>IF(OR($N523="RESTRINGIDO", $N526="RESTRINGIDO"), 0, X486)</f>
        <v>0</v>
      </c>
      <c r="Y597" s="12">
        <f>IF(OR($N523="RESTRINGIDO", $N527="RESTRINGIDO"), 0, Y486)</f>
        <v>0</v>
      </c>
      <c r="Z597" s="12">
        <f>IF(OR($N523="RESTRINGIDO", $N528="RESTRINGIDO"), 0, Z486)</f>
        <v>0</v>
      </c>
      <c r="AA597" s="12">
        <f>IF(OR($N523="RESTRINGIDO", $N529="RESTRINGIDO"), 0, AA486)</f>
        <v>0</v>
      </c>
      <c r="AB597" s="12">
        <f>IF(OR($N523="RESTRINGIDO", $N530="RESTRINGIDO"), 0, AB486)</f>
        <v>0</v>
      </c>
      <c r="AC597" s="12">
        <f>IF(OR($N523="RESTRINGIDO", $N531="RESTRINGIDO"), 0, AC486)</f>
        <v>0</v>
      </c>
      <c r="AD597" s="12">
        <f>IF(OR($N523="RESTRINGIDO", $N532="RESTRINGIDO"), 0, AD486)</f>
        <v>0</v>
      </c>
      <c r="AE597" s="12">
        <f>IF(OR($N523="RESTRINGIDO", $N533="RESTRINGIDO"), 0, AE486)</f>
        <v>0</v>
      </c>
      <c r="AF597" s="12">
        <f>IF(OR($N523="RESTRINGIDO", $N534="RESTRINGIDO"), 0, AF486)</f>
        <v>0</v>
      </c>
      <c r="AG597" s="12">
        <f>IF(OR($N523="RESTRINGIDO", $N535="RESTRINGIDO"), 0, AG486)</f>
        <v>0</v>
      </c>
      <c r="AH597" s="12">
        <f>IF(OR($N523="RESTRINGIDO", $N536="RESTRINGIDO"), 0, AH486)</f>
        <v>0</v>
      </c>
      <c r="AJ597" s="32">
        <f>IF($N523="LIBRE", IF(ISNUMBER(E523), E523, 0), 0)</f>
        <v>0</v>
      </c>
      <c r="AL597" s="33">
        <v>0</v>
      </c>
      <c r="AN597" s="34">
        <v>0</v>
      </c>
    </row>
    <row r="598" spans="2:40" x14ac:dyDescent="0.25">
      <c r="B598" s="12">
        <f>IF(OR($N524="RESTRINGIDO", $N504="RESTRINGIDO"), 0, B487)</f>
        <v>0</v>
      </c>
      <c r="C598" s="12">
        <f>IF(OR($N524="RESTRINGIDO", $N505="RESTRINGIDO"), 0, C487)</f>
        <v>0</v>
      </c>
      <c r="D598" s="12">
        <f>IF(OR($N524="RESTRINGIDO", $N506="RESTRINGIDO"), 0, D487)</f>
        <v>0</v>
      </c>
      <c r="E598" s="12">
        <f>IF(OR($N524="RESTRINGIDO", $N507="RESTRINGIDO"), 0, E487)</f>
        <v>0</v>
      </c>
      <c r="F598" s="12">
        <f>IF(OR($N524="RESTRINGIDO", $N508="RESTRINGIDO"), 0, F487)</f>
        <v>0</v>
      </c>
      <c r="G598" s="12">
        <f>IF(OR($N524="RESTRINGIDO", $N509="RESTRINGIDO"), 0, G487)</f>
        <v>0</v>
      </c>
      <c r="H598" s="12">
        <f>IF(OR($N524="RESTRINGIDO", $N510="RESTRINGIDO"), 0, H487)</f>
        <v>0</v>
      </c>
      <c r="I598" s="12">
        <f>IF(OR($N524="RESTRINGIDO", $N511="RESTRINGIDO"), 0, I487)</f>
        <v>0</v>
      </c>
      <c r="J598" s="12">
        <f>IF(OR($N524="RESTRINGIDO", $N512="RESTRINGIDO"), 0, J487)</f>
        <v>0</v>
      </c>
      <c r="K598" s="12">
        <f>IF(OR($N524="RESTRINGIDO", $N513="RESTRINGIDO"), 0, K487)</f>
        <v>0</v>
      </c>
      <c r="L598" s="12">
        <f>IF(OR($N524="RESTRINGIDO", $N514="RESTRINGIDO"), 0, L487)</f>
        <v>0</v>
      </c>
      <c r="M598" s="12">
        <f>IF(OR($N524="RESTRINGIDO", $N515="RESTRINGIDO"), 0, M487)</f>
        <v>0</v>
      </c>
      <c r="N598" s="12">
        <f>IF(OR($N524="RESTRINGIDO", $N516="RESTRINGIDO"), 0, N487)</f>
        <v>0</v>
      </c>
      <c r="O598" s="12">
        <f>IF(OR($N524="RESTRINGIDO", $N517="RESTRINGIDO"), 0, O487)</f>
        <v>0</v>
      </c>
      <c r="P598" s="12">
        <f>IF(OR($N524="RESTRINGIDO", $N518="RESTRINGIDO"), 0, P487)</f>
        <v>0</v>
      </c>
      <c r="Q598" s="12">
        <f>IF(OR($N524="RESTRINGIDO", $N519="RESTRINGIDO"), 0, Q487)</f>
        <v>0</v>
      </c>
      <c r="R598" s="12">
        <f>IF(OR($N524="RESTRINGIDO", $N520="RESTRINGIDO"), 0, R487)</f>
        <v>0</v>
      </c>
      <c r="S598" s="12">
        <f>IF(OR($N524="RESTRINGIDO", $N521="RESTRINGIDO"), 0, S487)</f>
        <v>0</v>
      </c>
      <c r="T598" s="12">
        <f>IF(OR($N524="RESTRINGIDO", $N522="RESTRINGIDO"), 0, T487)</f>
        <v>0</v>
      </c>
      <c r="U598" s="12">
        <f>IF(OR($N524="RESTRINGIDO", $N523="RESTRINGIDO"), 0, U487)</f>
        <v>0</v>
      </c>
      <c r="V598" s="24">
        <f>IF($N524="RESTRINGIDO", 1, IF(OR($N524="", $C487=""), 1, V487))</f>
        <v>0</v>
      </c>
      <c r="W598" s="12">
        <f>IF(OR($N524="RESTRINGIDO", $N525="RESTRINGIDO"), 0, W487)</f>
        <v>0</v>
      </c>
      <c r="X598" s="12">
        <f>IF(OR($N524="RESTRINGIDO", $N526="RESTRINGIDO"), 0, X487)</f>
        <v>0</v>
      </c>
      <c r="Y598" s="12">
        <f>IF(OR($N524="RESTRINGIDO", $N527="RESTRINGIDO"), 0, Y487)</f>
        <v>0</v>
      </c>
      <c r="Z598" s="12">
        <f>IF(OR($N524="RESTRINGIDO", $N528="RESTRINGIDO"), 0, Z487)</f>
        <v>0</v>
      </c>
      <c r="AA598" s="12">
        <f>IF(OR($N524="RESTRINGIDO", $N529="RESTRINGIDO"), 0, AA487)</f>
        <v>0</v>
      </c>
      <c r="AB598" s="12">
        <f>IF(OR($N524="RESTRINGIDO", $N530="RESTRINGIDO"), 0, AB487)</f>
        <v>0</v>
      </c>
      <c r="AC598" s="12">
        <f>IF(OR($N524="RESTRINGIDO", $N531="RESTRINGIDO"), 0, AC487)</f>
        <v>0</v>
      </c>
      <c r="AD598" s="12">
        <f>IF(OR($N524="RESTRINGIDO", $N532="RESTRINGIDO"), 0, AD487)</f>
        <v>0</v>
      </c>
      <c r="AE598" s="12">
        <f>IF(OR($N524="RESTRINGIDO", $N533="RESTRINGIDO"), 0, AE487)</f>
        <v>0</v>
      </c>
      <c r="AF598" s="12">
        <f>IF(OR($N524="RESTRINGIDO", $N534="RESTRINGIDO"), 0, AF487)</f>
        <v>0</v>
      </c>
      <c r="AG598" s="12">
        <f>IF(OR($N524="RESTRINGIDO", $N535="RESTRINGIDO"), 0, AG487)</f>
        <v>0</v>
      </c>
      <c r="AH598" s="12">
        <f>IF(OR($N524="RESTRINGIDO", $N536="RESTRINGIDO"), 0, AH487)</f>
        <v>0</v>
      </c>
      <c r="AJ598" s="32">
        <f>IF($N524="LIBRE", IF(ISNUMBER(E524), E524, 0), 0)</f>
        <v>0</v>
      </c>
      <c r="AL598" s="33">
        <v>0</v>
      </c>
      <c r="AN598" s="34">
        <v>0</v>
      </c>
    </row>
    <row r="599" spans="2:40" x14ac:dyDescent="0.25">
      <c r="B599" s="12">
        <f>IF(OR($N525="RESTRINGIDO", $N504="RESTRINGIDO"), 0, B488)</f>
        <v>0</v>
      </c>
      <c r="C599" s="12">
        <f>IF(OR($N525="RESTRINGIDO", $N505="RESTRINGIDO"), 0, C488)</f>
        <v>0</v>
      </c>
      <c r="D599" s="12">
        <f>IF(OR($N525="RESTRINGIDO", $N506="RESTRINGIDO"), 0, D488)</f>
        <v>0</v>
      </c>
      <c r="E599" s="12">
        <f>IF(OR($N525="RESTRINGIDO", $N507="RESTRINGIDO"), 0, E488)</f>
        <v>0</v>
      </c>
      <c r="F599" s="12">
        <f>IF(OR($N525="RESTRINGIDO", $N508="RESTRINGIDO"), 0, F488)</f>
        <v>0</v>
      </c>
      <c r="G599" s="12">
        <f>IF(OR($N525="RESTRINGIDO", $N509="RESTRINGIDO"), 0, G488)</f>
        <v>0</v>
      </c>
      <c r="H599" s="12">
        <f>IF(OR($N525="RESTRINGIDO", $N510="RESTRINGIDO"), 0, H488)</f>
        <v>0</v>
      </c>
      <c r="I599" s="12">
        <f>IF(OR($N525="RESTRINGIDO", $N511="RESTRINGIDO"), 0, I488)</f>
        <v>0</v>
      </c>
      <c r="J599" s="12">
        <f>IF(OR($N525="RESTRINGIDO", $N512="RESTRINGIDO"), 0, J488)</f>
        <v>0</v>
      </c>
      <c r="K599" s="12">
        <f>IF(OR($N525="RESTRINGIDO", $N513="RESTRINGIDO"), 0, K488)</f>
        <v>0</v>
      </c>
      <c r="L599" s="12">
        <f>IF(OR($N525="RESTRINGIDO", $N514="RESTRINGIDO"), 0, L488)</f>
        <v>0</v>
      </c>
      <c r="M599" s="12">
        <f>IF(OR($N525="RESTRINGIDO", $N515="RESTRINGIDO"), 0, M488)</f>
        <v>0</v>
      </c>
      <c r="N599" s="12">
        <f>IF(OR($N525="RESTRINGIDO", $N516="RESTRINGIDO"), 0, N488)</f>
        <v>0</v>
      </c>
      <c r="O599" s="12">
        <f>IF(OR($N525="RESTRINGIDO", $N517="RESTRINGIDO"), 0, O488)</f>
        <v>0</v>
      </c>
      <c r="P599" s="12">
        <f>IF(OR($N525="RESTRINGIDO", $N518="RESTRINGIDO"), 0, P488)</f>
        <v>0</v>
      </c>
      <c r="Q599" s="12">
        <f>IF(OR($N525="RESTRINGIDO", $N519="RESTRINGIDO"), 0, Q488)</f>
        <v>0</v>
      </c>
      <c r="R599" s="12">
        <f>IF(OR($N525="RESTRINGIDO", $N520="RESTRINGIDO"), 0, R488)</f>
        <v>0</v>
      </c>
      <c r="S599" s="12">
        <f>IF(OR($N525="RESTRINGIDO", $N521="RESTRINGIDO"), 0, S488)</f>
        <v>0</v>
      </c>
      <c r="T599" s="12">
        <f>IF(OR($N525="RESTRINGIDO", $N522="RESTRINGIDO"), 0, T488)</f>
        <v>0</v>
      </c>
      <c r="U599" s="12">
        <f>IF(OR($N525="RESTRINGIDO", $N523="RESTRINGIDO"), 0, U488)</f>
        <v>0</v>
      </c>
      <c r="V599" s="12">
        <f>IF(OR($N525="RESTRINGIDO", $N524="RESTRINGIDO"), 0, V488)</f>
        <v>0</v>
      </c>
      <c r="W599" s="24">
        <f>IF($N525="RESTRINGIDO", 1, IF(OR($N525="", $C488=""), 1, W488))</f>
        <v>0</v>
      </c>
      <c r="X599" s="12">
        <f>IF(OR($N525="RESTRINGIDO", $N526="RESTRINGIDO"), 0, X488)</f>
        <v>0</v>
      </c>
      <c r="Y599" s="12">
        <f>IF(OR($N525="RESTRINGIDO", $N527="RESTRINGIDO"), 0, Y488)</f>
        <v>0</v>
      </c>
      <c r="Z599" s="12">
        <f>IF(OR($N525="RESTRINGIDO", $N528="RESTRINGIDO"), 0, Z488)</f>
        <v>0</v>
      </c>
      <c r="AA599" s="12">
        <f>IF(OR($N525="RESTRINGIDO", $N529="RESTRINGIDO"), 0, AA488)</f>
        <v>0</v>
      </c>
      <c r="AB599" s="12">
        <f>IF(OR($N525="RESTRINGIDO", $N530="RESTRINGIDO"), 0, AB488)</f>
        <v>0</v>
      </c>
      <c r="AC599" s="12">
        <f>IF(OR($N525="RESTRINGIDO", $N531="RESTRINGIDO"), 0, AC488)</f>
        <v>0</v>
      </c>
      <c r="AD599" s="12">
        <f>IF(OR($N525="RESTRINGIDO", $N532="RESTRINGIDO"), 0, AD488)</f>
        <v>0</v>
      </c>
      <c r="AE599" s="12">
        <f>IF(OR($N525="RESTRINGIDO", $N533="RESTRINGIDO"), 0, AE488)</f>
        <v>0</v>
      </c>
      <c r="AF599" s="12">
        <f>IF(OR($N525="RESTRINGIDO", $N534="RESTRINGIDO"), 0, AF488)</f>
        <v>0</v>
      </c>
      <c r="AG599" s="12">
        <f>IF(OR($N525="RESTRINGIDO", $N535="RESTRINGIDO"), 0, AG488)</f>
        <v>0</v>
      </c>
      <c r="AH599" s="12">
        <f>IF(OR($N525="RESTRINGIDO", $N536="RESTRINGIDO"), 0, AH488)</f>
        <v>0</v>
      </c>
      <c r="AJ599" s="32">
        <f>IF($N525="LIBRE", IF(ISNUMBER(E525), E525, 0), 0)</f>
        <v>0</v>
      </c>
      <c r="AL599" s="33">
        <v>0</v>
      </c>
      <c r="AN599" s="34">
        <v>0</v>
      </c>
    </row>
    <row r="600" spans="2:40" x14ac:dyDescent="0.25">
      <c r="B600" s="12">
        <f>IF(OR($N526="RESTRINGIDO", $N504="RESTRINGIDO"), 0, B489)</f>
        <v>0</v>
      </c>
      <c r="C600" s="12">
        <f>IF(OR($N526="RESTRINGIDO", $N505="RESTRINGIDO"), 0, C489)</f>
        <v>0</v>
      </c>
      <c r="D600" s="12">
        <f>IF(OR($N526="RESTRINGIDO", $N506="RESTRINGIDO"), 0, D489)</f>
        <v>0</v>
      </c>
      <c r="E600" s="12">
        <f>IF(OR($N526="RESTRINGIDO", $N507="RESTRINGIDO"), 0, E489)</f>
        <v>0</v>
      </c>
      <c r="F600" s="12">
        <f>IF(OR($N526="RESTRINGIDO", $N508="RESTRINGIDO"), 0, F489)</f>
        <v>0</v>
      </c>
      <c r="G600" s="12">
        <f>IF(OR($N526="RESTRINGIDO", $N509="RESTRINGIDO"), 0, G489)</f>
        <v>0</v>
      </c>
      <c r="H600" s="12">
        <f>IF(OR($N526="RESTRINGIDO", $N510="RESTRINGIDO"), 0, H489)</f>
        <v>0</v>
      </c>
      <c r="I600" s="12">
        <f>IF(OR($N526="RESTRINGIDO", $N511="RESTRINGIDO"), 0, I489)</f>
        <v>0</v>
      </c>
      <c r="J600" s="12">
        <f>IF(OR($N526="RESTRINGIDO", $N512="RESTRINGIDO"), 0, J489)</f>
        <v>0</v>
      </c>
      <c r="K600" s="12">
        <f>IF(OR($N526="RESTRINGIDO", $N513="RESTRINGIDO"), 0, K489)</f>
        <v>0</v>
      </c>
      <c r="L600" s="12">
        <f>IF(OR($N526="RESTRINGIDO", $N514="RESTRINGIDO"), 0, L489)</f>
        <v>0</v>
      </c>
      <c r="M600" s="12">
        <f>IF(OR($N526="RESTRINGIDO", $N515="RESTRINGIDO"), 0, M489)</f>
        <v>0</v>
      </c>
      <c r="N600" s="12">
        <f>IF(OR($N526="RESTRINGIDO", $N516="RESTRINGIDO"), 0, N489)</f>
        <v>0</v>
      </c>
      <c r="O600" s="12">
        <f>IF(OR($N526="RESTRINGIDO", $N517="RESTRINGIDO"), 0, O489)</f>
        <v>0</v>
      </c>
      <c r="P600" s="12">
        <f>IF(OR($N526="RESTRINGIDO", $N518="RESTRINGIDO"), 0, P489)</f>
        <v>0</v>
      </c>
      <c r="Q600" s="12">
        <f>IF(OR($N526="RESTRINGIDO", $N519="RESTRINGIDO"), 0, Q489)</f>
        <v>0</v>
      </c>
      <c r="R600" s="12">
        <f>IF(OR($N526="RESTRINGIDO", $N520="RESTRINGIDO"), 0, R489)</f>
        <v>0</v>
      </c>
      <c r="S600" s="12">
        <f>IF(OR($N526="RESTRINGIDO", $N521="RESTRINGIDO"), 0, S489)</f>
        <v>0</v>
      </c>
      <c r="T600" s="12">
        <f>IF(OR($N526="RESTRINGIDO", $N522="RESTRINGIDO"), 0, T489)</f>
        <v>0</v>
      </c>
      <c r="U600" s="12">
        <f>IF(OR($N526="RESTRINGIDO", $N523="RESTRINGIDO"), 0, U489)</f>
        <v>0</v>
      </c>
      <c r="V600" s="12">
        <f>IF(OR($N526="RESTRINGIDO", $N524="RESTRINGIDO"), 0, V489)</f>
        <v>0</v>
      </c>
      <c r="W600" s="12">
        <f>IF(OR($N526="RESTRINGIDO", $N525="RESTRINGIDO"), 0, W489)</f>
        <v>0</v>
      </c>
      <c r="X600" s="24">
        <f>IF($N526="RESTRINGIDO", 1, IF(OR($N526="", $C489=""), 1, X489))</f>
        <v>0</v>
      </c>
      <c r="Y600" s="12">
        <f>IF(OR($N526="RESTRINGIDO", $N527="RESTRINGIDO"), 0, Y489)</f>
        <v>0</v>
      </c>
      <c r="Z600" s="12">
        <f>IF(OR($N526="RESTRINGIDO", $N528="RESTRINGIDO"), 0, Z489)</f>
        <v>0</v>
      </c>
      <c r="AA600" s="12">
        <f>IF(OR($N526="RESTRINGIDO", $N529="RESTRINGIDO"), 0, AA489)</f>
        <v>0</v>
      </c>
      <c r="AB600" s="12">
        <f>IF(OR($N526="RESTRINGIDO", $N530="RESTRINGIDO"), 0, AB489)</f>
        <v>0</v>
      </c>
      <c r="AC600" s="12">
        <f>IF(OR($N526="RESTRINGIDO", $N531="RESTRINGIDO"), 0, AC489)</f>
        <v>0</v>
      </c>
      <c r="AD600" s="12">
        <f>IF(OR($N526="RESTRINGIDO", $N532="RESTRINGIDO"), 0, AD489)</f>
        <v>0</v>
      </c>
      <c r="AE600" s="12">
        <f>IF(OR($N526="RESTRINGIDO", $N533="RESTRINGIDO"), 0, AE489)</f>
        <v>0</v>
      </c>
      <c r="AF600" s="12">
        <f>IF(OR($N526="RESTRINGIDO", $N534="RESTRINGIDO"), 0, AF489)</f>
        <v>0</v>
      </c>
      <c r="AG600" s="12">
        <f>IF(OR($N526="RESTRINGIDO", $N535="RESTRINGIDO"), 0, AG489)</f>
        <v>0</v>
      </c>
      <c r="AH600" s="12">
        <f>IF(OR($N526="RESTRINGIDO", $N536="RESTRINGIDO"), 0, AH489)</f>
        <v>0</v>
      </c>
      <c r="AJ600" s="32">
        <f>IF($N526="LIBRE", IF(ISNUMBER(E526), E526, 0), 0)</f>
        <v>0</v>
      </c>
      <c r="AL600" s="33">
        <v>0</v>
      </c>
      <c r="AN600" s="34">
        <v>0</v>
      </c>
    </row>
    <row r="601" spans="2:40" x14ac:dyDescent="0.25">
      <c r="B601" s="12">
        <f>IF(OR($N527="RESTRINGIDO", $N504="RESTRINGIDO"), 0, B490)</f>
        <v>0</v>
      </c>
      <c r="C601" s="12">
        <f>IF(OR($N527="RESTRINGIDO", $N505="RESTRINGIDO"), 0, C490)</f>
        <v>0</v>
      </c>
      <c r="D601" s="12">
        <f>IF(OR($N527="RESTRINGIDO", $N506="RESTRINGIDO"), 0, D490)</f>
        <v>0</v>
      </c>
      <c r="E601" s="12">
        <f>IF(OR($N527="RESTRINGIDO", $N507="RESTRINGIDO"), 0, E490)</f>
        <v>0</v>
      </c>
      <c r="F601" s="12">
        <f>IF(OR($N527="RESTRINGIDO", $N508="RESTRINGIDO"), 0, F490)</f>
        <v>0</v>
      </c>
      <c r="G601" s="12">
        <f>IF(OR($N527="RESTRINGIDO", $N509="RESTRINGIDO"), 0, G490)</f>
        <v>0</v>
      </c>
      <c r="H601" s="12">
        <f>IF(OR($N527="RESTRINGIDO", $N510="RESTRINGIDO"), 0, H490)</f>
        <v>0</v>
      </c>
      <c r="I601" s="12">
        <f>IF(OR($N527="RESTRINGIDO", $N511="RESTRINGIDO"), 0, I490)</f>
        <v>0</v>
      </c>
      <c r="J601" s="12">
        <f>IF(OR($N527="RESTRINGIDO", $N512="RESTRINGIDO"), 0, J490)</f>
        <v>0</v>
      </c>
      <c r="K601" s="12">
        <f>IF(OR($N527="RESTRINGIDO", $N513="RESTRINGIDO"), 0, K490)</f>
        <v>0</v>
      </c>
      <c r="L601" s="12">
        <f>IF(OR($N527="RESTRINGIDO", $N514="RESTRINGIDO"), 0, L490)</f>
        <v>0</v>
      </c>
      <c r="M601" s="12">
        <f>IF(OR($N527="RESTRINGIDO", $N515="RESTRINGIDO"), 0, M490)</f>
        <v>0</v>
      </c>
      <c r="N601" s="12">
        <f>IF(OR($N527="RESTRINGIDO", $N516="RESTRINGIDO"), 0, N490)</f>
        <v>0</v>
      </c>
      <c r="O601" s="12">
        <f>IF(OR($N527="RESTRINGIDO", $N517="RESTRINGIDO"), 0, O490)</f>
        <v>0</v>
      </c>
      <c r="P601" s="12">
        <f>IF(OR($N527="RESTRINGIDO", $N518="RESTRINGIDO"), 0, P490)</f>
        <v>0</v>
      </c>
      <c r="Q601" s="12">
        <f>IF(OR($N527="RESTRINGIDO", $N519="RESTRINGIDO"), 0, Q490)</f>
        <v>0</v>
      </c>
      <c r="R601" s="12">
        <f>IF(OR($N527="RESTRINGIDO", $N520="RESTRINGIDO"), 0, R490)</f>
        <v>0</v>
      </c>
      <c r="S601" s="12">
        <f>IF(OR($N527="RESTRINGIDO", $N521="RESTRINGIDO"), 0, S490)</f>
        <v>0</v>
      </c>
      <c r="T601" s="12">
        <f>IF(OR($N527="RESTRINGIDO", $N522="RESTRINGIDO"), 0, T490)</f>
        <v>0</v>
      </c>
      <c r="U601" s="12">
        <f>IF(OR($N527="RESTRINGIDO", $N523="RESTRINGIDO"), 0, U490)</f>
        <v>0</v>
      </c>
      <c r="V601" s="12">
        <f>IF(OR($N527="RESTRINGIDO", $N524="RESTRINGIDO"), 0, V490)</f>
        <v>0</v>
      </c>
      <c r="W601" s="12">
        <f>IF(OR($N527="RESTRINGIDO", $N525="RESTRINGIDO"), 0, W490)</f>
        <v>0</v>
      </c>
      <c r="X601" s="12">
        <f>IF(OR($N527="RESTRINGIDO", $N526="RESTRINGIDO"), 0, X490)</f>
        <v>0</v>
      </c>
      <c r="Y601" s="24">
        <f>IF($N527="RESTRINGIDO", 1, IF(OR($N527="", $C490=""), 1, Y490))</f>
        <v>0</v>
      </c>
      <c r="Z601" s="12">
        <f>IF(OR($N527="RESTRINGIDO", $N528="RESTRINGIDO"), 0, Z490)</f>
        <v>0</v>
      </c>
      <c r="AA601" s="12">
        <f>IF(OR($N527="RESTRINGIDO", $N529="RESTRINGIDO"), 0, AA490)</f>
        <v>0</v>
      </c>
      <c r="AB601" s="12">
        <f>IF(OR($N527="RESTRINGIDO", $N530="RESTRINGIDO"), 0, AB490)</f>
        <v>0</v>
      </c>
      <c r="AC601" s="12">
        <f>IF(OR($N527="RESTRINGIDO", $N531="RESTRINGIDO"), 0, AC490)</f>
        <v>0</v>
      </c>
      <c r="AD601" s="12">
        <f>IF(OR($N527="RESTRINGIDO", $N532="RESTRINGIDO"), 0, AD490)</f>
        <v>0</v>
      </c>
      <c r="AE601" s="12">
        <f>IF(OR($N527="RESTRINGIDO", $N533="RESTRINGIDO"), 0, AE490)</f>
        <v>0</v>
      </c>
      <c r="AF601" s="12">
        <f>IF(OR($N527="RESTRINGIDO", $N534="RESTRINGIDO"), 0, AF490)</f>
        <v>0</v>
      </c>
      <c r="AG601" s="12">
        <f>IF(OR($N527="RESTRINGIDO", $N535="RESTRINGIDO"), 0, AG490)</f>
        <v>0</v>
      </c>
      <c r="AH601" s="12">
        <f>IF(OR($N527="RESTRINGIDO", $N536="RESTRINGIDO"), 0, AH490)</f>
        <v>0</v>
      </c>
      <c r="AJ601" s="32">
        <f>IF($N527="LIBRE", IF(ISNUMBER(E527), E527, 0), 0)</f>
        <v>0</v>
      </c>
      <c r="AL601" s="33">
        <v>0</v>
      </c>
      <c r="AN601" s="34">
        <v>0</v>
      </c>
    </row>
    <row r="602" spans="2:40" x14ac:dyDescent="0.25">
      <c r="B602" s="12">
        <f>IF(OR($N528="RESTRINGIDO", $N504="RESTRINGIDO"), 0, B491)</f>
        <v>0</v>
      </c>
      <c r="C602" s="12">
        <f>IF(OR($N528="RESTRINGIDO", $N505="RESTRINGIDO"), 0, C491)</f>
        <v>0</v>
      </c>
      <c r="D602" s="12">
        <f>IF(OR($N528="RESTRINGIDO", $N506="RESTRINGIDO"), 0, D491)</f>
        <v>0</v>
      </c>
      <c r="E602" s="12">
        <f>IF(OR($N528="RESTRINGIDO", $N507="RESTRINGIDO"), 0, E491)</f>
        <v>0</v>
      </c>
      <c r="F602" s="12">
        <f>IF(OR($N528="RESTRINGIDO", $N508="RESTRINGIDO"), 0, F491)</f>
        <v>0</v>
      </c>
      <c r="G602" s="12">
        <f>IF(OR($N528="RESTRINGIDO", $N509="RESTRINGIDO"), 0, G491)</f>
        <v>0</v>
      </c>
      <c r="H602" s="12">
        <f>IF(OR($N528="RESTRINGIDO", $N510="RESTRINGIDO"), 0, H491)</f>
        <v>0</v>
      </c>
      <c r="I602" s="12">
        <f>IF(OR($N528="RESTRINGIDO", $N511="RESTRINGIDO"), 0, I491)</f>
        <v>0</v>
      </c>
      <c r="J602" s="12">
        <f>IF(OR($N528="RESTRINGIDO", $N512="RESTRINGIDO"), 0, J491)</f>
        <v>0</v>
      </c>
      <c r="K602" s="12">
        <f>IF(OR($N528="RESTRINGIDO", $N513="RESTRINGIDO"), 0, K491)</f>
        <v>0</v>
      </c>
      <c r="L602" s="12">
        <f>IF(OR($N528="RESTRINGIDO", $N514="RESTRINGIDO"), 0, L491)</f>
        <v>0</v>
      </c>
      <c r="M602" s="12">
        <f>IF(OR($N528="RESTRINGIDO", $N515="RESTRINGIDO"), 0, M491)</f>
        <v>0</v>
      </c>
      <c r="N602" s="12">
        <f>IF(OR($N528="RESTRINGIDO", $N516="RESTRINGIDO"), 0, N491)</f>
        <v>0</v>
      </c>
      <c r="O602" s="12">
        <f>IF(OR($N528="RESTRINGIDO", $N517="RESTRINGIDO"), 0, O491)</f>
        <v>0</v>
      </c>
      <c r="P602" s="12">
        <f>IF(OR($N528="RESTRINGIDO", $N518="RESTRINGIDO"), 0, P491)</f>
        <v>0</v>
      </c>
      <c r="Q602" s="12">
        <f>IF(OR($N528="RESTRINGIDO", $N519="RESTRINGIDO"), 0, Q491)</f>
        <v>0</v>
      </c>
      <c r="R602" s="12">
        <f>IF(OR($N528="RESTRINGIDO", $N520="RESTRINGIDO"), 0, R491)</f>
        <v>0</v>
      </c>
      <c r="S602" s="12">
        <f>IF(OR($N528="RESTRINGIDO", $N521="RESTRINGIDO"), 0, S491)</f>
        <v>0</v>
      </c>
      <c r="T602" s="12">
        <f>IF(OR($N528="RESTRINGIDO", $N522="RESTRINGIDO"), 0, T491)</f>
        <v>0</v>
      </c>
      <c r="U602" s="12">
        <f>IF(OR($N528="RESTRINGIDO", $N523="RESTRINGIDO"), 0, U491)</f>
        <v>0</v>
      </c>
      <c r="V602" s="12">
        <f>IF(OR($N528="RESTRINGIDO", $N524="RESTRINGIDO"), 0, V491)</f>
        <v>0</v>
      </c>
      <c r="W602" s="12">
        <f>IF(OR($N528="RESTRINGIDO", $N525="RESTRINGIDO"), 0, W491)</f>
        <v>0</v>
      </c>
      <c r="X602" s="12">
        <f>IF(OR($N528="RESTRINGIDO", $N526="RESTRINGIDO"), 0, X491)</f>
        <v>0</v>
      </c>
      <c r="Y602" s="12">
        <f>IF(OR($N528="RESTRINGIDO", $N527="RESTRINGIDO"), 0, Y491)</f>
        <v>0</v>
      </c>
      <c r="Z602" s="24">
        <f>IF($N528="RESTRINGIDO", 1, IF(OR($N528="", $C491=""), 1, Z491))</f>
        <v>0</v>
      </c>
      <c r="AA602" s="12">
        <f>IF(OR($N528="RESTRINGIDO", $N529="RESTRINGIDO"), 0, AA491)</f>
        <v>0</v>
      </c>
      <c r="AB602" s="12">
        <f>IF(OR($N528="RESTRINGIDO", $N530="RESTRINGIDO"), 0, AB491)</f>
        <v>0</v>
      </c>
      <c r="AC602" s="12">
        <f>IF(OR($N528="RESTRINGIDO", $N531="RESTRINGIDO"), 0, AC491)</f>
        <v>0</v>
      </c>
      <c r="AD602" s="12">
        <f>IF(OR($N528="RESTRINGIDO", $N532="RESTRINGIDO"), 0, AD491)</f>
        <v>0</v>
      </c>
      <c r="AE602" s="12">
        <f>IF(OR($N528="RESTRINGIDO", $N533="RESTRINGIDO"), 0, AE491)</f>
        <v>0</v>
      </c>
      <c r="AF602" s="12">
        <f>IF(OR($N528="RESTRINGIDO", $N534="RESTRINGIDO"), 0, AF491)</f>
        <v>0</v>
      </c>
      <c r="AG602" s="12">
        <f>IF(OR($N528="RESTRINGIDO", $N535="RESTRINGIDO"), 0, AG491)</f>
        <v>0</v>
      </c>
      <c r="AH602" s="12">
        <f>IF(OR($N528="RESTRINGIDO", $N536="RESTRINGIDO"), 0, AH491)</f>
        <v>0</v>
      </c>
      <c r="AJ602" s="32">
        <f>IF($N528="LIBRE", IF(ISNUMBER(E528), E528, 0), 0)</f>
        <v>0</v>
      </c>
      <c r="AL602" s="33">
        <v>0</v>
      </c>
      <c r="AN602" s="34">
        <v>0</v>
      </c>
    </row>
    <row r="603" spans="2:40" x14ac:dyDescent="0.25">
      <c r="B603" s="12">
        <f>IF(OR($N529="RESTRINGIDO", $N504="RESTRINGIDO"), 0, B492)</f>
        <v>0</v>
      </c>
      <c r="C603" s="12">
        <f>IF(OR($N529="RESTRINGIDO", $N505="RESTRINGIDO"), 0, C492)</f>
        <v>0</v>
      </c>
      <c r="D603" s="12">
        <f>IF(OR($N529="RESTRINGIDO", $N506="RESTRINGIDO"), 0, D492)</f>
        <v>0</v>
      </c>
      <c r="E603" s="12">
        <f>IF(OR($N529="RESTRINGIDO", $N507="RESTRINGIDO"), 0, E492)</f>
        <v>0</v>
      </c>
      <c r="F603" s="12">
        <f>IF(OR($N529="RESTRINGIDO", $N508="RESTRINGIDO"), 0, F492)</f>
        <v>0</v>
      </c>
      <c r="G603" s="12">
        <f>IF(OR($N529="RESTRINGIDO", $N509="RESTRINGIDO"), 0, G492)</f>
        <v>0</v>
      </c>
      <c r="H603" s="12">
        <f>IF(OR($N529="RESTRINGIDO", $N510="RESTRINGIDO"), 0, H492)</f>
        <v>0</v>
      </c>
      <c r="I603" s="12">
        <f>IF(OR($N529="RESTRINGIDO", $N511="RESTRINGIDO"), 0, I492)</f>
        <v>0</v>
      </c>
      <c r="J603" s="12">
        <f>IF(OR($N529="RESTRINGIDO", $N512="RESTRINGIDO"), 0, J492)</f>
        <v>0</v>
      </c>
      <c r="K603" s="12">
        <f>IF(OR($N529="RESTRINGIDO", $N513="RESTRINGIDO"), 0, K492)</f>
        <v>0</v>
      </c>
      <c r="L603" s="12">
        <f>IF(OR($N529="RESTRINGIDO", $N514="RESTRINGIDO"), 0, L492)</f>
        <v>0</v>
      </c>
      <c r="M603" s="12">
        <f>IF(OR($N529="RESTRINGIDO", $N515="RESTRINGIDO"), 0, M492)</f>
        <v>0</v>
      </c>
      <c r="N603" s="12">
        <f>IF(OR($N529="RESTRINGIDO", $N516="RESTRINGIDO"), 0, N492)</f>
        <v>0</v>
      </c>
      <c r="O603" s="12">
        <f>IF(OR($N529="RESTRINGIDO", $N517="RESTRINGIDO"), 0, O492)</f>
        <v>0</v>
      </c>
      <c r="P603" s="12">
        <f>IF(OR($N529="RESTRINGIDO", $N518="RESTRINGIDO"), 0, P492)</f>
        <v>0</v>
      </c>
      <c r="Q603" s="12">
        <f>IF(OR($N529="RESTRINGIDO", $N519="RESTRINGIDO"), 0, Q492)</f>
        <v>0</v>
      </c>
      <c r="R603" s="12">
        <f>IF(OR($N529="RESTRINGIDO", $N520="RESTRINGIDO"), 0, R492)</f>
        <v>0</v>
      </c>
      <c r="S603" s="12">
        <f>IF(OR($N529="RESTRINGIDO", $N521="RESTRINGIDO"), 0, S492)</f>
        <v>0</v>
      </c>
      <c r="T603" s="12">
        <f>IF(OR($N529="RESTRINGIDO", $N522="RESTRINGIDO"), 0, T492)</f>
        <v>0</v>
      </c>
      <c r="U603" s="12">
        <f>IF(OR($N529="RESTRINGIDO", $N523="RESTRINGIDO"), 0, U492)</f>
        <v>0</v>
      </c>
      <c r="V603" s="12">
        <f>IF(OR($N529="RESTRINGIDO", $N524="RESTRINGIDO"), 0, V492)</f>
        <v>0</v>
      </c>
      <c r="W603" s="12">
        <f>IF(OR($N529="RESTRINGIDO", $N525="RESTRINGIDO"), 0, W492)</f>
        <v>0</v>
      </c>
      <c r="X603" s="12">
        <f>IF(OR($N529="RESTRINGIDO", $N526="RESTRINGIDO"), 0, X492)</f>
        <v>0</v>
      </c>
      <c r="Y603" s="12">
        <f>IF(OR($N529="RESTRINGIDO", $N527="RESTRINGIDO"), 0, Y492)</f>
        <v>0</v>
      </c>
      <c r="Z603" s="12">
        <f>IF(OR($N529="RESTRINGIDO", $N528="RESTRINGIDO"), 0, Z492)</f>
        <v>0</v>
      </c>
      <c r="AA603" s="24">
        <f>IF($N529="RESTRINGIDO", 1, IF(OR($N529="", $C492=""), 1, AA492))</f>
        <v>0</v>
      </c>
      <c r="AB603" s="12">
        <f>IF(OR($N529="RESTRINGIDO", $N530="RESTRINGIDO"), 0, AB492)</f>
        <v>0</v>
      </c>
      <c r="AC603" s="12">
        <f>IF(OR($N529="RESTRINGIDO", $N531="RESTRINGIDO"), 0, AC492)</f>
        <v>0</v>
      </c>
      <c r="AD603" s="12">
        <f>IF(OR($N529="RESTRINGIDO", $N532="RESTRINGIDO"), 0, AD492)</f>
        <v>0</v>
      </c>
      <c r="AE603" s="12">
        <f>IF(OR($N529="RESTRINGIDO", $N533="RESTRINGIDO"), 0, AE492)</f>
        <v>0</v>
      </c>
      <c r="AF603" s="12">
        <f>IF(OR($N529="RESTRINGIDO", $N534="RESTRINGIDO"), 0, AF492)</f>
        <v>0</v>
      </c>
      <c r="AG603" s="12">
        <f>IF(OR($N529="RESTRINGIDO", $N535="RESTRINGIDO"), 0, AG492)</f>
        <v>0</v>
      </c>
      <c r="AH603" s="12">
        <f>IF(OR($N529="RESTRINGIDO", $N536="RESTRINGIDO"), 0, AH492)</f>
        <v>0</v>
      </c>
      <c r="AJ603" s="32">
        <f>IF($N529="LIBRE", IF(ISNUMBER(E529), E529, 0), 0)</f>
        <v>0</v>
      </c>
      <c r="AL603" s="33">
        <v>0</v>
      </c>
      <c r="AN603" s="34">
        <v>0</v>
      </c>
    </row>
    <row r="604" spans="2:40" x14ac:dyDescent="0.25">
      <c r="B604" s="12">
        <f>IF(OR($N530="RESTRINGIDO", $N504="RESTRINGIDO"), 0, B493)</f>
        <v>0</v>
      </c>
      <c r="C604" s="12">
        <f>IF(OR($N530="RESTRINGIDO", $N505="RESTRINGIDO"), 0, C493)</f>
        <v>0</v>
      </c>
      <c r="D604" s="12">
        <f>IF(OR($N530="RESTRINGIDO", $N506="RESTRINGIDO"), 0, D493)</f>
        <v>0</v>
      </c>
      <c r="E604" s="12">
        <f>IF(OR($N530="RESTRINGIDO", $N507="RESTRINGIDO"), 0, E493)</f>
        <v>0</v>
      </c>
      <c r="F604" s="12">
        <f>IF(OR($N530="RESTRINGIDO", $N508="RESTRINGIDO"), 0, F493)</f>
        <v>0</v>
      </c>
      <c r="G604" s="12">
        <f>IF(OR($N530="RESTRINGIDO", $N509="RESTRINGIDO"), 0, G493)</f>
        <v>0</v>
      </c>
      <c r="H604" s="12">
        <f>IF(OR($N530="RESTRINGIDO", $N510="RESTRINGIDO"), 0, H493)</f>
        <v>0</v>
      </c>
      <c r="I604" s="12">
        <f>IF(OR($N530="RESTRINGIDO", $N511="RESTRINGIDO"), 0, I493)</f>
        <v>0</v>
      </c>
      <c r="J604" s="12">
        <f>IF(OR($N530="RESTRINGIDO", $N512="RESTRINGIDO"), 0, J493)</f>
        <v>0</v>
      </c>
      <c r="K604" s="12">
        <f>IF(OR($N530="RESTRINGIDO", $N513="RESTRINGIDO"), 0, K493)</f>
        <v>0</v>
      </c>
      <c r="L604" s="12">
        <f>IF(OR($N530="RESTRINGIDO", $N514="RESTRINGIDO"), 0, L493)</f>
        <v>0</v>
      </c>
      <c r="M604" s="12">
        <f>IF(OR($N530="RESTRINGIDO", $N515="RESTRINGIDO"), 0, M493)</f>
        <v>0</v>
      </c>
      <c r="N604" s="12">
        <f>IF(OR($N530="RESTRINGIDO", $N516="RESTRINGIDO"), 0, N493)</f>
        <v>0</v>
      </c>
      <c r="O604" s="12">
        <f>IF(OR($N530="RESTRINGIDO", $N517="RESTRINGIDO"), 0, O493)</f>
        <v>0</v>
      </c>
      <c r="P604" s="12">
        <f>IF(OR($N530="RESTRINGIDO", $N518="RESTRINGIDO"), 0, P493)</f>
        <v>0</v>
      </c>
      <c r="Q604" s="12">
        <f>IF(OR($N530="RESTRINGIDO", $N519="RESTRINGIDO"), 0, Q493)</f>
        <v>0</v>
      </c>
      <c r="R604" s="12">
        <f>IF(OR($N530="RESTRINGIDO", $N520="RESTRINGIDO"), 0, R493)</f>
        <v>0</v>
      </c>
      <c r="S604" s="12">
        <f>IF(OR($N530="RESTRINGIDO", $N521="RESTRINGIDO"), 0, S493)</f>
        <v>0</v>
      </c>
      <c r="T604" s="12">
        <f>IF(OR($N530="RESTRINGIDO", $N522="RESTRINGIDO"), 0, T493)</f>
        <v>0</v>
      </c>
      <c r="U604" s="12">
        <f>IF(OR($N530="RESTRINGIDO", $N523="RESTRINGIDO"), 0, U493)</f>
        <v>0</v>
      </c>
      <c r="V604" s="12">
        <f>IF(OR($N530="RESTRINGIDO", $N524="RESTRINGIDO"), 0, V493)</f>
        <v>0</v>
      </c>
      <c r="W604" s="12">
        <f>IF(OR($N530="RESTRINGIDO", $N525="RESTRINGIDO"), 0, W493)</f>
        <v>0</v>
      </c>
      <c r="X604" s="12">
        <f>IF(OR($N530="RESTRINGIDO", $N526="RESTRINGIDO"), 0, X493)</f>
        <v>0</v>
      </c>
      <c r="Y604" s="12">
        <f>IF(OR($N530="RESTRINGIDO", $N527="RESTRINGIDO"), 0, Y493)</f>
        <v>0</v>
      </c>
      <c r="Z604" s="12">
        <f>IF(OR($N530="RESTRINGIDO", $N528="RESTRINGIDO"), 0, Z493)</f>
        <v>0</v>
      </c>
      <c r="AA604" s="12">
        <f>IF(OR($N530="RESTRINGIDO", $N529="RESTRINGIDO"), 0, AA493)</f>
        <v>0</v>
      </c>
      <c r="AB604" s="24">
        <f>IF($N530="RESTRINGIDO", 1, IF(OR($N530="", $C493=""), 1, AB493))</f>
        <v>0</v>
      </c>
      <c r="AC604" s="12">
        <f>IF(OR($N530="RESTRINGIDO", $N531="RESTRINGIDO"), 0, AC493)</f>
        <v>0</v>
      </c>
      <c r="AD604" s="12">
        <f>IF(OR($N530="RESTRINGIDO", $N532="RESTRINGIDO"), 0, AD493)</f>
        <v>0</v>
      </c>
      <c r="AE604" s="12">
        <f>IF(OR($N530="RESTRINGIDO", $N533="RESTRINGIDO"), 0, AE493)</f>
        <v>0</v>
      </c>
      <c r="AF604" s="12">
        <f>IF(OR($N530="RESTRINGIDO", $N534="RESTRINGIDO"), 0, AF493)</f>
        <v>0</v>
      </c>
      <c r="AG604" s="12">
        <f>IF(OR($N530="RESTRINGIDO", $N535="RESTRINGIDO"), 0, AG493)</f>
        <v>0</v>
      </c>
      <c r="AH604" s="12">
        <f>IF(OR($N530="RESTRINGIDO", $N536="RESTRINGIDO"), 0, AH493)</f>
        <v>0</v>
      </c>
      <c r="AJ604" s="32">
        <f>IF($N530="LIBRE", IF(ISNUMBER(E530), E530, 0), 0)</f>
        <v>0</v>
      </c>
      <c r="AL604" s="33">
        <v>0</v>
      </c>
      <c r="AN604" s="34">
        <v>0</v>
      </c>
    </row>
    <row r="605" spans="2:40" x14ac:dyDescent="0.25">
      <c r="B605" s="12">
        <f>IF(OR($N531="RESTRINGIDO", $N504="RESTRINGIDO"), 0, B494)</f>
        <v>0</v>
      </c>
      <c r="C605" s="12">
        <f>IF(OR($N531="RESTRINGIDO", $N505="RESTRINGIDO"), 0, C494)</f>
        <v>0</v>
      </c>
      <c r="D605" s="12">
        <f>IF(OR($N531="RESTRINGIDO", $N506="RESTRINGIDO"), 0, D494)</f>
        <v>0</v>
      </c>
      <c r="E605" s="12">
        <f>IF(OR($N531="RESTRINGIDO", $N507="RESTRINGIDO"), 0, E494)</f>
        <v>0</v>
      </c>
      <c r="F605" s="12">
        <f>IF(OR($N531="RESTRINGIDO", $N508="RESTRINGIDO"), 0, F494)</f>
        <v>0</v>
      </c>
      <c r="G605" s="12">
        <f>IF(OR($N531="RESTRINGIDO", $N509="RESTRINGIDO"), 0, G494)</f>
        <v>0</v>
      </c>
      <c r="H605" s="12">
        <f>IF(OR($N531="RESTRINGIDO", $N510="RESTRINGIDO"), 0, H494)</f>
        <v>0</v>
      </c>
      <c r="I605" s="12">
        <f>IF(OR($N531="RESTRINGIDO", $N511="RESTRINGIDO"), 0, I494)</f>
        <v>0</v>
      </c>
      <c r="J605" s="12">
        <f>IF(OR($N531="RESTRINGIDO", $N512="RESTRINGIDO"), 0, J494)</f>
        <v>0</v>
      </c>
      <c r="K605" s="12">
        <f>IF(OR($N531="RESTRINGIDO", $N513="RESTRINGIDO"), 0, K494)</f>
        <v>0</v>
      </c>
      <c r="L605" s="12">
        <f>IF(OR($N531="RESTRINGIDO", $N514="RESTRINGIDO"), 0, L494)</f>
        <v>0</v>
      </c>
      <c r="M605" s="12">
        <f>IF(OR($N531="RESTRINGIDO", $N515="RESTRINGIDO"), 0, M494)</f>
        <v>0</v>
      </c>
      <c r="N605" s="12">
        <f>IF(OR($N531="RESTRINGIDO", $N516="RESTRINGIDO"), 0, N494)</f>
        <v>0</v>
      </c>
      <c r="O605" s="12">
        <f>IF(OR($N531="RESTRINGIDO", $N517="RESTRINGIDO"), 0, O494)</f>
        <v>0</v>
      </c>
      <c r="P605" s="12">
        <f>IF(OR($N531="RESTRINGIDO", $N518="RESTRINGIDO"), 0, P494)</f>
        <v>0</v>
      </c>
      <c r="Q605" s="12">
        <f>IF(OR($N531="RESTRINGIDO", $N519="RESTRINGIDO"), 0, Q494)</f>
        <v>0</v>
      </c>
      <c r="R605" s="12">
        <f>IF(OR($N531="RESTRINGIDO", $N520="RESTRINGIDO"), 0, R494)</f>
        <v>0</v>
      </c>
      <c r="S605" s="12">
        <f>IF(OR($N531="RESTRINGIDO", $N521="RESTRINGIDO"), 0, S494)</f>
        <v>0</v>
      </c>
      <c r="T605" s="12">
        <f>IF(OR($N531="RESTRINGIDO", $N522="RESTRINGIDO"), 0, T494)</f>
        <v>0</v>
      </c>
      <c r="U605" s="12">
        <f>IF(OR($N531="RESTRINGIDO", $N523="RESTRINGIDO"), 0, U494)</f>
        <v>0</v>
      </c>
      <c r="V605" s="12">
        <f>IF(OR($N531="RESTRINGIDO", $N524="RESTRINGIDO"), 0, V494)</f>
        <v>0</v>
      </c>
      <c r="W605" s="12">
        <f>IF(OR($N531="RESTRINGIDO", $N525="RESTRINGIDO"), 0, W494)</f>
        <v>0</v>
      </c>
      <c r="X605" s="12">
        <f>IF(OR($N531="RESTRINGIDO", $N526="RESTRINGIDO"), 0, X494)</f>
        <v>0</v>
      </c>
      <c r="Y605" s="12">
        <f>IF(OR($N531="RESTRINGIDO", $N527="RESTRINGIDO"), 0, Y494)</f>
        <v>0</v>
      </c>
      <c r="Z605" s="12">
        <f>IF(OR($N531="RESTRINGIDO", $N528="RESTRINGIDO"), 0, Z494)</f>
        <v>0</v>
      </c>
      <c r="AA605" s="12">
        <f>IF(OR($N531="RESTRINGIDO", $N529="RESTRINGIDO"), 0, AA494)</f>
        <v>0</v>
      </c>
      <c r="AB605" s="12">
        <f>IF(OR($N531="RESTRINGIDO", $N530="RESTRINGIDO"), 0, AB494)</f>
        <v>0</v>
      </c>
      <c r="AC605" s="24">
        <f>IF($N531="RESTRINGIDO", 1, IF(OR($N531="", $C494=""), 1, AC494))</f>
        <v>0</v>
      </c>
      <c r="AD605" s="12">
        <f>IF(OR($N531="RESTRINGIDO", $N532="RESTRINGIDO"), 0, AD494)</f>
        <v>0</v>
      </c>
      <c r="AE605" s="12">
        <f>IF(OR($N531="RESTRINGIDO", $N533="RESTRINGIDO"), 0, AE494)</f>
        <v>0</v>
      </c>
      <c r="AF605" s="12">
        <f>IF(OR($N531="RESTRINGIDO", $N534="RESTRINGIDO"), 0, AF494)</f>
        <v>0</v>
      </c>
      <c r="AG605" s="12">
        <f>IF(OR($N531="RESTRINGIDO", $N535="RESTRINGIDO"), 0, AG494)</f>
        <v>0</v>
      </c>
      <c r="AH605" s="12">
        <f>IF(OR($N531="RESTRINGIDO", $N536="RESTRINGIDO"), 0, AH494)</f>
        <v>0</v>
      </c>
      <c r="AJ605" s="32">
        <f>IF($N531="LIBRE", IF(ISNUMBER(E531), E531, 0), 0)</f>
        <v>0</v>
      </c>
      <c r="AL605" s="33">
        <v>0</v>
      </c>
      <c r="AN605" s="34">
        <v>0</v>
      </c>
    </row>
    <row r="606" spans="2:40" x14ac:dyDescent="0.25">
      <c r="B606" s="12">
        <f>IF(OR($N532="RESTRINGIDO", $N504="RESTRINGIDO"), 0, B495)</f>
        <v>0</v>
      </c>
      <c r="C606" s="12">
        <f>IF(OR($N532="RESTRINGIDO", $N505="RESTRINGIDO"), 0, C495)</f>
        <v>0</v>
      </c>
      <c r="D606" s="12">
        <f>IF(OR($N532="RESTRINGIDO", $N506="RESTRINGIDO"), 0, D495)</f>
        <v>0</v>
      </c>
      <c r="E606" s="12">
        <f>IF(OR($N532="RESTRINGIDO", $N507="RESTRINGIDO"), 0, E495)</f>
        <v>0</v>
      </c>
      <c r="F606" s="12">
        <f>IF(OR($N532="RESTRINGIDO", $N508="RESTRINGIDO"), 0, F495)</f>
        <v>0</v>
      </c>
      <c r="G606" s="12">
        <f>IF(OR($N532="RESTRINGIDO", $N509="RESTRINGIDO"), 0, G495)</f>
        <v>0</v>
      </c>
      <c r="H606" s="12">
        <f>IF(OR($N532="RESTRINGIDO", $N510="RESTRINGIDO"), 0, H495)</f>
        <v>0</v>
      </c>
      <c r="I606" s="12">
        <f>IF(OR($N532="RESTRINGIDO", $N511="RESTRINGIDO"), 0, I495)</f>
        <v>0</v>
      </c>
      <c r="J606" s="12">
        <f>IF(OR($N532="RESTRINGIDO", $N512="RESTRINGIDO"), 0, J495)</f>
        <v>0</v>
      </c>
      <c r="K606" s="12">
        <f>IF(OR($N532="RESTRINGIDO", $N513="RESTRINGIDO"), 0, K495)</f>
        <v>0</v>
      </c>
      <c r="L606" s="12">
        <f>IF(OR($N532="RESTRINGIDO", $N514="RESTRINGIDO"), 0, L495)</f>
        <v>0</v>
      </c>
      <c r="M606" s="12">
        <f>IF(OR($N532="RESTRINGIDO", $N515="RESTRINGIDO"), 0, M495)</f>
        <v>0</v>
      </c>
      <c r="N606" s="12">
        <f>IF(OR($N532="RESTRINGIDO", $N516="RESTRINGIDO"), 0, N495)</f>
        <v>0</v>
      </c>
      <c r="O606" s="12">
        <f>IF(OR($N532="RESTRINGIDO", $N517="RESTRINGIDO"), 0, O495)</f>
        <v>0</v>
      </c>
      <c r="P606" s="12">
        <f>IF(OR($N532="RESTRINGIDO", $N518="RESTRINGIDO"), 0, P495)</f>
        <v>0</v>
      </c>
      <c r="Q606" s="12">
        <f>IF(OR($N532="RESTRINGIDO", $N519="RESTRINGIDO"), 0, Q495)</f>
        <v>0</v>
      </c>
      <c r="R606" s="12">
        <f>IF(OR($N532="RESTRINGIDO", $N520="RESTRINGIDO"), 0, R495)</f>
        <v>0</v>
      </c>
      <c r="S606" s="12">
        <f>IF(OR($N532="RESTRINGIDO", $N521="RESTRINGIDO"), 0, S495)</f>
        <v>0</v>
      </c>
      <c r="T606" s="12">
        <f>IF(OR($N532="RESTRINGIDO", $N522="RESTRINGIDO"), 0, T495)</f>
        <v>0</v>
      </c>
      <c r="U606" s="12">
        <f>IF(OR($N532="RESTRINGIDO", $N523="RESTRINGIDO"), 0, U495)</f>
        <v>0</v>
      </c>
      <c r="V606" s="12">
        <f>IF(OR($N532="RESTRINGIDO", $N524="RESTRINGIDO"), 0, V495)</f>
        <v>0</v>
      </c>
      <c r="W606" s="12">
        <f>IF(OR($N532="RESTRINGIDO", $N525="RESTRINGIDO"), 0, W495)</f>
        <v>0</v>
      </c>
      <c r="X606" s="12">
        <f>IF(OR($N532="RESTRINGIDO", $N526="RESTRINGIDO"), 0, X495)</f>
        <v>0</v>
      </c>
      <c r="Y606" s="12">
        <f>IF(OR($N532="RESTRINGIDO", $N527="RESTRINGIDO"), 0, Y495)</f>
        <v>0</v>
      </c>
      <c r="Z606" s="12">
        <f>IF(OR($N532="RESTRINGIDO", $N528="RESTRINGIDO"), 0, Z495)</f>
        <v>0</v>
      </c>
      <c r="AA606" s="12">
        <f>IF(OR($N532="RESTRINGIDO", $N529="RESTRINGIDO"), 0, AA495)</f>
        <v>0</v>
      </c>
      <c r="AB606" s="12">
        <f>IF(OR($N532="RESTRINGIDO", $N530="RESTRINGIDO"), 0, AB495)</f>
        <v>0</v>
      </c>
      <c r="AC606" s="12">
        <f>IF(OR($N532="RESTRINGIDO", $N531="RESTRINGIDO"), 0, AC495)</f>
        <v>0</v>
      </c>
      <c r="AD606" s="24">
        <f>IF($N532="RESTRINGIDO", 1, IF(OR($N532="", $C495=""), 1, AD495))</f>
        <v>0</v>
      </c>
      <c r="AE606" s="12">
        <f>IF(OR($N532="RESTRINGIDO", $N533="RESTRINGIDO"), 0, AE495)</f>
        <v>0</v>
      </c>
      <c r="AF606" s="12">
        <f>IF(OR($N532="RESTRINGIDO", $N534="RESTRINGIDO"), 0, AF495)</f>
        <v>0</v>
      </c>
      <c r="AG606" s="12">
        <f>IF(OR($N532="RESTRINGIDO", $N535="RESTRINGIDO"), 0, AG495)</f>
        <v>0</v>
      </c>
      <c r="AH606" s="12">
        <f>IF(OR($N532="RESTRINGIDO", $N536="RESTRINGIDO"), 0, AH495)</f>
        <v>0</v>
      </c>
      <c r="AJ606" s="32">
        <f>IF($N532="LIBRE", IF(ISNUMBER(E532), E532, 0), 0)</f>
        <v>0</v>
      </c>
      <c r="AL606" s="33">
        <v>0</v>
      </c>
      <c r="AN606" s="34">
        <v>0</v>
      </c>
    </row>
    <row r="607" spans="2:40" x14ac:dyDescent="0.25">
      <c r="B607" s="12">
        <f>IF(OR($N533="RESTRINGIDO", $N504="RESTRINGIDO"), 0, B496)</f>
        <v>0</v>
      </c>
      <c r="C607" s="12">
        <f>IF(OR($N533="RESTRINGIDO", $N505="RESTRINGIDO"), 0, C496)</f>
        <v>0</v>
      </c>
      <c r="D607" s="12">
        <f>IF(OR($N533="RESTRINGIDO", $N506="RESTRINGIDO"), 0, D496)</f>
        <v>0</v>
      </c>
      <c r="E607" s="12">
        <f>IF(OR($N533="RESTRINGIDO", $N507="RESTRINGIDO"), 0, E496)</f>
        <v>0</v>
      </c>
      <c r="F607" s="12">
        <f>IF(OR($N533="RESTRINGIDO", $N508="RESTRINGIDO"), 0, F496)</f>
        <v>0</v>
      </c>
      <c r="G607" s="12">
        <f>IF(OR($N533="RESTRINGIDO", $N509="RESTRINGIDO"), 0, G496)</f>
        <v>0</v>
      </c>
      <c r="H607" s="12">
        <f>IF(OR($N533="RESTRINGIDO", $N510="RESTRINGIDO"), 0, H496)</f>
        <v>0</v>
      </c>
      <c r="I607" s="12">
        <f>IF(OR($N533="RESTRINGIDO", $N511="RESTRINGIDO"), 0, I496)</f>
        <v>0</v>
      </c>
      <c r="J607" s="12">
        <f>IF(OR($N533="RESTRINGIDO", $N512="RESTRINGIDO"), 0, J496)</f>
        <v>0</v>
      </c>
      <c r="K607" s="12">
        <f>IF(OR($N533="RESTRINGIDO", $N513="RESTRINGIDO"), 0, K496)</f>
        <v>0</v>
      </c>
      <c r="L607" s="12">
        <f>IF(OR($N533="RESTRINGIDO", $N514="RESTRINGIDO"), 0, L496)</f>
        <v>0</v>
      </c>
      <c r="M607" s="12">
        <f>IF(OR($N533="RESTRINGIDO", $N515="RESTRINGIDO"), 0, M496)</f>
        <v>0</v>
      </c>
      <c r="N607" s="12">
        <f>IF(OR($N533="RESTRINGIDO", $N516="RESTRINGIDO"), 0, N496)</f>
        <v>0</v>
      </c>
      <c r="O607" s="12">
        <f>IF(OR($N533="RESTRINGIDO", $N517="RESTRINGIDO"), 0, O496)</f>
        <v>0</v>
      </c>
      <c r="P607" s="12">
        <f>IF(OR($N533="RESTRINGIDO", $N518="RESTRINGIDO"), 0, P496)</f>
        <v>0</v>
      </c>
      <c r="Q607" s="12">
        <f>IF(OR($N533="RESTRINGIDO", $N519="RESTRINGIDO"), 0, Q496)</f>
        <v>0</v>
      </c>
      <c r="R607" s="12">
        <f>IF(OR($N533="RESTRINGIDO", $N520="RESTRINGIDO"), 0, R496)</f>
        <v>0</v>
      </c>
      <c r="S607" s="12">
        <f>IF(OR($N533="RESTRINGIDO", $N521="RESTRINGIDO"), 0, S496)</f>
        <v>0</v>
      </c>
      <c r="T607" s="12">
        <f>IF(OR($N533="RESTRINGIDO", $N522="RESTRINGIDO"), 0, T496)</f>
        <v>0</v>
      </c>
      <c r="U607" s="12">
        <f>IF(OR($N533="RESTRINGIDO", $N523="RESTRINGIDO"), 0, U496)</f>
        <v>0</v>
      </c>
      <c r="V607" s="12">
        <f>IF(OR($N533="RESTRINGIDO", $N524="RESTRINGIDO"), 0, V496)</f>
        <v>0</v>
      </c>
      <c r="W607" s="12">
        <f>IF(OR($N533="RESTRINGIDO", $N525="RESTRINGIDO"), 0, W496)</f>
        <v>0</v>
      </c>
      <c r="X607" s="12">
        <f>IF(OR($N533="RESTRINGIDO", $N526="RESTRINGIDO"), 0, X496)</f>
        <v>0</v>
      </c>
      <c r="Y607" s="12">
        <f>IF(OR($N533="RESTRINGIDO", $N527="RESTRINGIDO"), 0, Y496)</f>
        <v>0</v>
      </c>
      <c r="Z607" s="12">
        <f>IF(OR($N533="RESTRINGIDO", $N528="RESTRINGIDO"), 0, Z496)</f>
        <v>0</v>
      </c>
      <c r="AA607" s="12">
        <f>IF(OR($N533="RESTRINGIDO", $N529="RESTRINGIDO"), 0, AA496)</f>
        <v>0</v>
      </c>
      <c r="AB607" s="12">
        <f>IF(OR($N533="RESTRINGIDO", $N530="RESTRINGIDO"), 0, AB496)</f>
        <v>0</v>
      </c>
      <c r="AC607" s="12">
        <f>IF(OR($N533="RESTRINGIDO", $N531="RESTRINGIDO"), 0, AC496)</f>
        <v>0</v>
      </c>
      <c r="AD607" s="12">
        <f>IF(OR($N533="RESTRINGIDO", $N532="RESTRINGIDO"), 0, AD496)</f>
        <v>0</v>
      </c>
      <c r="AE607" s="24">
        <f>IF($N533="RESTRINGIDO", 1, IF(OR($N533="", $C496=""), 1, AE496))</f>
        <v>0</v>
      </c>
      <c r="AF607" s="12">
        <f>IF(OR($N533="RESTRINGIDO", $N534="RESTRINGIDO"), 0, AF496)</f>
        <v>0</v>
      </c>
      <c r="AG607" s="12">
        <f>IF(OR($N533="RESTRINGIDO", $N535="RESTRINGIDO"), 0, AG496)</f>
        <v>0</v>
      </c>
      <c r="AH607" s="12">
        <f>IF(OR($N533="RESTRINGIDO", $N536="RESTRINGIDO"), 0, AH496)</f>
        <v>0</v>
      </c>
      <c r="AJ607" s="32">
        <f>IF($N533="LIBRE", IF(ISNUMBER(E533), E533, 0), 0)</f>
        <v>0</v>
      </c>
      <c r="AL607" s="33">
        <v>0</v>
      </c>
      <c r="AN607" s="34">
        <v>0</v>
      </c>
    </row>
    <row r="608" spans="2:40" x14ac:dyDescent="0.25">
      <c r="B608" s="12">
        <f>IF(OR($N534="RESTRINGIDO", $N504="RESTRINGIDO"), 0, B497)</f>
        <v>0</v>
      </c>
      <c r="C608" s="12">
        <f>IF(OR($N534="RESTRINGIDO", $N505="RESTRINGIDO"), 0, C497)</f>
        <v>0</v>
      </c>
      <c r="D608" s="12">
        <f>IF(OR($N534="RESTRINGIDO", $N506="RESTRINGIDO"), 0, D497)</f>
        <v>0</v>
      </c>
      <c r="E608" s="12">
        <f>IF(OR($N534="RESTRINGIDO", $N507="RESTRINGIDO"), 0, E497)</f>
        <v>0</v>
      </c>
      <c r="F608" s="12">
        <f>IF(OR($N534="RESTRINGIDO", $N508="RESTRINGIDO"), 0, F497)</f>
        <v>0</v>
      </c>
      <c r="G608" s="12">
        <f>IF(OR($N534="RESTRINGIDO", $N509="RESTRINGIDO"), 0, G497)</f>
        <v>0</v>
      </c>
      <c r="H608" s="12">
        <f>IF(OR($N534="RESTRINGIDO", $N510="RESTRINGIDO"), 0, H497)</f>
        <v>0</v>
      </c>
      <c r="I608" s="12">
        <f>IF(OR($N534="RESTRINGIDO", $N511="RESTRINGIDO"), 0, I497)</f>
        <v>0</v>
      </c>
      <c r="J608" s="12">
        <f>IF(OR($N534="RESTRINGIDO", $N512="RESTRINGIDO"), 0, J497)</f>
        <v>0</v>
      </c>
      <c r="K608" s="12">
        <f>IF(OR($N534="RESTRINGIDO", $N513="RESTRINGIDO"), 0, K497)</f>
        <v>0</v>
      </c>
      <c r="L608" s="12">
        <f>IF(OR($N534="RESTRINGIDO", $N514="RESTRINGIDO"), 0, L497)</f>
        <v>0</v>
      </c>
      <c r="M608" s="12">
        <f>IF(OR($N534="RESTRINGIDO", $N515="RESTRINGIDO"), 0, M497)</f>
        <v>0</v>
      </c>
      <c r="N608" s="12">
        <f>IF(OR($N534="RESTRINGIDO", $N516="RESTRINGIDO"), 0, N497)</f>
        <v>0</v>
      </c>
      <c r="O608" s="12">
        <f>IF(OR($N534="RESTRINGIDO", $N517="RESTRINGIDO"), 0, O497)</f>
        <v>0</v>
      </c>
      <c r="P608" s="12">
        <f>IF(OR($N534="RESTRINGIDO", $N518="RESTRINGIDO"), 0, P497)</f>
        <v>0</v>
      </c>
      <c r="Q608" s="12">
        <f>IF(OR($N534="RESTRINGIDO", $N519="RESTRINGIDO"), 0, Q497)</f>
        <v>0</v>
      </c>
      <c r="R608" s="12">
        <f>IF(OR($N534="RESTRINGIDO", $N520="RESTRINGIDO"), 0, R497)</f>
        <v>0</v>
      </c>
      <c r="S608" s="12">
        <f>IF(OR($N534="RESTRINGIDO", $N521="RESTRINGIDO"), 0, S497)</f>
        <v>0</v>
      </c>
      <c r="T608" s="12">
        <f>IF(OR($N534="RESTRINGIDO", $N522="RESTRINGIDO"), 0, T497)</f>
        <v>0</v>
      </c>
      <c r="U608" s="12">
        <f>IF(OR($N534="RESTRINGIDO", $N523="RESTRINGIDO"), 0, U497)</f>
        <v>0</v>
      </c>
      <c r="V608" s="12">
        <f>IF(OR($N534="RESTRINGIDO", $N524="RESTRINGIDO"), 0, V497)</f>
        <v>0</v>
      </c>
      <c r="W608" s="12">
        <f>IF(OR($N534="RESTRINGIDO", $N525="RESTRINGIDO"), 0, W497)</f>
        <v>0</v>
      </c>
      <c r="X608" s="12">
        <f>IF(OR($N534="RESTRINGIDO", $N526="RESTRINGIDO"), 0, X497)</f>
        <v>0</v>
      </c>
      <c r="Y608" s="12">
        <f>IF(OR($N534="RESTRINGIDO", $N527="RESTRINGIDO"), 0, Y497)</f>
        <v>0</v>
      </c>
      <c r="Z608" s="12">
        <f>IF(OR($N534="RESTRINGIDO", $N528="RESTRINGIDO"), 0, Z497)</f>
        <v>0</v>
      </c>
      <c r="AA608" s="12">
        <f>IF(OR($N534="RESTRINGIDO", $N529="RESTRINGIDO"), 0, AA497)</f>
        <v>0</v>
      </c>
      <c r="AB608" s="12">
        <f>IF(OR($N534="RESTRINGIDO", $N530="RESTRINGIDO"), 0, AB497)</f>
        <v>0</v>
      </c>
      <c r="AC608" s="12">
        <f>IF(OR($N534="RESTRINGIDO", $N531="RESTRINGIDO"), 0, AC497)</f>
        <v>0</v>
      </c>
      <c r="AD608" s="12">
        <f>IF(OR($N534="RESTRINGIDO", $N532="RESTRINGIDO"), 0, AD497)</f>
        <v>0</v>
      </c>
      <c r="AE608" s="12">
        <f>IF(OR($N534="RESTRINGIDO", $N533="RESTRINGIDO"), 0, AE497)</f>
        <v>0</v>
      </c>
      <c r="AF608" s="24">
        <f>IF($N534="RESTRINGIDO", 1, IF(OR($N534="", $C497=""), 1, AF497))</f>
        <v>0</v>
      </c>
      <c r="AG608" s="12">
        <f>IF(OR($N534="RESTRINGIDO", $N535="RESTRINGIDO"), 0, AG497)</f>
        <v>0</v>
      </c>
      <c r="AH608" s="12">
        <f>IF(OR($N534="RESTRINGIDO", $N536="RESTRINGIDO"), 0, AH497)</f>
        <v>0</v>
      </c>
      <c r="AJ608" s="32">
        <f>IF($N534="LIBRE", IF(ISNUMBER(E534), E534, 0), 0)</f>
        <v>0</v>
      </c>
      <c r="AL608" s="33">
        <v>0</v>
      </c>
      <c r="AN608" s="34">
        <v>0</v>
      </c>
    </row>
    <row r="609" spans="2:40" x14ac:dyDescent="0.25">
      <c r="B609" s="12">
        <f>IF(OR($N535="RESTRINGIDO", $N504="RESTRINGIDO"), 0, B498)</f>
        <v>0</v>
      </c>
      <c r="C609" s="12">
        <f>IF(OR($N535="RESTRINGIDO", $N505="RESTRINGIDO"), 0, C498)</f>
        <v>0</v>
      </c>
      <c r="D609" s="12">
        <f>IF(OR($N535="RESTRINGIDO", $N506="RESTRINGIDO"), 0, D498)</f>
        <v>0</v>
      </c>
      <c r="E609" s="12">
        <f>IF(OR($N535="RESTRINGIDO", $N507="RESTRINGIDO"), 0, E498)</f>
        <v>0</v>
      </c>
      <c r="F609" s="12">
        <f>IF(OR($N535="RESTRINGIDO", $N508="RESTRINGIDO"), 0, F498)</f>
        <v>0</v>
      </c>
      <c r="G609" s="12">
        <f>IF(OR($N535="RESTRINGIDO", $N509="RESTRINGIDO"), 0, G498)</f>
        <v>0</v>
      </c>
      <c r="H609" s="12">
        <f>IF(OR($N535="RESTRINGIDO", $N510="RESTRINGIDO"), 0, H498)</f>
        <v>0</v>
      </c>
      <c r="I609" s="12">
        <f>IF(OR($N535="RESTRINGIDO", $N511="RESTRINGIDO"), 0, I498)</f>
        <v>0</v>
      </c>
      <c r="J609" s="12">
        <f>IF(OR($N535="RESTRINGIDO", $N512="RESTRINGIDO"), 0, J498)</f>
        <v>0</v>
      </c>
      <c r="K609" s="12">
        <f>IF(OR($N535="RESTRINGIDO", $N513="RESTRINGIDO"), 0, K498)</f>
        <v>0</v>
      </c>
      <c r="L609" s="12">
        <f>IF(OR($N535="RESTRINGIDO", $N514="RESTRINGIDO"), 0, L498)</f>
        <v>0</v>
      </c>
      <c r="M609" s="12">
        <f>IF(OR($N535="RESTRINGIDO", $N515="RESTRINGIDO"), 0, M498)</f>
        <v>0</v>
      </c>
      <c r="N609" s="12">
        <f>IF(OR($N535="RESTRINGIDO", $N516="RESTRINGIDO"), 0, N498)</f>
        <v>0</v>
      </c>
      <c r="O609" s="12">
        <f>IF(OR($N535="RESTRINGIDO", $N517="RESTRINGIDO"), 0, O498)</f>
        <v>0</v>
      </c>
      <c r="P609" s="12">
        <f>IF(OR($N535="RESTRINGIDO", $N518="RESTRINGIDO"), 0, P498)</f>
        <v>0</v>
      </c>
      <c r="Q609" s="12">
        <f>IF(OR($N535="RESTRINGIDO", $N519="RESTRINGIDO"), 0, Q498)</f>
        <v>0</v>
      </c>
      <c r="R609" s="12">
        <f>IF(OR($N535="RESTRINGIDO", $N520="RESTRINGIDO"), 0, R498)</f>
        <v>0</v>
      </c>
      <c r="S609" s="12">
        <f>IF(OR($N535="RESTRINGIDO", $N521="RESTRINGIDO"), 0, S498)</f>
        <v>0</v>
      </c>
      <c r="T609" s="12">
        <f>IF(OR($N535="RESTRINGIDO", $N522="RESTRINGIDO"), 0, T498)</f>
        <v>0</v>
      </c>
      <c r="U609" s="12">
        <f>IF(OR($N535="RESTRINGIDO", $N523="RESTRINGIDO"), 0, U498)</f>
        <v>0</v>
      </c>
      <c r="V609" s="12">
        <f>IF(OR($N535="RESTRINGIDO", $N524="RESTRINGIDO"), 0, V498)</f>
        <v>0</v>
      </c>
      <c r="W609" s="12">
        <f>IF(OR($N535="RESTRINGIDO", $N525="RESTRINGIDO"), 0, W498)</f>
        <v>0</v>
      </c>
      <c r="X609" s="12">
        <f>IF(OR($N535="RESTRINGIDO", $N526="RESTRINGIDO"), 0, X498)</f>
        <v>0</v>
      </c>
      <c r="Y609" s="12">
        <f>IF(OR($N535="RESTRINGIDO", $N527="RESTRINGIDO"), 0, Y498)</f>
        <v>0</v>
      </c>
      <c r="Z609" s="12">
        <f>IF(OR($N535="RESTRINGIDO", $N528="RESTRINGIDO"), 0, Z498)</f>
        <v>0</v>
      </c>
      <c r="AA609" s="12">
        <f>IF(OR($N535="RESTRINGIDO", $N529="RESTRINGIDO"), 0, AA498)</f>
        <v>0</v>
      </c>
      <c r="AB609" s="12">
        <f>IF(OR($N535="RESTRINGIDO", $N530="RESTRINGIDO"), 0, AB498)</f>
        <v>0</v>
      </c>
      <c r="AC609" s="12">
        <f>IF(OR($N535="RESTRINGIDO", $N531="RESTRINGIDO"), 0, AC498)</f>
        <v>0</v>
      </c>
      <c r="AD609" s="12">
        <f>IF(OR($N535="RESTRINGIDO", $N532="RESTRINGIDO"), 0, AD498)</f>
        <v>0</v>
      </c>
      <c r="AE609" s="12">
        <f>IF(OR($N535="RESTRINGIDO", $N533="RESTRINGIDO"), 0, AE498)</f>
        <v>0</v>
      </c>
      <c r="AF609" s="12">
        <f>IF(OR($N535="RESTRINGIDO", $N534="RESTRINGIDO"), 0, AF498)</f>
        <v>0</v>
      </c>
      <c r="AG609" s="24">
        <f>IF($N535="RESTRINGIDO", 1, IF(OR($N535="", $C498=""), 1, AG498))</f>
        <v>0</v>
      </c>
      <c r="AH609" s="12">
        <f>IF(OR($N535="RESTRINGIDO", $N536="RESTRINGIDO"), 0, AH498)</f>
        <v>0</v>
      </c>
      <c r="AJ609" s="32">
        <f>IF($N535="LIBRE", IF(ISNUMBER(E535), E535, 0), 0)</f>
        <v>0</v>
      </c>
      <c r="AL609" s="33">
        <v>0</v>
      </c>
      <c r="AN609" s="34">
        <v>0</v>
      </c>
    </row>
    <row r="610" spans="2:40" x14ac:dyDescent="0.25">
      <c r="B610" s="12">
        <f>IF(OR($N536="RESTRINGIDO", $N504="RESTRINGIDO"), 0, B499)</f>
        <v>0</v>
      </c>
      <c r="C610" s="12">
        <f>IF(OR($N536="RESTRINGIDO", $N505="RESTRINGIDO"), 0, C499)</f>
        <v>0</v>
      </c>
      <c r="D610" s="12">
        <f>IF(OR($N536="RESTRINGIDO", $N506="RESTRINGIDO"), 0, D499)</f>
        <v>0</v>
      </c>
      <c r="E610" s="12">
        <f>IF(OR($N536="RESTRINGIDO", $N507="RESTRINGIDO"), 0, E499)</f>
        <v>0</v>
      </c>
      <c r="F610" s="12">
        <f>IF(OR($N536="RESTRINGIDO", $N508="RESTRINGIDO"), 0, F499)</f>
        <v>0</v>
      </c>
      <c r="G610" s="12">
        <f>IF(OR($N536="RESTRINGIDO", $N509="RESTRINGIDO"), 0, G499)</f>
        <v>0</v>
      </c>
      <c r="H610" s="12">
        <f>IF(OR($N536="RESTRINGIDO", $N510="RESTRINGIDO"), 0, H499)</f>
        <v>0</v>
      </c>
      <c r="I610" s="12">
        <f>IF(OR($N536="RESTRINGIDO", $N511="RESTRINGIDO"), 0, I499)</f>
        <v>0</v>
      </c>
      <c r="J610" s="12">
        <f>IF(OR($N536="RESTRINGIDO", $N512="RESTRINGIDO"), 0, J499)</f>
        <v>0</v>
      </c>
      <c r="K610" s="12">
        <f>IF(OR($N536="RESTRINGIDO", $N513="RESTRINGIDO"), 0, K499)</f>
        <v>0</v>
      </c>
      <c r="L610" s="12">
        <f>IF(OR($N536="RESTRINGIDO", $N514="RESTRINGIDO"), 0, L499)</f>
        <v>0</v>
      </c>
      <c r="M610" s="12">
        <f>IF(OR($N536="RESTRINGIDO", $N515="RESTRINGIDO"), 0, M499)</f>
        <v>0</v>
      </c>
      <c r="N610" s="12">
        <f>IF(OR($N536="RESTRINGIDO", $N516="RESTRINGIDO"), 0, N499)</f>
        <v>0</v>
      </c>
      <c r="O610" s="12">
        <f>IF(OR($N536="RESTRINGIDO", $N517="RESTRINGIDO"), 0, O499)</f>
        <v>0</v>
      </c>
      <c r="P610" s="12">
        <f>IF(OR($N536="RESTRINGIDO", $N518="RESTRINGIDO"), 0, P499)</f>
        <v>0</v>
      </c>
      <c r="Q610" s="12">
        <f>IF(OR($N536="RESTRINGIDO", $N519="RESTRINGIDO"), 0, Q499)</f>
        <v>0</v>
      </c>
      <c r="R610" s="12">
        <f>IF(OR($N536="RESTRINGIDO", $N520="RESTRINGIDO"), 0, R499)</f>
        <v>0</v>
      </c>
      <c r="S610" s="12">
        <f>IF(OR($N536="RESTRINGIDO", $N521="RESTRINGIDO"), 0, S499)</f>
        <v>0</v>
      </c>
      <c r="T610" s="12">
        <f>IF(OR($N536="RESTRINGIDO", $N522="RESTRINGIDO"), 0, T499)</f>
        <v>0</v>
      </c>
      <c r="U610" s="12">
        <f>IF(OR($N536="RESTRINGIDO", $N523="RESTRINGIDO"), 0, U499)</f>
        <v>0</v>
      </c>
      <c r="V610" s="12">
        <f>IF(OR($N536="RESTRINGIDO", $N524="RESTRINGIDO"), 0, V499)</f>
        <v>0</v>
      </c>
      <c r="W610" s="12">
        <f>IF(OR($N536="RESTRINGIDO", $N525="RESTRINGIDO"), 0, W499)</f>
        <v>0</v>
      </c>
      <c r="X610" s="12">
        <f>IF(OR($N536="RESTRINGIDO", $N526="RESTRINGIDO"), 0, X499)</f>
        <v>0</v>
      </c>
      <c r="Y610" s="12">
        <f>IF(OR($N536="RESTRINGIDO", $N527="RESTRINGIDO"), 0, Y499)</f>
        <v>0</v>
      </c>
      <c r="Z610" s="12">
        <f>IF(OR($N536="RESTRINGIDO", $N528="RESTRINGIDO"), 0, Z499)</f>
        <v>0</v>
      </c>
      <c r="AA610" s="12">
        <f>IF(OR($N536="RESTRINGIDO", $N529="RESTRINGIDO"), 0, AA499)</f>
        <v>0</v>
      </c>
      <c r="AB610" s="12">
        <f>IF(OR($N536="RESTRINGIDO", $N530="RESTRINGIDO"), 0, AB499)</f>
        <v>0</v>
      </c>
      <c r="AC610" s="12">
        <f>IF(OR($N536="RESTRINGIDO", $N531="RESTRINGIDO"), 0, AC499)</f>
        <v>0</v>
      </c>
      <c r="AD610" s="12">
        <f>IF(OR($N536="RESTRINGIDO", $N532="RESTRINGIDO"), 0, AD499)</f>
        <v>0</v>
      </c>
      <c r="AE610" s="12">
        <f>IF(OR($N536="RESTRINGIDO", $N533="RESTRINGIDO"), 0, AE499)</f>
        <v>0</v>
      </c>
      <c r="AF610" s="12">
        <f>IF(OR($N536="RESTRINGIDO", $N534="RESTRINGIDO"), 0, AF499)</f>
        <v>0</v>
      </c>
      <c r="AG610" s="12">
        <f>IF(OR($N536="RESTRINGIDO", $N535="RESTRINGIDO"), 0, AG499)</f>
        <v>0</v>
      </c>
      <c r="AH610" s="24">
        <f>IF($N536="RESTRINGIDO", 1, IF(OR($N536="", $C499=""), 1, AH499))</f>
        <v>0</v>
      </c>
      <c r="AJ610" s="32">
        <f>IF($N536="LIBRE", IF(ISNUMBER(E536), E536, 0), 0)</f>
        <v>0</v>
      </c>
      <c r="AL610" s="33">
        <v>0</v>
      </c>
      <c r="AN610" s="34">
        <v>0</v>
      </c>
    </row>
    <row r="615" spans="2:8" x14ac:dyDescent="0.25">
      <c r="B615" s="1" t="s">
        <v>92</v>
      </c>
      <c r="C615" s="1"/>
      <c r="D615" s="1"/>
      <c r="E615" s="1"/>
      <c r="F615" s="1"/>
      <c r="G615" s="1"/>
      <c r="H615" s="1"/>
    </row>
    <row r="617" spans="2:7" x14ac:dyDescent="0.25">
      <c r="B617" s="25" t="s">
        <v>93</v>
      </c>
      <c r="C617" s="25" t="s">
        <v>36</v>
      </c>
      <c r="D617" s="25" t="s">
        <v>94</v>
      </c>
      <c r="E617" s="35">
        <f>IF(OR($G$4=0, 1&gt;$G$4), 0, IF(N504="RESTRINGIDO", 0, AL578))</f>
        <v>0</v>
      </c>
      <c r="F617" s="25" t="s">
        <v>36</v>
      </c>
      <c r="G617" s="25" t="s">
        <v>4</v>
      </c>
    </row>
    <row r="618" spans="2:7" x14ac:dyDescent="0.25">
      <c r="B618" s="25" t="s">
        <v>95</v>
      </c>
      <c r="C618" s="25" t="s">
        <v>37</v>
      </c>
      <c r="D618" s="25" t="s">
        <v>94</v>
      </c>
      <c r="E618" s="35">
        <f>IF(OR($G$4=0, 1&gt;$G$4), 0, IF(N505="RESTRINGIDO", 0, AL579))</f>
        <v>0</v>
      </c>
      <c r="F618" s="25" t="s">
        <v>37</v>
      </c>
      <c r="G618" s="25" t="s">
        <v>4</v>
      </c>
    </row>
    <row r="619" spans="2:7" x14ac:dyDescent="0.25">
      <c r="B619" s="25" t="s">
        <v>96</v>
      </c>
      <c r="C619" s="25" t="s">
        <v>38</v>
      </c>
      <c r="D619" s="25" t="s">
        <v>94</v>
      </c>
      <c r="E619" s="36">
        <f>IF(OR($G$4=0, 1&gt;$G$4), 0, IF(N506="RESTRINGIDO", 0, AL580))</f>
        <v>0</v>
      </c>
      <c r="F619" s="25" t="s">
        <v>38</v>
      </c>
      <c r="G619" s="25" t="s">
        <v>97</v>
      </c>
    </row>
    <row r="620" spans="2:7" x14ac:dyDescent="0.25">
      <c r="B620" s="25" t="s">
        <v>98</v>
      </c>
      <c r="C620" s="25" t="s">
        <v>39</v>
      </c>
      <c r="D620" s="25" t="s">
        <v>94</v>
      </c>
      <c r="E620" s="35">
        <f>IF(OR($G$4=0, 2&gt;$G$4), 0, IF(N507="RESTRINGIDO", 0, AL581))</f>
        <v>21.91119155360553</v>
      </c>
      <c r="F620" s="25" t="s">
        <v>39</v>
      </c>
      <c r="G620" s="25" t="s">
        <v>4</v>
      </c>
    </row>
    <row r="621" spans="2:7" x14ac:dyDescent="0.25">
      <c r="B621" s="25" t="s">
        <v>99</v>
      </c>
      <c r="C621" s="25" t="s">
        <v>40</v>
      </c>
      <c r="D621" s="25" t="s">
        <v>94</v>
      </c>
      <c r="E621" s="35">
        <f>IF(OR($G$4=0, 2&gt;$G$4), 0, IF(N508="RESTRINGIDO", 0, AL582))</f>
        <v>-0.010266038293366973</v>
      </c>
      <c r="F621" s="25" t="s">
        <v>40</v>
      </c>
      <c r="G621" s="25" t="s">
        <v>4</v>
      </c>
    </row>
    <row r="622" spans="2:7" x14ac:dyDescent="0.25">
      <c r="B622" s="25" t="s">
        <v>100</v>
      </c>
      <c r="C622" s="25" t="s">
        <v>41</v>
      </c>
      <c r="D622" s="25" t="s">
        <v>94</v>
      </c>
      <c r="E622" s="36">
        <f>IF(OR($G$4=0, 2&gt;$G$4), 0, IF(N509="RESTRINGIDO", 0, AL583))</f>
        <v>-0.12291289633039167</v>
      </c>
      <c r="F622" s="25" t="s">
        <v>41</v>
      </c>
      <c r="G622" s="25" t="s">
        <v>97</v>
      </c>
    </row>
    <row r="623" spans="2:7" x14ac:dyDescent="0.25">
      <c r="B623" s="25" t="s">
        <v>101</v>
      </c>
      <c r="C623" s="25" t="s">
        <v>42</v>
      </c>
      <c r="D623" s="25" t="s">
        <v>94</v>
      </c>
      <c r="E623" s="35">
        <f>IF(OR($G$4=0, 3&gt;$G$4), 0, IF(N510="RESTRINGIDO", 0, AL584))</f>
        <v>21.906307071786546</v>
      </c>
      <c r="F623" s="25" t="s">
        <v>42</v>
      </c>
      <c r="G623" s="25" t="s">
        <v>4</v>
      </c>
    </row>
    <row r="624" spans="2:7" x14ac:dyDescent="0.25">
      <c r="B624" s="25" t="s">
        <v>102</v>
      </c>
      <c r="C624" s="25" t="s">
        <v>43</v>
      </c>
      <c r="D624" s="25" t="s">
        <v>94</v>
      </c>
      <c r="E624" s="35">
        <f>IF(OR($G$4=0, 3&gt;$G$4), 0, IF(N511="RESTRINGIDO", 0, AL585))</f>
        <v>-21.726052898053254</v>
      </c>
      <c r="F624" s="25" t="s">
        <v>43</v>
      </c>
      <c r="G624" s="25" t="s">
        <v>4</v>
      </c>
    </row>
    <row r="625" spans="2:7" x14ac:dyDescent="0.25">
      <c r="B625" s="25" t="s">
        <v>103</v>
      </c>
      <c r="C625" s="25" t="s">
        <v>44</v>
      </c>
      <c r="D625" s="25" t="s">
        <v>94</v>
      </c>
      <c r="E625" s="36">
        <f>IF(OR($G$4=0, 3&gt;$G$4), 0, IF(N512="RESTRINGIDO", 0, AL586))</f>
        <v>0.1629296732125979</v>
      </c>
      <c r="F625" s="25" t="s">
        <v>44</v>
      </c>
      <c r="G625" s="25" t="s">
        <v>97</v>
      </c>
    </row>
    <row r="626" spans="2:7" x14ac:dyDescent="0.25">
      <c r="B626" s="25" t="s">
        <v>104</v>
      </c>
      <c r="C626" s="25" t="s">
        <v>45</v>
      </c>
      <c r="D626" s="25" t="s">
        <v>94</v>
      </c>
      <c r="E626" s="35">
        <f>IF(OR($G$4=0, 4&gt;$G$4), 0, IF(N513="RESTRINGIDO", 0, AL587))</f>
        <v>21.904678911180223</v>
      </c>
      <c r="F626" s="25" t="s">
        <v>45</v>
      </c>
      <c r="G626" s="25" t="s">
        <v>4</v>
      </c>
    </row>
    <row r="627" spans="2:7" x14ac:dyDescent="0.25">
      <c r="B627" s="25" t="s">
        <v>105</v>
      </c>
      <c r="C627" s="25" t="s">
        <v>46</v>
      </c>
      <c r="D627" s="25" t="s">
        <v>94</v>
      </c>
      <c r="E627" s="35">
        <f>IF(OR($G$4=0, 4&gt;$G$4), 0, IF(N514="RESTRINGIDO", 0, AL588))</f>
        <v>-0.043067295039966355</v>
      </c>
      <c r="F627" s="25" t="s">
        <v>46</v>
      </c>
      <c r="G627" s="25" t="s">
        <v>4</v>
      </c>
    </row>
    <row r="628" spans="2:7" x14ac:dyDescent="0.25">
      <c r="B628" s="25" t="s">
        <v>106</v>
      </c>
      <c r="C628" s="25" t="s">
        <v>47</v>
      </c>
      <c r="D628" s="25" t="s">
        <v>94</v>
      </c>
      <c r="E628" s="36">
        <f>IF(OR($G$4=0, 4&gt;$G$4), 0, IF(N515="RESTRINGIDO", 0, AL589))</f>
        <v>0.18459544876773515</v>
      </c>
      <c r="F628" s="25" t="s">
        <v>47</v>
      </c>
      <c r="G628" s="25" t="s">
        <v>97</v>
      </c>
    </row>
    <row r="629" spans="2:7" x14ac:dyDescent="0.25">
      <c r="B629" s="25" t="s">
        <v>107</v>
      </c>
      <c r="C629" s="25" t="s">
        <v>48</v>
      </c>
      <c r="D629" s="25" t="s">
        <v>94</v>
      </c>
      <c r="E629" s="35">
        <f>IF(OR($G$4=0, 5&gt;$G$4), 0, IF(N516="RESTRINGIDO", 0, AL590))</f>
        <v>14.424925343195593</v>
      </c>
      <c r="F629" s="25" t="s">
        <v>48</v>
      </c>
      <c r="G629" s="25" t="s">
        <v>4</v>
      </c>
    </row>
    <row r="630" spans="2:7" x14ac:dyDescent="0.25">
      <c r="B630" s="25" t="s">
        <v>108</v>
      </c>
      <c r="C630" s="25" t="s">
        <v>49</v>
      </c>
      <c r="D630" s="25" t="s">
        <v>94</v>
      </c>
      <c r="E630" s="35">
        <f>IF(OR($G$4=0, 5&gt;$G$4), 0, IF(N517="RESTRINGIDO", 0, AL591))</f>
        <v>-0.01615023563998738</v>
      </c>
      <c r="F630" s="25" t="s">
        <v>49</v>
      </c>
      <c r="G630" s="25" t="s">
        <v>4</v>
      </c>
    </row>
    <row r="631" spans="2:7" x14ac:dyDescent="0.25">
      <c r="B631" s="25" t="s">
        <v>109</v>
      </c>
      <c r="C631" s="25" t="s">
        <v>50</v>
      </c>
      <c r="D631" s="25" t="s">
        <v>94</v>
      </c>
      <c r="E631" s="36">
        <f>IF(OR($G$4=0, 5&gt;$G$4), 0, IF(N518="RESTRINGIDO", 0, AL592))</f>
        <v>-0.16302544699545965</v>
      </c>
      <c r="F631" s="25" t="s">
        <v>50</v>
      </c>
      <c r="G631" s="25" t="s">
        <v>97</v>
      </c>
    </row>
    <row r="632" spans="2:7" x14ac:dyDescent="0.25">
      <c r="B632" s="25" t="s">
        <v>110</v>
      </c>
      <c r="C632" s="25" t="s">
        <v>51</v>
      </c>
      <c r="D632" s="25" t="s">
        <v>94</v>
      </c>
      <c r="E632" s="35">
        <f>IF(OR($G$4=0, 6&gt;$G$4), 0, IF(N519="RESTRINGIDO", 0, AL593))</f>
        <v>0</v>
      </c>
      <c r="F632" s="25" t="s">
        <v>51</v>
      </c>
      <c r="G632" s="25" t="s">
        <v>4</v>
      </c>
    </row>
    <row r="633" spans="2:7" x14ac:dyDescent="0.25">
      <c r="B633" s="25" t="s">
        <v>111</v>
      </c>
      <c r="C633" s="25" t="s">
        <v>52</v>
      </c>
      <c r="D633" s="25" t="s">
        <v>94</v>
      </c>
      <c r="E633" s="35">
        <f>IF(OR($G$4=0, 6&gt;$G$4), 0, IF(N520="RESTRINGIDO", 0, AL594))</f>
        <v>0</v>
      </c>
      <c r="F633" s="25" t="s">
        <v>52</v>
      </c>
      <c r="G633" s="25" t="s">
        <v>4</v>
      </c>
    </row>
    <row r="634" spans="2:7" x14ac:dyDescent="0.25">
      <c r="B634" s="25" t="s">
        <v>112</v>
      </c>
      <c r="C634" s="25" t="s">
        <v>53</v>
      </c>
      <c r="D634" s="25" t="s">
        <v>94</v>
      </c>
      <c r="E634" s="36">
        <f>IF(OR($G$4=0, 6&gt;$G$4), 0, IF(N521="RESTRINGIDO", 0, AL595))</f>
        <v>0</v>
      </c>
      <c r="F634" s="25" t="s">
        <v>53</v>
      </c>
      <c r="G634" s="25" t="s">
        <v>97</v>
      </c>
    </row>
    <row r="635" spans="2:7" x14ac:dyDescent="0.25">
      <c r="B635" s="25" t="s">
        <v>113</v>
      </c>
      <c r="C635" s="25" t="s">
        <v>54</v>
      </c>
      <c r="D635" s="25" t="s">
        <v>94</v>
      </c>
      <c r="E635" s="35">
        <f>IF(OR($G$4=0, 7&gt;$G$4), 0, IF(N522="RESTRINGIDO", 0, AL596))</f>
        <v>0</v>
      </c>
      <c r="F635" s="25" t="s">
        <v>54</v>
      </c>
      <c r="G635" s="25" t="s">
        <v>4</v>
      </c>
    </row>
    <row r="636" spans="2:7" x14ac:dyDescent="0.25">
      <c r="B636" s="25" t="s">
        <v>114</v>
      </c>
      <c r="C636" s="25" t="s">
        <v>55</v>
      </c>
      <c r="D636" s="25" t="s">
        <v>94</v>
      </c>
      <c r="E636" s="35">
        <f>IF(OR($G$4=0, 7&gt;$G$4), 0, IF(N523="RESTRINGIDO", 0, AL597))</f>
        <v>0</v>
      </c>
      <c r="F636" s="25" t="s">
        <v>55</v>
      </c>
      <c r="G636" s="25" t="s">
        <v>4</v>
      </c>
    </row>
    <row r="637" spans="2:7" x14ac:dyDescent="0.25">
      <c r="B637" s="25" t="s">
        <v>115</v>
      </c>
      <c r="C637" s="25" t="s">
        <v>56</v>
      </c>
      <c r="D637" s="25" t="s">
        <v>94</v>
      </c>
      <c r="E637" s="36">
        <f>IF(OR($G$4=0, 7&gt;$G$4), 0, IF(N524="RESTRINGIDO", 0, AL598))</f>
        <v>0</v>
      </c>
      <c r="F637" s="25" t="s">
        <v>56</v>
      </c>
      <c r="G637" s="25" t="s">
        <v>97</v>
      </c>
    </row>
    <row r="638" spans="2:7" x14ac:dyDescent="0.25">
      <c r="B638" s="25" t="s">
        <v>116</v>
      </c>
      <c r="C638" s="25" t="s">
        <v>57</v>
      </c>
      <c r="D638" s="25" t="s">
        <v>94</v>
      </c>
      <c r="E638" s="35">
        <f>IF(OR($G$4=0, 8&gt;$G$4), 0, IF(N525="RESTRINGIDO", 0, AL599))</f>
        <v>0</v>
      </c>
      <c r="F638" s="25" t="s">
        <v>57</v>
      </c>
      <c r="G638" s="25" t="s">
        <v>4</v>
      </c>
    </row>
    <row r="639" spans="2:7" x14ac:dyDescent="0.25">
      <c r="B639" s="25" t="s">
        <v>117</v>
      </c>
      <c r="C639" s="25" t="s">
        <v>58</v>
      </c>
      <c r="D639" s="25" t="s">
        <v>94</v>
      </c>
      <c r="E639" s="35">
        <f>IF(OR($G$4=0, 8&gt;$G$4), 0, IF(N526="RESTRINGIDO", 0, AL600))</f>
        <v>0</v>
      </c>
      <c r="F639" s="25" t="s">
        <v>58</v>
      </c>
      <c r="G639" s="25" t="s">
        <v>4</v>
      </c>
    </row>
    <row r="640" spans="2:7" x14ac:dyDescent="0.25">
      <c r="B640" s="25" t="s">
        <v>118</v>
      </c>
      <c r="C640" s="25" t="s">
        <v>59</v>
      </c>
      <c r="D640" s="25" t="s">
        <v>94</v>
      </c>
      <c r="E640" s="36">
        <f>IF(OR($G$4=0, 8&gt;$G$4), 0, IF(N527="RESTRINGIDO", 0, AL601))</f>
        <v>0</v>
      </c>
      <c r="F640" s="25" t="s">
        <v>59</v>
      </c>
      <c r="G640" s="25" t="s">
        <v>97</v>
      </c>
    </row>
    <row r="641" spans="2:7" x14ac:dyDescent="0.25">
      <c r="B641" s="25" t="s">
        <v>119</v>
      </c>
      <c r="C641" s="25" t="s">
        <v>60</v>
      </c>
      <c r="D641" s="25" t="s">
        <v>94</v>
      </c>
      <c r="E641" s="35">
        <f>IF(OR($G$4=0, 9&gt;$G$4), 0, IF(N528="RESTRINGIDO", 0, AL602))</f>
        <v>0</v>
      </c>
      <c r="F641" s="25" t="s">
        <v>60</v>
      </c>
      <c r="G641" s="25" t="s">
        <v>4</v>
      </c>
    </row>
    <row r="642" spans="2:7" x14ac:dyDescent="0.25">
      <c r="B642" s="25" t="s">
        <v>120</v>
      </c>
      <c r="C642" s="25" t="s">
        <v>61</v>
      </c>
      <c r="D642" s="25" t="s">
        <v>94</v>
      </c>
      <c r="E642" s="35">
        <f>IF(OR($G$4=0, 9&gt;$G$4), 0, IF(N529="RESTRINGIDO", 0, AL603))</f>
        <v>0</v>
      </c>
      <c r="F642" s="25" t="s">
        <v>61</v>
      </c>
      <c r="G642" s="25" t="s">
        <v>4</v>
      </c>
    </row>
    <row r="643" spans="2:7" x14ac:dyDescent="0.25">
      <c r="B643" s="25" t="s">
        <v>121</v>
      </c>
      <c r="C643" s="25" t="s">
        <v>62</v>
      </c>
      <c r="D643" s="25" t="s">
        <v>94</v>
      </c>
      <c r="E643" s="36">
        <f>IF(OR($G$4=0, 9&gt;$G$4), 0, IF(N530="RESTRINGIDO", 0, AL604))</f>
        <v>0</v>
      </c>
      <c r="F643" s="25" t="s">
        <v>62</v>
      </c>
      <c r="G643" s="25" t="s">
        <v>97</v>
      </c>
    </row>
    <row r="644" spans="2:7" x14ac:dyDescent="0.25">
      <c r="B644" s="25" t="s">
        <v>122</v>
      </c>
      <c r="C644" s="25" t="s">
        <v>63</v>
      </c>
      <c r="D644" s="25" t="s">
        <v>94</v>
      </c>
      <c r="E644" s="35">
        <f>IF(OR($G$4=0, 10&gt;$G$4), 0, IF(N531="RESTRINGIDO", 0, AL605))</f>
        <v>0</v>
      </c>
      <c r="F644" s="25" t="s">
        <v>63</v>
      </c>
      <c r="G644" s="25" t="s">
        <v>4</v>
      </c>
    </row>
    <row r="645" spans="2:7" x14ac:dyDescent="0.25">
      <c r="B645" s="25" t="s">
        <v>123</v>
      </c>
      <c r="C645" s="25" t="s">
        <v>64</v>
      </c>
      <c r="D645" s="25" t="s">
        <v>94</v>
      </c>
      <c r="E645" s="35">
        <f>IF(OR($G$4=0, 10&gt;$G$4), 0, IF(N532="RESTRINGIDO", 0, AL606))</f>
        <v>0</v>
      </c>
      <c r="F645" s="25" t="s">
        <v>64</v>
      </c>
      <c r="G645" s="25" t="s">
        <v>4</v>
      </c>
    </row>
    <row r="646" spans="2:7" x14ac:dyDescent="0.25">
      <c r="B646" s="25" t="s">
        <v>124</v>
      </c>
      <c r="C646" s="25" t="s">
        <v>65</v>
      </c>
      <c r="D646" s="25" t="s">
        <v>94</v>
      </c>
      <c r="E646" s="36">
        <f>IF(OR($G$4=0, 10&gt;$G$4), 0, IF(N533="RESTRINGIDO", 0, AL607))</f>
        <v>0</v>
      </c>
      <c r="F646" s="25" t="s">
        <v>65</v>
      </c>
      <c r="G646" s="25" t="s">
        <v>97</v>
      </c>
    </row>
    <row r="647" spans="2:7" x14ac:dyDescent="0.25">
      <c r="B647" s="25" t="s">
        <v>125</v>
      </c>
      <c r="C647" s="25" t="s">
        <v>66</v>
      </c>
      <c r="D647" s="25" t="s">
        <v>94</v>
      </c>
      <c r="E647" s="35">
        <f>IF(OR($G$4=0, 11&gt;$G$4), 0, IF(N534="RESTRINGIDO", 0, AL608))</f>
        <v>0</v>
      </c>
      <c r="F647" s="25" t="s">
        <v>66</v>
      </c>
      <c r="G647" s="25" t="s">
        <v>4</v>
      </c>
    </row>
    <row r="648" spans="2:7" x14ac:dyDescent="0.25">
      <c r="B648" s="25" t="s">
        <v>126</v>
      </c>
      <c r="C648" s="25" t="s">
        <v>67</v>
      </c>
      <c r="D648" s="25" t="s">
        <v>94</v>
      </c>
      <c r="E648" s="35">
        <f>IF(OR($G$4=0, 11&gt;$G$4), 0, IF(N535="RESTRINGIDO", 0, AL609))</f>
        <v>0</v>
      </c>
      <c r="F648" s="25" t="s">
        <v>67</v>
      </c>
      <c r="G648" s="25" t="s">
        <v>4</v>
      </c>
    </row>
    <row r="649" spans="2:7" x14ac:dyDescent="0.25">
      <c r="B649" s="25" t="s">
        <v>127</v>
      </c>
      <c r="C649" s="25" t="s">
        <v>68</v>
      </c>
      <c r="D649" s="25" t="s">
        <v>94</v>
      </c>
      <c r="E649" s="36">
        <f>IF(OR($G$4=0, 11&gt;$G$4), 0, IF(N536="RESTRINGIDO", 0, AL610))</f>
        <v>0</v>
      </c>
      <c r="F649" s="25" t="s">
        <v>68</v>
      </c>
      <c r="G649" s="25" t="s">
        <v>97</v>
      </c>
    </row>
    <row r="653" spans="2:8" x14ac:dyDescent="0.25">
      <c r="B653" s="1" t="s">
        <v>128</v>
      </c>
      <c r="C653" s="1"/>
      <c r="D653" s="1"/>
      <c r="E653" s="1"/>
      <c r="F653" s="1"/>
      <c r="G653" s="1"/>
      <c r="H653" s="1"/>
    </row>
    <row r="654" spans="2:8" x14ac:dyDescent="0.25">
      <c r="B654" s="10" t="s">
        <v>129</v>
      </c>
      <c r="C654" s="10" t="s">
        <v>130</v>
      </c>
      <c r="D654" s="10" t="s">
        <v>94</v>
      </c>
      <c r="E654" s="10" t="s">
        <v>131</v>
      </c>
      <c r="F654" s="10" t="s">
        <v>130</v>
      </c>
      <c r="G654" s="10" t="s">
        <v>132</v>
      </c>
      <c r="H654" s="10" t="s">
        <v>133</v>
      </c>
    </row>
    <row r="655" spans="2:8" x14ac:dyDescent="0.25">
      <c r="B655" s="25" t="s">
        <v>134</v>
      </c>
      <c r="C655" s="25" t="s">
        <v>36</v>
      </c>
      <c r="D655" s="25" t="s">
        <v>94</v>
      </c>
      <c r="E655" s="7">
        <f>IF(OR($G$4=0, 1&gt;$G$4), 0, IF(N504="RESTRINGIDO", AN578, 0))</f>
        <v>-745.2156816778038</v>
      </c>
      <c r="F655" s="25" t="s">
        <v>36</v>
      </c>
      <c r="G655" s="25" t="s">
        <v>135</v>
      </c>
      <c r="H655" s="37" t="str">
        <f>=N504</f>
        <v>RESTRINGIDO</v>
      </c>
    </row>
    <row r="656" spans="2:8" x14ac:dyDescent="0.25">
      <c r="B656" s="25" t="s">
        <v>136</v>
      </c>
      <c r="C656" s="25" t="s">
        <v>37</v>
      </c>
      <c r="D656" s="25" t="s">
        <v>94</v>
      </c>
      <c r="E656" s="7">
        <f>IF(OR($G$4=0, 1&gt;$G$4), 0, IF(N505="RESTRINGIDO", AN579, 0))</f>
        <v>1347.417526004415</v>
      </c>
      <c r="F656" s="25" t="s">
        <v>37</v>
      </c>
      <c r="G656" s="25" t="s">
        <v>135</v>
      </c>
      <c r="H656" s="37" t="str">
        <f>=N505</f>
        <v>RESTRINGIDO</v>
      </c>
    </row>
    <row r="657" spans="2:8" x14ac:dyDescent="0.25">
      <c r="B657" s="25" t="s">
        <v>137</v>
      </c>
      <c r="C657" s="25" t="s">
        <v>38</v>
      </c>
      <c r="D657" s="25" t="s">
        <v>94</v>
      </c>
      <c r="E657" s="7">
        <f>IF(OR($G$4=0, 1&gt;$G$4), 0, IF(N506="RESTRINGIDO", AN580, 0))</f>
        <v>75985.46475923556</v>
      </c>
      <c r="F657" s="25" t="s">
        <v>38</v>
      </c>
      <c r="G657" s="25" t="s">
        <v>138</v>
      </c>
      <c r="H657" s="37" t="str">
        <f>=N506</f>
        <v>RESTRINGIDO</v>
      </c>
    </row>
    <row r="658" spans="2:8" x14ac:dyDescent="0.25">
      <c r="B658" s="25" t="s">
        <v>139</v>
      </c>
      <c r="C658" s="25" t="s">
        <v>39</v>
      </c>
      <c r="D658" s="25" t="s">
        <v>94</v>
      </c>
      <c r="E658" s="7">
        <f>IF(OR($G$4=0, 2&gt;$G$4), 0, IF(N507="RESTRINGIDO", AN581, 0))</f>
        <v>0</v>
      </c>
      <c r="F658" s="25" t="s">
        <v>39</v>
      </c>
      <c r="G658" s="25" t="s">
        <v>135</v>
      </c>
      <c r="H658" s="37" t="str">
        <f>=N507</f>
        <v>LIBRE</v>
      </c>
    </row>
    <row r="659" spans="2:8" x14ac:dyDescent="0.25">
      <c r="B659" s="25" t="s">
        <v>140</v>
      </c>
      <c r="C659" s="25" t="s">
        <v>40</v>
      </c>
      <c r="D659" s="25" t="s">
        <v>94</v>
      </c>
      <c r="E659" s="7">
        <f>IF(OR($G$4=0, 2&gt;$G$4), 0, IF(N508="RESTRINGIDO", AN582, 0))</f>
        <v>-2.2737367544323206e-13</v>
      </c>
      <c r="F659" s="25" t="s">
        <v>40</v>
      </c>
      <c r="G659" s="25" t="s">
        <v>135</v>
      </c>
      <c r="H659" s="37" t="str">
        <f>=N508</f>
        <v>LIBRE</v>
      </c>
    </row>
    <row r="660" spans="2:8" x14ac:dyDescent="0.25">
      <c r="B660" s="25" t="s">
        <v>141</v>
      </c>
      <c r="C660" s="25" t="s">
        <v>41</v>
      </c>
      <c r="D660" s="25" t="s">
        <v>94</v>
      </c>
      <c r="E660" s="7">
        <f>IF(OR($G$4=0, 2&gt;$G$4), 0, IF(N509="RESTRINGIDO", AN583, 0))</f>
        <v>-7.275957614183426e-12</v>
      </c>
      <c r="F660" s="25" t="s">
        <v>41</v>
      </c>
      <c r="G660" s="25" t="s">
        <v>138</v>
      </c>
      <c r="H660" s="37" t="str">
        <f>=N509</f>
        <v>LIBRE</v>
      </c>
    </row>
    <row r="661" spans="2:8" x14ac:dyDescent="0.25">
      <c r="B661" s="25" t="s">
        <v>142</v>
      </c>
      <c r="C661" s="25" t="s">
        <v>42</v>
      </c>
      <c r="D661" s="25" t="s">
        <v>94</v>
      </c>
      <c r="E661" s="7">
        <f>IF(OR($G$4=0, 3&gt;$G$4), 0, IF(N510="RESTRINGIDO", AN584, 0))</f>
        <v>-1.862645149230957e-9</v>
      </c>
      <c r="F661" s="25" t="s">
        <v>42</v>
      </c>
      <c r="G661" s="25" t="s">
        <v>135</v>
      </c>
      <c r="H661" s="37" t="str">
        <f>=N510</f>
        <v>LIBRE</v>
      </c>
    </row>
    <row r="662" spans="2:8" x14ac:dyDescent="0.25">
      <c r="B662" s="25" t="s">
        <v>143</v>
      </c>
      <c r="C662" s="25" t="s">
        <v>43</v>
      </c>
      <c r="D662" s="25" t="s">
        <v>94</v>
      </c>
      <c r="E662" s="7">
        <f>IF(OR($G$4=0, 3&gt;$G$4), 0, IF(N511="RESTRINGIDO", AN585, 0))</f>
        <v>3.637978807091713e-12</v>
      </c>
      <c r="F662" s="25" t="s">
        <v>43</v>
      </c>
      <c r="G662" s="25" t="s">
        <v>135</v>
      </c>
      <c r="H662" s="37" t="str">
        <f>=N511</f>
        <v>LIBRE</v>
      </c>
    </row>
    <row r="663" spans="2:8" x14ac:dyDescent="0.25">
      <c r="B663" s="25" t="s">
        <v>144</v>
      </c>
      <c r="C663" s="25" t="s">
        <v>44</v>
      </c>
      <c r="D663" s="25" t="s">
        <v>94</v>
      </c>
      <c r="E663" s="7">
        <f>IF(OR($G$4=0, 3&gt;$G$4), 0, IF(N512="RESTRINGIDO", AN586, 0))</f>
        <v>-1.7462298274040222e-10</v>
      </c>
      <c r="F663" s="25" t="s">
        <v>44</v>
      </c>
      <c r="G663" s="25" t="s">
        <v>138</v>
      </c>
      <c r="H663" s="37" t="str">
        <f>=N512</f>
        <v>LIBRE</v>
      </c>
    </row>
    <row r="664" spans="2:8" x14ac:dyDescent="0.25">
      <c r="B664" s="25" t="s">
        <v>145</v>
      </c>
      <c r="C664" s="25" t="s">
        <v>45</v>
      </c>
      <c r="D664" s="25" t="s">
        <v>94</v>
      </c>
      <c r="E664" s="7">
        <f>IF(OR($G$4=0, 4&gt;$G$4), 0, IF(N513="RESTRINGIDO", AN587, 0))</f>
        <v>1.7416823538951576e-10</v>
      </c>
      <c r="F664" s="25" t="s">
        <v>45</v>
      </c>
      <c r="G664" s="25" t="s">
        <v>135</v>
      </c>
      <c r="H664" s="37" t="str">
        <f>=N513</f>
        <v>LIBRE</v>
      </c>
    </row>
    <row r="665" spans="2:8" x14ac:dyDescent="0.25">
      <c r="B665" s="25" t="s">
        <v>146</v>
      </c>
      <c r="C665" s="25" t="s">
        <v>46</v>
      </c>
      <c r="D665" s="25" t="s">
        <v>94</v>
      </c>
      <c r="E665" s="7">
        <f>IF(OR($G$4=0, 4&gt;$G$4), 0, IF(N514="RESTRINGIDO", AN588, 0))</f>
        <v>0</v>
      </c>
      <c r="F665" s="25" t="s">
        <v>46</v>
      </c>
      <c r="G665" s="25" t="s">
        <v>135</v>
      </c>
      <c r="H665" s="37" t="str">
        <f>=N514</f>
        <v>LIBRE</v>
      </c>
    </row>
    <row r="666" spans="2:8" x14ac:dyDescent="0.25">
      <c r="B666" s="25" t="s">
        <v>147</v>
      </c>
      <c r="C666" s="25" t="s">
        <v>47</v>
      </c>
      <c r="D666" s="25" t="s">
        <v>94</v>
      </c>
      <c r="E666" s="7">
        <f>IF(OR($G$4=0, 4&gt;$G$4), 0, IF(N515="RESTRINGIDO", AN589, 0))</f>
        <v>2.6193447411060333e-10</v>
      </c>
      <c r="F666" s="25" t="s">
        <v>47</v>
      </c>
      <c r="G666" s="25" t="s">
        <v>138</v>
      </c>
      <c r="H666" s="37" t="str">
        <f>=N515</f>
        <v>LIBRE</v>
      </c>
    </row>
    <row r="667" spans="2:8" x14ac:dyDescent="0.25">
      <c r="B667" s="25" t="s">
        <v>148</v>
      </c>
      <c r="C667" s="25" t="s">
        <v>48</v>
      </c>
      <c r="D667" s="25" t="s">
        <v>94</v>
      </c>
      <c r="E667" s="7">
        <f>IF(OR($G$4=0, 5&gt;$G$4), 0, IF(N516="RESTRINGIDO", AN590, 0))</f>
        <v>4.547473508864641e-13</v>
      </c>
      <c r="F667" s="25" t="s">
        <v>48</v>
      </c>
      <c r="G667" s="25" t="s">
        <v>135</v>
      </c>
      <c r="H667" s="37" t="str">
        <f>=N516</f>
        <v>LIBRE</v>
      </c>
    </row>
    <row r="668" spans="2:8" x14ac:dyDescent="0.25">
      <c r="B668" s="25" t="s">
        <v>149</v>
      </c>
      <c r="C668" s="25" t="s">
        <v>49</v>
      </c>
      <c r="D668" s="25" t="s">
        <v>94</v>
      </c>
      <c r="E668" s="7">
        <f>IF(OR($G$4=0, 5&gt;$G$4), 0, IF(N517="RESTRINGIDO", AN591, 0))</f>
        <v>0</v>
      </c>
      <c r="F668" s="25" t="s">
        <v>49</v>
      </c>
      <c r="G668" s="25" t="s">
        <v>135</v>
      </c>
      <c r="H668" s="37" t="str">
        <f>=N517</f>
        <v>LIBRE</v>
      </c>
    </row>
    <row r="669" spans="2:8" x14ac:dyDescent="0.25">
      <c r="B669" s="25" t="s">
        <v>150</v>
      </c>
      <c r="C669" s="25" t="s">
        <v>50</v>
      </c>
      <c r="D669" s="25" t="s">
        <v>94</v>
      </c>
      <c r="E669" s="7">
        <f>IF(OR($G$4=0, 5&gt;$G$4), 0, IF(N518="RESTRINGIDO", AN592, 0))</f>
        <v>1.1641532182693481e-10</v>
      </c>
      <c r="F669" s="25" t="s">
        <v>50</v>
      </c>
      <c r="G669" s="25" t="s">
        <v>138</v>
      </c>
      <c r="H669" s="37" t="str">
        <f>=N518</f>
        <v>LIBRE</v>
      </c>
    </row>
    <row r="670" spans="2:8" x14ac:dyDescent="0.25">
      <c r="B670" s="25" t="s">
        <v>151</v>
      </c>
      <c r="C670" s="25" t="s">
        <v>51</v>
      </c>
      <c r="D670" s="25" t="s">
        <v>94</v>
      </c>
      <c r="E670" s="7">
        <f>IF(OR($G$4=0, 6&gt;$G$4), 0, IF(N519="RESTRINGIDO", AN593, 0))</f>
        <v>-854.7843183196019</v>
      </c>
      <c r="F670" s="25" t="s">
        <v>51</v>
      </c>
      <c r="G670" s="25" t="s">
        <v>135</v>
      </c>
      <c r="H670" s="37" t="str">
        <f>=N519</f>
        <v>RESTRINGIDO</v>
      </c>
    </row>
    <row r="671" spans="2:8" x14ac:dyDescent="0.25">
      <c r="B671" s="25" t="s">
        <v>152</v>
      </c>
      <c r="C671" s="25" t="s">
        <v>52</v>
      </c>
      <c r="D671" s="25" t="s">
        <v>94</v>
      </c>
      <c r="E671" s="7">
        <f>IF(OR($G$4=0, 6&gt;$G$4), 0, IF(N520="RESTRINGIDO", AN594, 0))</f>
        <v>5652.582473995583</v>
      </c>
      <c r="F671" s="25" t="s">
        <v>52</v>
      </c>
      <c r="G671" s="25" t="s">
        <v>135</v>
      </c>
      <c r="H671" s="37" t="str">
        <f>=N520</f>
        <v>RESTRINGIDO</v>
      </c>
    </row>
    <row r="672" spans="2:8" x14ac:dyDescent="0.25">
      <c r="B672" s="25" t="s">
        <v>153</v>
      </c>
      <c r="C672" s="25" t="s">
        <v>53</v>
      </c>
      <c r="D672" s="25" t="s">
        <v>94</v>
      </c>
      <c r="E672" s="7">
        <f>IF(OR($G$4=0, 6&gt;$G$4), 0, IF(N521="RESTRINGIDO", AN595, 0))</f>
        <v>182981.54564149282</v>
      </c>
      <c r="F672" s="25" t="s">
        <v>53</v>
      </c>
      <c r="G672" s="25" t="s">
        <v>138</v>
      </c>
      <c r="H672" s="37" t="str">
        <f>=N521</f>
        <v>RESTRINGIDO</v>
      </c>
    </row>
    <row r="673" spans="2:13" x14ac:dyDescent="0.25">
      <c r="B673" s="25" t="s">
        <v>154</v>
      </c>
      <c r="C673" s="25" t="s">
        <v>54</v>
      </c>
      <c r="D673" s="25" t="s">
        <v>94</v>
      </c>
      <c r="E673" s="7">
        <f>IF(OR($G$4=0, 7&gt;$G$4), 0, IF(N522="RESTRINGIDO", AN596, 0))</f>
        <v>0</v>
      </c>
      <c r="F673" s="25" t="s">
        <v>54</v>
      </c>
      <c r="G673" s="25" t="s">
        <v>135</v>
      </c>
      <c r="H673" s="37" t="str">
        <f>=N522</f>
        <v>LIBRE</v>
      </c>
      <c r="J673" s="38" t="s">
        <v>155</v>
      </c>
      <c r="K673" s="38"/>
      <c r="L673" s="38"/>
      <c r="M673" s="38"/>
    </row>
    <row r="674" spans="2:13" x14ac:dyDescent="0.25">
      <c r="B674" s="25" t="s">
        <v>156</v>
      </c>
      <c r="C674" s="25" t="s">
        <v>55</v>
      </c>
      <c r="D674" s="25" t="s">
        <v>94</v>
      </c>
      <c r="E674" s="7">
        <f>IF(OR($G$4=0, 7&gt;$G$4), 0, IF(N523="RESTRINGIDO", AN597, 0))</f>
        <v>0</v>
      </c>
      <c r="F674" s="25" t="s">
        <v>55</v>
      </c>
      <c r="G674" s="25" t="s">
        <v>135</v>
      </c>
      <c r="H674" s="37" t="str">
        <f>=N523</f>
        <v>LIBRE</v>
      </c>
      <c r="J674" s="10" t="s">
        <v>82</v>
      </c>
      <c r="K674" s="10" t="s">
        <v>157</v>
      </c>
      <c r="L674" s="10" t="s">
        <v>158</v>
      </c>
      <c r="M674" s="10" t="s">
        <v>159</v>
      </c>
    </row>
    <row r="675" spans="2:13" x14ac:dyDescent="0.25">
      <c r="B675" s="25" t="s">
        <v>160</v>
      </c>
      <c r="C675" s="25" t="s">
        <v>56</v>
      </c>
      <c r="D675" s="25" t="s">
        <v>94</v>
      </c>
      <c r="E675" s="7">
        <f>IF(OR($G$4=0, 7&gt;$G$4), 0, IF(N524="RESTRINGIDO", AN598, 0))</f>
        <v>0</v>
      </c>
      <c r="F675" s="25" t="s">
        <v>56</v>
      </c>
      <c r="G675" s="25" t="s">
        <v>138</v>
      </c>
      <c r="H675" s="37" t="str">
        <f>=N524</f>
        <v>LIBRE</v>
      </c>
      <c r="J675" s="10">
        <v>1</v>
      </c>
      <c r="K675" s="12">
        <v>0</v>
      </c>
      <c r="L675" s="33">
        <f>IF(1&gt;$G$4,"", E618)</f>
        <v>0</v>
      </c>
      <c r="M675" s="39">
        <f>IF(1&gt;$G$4,"", E619)</f>
        <v>0</v>
      </c>
    </row>
    <row r="676" spans="2:13" x14ac:dyDescent="0.25">
      <c r="B676" s="25" t="s">
        <v>161</v>
      </c>
      <c r="C676" s="25" t="s">
        <v>57</v>
      </c>
      <c r="D676" s="25" t="s">
        <v>94</v>
      </c>
      <c r="E676" s="7">
        <f>IF(OR($G$4=0, 8&gt;$G$4), 0, IF(N525="RESTRINGIDO", AN599, 0))</f>
        <v>0</v>
      </c>
      <c r="F676" s="25" t="s">
        <v>57</v>
      </c>
      <c r="G676" s="25" t="s">
        <v>135</v>
      </c>
      <c r="H676" s="37" t="str">
        <f>=N525</f>
        <v>LIBRE</v>
      </c>
      <c r="J676" s="10">
        <v>2</v>
      </c>
      <c r="K676" s="12">
        <f>IF(I9="","", K675+I9)</f>
        <v>0</v>
      </c>
      <c r="L676" s="33">
        <f>IF(2&gt;$G$4,"", E621)</f>
        <v>-0.010266038293366973</v>
      </c>
      <c r="M676" s="39">
        <f>IF(2&gt;$G$4,"", E622)</f>
        <v>-0.12291289633039167</v>
      </c>
    </row>
    <row r="677" spans="2:13" x14ac:dyDescent="0.25">
      <c r="B677" s="25" t="s">
        <v>162</v>
      </c>
      <c r="C677" s="25" t="s">
        <v>58</v>
      </c>
      <c r="D677" s="25" t="s">
        <v>94</v>
      </c>
      <c r="E677" s="7">
        <f>IF(OR($G$4=0, 8&gt;$G$4), 0, IF(N526="RESTRINGIDO", AN600, 0))</f>
        <v>0</v>
      </c>
      <c r="F677" s="25" t="s">
        <v>58</v>
      </c>
      <c r="G677" s="25" t="s">
        <v>135</v>
      </c>
      <c r="H677" s="37" t="str">
        <f>=N526</f>
        <v>LIBRE</v>
      </c>
      <c r="J677" s="10">
        <v>3</v>
      </c>
      <c r="K677" s="12">
        <f>IF(I10="","", K676+I10)</f>
        <v>300</v>
      </c>
      <c r="L677" s="33">
        <f>IF(3&gt;$G$4,"", E624)</f>
        <v>-21.726052898053254</v>
      </c>
      <c r="M677" s="39">
        <f>IF(3&gt;$G$4,"", E625)</f>
        <v>0.1629296732125979</v>
      </c>
    </row>
    <row r="678" spans="2:13" x14ac:dyDescent="0.25">
      <c r="B678" s="25" t="s">
        <v>163</v>
      </c>
      <c r="C678" s="25" t="s">
        <v>59</v>
      </c>
      <c r="D678" s="25" t="s">
        <v>94</v>
      </c>
      <c r="E678" s="7">
        <f>IF(OR($G$4=0, 8&gt;$G$4), 0, IF(N527="RESTRINGIDO", AN601, 0))</f>
        <v>0</v>
      </c>
      <c r="F678" s="25" t="s">
        <v>59</v>
      </c>
      <c r="G678" s="25" t="s">
        <v>138</v>
      </c>
      <c r="H678" s="37" t="str">
        <f>=N527</f>
        <v>LIBRE</v>
      </c>
      <c r="J678" s="10">
        <v>4</v>
      </c>
      <c r="K678" s="12">
        <f>IF(I11="","", K677+I11)</f>
        <v>400</v>
      </c>
      <c r="L678" s="33">
        <f>IF(4&gt;$G$4,"", E627)</f>
        <v>-0.043067295039966355</v>
      </c>
      <c r="M678" s="39">
        <f>IF(4&gt;$G$4,"", E628)</f>
        <v>0.18459544876773515</v>
      </c>
    </row>
    <row r="679" spans="2:13" x14ac:dyDescent="0.25">
      <c r="B679" s="25" t="s">
        <v>164</v>
      </c>
      <c r="C679" s="25" t="s">
        <v>60</v>
      </c>
      <c r="D679" s="25" t="s">
        <v>94</v>
      </c>
      <c r="E679" s="7">
        <f>IF(OR($G$4=0, 9&gt;$G$4), 0, IF(N528="RESTRINGIDO", AN602, 0))</f>
        <v>0</v>
      </c>
      <c r="F679" s="25" t="s">
        <v>60</v>
      </c>
      <c r="G679" s="25" t="s">
        <v>135</v>
      </c>
      <c r="H679" s="37" t="str">
        <f>=N528</f>
        <v>LIBRE</v>
      </c>
      <c r="J679" s="10">
        <v>5</v>
      </c>
      <c r="K679" s="12">
        <f>IF(I12="","", K678+I12)</f>
        <v>400</v>
      </c>
      <c r="L679" s="33">
        <f>IF(5&gt;$G$4,"", E630)</f>
        <v>-0.01615023563998738</v>
      </c>
      <c r="M679" s="39">
        <f>IF(5&gt;$G$4,"", E631)</f>
        <v>-0.16302544699545965</v>
      </c>
    </row>
    <row r="680" spans="2:13" x14ac:dyDescent="0.25">
      <c r="B680" s="25" t="s">
        <v>165</v>
      </c>
      <c r="C680" s="25" t="s">
        <v>61</v>
      </c>
      <c r="D680" s="25" t="s">
        <v>94</v>
      </c>
      <c r="E680" s="7">
        <f>IF(OR($G$4=0, 9&gt;$G$4), 0, IF(N529="RESTRINGIDO", AN603, 0))</f>
        <v>0</v>
      </c>
      <c r="F680" s="25" t="s">
        <v>61</v>
      </c>
      <c r="G680" s="25" t="s">
        <v>135</v>
      </c>
      <c r="H680" s="37" t="str">
        <f>=N529</f>
        <v>LIBRE</v>
      </c>
      <c r="J680" s="10">
        <v>6</v>
      </c>
      <c r="K680" s="12">
        <f>IF(I13="","", K679+I13)</f>
        <v>400</v>
      </c>
      <c r="L680" s="33">
        <f>IF(6&gt;$G$4,"", E633)</f>
        <v>0</v>
      </c>
      <c r="M680" s="39">
        <f>IF(6&gt;$G$4,"", E634)</f>
        <v>0</v>
      </c>
    </row>
    <row r="681" spans="2:13" x14ac:dyDescent="0.25">
      <c r="B681" s="25" t="s">
        <v>166</v>
      </c>
      <c r="C681" s="25" t="s">
        <v>62</v>
      </c>
      <c r="D681" s="25" t="s">
        <v>94</v>
      </c>
      <c r="E681" s="7">
        <f>IF(OR($G$4=0, 9&gt;$G$4), 0, IF(N530="RESTRINGIDO", AN604, 0))</f>
        <v>0</v>
      </c>
      <c r="F681" s="25" t="s">
        <v>62</v>
      </c>
      <c r="G681" s="25" t="s">
        <v>138</v>
      </c>
      <c r="H681" s="37" t="str">
        <f>=N530</f>
        <v>LIBRE</v>
      </c>
      <c r="J681" s="10">
        <v>7</v>
      </c>
      <c r="K681" s="12" t="str">
        <f>IF(I14="","", K680+I14)</f>
        <v/>
      </c>
      <c r="L681" s="33">
        <f>IF(7&gt;$G$4,"", E636)</f>
        <v>0</v>
      </c>
      <c r="M681" s="39">
        <f>IF(7&gt;$G$4,"", E637)</f>
        <v>0</v>
      </c>
    </row>
    <row r="682" spans="2:13" x14ac:dyDescent="0.25">
      <c r="B682" s="25" t="s">
        <v>167</v>
      </c>
      <c r="C682" s="25" t="s">
        <v>63</v>
      </c>
      <c r="D682" s="25" t="s">
        <v>94</v>
      </c>
      <c r="E682" s="7">
        <f>IF(OR($G$4=0, 10&gt;$G$4), 0, IF(N531="RESTRINGIDO", AN605, 0))</f>
        <v>0</v>
      </c>
      <c r="F682" s="25" t="s">
        <v>63</v>
      </c>
      <c r="G682" s="25" t="s">
        <v>135</v>
      </c>
      <c r="H682" s="37" t="str">
        <f>=N531</f>
        <v>LIBRE</v>
      </c>
      <c r="J682" s="10">
        <v>8</v>
      </c>
      <c r="K682" s="12" t="str">
        <f>IF(I15="","", K681+I15)</f>
        <v/>
      </c>
      <c r="L682" s="33">
        <f>IF(8&gt;$G$4,"", E639)</f>
        <v>0</v>
      </c>
      <c r="M682" s="39">
        <f>IF(8&gt;$G$4,"", E640)</f>
        <v>0</v>
      </c>
    </row>
    <row r="683" spans="2:13" x14ac:dyDescent="0.25">
      <c r="B683" s="25" t="s">
        <v>168</v>
      </c>
      <c r="C683" s="25" t="s">
        <v>64</v>
      </c>
      <c r="D683" s="25" t="s">
        <v>94</v>
      </c>
      <c r="E683" s="7">
        <f>IF(OR($G$4=0, 10&gt;$G$4), 0, IF(N532="RESTRINGIDO", AN606, 0))</f>
        <v>0</v>
      </c>
      <c r="F683" s="25" t="s">
        <v>64</v>
      </c>
      <c r="G683" s="25" t="s">
        <v>135</v>
      </c>
      <c r="H683" s="37" t="str">
        <f>=N532</f>
        <v>LIBRE</v>
      </c>
      <c r="J683" s="10">
        <v>9</v>
      </c>
      <c r="K683" s="12" t="str">
        <f>IF(I16="","", K682+I16)</f>
        <v/>
      </c>
      <c r="L683" s="33">
        <f>IF(9&gt;$G$4,"", E642)</f>
        <v>0</v>
      </c>
      <c r="M683" s="39">
        <f>IF(9&gt;$G$4,"", E643)</f>
        <v>0</v>
      </c>
    </row>
    <row r="684" spans="2:13" x14ac:dyDescent="0.25">
      <c r="B684" s="25" t="s">
        <v>169</v>
      </c>
      <c r="C684" s="25" t="s">
        <v>65</v>
      </c>
      <c r="D684" s="25" t="s">
        <v>94</v>
      </c>
      <c r="E684" s="7">
        <f>IF(OR($G$4=0, 10&gt;$G$4), 0, IF(N533="RESTRINGIDO", AN607, 0))</f>
        <v>0</v>
      </c>
      <c r="F684" s="25" t="s">
        <v>65</v>
      </c>
      <c r="G684" s="25" t="s">
        <v>138</v>
      </c>
      <c r="H684" s="37" t="str">
        <f>=N533</f>
        <v>LIBRE</v>
      </c>
      <c r="J684" s="10">
        <v>10</v>
      </c>
      <c r="K684" s="12" t="str">
        <f>IF(I17="","", K683+I17)</f>
        <v/>
      </c>
      <c r="L684" s="33">
        <f>IF(10&gt;$G$4,"", E645)</f>
        <v>0</v>
      </c>
      <c r="M684" s="39">
        <f>IF(10&gt;$G$4,"", E646)</f>
        <v>0</v>
      </c>
    </row>
    <row r="685" spans="2:13" x14ac:dyDescent="0.25">
      <c r="B685" s="25" t="s">
        <v>170</v>
      </c>
      <c r="C685" s="25" t="s">
        <v>66</v>
      </c>
      <c r="D685" s="25" t="s">
        <v>94</v>
      </c>
      <c r="E685" s="7">
        <f>IF(OR($G$4=0, 11&gt;$G$4), 0, IF(N534="RESTRINGIDO", AN608, 0))</f>
        <v>0</v>
      </c>
      <c r="F685" s="25" t="s">
        <v>66</v>
      </c>
      <c r="G685" s="25" t="s">
        <v>135</v>
      </c>
      <c r="H685" s="37" t="str">
        <f>=N534</f>
        <v>LIBRE</v>
      </c>
      <c r="J685" s="10">
        <v>11</v>
      </c>
      <c r="K685" s="12" t="str">
        <f>IF(I18="","", K684+I18)</f>
        <v/>
      </c>
      <c r="L685" s="33">
        <f>IF(11&gt;$G$4,"", E648)</f>
        <v>0</v>
      </c>
      <c r="M685" s="39">
        <f>IF(11&gt;$G$4,"", E649)</f>
        <v>0</v>
      </c>
    </row>
    <row r="686" spans="2:8" x14ac:dyDescent="0.25">
      <c r="B686" s="25" t="s">
        <v>171</v>
      </c>
      <c r="C686" s="25" t="s">
        <v>67</v>
      </c>
      <c r="D686" s="25" t="s">
        <v>94</v>
      </c>
      <c r="E686" s="7">
        <f>IF(OR($G$4=0, 11&gt;$G$4), 0, IF(N535="RESTRINGIDO", AN609, 0))</f>
        <v>0</v>
      </c>
      <c r="F686" s="25" t="s">
        <v>67</v>
      </c>
      <c r="G686" s="25" t="s">
        <v>135</v>
      </c>
      <c r="H686" s="37" t="str">
        <f>=N535</f>
        <v>LIBRE</v>
      </c>
    </row>
    <row r="687" spans="2:8" x14ac:dyDescent="0.25">
      <c r="B687" s="25" t="s">
        <v>172</v>
      </c>
      <c r="C687" s="25" t="s">
        <v>68</v>
      </c>
      <c r="D687" s="25" t="s">
        <v>94</v>
      </c>
      <c r="E687" s="7">
        <f>IF(OR($G$4=0, 11&gt;$G$4), 0, IF(N536="RESTRINGIDO", AN610, 0))</f>
        <v>0</v>
      </c>
      <c r="F687" s="25" t="s">
        <v>68</v>
      </c>
      <c r="G687" s="25" t="s">
        <v>138</v>
      </c>
      <c r="H687" s="37" t="str">
        <f>=N536</f>
        <v>LIBRE</v>
      </c>
    </row>
  </sheetData>
  <sheetProtection sheet="1" algorithmName="SHA-512" hashValue="AyplFLVt1Bfxf3wSsFQue/pwQRAPVQrC2Bl8ee4kC5xE7YrrIn/1Vdj+Q3F8NaKfK477UFnmPioxNqMUjxmrDw==" saltValue="NIBvyInaIKNn0A7ZoE56vA==" spinCount="100000"/>
  <mergeCells count="11">
    <mergeCell ref="B1:H1"/>
    <mergeCell ref="C7:D7"/>
    <mergeCell ref="E7:F7"/>
    <mergeCell ref="C20:E20"/>
    <mergeCell ref="F20:H20"/>
    <mergeCell ref="B465:AH465"/>
    <mergeCell ref="B502:N502"/>
    <mergeCell ref="B576:AH576"/>
    <mergeCell ref="B615:H615"/>
    <mergeCell ref="B653:H653"/>
    <mergeCell ref="J673:M6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8"/>
  <sheetViews>
    <sheetView workbookViewId="0"/>
  </sheetViews>
  <sheetFormatPr defaultRowHeight="15" outlineLevelRow="0" outlineLevelCol="0" x14ac:dyDescent="55"/>
  <cols>
    <col min="1" max="1" width="8" customWidth="1"/>
    <col min="2" max="35" width="13" customWidth="1"/>
    <col min="36" max="45" width="15" customWidth="1"/>
  </cols>
  <sheetData>
    <row r="1" spans="2:14" x14ac:dyDescent="0.25">
      <c r="B1" s="40" t="s">
        <v>173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2:14" x14ac:dyDescent="0.25">
      <c r="B2" s="41" t="s">
        <v>174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x14ac:dyDescent="0.25">
      <c r="B3" s="42" t="s">
        <v>175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2:2" x14ac:dyDescent="0.25">
      <c r="B4" s="43" t="s">
        <v>176</v>
      </c>
    </row>
    <row r="5" spans="2:11" x14ac:dyDescent="0.25">
      <c r="B5" t="s">
        <v>177</v>
      </c>
      <c r="C5" s="44">
        <v>5</v>
      </c>
      <c r="D5" t="s">
        <v>178</v>
      </c>
      <c r="E5" s="44">
        <v>5</v>
      </c>
      <c r="F5" t="s">
        <v>179</v>
      </c>
      <c r="G5" s="7">
        <f>C5*E5</f>
        <v>25</v>
      </c>
      <c r="H5" t="s">
        <v>180</v>
      </c>
      <c r="I5" s="8">
        <f>(C5*(E5^3))/12</f>
        <v>52.083333333333336</v>
      </c>
      <c r="J5" t="s">
        <v>181</v>
      </c>
      <c r="K5" s="3">
        <v>2100000</v>
      </c>
    </row>
    <row r="10" spans="2:2" x14ac:dyDescent="0.25">
      <c r="B10" s="43" t="s">
        <v>182</v>
      </c>
    </row>
    <row r="11" spans="2:16" x14ac:dyDescent="0.25">
      <c r="B11" s="10" t="s">
        <v>12</v>
      </c>
      <c r="C11" s="10" t="s">
        <v>183</v>
      </c>
      <c r="D11" s="10" t="s">
        <v>184</v>
      </c>
      <c r="E11" s="10" t="s">
        <v>28</v>
      </c>
      <c r="F11" s="10" t="s">
        <v>29</v>
      </c>
      <c r="G11" s="10" t="s">
        <v>30</v>
      </c>
      <c r="H11" s="10" t="s">
        <v>31</v>
      </c>
      <c r="I11" s="10" t="s">
        <v>17</v>
      </c>
      <c r="J11" s="10" t="s">
        <v>18</v>
      </c>
      <c r="K11" s="10" t="s">
        <v>19</v>
      </c>
      <c r="L11" s="10" t="s">
        <v>23</v>
      </c>
      <c r="M11" s="10" t="s">
        <v>24</v>
      </c>
      <c r="N11" s="10" t="s">
        <v>25</v>
      </c>
      <c r="O11" s="10" t="s">
        <v>26</v>
      </c>
      <c r="P11" s="10" t="s">
        <v>27</v>
      </c>
    </row>
    <row r="12" spans="2:16" x14ac:dyDescent="0.25">
      <c r="B12" s="10">
        <v>1</v>
      </c>
      <c r="C12" s="45">
        <v>1</v>
      </c>
      <c r="D12" s="45">
        <v>2</v>
      </c>
      <c r="E12" s="12">
        <v>0</v>
      </c>
      <c r="F12" s="12">
        <v>0</v>
      </c>
      <c r="G12" s="12">
        <v>0</v>
      </c>
      <c r="H12" s="12">
        <v>400</v>
      </c>
      <c r="I12" s="12">
        <v>400</v>
      </c>
      <c r="J12" s="14">
        <v>0</v>
      </c>
      <c r="K12" s="14">
        <v>1</v>
      </c>
      <c r="L12" s="12">
        <v>131250</v>
      </c>
      <c r="M12" s="12">
        <v>20.5078125</v>
      </c>
      <c r="N12" s="12">
        <v>4101.5625</v>
      </c>
      <c r="O12" s="12">
        <v>1093750</v>
      </c>
      <c r="P12" s="12">
        <v>546875</v>
      </c>
    </row>
    <row r="13" spans="2:16" x14ac:dyDescent="0.25">
      <c r="B13" s="10">
        <v>2</v>
      </c>
      <c r="C13" s="45">
        <v>2</v>
      </c>
      <c r="D13" s="45">
        <v>3</v>
      </c>
      <c r="E13" s="12">
        <v>0</v>
      </c>
      <c r="F13" s="12">
        <v>400</v>
      </c>
      <c r="G13" s="12">
        <v>300</v>
      </c>
      <c r="H13" s="12">
        <v>400</v>
      </c>
      <c r="I13" s="12">
        <v>300</v>
      </c>
      <c r="J13" s="14">
        <v>1</v>
      </c>
      <c r="K13" s="14">
        <v>0</v>
      </c>
      <c r="L13" s="12">
        <v>175000</v>
      </c>
      <c r="M13" s="12">
        <v>48.611111111111114</v>
      </c>
      <c r="N13" s="12">
        <v>7291.666666666667</v>
      </c>
      <c r="O13" s="12">
        <v>1458333.3333333333</v>
      </c>
      <c r="P13" s="12">
        <v>729166.6666666666</v>
      </c>
    </row>
    <row r="14" spans="2:16" x14ac:dyDescent="0.25">
      <c r="B14" s="10">
        <v>3</v>
      </c>
      <c r="C14" s="45">
        <v>3</v>
      </c>
      <c r="D14" s="45">
        <v>4</v>
      </c>
      <c r="E14" s="12">
        <v>300</v>
      </c>
      <c r="F14" s="12">
        <v>400</v>
      </c>
      <c r="G14" s="12">
        <v>400</v>
      </c>
      <c r="H14" s="12">
        <v>400</v>
      </c>
      <c r="I14" s="12">
        <v>100</v>
      </c>
      <c r="J14" s="14">
        <v>1</v>
      </c>
      <c r="K14" s="14">
        <v>0</v>
      </c>
      <c r="L14" s="12">
        <v>525000</v>
      </c>
      <c r="M14" s="12">
        <v>1312.5</v>
      </c>
      <c r="N14" s="12">
        <v>65625</v>
      </c>
      <c r="O14" s="12">
        <v>4375000</v>
      </c>
      <c r="P14" s="12">
        <v>2187500</v>
      </c>
    </row>
    <row r="15" spans="2:16" x14ac:dyDescent="0.25">
      <c r="B15" s="10">
        <v>4</v>
      </c>
      <c r="C15" s="45">
        <v>4</v>
      </c>
      <c r="D15" s="45">
        <v>5</v>
      </c>
      <c r="E15" s="12">
        <v>400</v>
      </c>
      <c r="F15" s="12">
        <v>400</v>
      </c>
      <c r="G15" s="12">
        <v>400</v>
      </c>
      <c r="H15" s="12">
        <v>150</v>
      </c>
      <c r="I15" s="12">
        <v>250</v>
      </c>
      <c r="J15" s="14">
        <v>0</v>
      </c>
      <c r="K15" s="14">
        <v>-1</v>
      </c>
      <c r="L15" s="12">
        <v>210000</v>
      </c>
      <c r="M15" s="12">
        <v>84</v>
      </c>
      <c r="N15" s="12">
        <v>10500</v>
      </c>
      <c r="O15" s="12">
        <v>1750000</v>
      </c>
      <c r="P15" s="12">
        <v>875000</v>
      </c>
    </row>
    <row r="16" spans="2:16" x14ac:dyDescent="0.25">
      <c r="B16" s="10">
        <v>5</v>
      </c>
      <c r="C16" s="45">
        <v>5</v>
      </c>
      <c r="D16" s="45">
        <v>6</v>
      </c>
      <c r="E16" s="12">
        <v>400</v>
      </c>
      <c r="F16" s="12">
        <v>150</v>
      </c>
      <c r="G16" s="12">
        <v>400</v>
      </c>
      <c r="H16" s="12">
        <v>0</v>
      </c>
      <c r="I16" s="12">
        <v>150</v>
      </c>
      <c r="J16" s="14">
        <v>0</v>
      </c>
      <c r="K16" s="14">
        <v>-1</v>
      </c>
      <c r="L16" s="12">
        <v>350000</v>
      </c>
      <c r="M16" s="12">
        <v>388.8888888888889</v>
      </c>
      <c r="N16" s="12">
        <v>29166.666666666668</v>
      </c>
      <c r="O16" s="12">
        <v>2916666.6666666665</v>
      </c>
      <c r="P16" s="12">
        <v>1458333.3333333333</v>
      </c>
    </row>
    <row r="17" spans="2:16" x14ac:dyDescent="0.25">
      <c r="B17" s="10">
        <v>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</row>
    <row r="18" spans="2:16" x14ac:dyDescent="0.25">
      <c r="B18" s="10">
        <v>7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2:16" x14ac:dyDescent="0.25">
      <c r="B19" s="10">
        <v>8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2:16" x14ac:dyDescent="0.25">
      <c r="B20" s="10">
        <v>9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</row>
    <row r="21" spans="2:16" x14ac:dyDescent="0.25">
      <c r="B21" s="10">
        <v>10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4" spans="2:2" x14ac:dyDescent="0.25">
      <c r="B24" s="43" t="s">
        <v>185</v>
      </c>
    </row>
    <row r="25" spans="2:11" x14ac:dyDescent="0.25">
      <c r="B25" s="10" t="s">
        <v>82</v>
      </c>
      <c r="C25" s="10" t="s">
        <v>157</v>
      </c>
      <c r="D25" s="10" t="s">
        <v>186</v>
      </c>
      <c r="E25" s="10" t="s">
        <v>187</v>
      </c>
      <c r="F25" s="10" t="s">
        <v>188</v>
      </c>
      <c r="G25" s="10" t="s">
        <v>189</v>
      </c>
      <c r="H25" s="10" t="s">
        <v>190</v>
      </c>
      <c r="I25" s="10" t="s">
        <v>191</v>
      </c>
      <c r="J25" s="10" t="s">
        <v>192</v>
      </c>
      <c r="K25" s="10" t="s">
        <v>193</v>
      </c>
    </row>
    <row r="26" spans="2:11" x14ac:dyDescent="0.25">
      <c r="B26" s="10">
        <v>1</v>
      </c>
      <c r="C26" s="47">
        <v>0</v>
      </c>
      <c r="D26" s="47">
        <v>0</v>
      </c>
      <c r="E26" s="47" t="s">
        <v>194</v>
      </c>
      <c r="F26" s="48" t="s">
        <v>86</v>
      </c>
      <c r="G26" s="48" t="s">
        <v>86</v>
      </c>
      <c r="H26" s="48" t="s">
        <v>86</v>
      </c>
      <c r="I26" s="47">
        <v>0</v>
      </c>
      <c r="J26" s="47">
        <v>0</v>
      </c>
      <c r="K26" s="47">
        <v>0</v>
      </c>
    </row>
    <row r="27" spans="2:11" x14ac:dyDescent="0.25">
      <c r="B27" s="10">
        <v>2</v>
      </c>
      <c r="C27" s="47">
        <v>0</v>
      </c>
      <c r="D27" s="47">
        <v>400</v>
      </c>
      <c r="E27" s="47" t="s">
        <v>195</v>
      </c>
      <c r="F27" s="49" t="s">
        <v>87</v>
      </c>
      <c r="G27" s="49" t="s">
        <v>87</v>
      </c>
      <c r="H27" s="49" t="s">
        <v>87</v>
      </c>
      <c r="I27" s="47">
        <v>0</v>
      </c>
      <c r="J27" s="47">
        <v>0</v>
      </c>
      <c r="K27" s="47">
        <v>0</v>
      </c>
    </row>
    <row r="28" spans="2:11" x14ac:dyDescent="0.25">
      <c r="B28" s="10">
        <v>3</v>
      </c>
      <c r="C28" s="47">
        <v>300</v>
      </c>
      <c r="D28" s="47">
        <v>400</v>
      </c>
      <c r="E28" s="47" t="s">
        <v>195</v>
      </c>
      <c r="F28" s="49" t="s">
        <v>87</v>
      </c>
      <c r="G28" s="49" t="s">
        <v>87</v>
      </c>
      <c r="H28" s="49" t="s">
        <v>87</v>
      </c>
      <c r="I28" s="47">
        <v>0</v>
      </c>
      <c r="J28" s="47">
        <v>-7000</v>
      </c>
      <c r="K28" s="47">
        <v>0</v>
      </c>
    </row>
    <row r="29" spans="2:11" x14ac:dyDescent="0.25">
      <c r="B29" s="10">
        <v>4</v>
      </c>
      <c r="C29" s="47">
        <v>400</v>
      </c>
      <c r="D29" s="47">
        <v>400</v>
      </c>
      <c r="E29" s="47" t="s">
        <v>195</v>
      </c>
      <c r="F29" s="49" t="s">
        <v>87</v>
      </c>
      <c r="G29" s="49" t="s">
        <v>87</v>
      </c>
      <c r="H29" s="49" t="s">
        <v>87</v>
      </c>
      <c r="I29" s="47">
        <v>0</v>
      </c>
      <c r="J29" s="47">
        <v>0</v>
      </c>
      <c r="K29" s="47">
        <v>0</v>
      </c>
    </row>
    <row r="30" spans="2:11" x14ac:dyDescent="0.25">
      <c r="B30" s="10">
        <v>5</v>
      </c>
      <c r="C30" s="47">
        <v>400</v>
      </c>
      <c r="D30" s="47">
        <v>150</v>
      </c>
      <c r="E30" s="47" t="s">
        <v>195</v>
      </c>
      <c r="F30" s="49" t="s">
        <v>87</v>
      </c>
      <c r="G30" s="49" t="s">
        <v>87</v>
      </c>
      <c r="H30" s="49" t="s">
        <v>87</v>
      </c>
      <c r="I30" s="47">
        <v>0</v>
      </c>
      <c r="J30" s="47">
        <v>0</v>
      </c>
      <c r="K30" s="47">
        <v>-100000</v>
      </c>
    </row>
    <row r="31" spans="2:11" x14ac:dyDescent="0.25">
      <c r="B31" s="10">
        <v>6</v>
      </c>
      <c r="C31" s="47">
        <v>400</v>
      </c>
      <c r="D31" s="47">
        <v>0</v>
      </c>
      <c r="E31" s="47" t="s">
        <v>194</v>
      </c>
      <c r="F31" s="48" t="s">
        <v>86</v>
      </c>
      <c r="G31" s="48" t="s">
        <v>86</v>
      </c>
      <c r="H31" s="48" t="s">
        <v>86</v>
      </c>
      <c r="I31" s="47">
        <v>0</v>
      </c>
      <c r="J31" s="47">
        <v>0</v>
      </c>
      <c r="K31" s="47">
        <v>0</v>
      </c>
    </row>
    <row r="32" spans="2:11" x14ac:dyDescent="0.25">
      <c r="B32" s="10">
        <v>7</v>
      </c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10">
        <v>8</v>
      </c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10">
        <v>9</v>
      </c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10">
        <v>10</v>
      </c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10">
        <v>11</v>
      </c>
      <c r="C36" s="25"/>
      <c r="D36" s="25"/>
      <c r="E36" s="25"/>
      <c r="F36" s="25"/>
      <c r="G36" s="25"/>
      <c r="H36" s="25"/>
      <c r="I36" s="25"/>
      <c r="J36" s="25"/>
      <c r="K36" s="25"/>
    </row>
    <row r="39" spans="2:34" x14ac:dyDescent="0.25">
      <c r="B39" s="1" t="s">
        <v>196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2:34" x14ac:dyDescent="0.25">
      <c r="B40" s="10" t="s">
        <v>36</v>
      </c>
      <c r="C40" s="10" t="s">
        <v>37</v>
      </c>
      <c r="D40" s="10" t="s">
        <v>38</v>
      </c>
      <c r="E40" s="10" t="s">
        <v>39</v>
      </c>
      <c r="F40" s="10" t="s">
        <v>40</v>
      </c>
      <c r="G40" s="10" t="s">
        <v>41</v>
      </c>
      <c r="H40" s="10" t="s">
        <v>42</v>
      </c>
      <c r="I40" s="10" t="s">
        <v>43</v>
      </c>
      <c r="J40" s="10" t="s">
        <v>44</v>
      </c>
      <c r="K40" s="10" t="s">
        <v>45</v>
      </c>
      <c r="L40" s="10" t="s">
        <v>46</v>
      </c>
      <c r="M40" s="10" t="s">
        <v>47</v>
      </c>
      <c r="N40" s="10" t="s">
        <v>48</v>
      </c>
      <c r="O40" s="10" t="s">
        <v>49</v>
      </c>
      <c r="P40" s="10" t="s">
        <v>50</v>
      </c>
      <c r="Q40" s="10" t="s">
        <v>51</v>
      </c>
      <c r="R40" s="10" t="s">
        <v>52</v>
      </c>
      <c r="S40" s="10" t="s">
        <v>53</v>
      </c>
      <c r="T40" s="10" t="s">
        <v>54</v>
      </c>
      <c r="U40" s="10" t="s">
        <v>55</v>
      </c>
      <c r="V40" s="10" t="s">
        <v>56</v>
      </c>
      <c r="W40" s="10" t="s">
        <v>57</v>
      </c>
      <c r="X40" s="10" t="s">
        <v>58</v>
      </c>
      <c r="Y40" s="10" t="s">
        <v>59</v>
      </c>
      <c r="Z40" s="10" t="s">
        <v>60</v>
      </c>
      <c r="AA40" s="10" t="s">
        <v>61</v>
      </c>
      <c r="AB40" s="10" t="s">
        <v>62</v>
      </c>
      <c r="AC40" s="10" t="s">
        <v>63</v>
      </c>
      <c r="AD40" s="10" t="s">
        <v>64</v>
      </c>
      <c r="AE40" s="10" t="s">
        <v>65</v>
      </c>
      <c r="AF40" s="10" t="s">
        <v>66</v>
      </c>
      <c r="AG40" s="10" t="s">
        <v>67</v>
      </c>
      <c r="AH40" s="10" t="s">
        <v>68</v>
      </c>
    </row>
    <row r="41" spans="1:34" x14ac:dyDescent="0.25">
      <c r="A41" s="10" t="s">
        <v>36</v>
      </c>
      <c r="B41" s="24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</row>
    <row r="42" spans="1:34" x14ac:dyDescent="0.25">
      <c r="A42" s="10" t="s">
        <v>37</v>
      </c>
      <c r="B42" s="12">
        <v>0</v>
      </c>
      <c r="C42" s="24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</row>
    <row r="43" spans="1:34" x14ac:dyDescent="0.25">
      <c r="A43" s="10" t="s">
        <v>38</v>
      </c>
      <c r="B43" s="12">
        <v>0</v>
      </c>
      <c r="C43" s="12">
        <v>0</v>
      </c>
      <c r="D43" s="24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</row>
    <row r="44" spans="1:34" x14ac:dyDescent="0.25">
      <c r="A44" s="10" t="s">
        <v>39</v>
      </c>
      <c r="B44" s="12">
        <v>0</v>
      </c>
      <c r="C44" s="12">
        <v>0</v>
      </c>
      <c r="D44" s="12">
        <v>0</v>
      </c>
      <c r="E44" s="24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</row>
    <row r="45" spans="1:34" x14ac:dyDescent="0.25">
      <c r="A45" s="10" t="s">
        <v>40</v>
      </c>
      <c r="B45" s="12">
        <v>0</v>
      </c>
      <c r="C45" s="12">
        <v>0</v>
      </c>
      <c r="D45" s="12">
        <v>0</v>
      </c>
      <c r="E45" s="12">
        <v>0</v>
      </c>
      <c r="F45" s="24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</row>
    <row r="46" spans="1:34" x14ac:dyDescent="0.25">
      <c r="A46" s="10" t="s">
        <v>41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24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</row>
    <row r="47" spans="1:34" x14ac:dyDescent="0.25">
      <c r="A47" s="10" t="s">
        <v>42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24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</row>
    <row r="48" spans="1:34" x14ac:dyDescent="0.25">
      <c r="A48" s="10" t="s">
        <v>43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24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</row>
    <row r="49" spans="1:34" x14ac:dyDescent="0.25">
      <c r="A49" s="10" t="s">
        <v>44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24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</row>
    <row r="50" spans="1:34" x14ac:dyDescent="0.25">
      <c r="A50" s="10" t="s">
        <v>45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24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</row>
    <row r="51" spans="1:34" x14ac:dyDescent="0.25">
      <c r="A51" s="10" t="s">
        <v>46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24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</row>
    <row r="52" spans="1:34" x14ac:dyDescent="0.25">
      <c r="A52" s="10" t="s">
        <v>47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24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</row>
    <row r="53" spans="1:34" x14ac:dyDescent="0.25">
      <c r="A53" s="10" t="s">
        <v>48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24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</row>
    <row r="54" spans="1:34" x14ac:dyDescent="0.25">
      <c r="A54" s="10" t="s">
        <v>49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24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</row>
    <row r="55" spans="1:34" x14ac:dyDescent="0.25">
      <c r="A55" s="10" t="s">
        <v>50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24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</row>
    <row r="56" spans="1:34" x14ac:dyDescent="0.25">
      <c r="A56" s="10" t="s">
        <v>51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24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</row>
    <row r="57" spans="1:34" x14ac:dyDescent="0.25">
      <c r="A57" s="10" t="s">
        <v>52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24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</row>
    <row r="58" spans="1:34" x14ac:dyDescent="0.25">
      <c r="A58" s="10" t="s">
        <v>53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24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</row>
    <row r="59" spans="1:34" x14ac:dyDescent="0.25">
      <c r="A59" s="10" t="s">
        <v>54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24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</row>
    <row r="60" spans="1:34" x14ac:dyDescent="0.25">
      <c r="A60" s="10" t="s">
        <v>55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24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</row>
    <row r="61" spans="1:34" x14ac:dyDescent="0.25">
      <c r="A61" s="10" t="s">
        <v>56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24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</row>
    <row r="62" spans="1:34" x14ac:dyDescent="0.25">
      <c r="A62" s="10" t="s">
        <v>57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24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</row>
    <row r="63" spans="1:34" x14ac:dyDescent="0.25">
      <c r="A63" s="10" t="s">
        <v>58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24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</row>
    <row r="64" spans="1:34" x14ac:dyDescent="0.25">
      <c r="A64" s="10" t="s">
        <v>59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24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</row>
    <row r="65" spans="1:34" x14ac:dyDescent="0.25">
      <c r="A65" s="10" t="s">
        <v>60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24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</row>
    <row r="66" spans="1:34" x14ac:dyDescent="0.25">
      <c r="A66" s="10" t="s">
        <v>61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24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</row>
    <row r="67" spans="1:34" x14ac:dyDescent="0.25">
      <c r="A67" s="10" t="s">
        <v>62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24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</row>
    <row r="68" spans="1:34" x14ac:dyDescent="0.25">
      <c r="A68" s="10" t="s">
        <v>63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24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</row>
    <row r="69" spans="1:34" x14ac:dyDescent="0.25">
      <c r="A69" s="10" t="s">
        <v>64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24">
        <v>0</v>
      </c>
      <c r="AE69" s="12">
        <v>0</v>
      </c>
      <c r="AF69" s="12">
        <v>0</v>
      </c>
      <c r="AG69" s="12">
        <v>0</v>
      </c>
      <c r="AH69" s="12">
        <v>0</v>
      </c>
    </row>
    <row r="70" spans="1:34" x14ac:dyDescent="0.25">
      <c r="A70" s="10" t="s">
        <v>65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24">
        <v>0</v>
      </c>
      <c r="AF70" s="12">
        <v>0</v>
      </c>
      <c r="AG70" s="12">
        <v>0</v>
      </c>
      <c r="AH70" s="12">
        <v>0</v>
      </c>
    </row>
    <row r="71" spans="1:34" x14ac:dyDescent="0.25">
      <c r="A71" s="10" t="s">
        <v>66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24">
        <v>0</v>
      </c>
      <c r="AG71" s="12">
        <v>0</v>
      </c>
      <c r="AH71" s="12">
        <v>0</v>
      </c>
    </row>
    <row r="72" spans="1:34" x14ac:dyDescent="0.25">
      <c r="A72" s="10" t="s">
        <v>67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24">
        <v>0</v>
      </c>
      <c r="AH72" s="12">
        <v>0</v>
      </c>
    </row>
    <row r="73" spans="1:34" x14ac:dyDescent="0.25">
      <c r="A73" s="10" t="s">
        <v>68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24">
        <v>0</v>
      </c>
    </row>
    <row r="76" spans="2:18" x14ac:dyDescent="0.25">
      <c r="B76" s="1" t="s">
        <v>197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3" x14ac:dyDescent="0.25">
      <c r="B77" s="10" t="s">
        <v>39</v>
      </c>
      <c r="C77" s="10" t="s">
        <v>40</v>
      </c>
      <c r="D77" s="10" t="s">
        <v>41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46</v>
      </c>
      <c r="J77" s="10" t="s">
        <v>47</v>
      </c>
      <c r="K77" s="10" t="s">
        <v>48</v>
      </c>
      <c r="L77" s="10" t="s">
        <v>49</v>
      </c>
      <c r="M77" s="10" t="s">
        <v>50</v>
      </c>
    </row>
    <row r="78" spans="1:13" x14ac:dyDescent="0.25">
      <c r="A78" s="10" t="s">
        <v>39</v>
      </c>
      <c r="B78" s="50">
        <v>175020.5078125</v>
      </c>
      <c r="C78" s="12">
        <v>0</v>
      </c>
      <c r="D78" s="12">
        <v>4101.5625</v>
      </c>
      <c r="E78" s="12">
        <v>-175000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</row>
    <row r="79" spans="1:13" x14ac:dyDescent="0.25">
      <c r="A79" s="10" t="s">
        <v>40</v>
      </c>
      <c r="B79" s="12">
        <v>0</v>
      </c>
      <c r="C79" s="50">
        <v>131298.61111111112</v>
      </c>
      <c r="D79" s="12">
        <v>7291.666666666667</v>
      </c>
      <c r="E79" s="12">
        <v>0</v>
      </c>
      <c r="F79" s="12">
        <v>-48.611111111111114</v>
      </c>
      <c r="G79" s="12">
        <v>7291.666666666667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</row>
    <row r="80" spans="1:13" x14ac:dyDescent="0.25">
      <c r="A80" s="10" t="s">
        <v>41</v>
      </c>
      <c r="B80" s="12">
        <v>4101.5625</v>
      </c>
      <c r="C80" s="12">
        <v>7291.666666666667</v>
      </c>
      <c r="D80" s="50">
        <v>2552083.333333333</v>
      </c>
      <c r="E80" s="12">
        <v>0</v>
      </c>
      <c r="F80" s="12">
        <v>-7291.666666666667</v>
      </c>
      <c r="G80" s="12">
        <v>729166.6666666666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</row>
    <row r="81" spans="1:13" x14ac:dyDescent="0.25">
      <c r="A81" s="10" t="s">
        <v>42</v>
      </c>
      <c r="B81" s="12">
        <v>-175000</v>
      </c>
      <c r="C81" s="12">
        <v>0</v>
      </c>
      <c r="D81" s="12">
        <v>0</v>
      </c>
      <c r="E81" s="50">
        <v>700000</v>
      </c>
      <c r="F81" s="12">
        <v>0</v>
      </c>
      <c r="G81" s="12">
        <v>0</v>
      </c>
      <c r="H81" s="12">
        <v>-525000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</row>
    <row r="82" spans="1:13" x14ac:dyDescent="0.25">
      <c r="A82" s="10" t="s">
        <v>43</v>
      </c>
      <c r="B82" s="12">
        <v>0</v>
      </c>
      <c r="C82" s="12">
        <v>-48.611111111111114</v>
      </c>
      <c r="D82" s="12">
        <v>-7291.666666666667</v>
      </c>
      <c r="E82" s="12">
        <v>0</v>
      </c>
      <c r="F82" s="50">
        <v>1361.111111111111</v>
      </c>
      <c r="G82" s="12">
        <v>58333.333333333336</v>
      </c>
      <c r="H82" s="12">
        <v>0</v>
      </c>
      <c r="I82" s="12">
        <v>-1312.5</v>
      </c>
      <c r="J82" s="12">
        <v>65625</v>
      </c>
      <c r="K82" s="12">
        <v>0</v>
      </c>
      <c r="L82" s="12">
        <v>0</v>
      </c>
      <c r="M82" s="12">
        <v>0</v>
      </c>
    </row>
    <row r="83" spans="1:13" x14ac:dyDescent="0.25">
      <c r="A83" s="10" t="s">
        <v>44</v>
      </c>
      <c r="B83" s="12">
        <v>0</v>
      </c>
      <c r="C83" s="12">
        <v>7291.666666666667</v>
      </c>
      <c r="D83" s="12">
        <v>729166.6666666666</v>
      </c>
      <c r="E83" s="12">
        <v>0</v>
      </c>
      <c r="F83" s="12">
        <v>58333.333333333336</v>
      </c>
      <c r="G83" s="50">
        <v>5833333.333333333</v>
      </c>
      <c r="H83" s="12">
        <v>0</v>
      </c>
      <c r="I83" s="12">
        <v>-65625</v>
      </c>
      <c r="J83" s="12">
        <v>2187500</v>
      </c>
      <c r="K83" s="12">
        <v>0</v>
      </c>
      <c r="L83" s="12">
        <v>0</v>
      </c>
      <c r="M83" s="12">
        <v>0</v>
      </c>
    </row>
    <row r="84" spans="1:13" x14ac:dyDescent="0.25">
      <c r="A84" s="10" t="s">
        <v>45</v>
      </c>
      <c r="B84" s="12">
        <v>0</v>
      </c>
      <c r="C84" s="12">
        <v>0</v>
      </c>
      <c r="D84" s="12">
        <v>0</v>
      </c>
      <c r="E84" s="12">
        <v>-525000</v>
      </c>
      <c r="F84" s="12">
        <v>0</v>
      </c>
      <c r="G84" s="12">
        <v>0</v>
      </c>
      <c r="H84" s="50">
        <v>525084</v>
      </c>
      <c r="I84" s="12">
        <v>0</v>
      </c>
      <c r="J84" s="12">
        <v>10500</v>
      </c>
      <c r="K84" s="12">
        <v>-84</v>
      </c>
      <c r="L84" s="12">
        <v>0</v>
      </c>
      <c r="M84" s="12">
        <v>10500</v>
      </c>
    </row>
    <row r="85" spans="1:13" x14ac:dyDescent="0.25">
      <c r="A85" s="10" t="s">
        <v>46</v>
      </c>
      <c r="B85" s="12">
        <v>0</v>
      </c>
      <c r="C85" s="12">
        <v>0</v>
      </c>
      <c r="D85" s="12">
        <v>0</v>
      </c>
      <c r="E85" s="12">
        <v>0</v>
      </c>
      <c r="F85" s="12">
        <v>-1312.5</v>
      </c>
      <c r="G85" s="12">
        <v>-65625</v>
      </c>
      <c r="H85" s="12">
        <v>0</v>
      </c>
      <c r="I85" s="50">
        <v>211312.5</v>
      </c>
      <c r="J85" s="12">
        <v>-65625</v>
      </c>
      <c r="K85" s="12">
        <v>0</v>
      </c>
      <c r="L85" s="12">
        <v>-210000</v>
      </c>
      <c r="M85" s="12">
        <v>0</v>
      </c>
    </row>
    <row r="86" spans="1:13" x14ac:dyDescent="0.25">
      <c r="A86" s="10" t="s">
        <v>47</v>
      </c>
      <c r="B86" s="12">
        <v>0</v>
      </c>
      <c r="C86" s="12">
        <v>0</v>
      </c>
      <c r="D86" s="12">
        <v>0</v>
      </c>
      <c r="E86" s="12">
        <v>0</v>
      </c>
      <c r="F86" s="12">
        <v>65625</v>
      </c>
      <c r="G86" s="12">
        <v>2187500</v>
      </c>
      <c r="H86" s="12">
        <v>10500</v>
      </c>
      <c r="I86" s="12">
        <v>-65625</v>
      </c>
      <c r="J86" s="50">
        <v>6125000</v>
      </c>
      <c r="K86" s="12">
        <v>-10500</v>
      </c>
      <c r="L86" s="12">
        <v>0</v>
      </c>
      <c r="M86" s="12">
        <v>875000</v>
      </c>
    </row>
    <row r="87" spans="1:13" x14ac:dyDescent="0.25">
      <c r="A87" s="10" t="s">
        <v>48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-84</v>
      </c>
      <c r="I87" s="12">
        <v>0</v>
      </c>
      <c r="J87" s="12">
        <v>-10500</v>
      </c>
      <c r="K87" s="50">
        <v>472.8888888888889</v>
      </c>
      <c r="L87" s="12">
        <v>0</v>
      </c>
      <c r="M87" s="12">
        <v>18666.666666666668</v>
      </c>
    </row>
    <row r="88" spans="1:13" x14ac:dyDescent="0.25">
      <c r="A88" s="10" t="s">
        <v>49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-210000</v>
      </c>
      <c r="J88" s="12">
        <v>0</v>
      </c>
      <c r="K88" s="12">
        <v>0</v>
      </c>
      <c r="L88" s="50">
        <v>560000</v>
      </c>
      <c r="M88" s="12">
        <v>0</v>
      </c>
    </row>
    <row r="89" spans="1:13" x14ac:dyDescent="0.25">
      <c r="A89" s="10" t="s">
        <v>50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10500</v>
      </c>
      <c r="I89" s="12">
        <v>0</v>
      </c>
      <c r="J89" s="12">
        <v>875000</v>
      </c>
      <c r="K89" s="12">
        <v>18666.666666666668</v>
      </c>
      <c r="L89" s="12">
        <v>0</v>
      </c>
      <c r="M89" s="50">
        <v>4666666.666666666</v>
      </c>
    </row>
    <row r="93" spans="2:18" x14ac:dyDescent="0.25">
      <c r="B93" s="1" t="s">
        <v>198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3" x14ac:dyDescent="0.25">
      <c r="B94" s="10" t="s">
        <v>39</v>
      </c>
      <c r="C94" s="10" t="s">
        <v>40</v>
      </c>
      <c r="D94" s="10" t="s">
        <v>41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46</v>
      </c>
      <c r="J94" s="10" t="s">
        <v>47</v>
      </c>
      <c r="K94" s="10" t="s">
        <v>48</v>
      </c>
      <c r="L94" s="10" t="s">
        <v>49</v>
      </c>
      <c r="M94" s="10" t="s">
        <v>50</v>
      </c>
    </row>
    <row r="95" spans="1:13" x14ac:dyDescent="0.25">
      <c r="A95" s="10" t="s">
        <v>39</v>
      </c>
      <c r="B95" s="51">
        <f>MINVERSE(B78:M89)</f>
        <v>0.034834635369025195</v>
      </c>
      <c r="C95" s="51">
        <v>0.0000032651603563481706</v>
      </c>
      <c r="D95" s="51">
        <v>-0.000052263653222109776</v>
      </c>
      <c r="E95" s="51">
        <v>0.03483177833777083</v>
      </c>
      <c r="F95" s="51">
        <v>0.001957106504723931</v>
      </c>
      <c r="G95" s="51">
        <v>0.00000651637577029325</v>
      </c>
      <c r="H95" s="51">
        <v>0.03483082599401937</v>
      </c>
      <c r="I95" s="51">
        <v>-0.000003265160356348169</v>
      </c>
      <c r="J95" s="51">
        <v>-0.00005225412978459518</v>
      </c>
      <c r="K95" s="51">
        <v>0.009183631786930518</v>
      </c>
      <c r="L95" s="51">
        <v>-0.0000012244351336305635</v>
      </c>
      <c r="M95" s="51">
        <v>-0.0001053062362996541</v>
      </c>
    </row>
    <row r="96" spans="1:13" x14ac:dyDescent="0.25">
      <c r="A96" s="10" t="s">
        <v>40</v>
      </c>
      <c r="B96" s="51">
        <v>0.0000032651603563481744</v>
      </c>
      <c r="C96" s="51">
        <v>0.00000761887755861239</v>
      </c>
      <c r="D96" s="51">
        <v>-1.6325801781788007e-8</v>
      </c>
      <c r="E96" s="51">
        <v>0.0000032651603563481744</v>
      </c>
      <c r="F96" s="51">
        <v>0.0000018028106738424607</v>
      </c>
      <c r="G96" s="51">
        <v>-1.9386889615899766e-8</v>
      </c>
      <c r="H96" s="51">
        <v>0.0000032651603563481736</v>
      </c>
      <c r="I96" s="51">
        <v>1.7006043522843275e-10</v>
      </c>
      <c r="J96" s="51">
        <v>-1.6325801781788e-8</v>
      </c>
      <c r="K96" s="51">
        <v>4.591631751098048e-7</v>
      </c>
      <c r="L96" s="51">
        <v>6.377266321066232e-11</v>
      </c>
      <c r="M96" s="51">
        <v>-6.122175668137362e-9</v>
      </c>
    </row>
    <row r="97" spans="1:13" x14ac:dyDescent="0.25">
      <c r="A97" s="10" t="s">
        <v>41</v>
      </c>
      <c r="B97" s="51">
        <v>-0.00005226365322210972</v>
      </c>
      <c r="C97" s="51">
        <v>-1.6325801781787997e-8</v>
      </c>
      <c r="D97" s="51">
        <v>5.660682665763149e-7</v>
      </c>
      <c r="E97" s="51">
        <v>-0.00005225651064397382</v>
      </c>
      <c r="F97" s="51">
        <v>0.000013070717511227955</v>
      </c>
      <c r="G97" s="51">
        <v>-1.8495687908406616e-7</v>
      </c>
      <c r="H97" s="51">
        <v>-0.00005225412978459517</v>
      </c>
      <c r="I97" s="51">
        <v>1.6325801781788014e-8</v>
      </c>
      <c r="J97" s="51">
        <v>-4.347935154128118e-8</v>
      </c>
      <c r="K97" s="51">
        <v>-0.000018062104204780236</v>
      </c>
      <c r="L97" s="51">
        <v>6.122175668170507e-9</v>
      </c>
      <c r="M97" s="51">
        <v>1.979725872484504e-7</v>
      </c>
    </row>
    <row r="98" spans="1:13" x14ac:dyDescent="0.25">
      <c r="A98" s="10" t="s">
        <v>42</v>
      </c>
      <c r="B98" s="51">
        <v>0.03483177833777082</v>
      </c>
      <c r="C98" s="51">
        <v>0.000003265160356348169</v>
      </c>
      <c r="D98" s="51">
        <v>-0.00005225651064397385</v>
      </c>
      <c r="E98" s="51">
        <v>0.03483463542482657</v>
      </c>
      <c r="F98" s="51">
        <v>0.001957642198084123</v>
      </c>
      <c r="G98" s="51">
        <v>0.000006512804481225298</v>
      </c>
      <c r="H98" s="51">
        <v>0.03483368302527372</v>
      </c>
      <c r="I98" s="51">
        <v>-0.0000032651603563481677</v>
      </c>
      <c r="J98" s="51">
        <v>-0.00005226127236273105</v>
      </c>
      <c r="K98" s="51">
        <v>0.009184284663213249</v>
      </c>
      <c r="L98" s="51">
        <v>-0.000001224435133630563</v>
      </c>
      <c r="M98" s="51">
        <v>-0.00010531393689170686</v>
      </c>
    </row>
    <row r="99" spans="1:13" x14ac:dyDescent="0.25">
      <c r="A99" s="10" t="s">
        <v>43</v>
      </c>
      <c r="B99" s="51">
        <v>0.00195710650472394</v>
      </c>
      <c r="C99" s="51">
        <v>0.000001802810673842461</v>
      </c>
      <c r="D99" s="51">
        <v>0.000013070717511227935</v>
      </c>
      <c r="E99" s="51">
        <v>0.001957642198084132</v>
      </c>
      <c r="F99" s="51">
        <v>0.0033722805320671517</v>
      </c>
      <c r="G99" s="51">
        <v>-0.00002305145816443684</v>
      </c>
      <c r="H99" s="51">
        <v>0.001957820762537529</v>
      </c>
      <c r="I99" s="51">
        <v>0.0000058162369452051615</v>
      </c>
      <c r="J99" s="51">
        <v>-0.00003264535384759177</v>
      </c>
      <c r="K99" s="51">
        <v>-0.0005282214955577577</v>
      </c>
      <c r="L99" s="51">
        <v>0.000002181088854451935</v>
      </c>
      <c r="M99" s="51">
        <v>0.0000038287931129450475</v>
      </c>
    </row>
    <row r="100" spans="1:13" x14ac:dyDescent="0.25">
      <c r="A100" s="10" t="s">
        <v>44</v>
      </c>
      <c r="B100" s="51">
        <v>0.000006516375770293181</v>
      </c>
      <c r="C100" s="51">
        <v>-1.9386889615899776e-8</v>
      </c>
      <c r="D100" s="51">
        <v>-1.8495687908406603e-7</v>
      </c>
      <c r="E100" s="51">
        <v>0.000006512804481225231</v>
      </c>
      <c r="F100" s="51">
        <v>-0.000023051458164436854</v>
      </c>
      <c r="G100" s="51">
        <v>3.803737503381224e-7</v>
      </c>
      <c r="H100" s="51">
        <v>0.000006511614051535913</v>
      </c>
      <c r="I100" s="51">
        <v>1.9386889615899756e-8</v>
      </c>
      <c r="J100" s="51">
        <v>1.1981692997473209e-7</v>
      </c>
      <c r="K100" s="51">
        <v>0.000006272629327917961</v>
      </c>
      <c r="L100" s="51">
        <v>7.270083605962408e-9</v>
      </c>
      <c r="M100" s="51">
        <v>-6.220732329788984e-8</v>
      </c>
    </row>
    <row r="101" spans="1:13" x14ac:dyDescent="0.25">
      <c r="A101" s="10" t="s">
        <v>45</v>
      </c>
      <c r="B101" s="51">
        <v>0.03483082599401937</v>
      </c>
      <c r="C101" s="51">
        <v>0.0000032651603563481698</v>
      </c>
      <c r="D101" s="51">
        <v>-0.000052254129784595226</v>
      </c>
      <c r="E101" s="51">
        <v>0.034833683025273725</v>
      </c>
      <c r="F101" s="51">
        <v>0.0019578207625375213</v>
      </c>
      <c r="G101" s="51">
        <v>0.000006511614051535979</v>
      </c>
      <c r="H101" s="51">
        <v>0.03483463536902517</v>
      </c>
      <c r="I101" s="51">
        <v>-0.0000032651603563481677</v>
      </c>
      <c r="J101" s="51">
        <v>-0.0000522636532221097</v>
      </c>
      <c r="K101" s="51">
        <v>0.009184502288640824</v>
      </c>
      <c r="L101" s="51">
        <v>-0.000001224435133630563</v>
      </c>
      <c r="M101" s="51">
        <v>-0.00010531650375572441</v>
      </c>
    </row>
    <row r="102" spans="1:13" x14ac:dyDescent="0.25">
      <c r="A102" s="10" t="s">
        <v>46</v>
      </c>
      <c r="B102" s="51">
        <v>-0.0000032651603563481634</v>
      </c>
      <c r="C102" s="51">
        <v>1.7006043522843335e-10</v>
      </c>
      <c r="D102" s="51">
        <v>1.6325801781788007e-8</v>
      </c>
      <c r="E102" s="51">
        <v>-0.0000032651603563481634</v>
      </c>
      <c r="F102" s="51">
        <v>0.000005816236945205163</v>
      </c>
      <c r="G102" s="51">
        <v>1.938688961589976e-8</v>
      </c>
      <c r="H102" s="51">
        <v>-0.0000032651603563481626</v>
      </c>
      <c r="I102" s="51">
        <v>0.00000761887755861239</v>
      </c>
      <c r="J102" s="51">
        <v>1.632580178178795e-8</v>
      </c>
      <c r="K102" s="51">
        <v>-4.591631751098044e-7</v>
      </c>
      <c r="L102" s="51">
        <v>0.0000028570790844796465</v>
      </c>
      <c r="M102" s="51">
        <v>6.122175668137352e-9</v>
      </c>
    </row>
    <row r="103" spans="1:13" x14ac:dyDescent="0.25">
      <c r="A103" s="10" t="s">
        <v>47</v>
      </c>
      <c r="B103" s="51">
        <v>-0.00005225412978459524</v>
      </c>
      <c r="C103" s="51">
        <v>-1.6325801781788004e-8</v>
      </c>
      <c r="D103" s="51">
        <v>-4.3479351541280964e-8</v>
      </c>
      <c r="E103" s="51">
        <v>-0.00005226127236273113</v>
      </c>
      <c r="F103" s="51">
        <v>-0.00003264535384759176</v>
      </c>
      <c r="G103" s="51">
        <v>1.1981692997473195e-7</v>
      </c>
      <c r="H103" s="51">
        <v>-0.00005226365322210975</v>
      </c>
      <c r="I103" s="51">
        <v>1.632580178178797e-8</v>
      </c>
      <c r="J103" s="51">
        <v>5.66068266576315e-7</v>
      </c>
      <c r="K103" s="51">
        <v>0.0000033642909695154093</v>
      </c>
      <c r="L103" s="51">
        <v>6.122175668170488e-9</v>
      </c>
      <c r="M103" s="51">
        <v>-2.0017441113737332e-9</v>
      </c>
    </row>
    <row r="104" spans="1:13" x14ac:dyDescent="0.25">
      <c r="A104" s="10" t="s">
        <v>48</v>
      </c>
      <c r="B104" s="51">
        <v>0.009183631786930515</v>
      </c>
      <c r="C104" s="51">
        <v>4.591631751098035e-7</v>
      </c>
      <c r="D104" s="51">
        <v>-0.000018062104204780243</v>
      </c>
      <c r="E104" s="51">
        <v>0.009184284663213249</v>
      </c>
      <c r="F104" s="51">
        <v>-0.0005282214955577604</v>
      </c>
      <c r="G104" s="51">
        <v>0.000006272629327917975</v>
      </c>
      <c r="H104" s="51">
        <v>0.009184502288640824</v>
      </c>
      <c r="I104" s="51">
        <v>-4.5916317510980413e-7</v>
      </c>
      <c r="J104" s="51">
        <v>0.000003364290969515427</v>
      </c>
      <c r="K104" s="51">
        <v>0.005535470495948001</v>
      </c>
      <c r="L104" s="51">
        <v>-1.721861906661766e-7</v>
      </c>
      <c r="M104" s="51">
        <v>-0.00004343781669001802</v>
      </c>
    </row>
    <row r="105" spans="1:13" x14ac:dyDescent="0.25">
      <c r="A105" s="10" t="s">
        <v>49</v>
      </c>
      <c r="B105" s="51">
        <v>-0.0000012244351336305616</v>
      </c>
      <c r="C105" s="51">
        <v>6.37726632106625e-11</v>
      </c>
      <c r="D105" s="51">
        <v>6.1221756681705035e-9</v>
      </c>
      <c r="E105" s="51">
        <v>-0.0000012244351336305613</v>
      </c>
      <c r="F105" s="51">
        <v>0.0000021810888544519363</v>
      </c>
      <c r="G105" s="51">
        <v>7.27008360596241e-9</v>
      </c>
      <c r="H105" s="51">
        <v>-0.000001224435133630561</v>
      </c>
      <c r="I105" s="51">
        <v>0.0000028570790844796465</v>
      </c>
      <c r="J105" s="51">
        <v>6.122175668170482e-9</v>
      </c>
      <c r="K105" s="51">
        <v>-1.721861906661766e-7</v>
      </c>
      <c r="L105" s="51">
        <v>0.0000028571189423941533</v>
      </c>
      <c r="M105" s="51">
        <v>2.295815875551506e-9</v>
      </c>
    </row>
    <row r="106" spans="1:13" x14ac:dyDescent="0.25">
      <c r="A106" s="10" t="s">
        <v>50</v>
      </c>
      <c r="B106" s="51">
        <v>-0.00010530623629965404</v>
      </c>
      <c r="C106" s="51">
        <v>-6.122175668137345e-9</v>
      </c>
      <c r="D106" s="51">
        <v>1.979725872484504e-7</v>
      </c>
      <c r="E106" s="51">
        <v>-0.00010531393689170679</v>
      </c>
      <c r="F106" s="51">
        <v>0.0000038287931129450746</v>
      </c>
      <c r="G106" s="51">
        <v>-6.22073232978901e-8</v>
      </c>
      <c r="H106" s="51">
        <v>-0.00010531650375572436</v>
      </c>
      <c r="I106" s="51">
        <v>6.12217566813735e-9</v>
      </c>
      <c r="J106" s="51">
        <v>-2.0017441113739516e-9</v>
      </c>
      <c r="K106" s="51">
        <v>-0.000043437816690018006</v>
      </c>
      <c r="L106" s="51">
        <v>2.295815875551507e-9</v>
      </c>
      <c r="M106" s="51">
        <v>6.253744415170489e-7</v>
      </c>
    </row>
    <row r="110" spans="2:26" x14ac:dyDescent="0.25">
      <c r="B110" s="52" t="s">
        <v>199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2:20" x14ac:dyDescent="0.25">
      <c r="B111" s="29" t="s">
        <v>200</v>
      </c>
      <c r="C111" s="29"/>
      <c r="D111" s="29"/>
      <c r="F111" s="53" t="s">
        <v>201</v>
      </c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S111" s="30" t="s">
        <v>202</v>
      </c>
      <c r="T111" s="30"/>
    </row>
    <row r="112" spans="2:20" x14ac:dyDescent="0.25">
      <c r="B112" s="10" t="s">
        <v>39</v>
      </c>
      <c r="C112" s="33">
        <f>MMULT(B95:M106, T112:T123)</f>
        <v>21.911191553605523</v>
      </c>
      <c r="D112" s="25" t="s">
        <v>4</v>
      </c>
      <c r="F112" s="54">
        <v>0.034834635369025195</v>
      </c>
      <c r="G112" s="54">
        <v>0.0000032651603563481706</v>
      </c>
      <c r="H112" s="54">
        <v>-0.000052263653222109776</v>
      </c>
      <c r="I112" s="54">
        <v>0.03483177833777083</v>
      </c>
      <c r="J112" s="54">
        <v>0.001957106504723931</v>
      </c>
      <c r="K112" s="54">
        <v>0.00000651637577029325</v>
      </c>
      <c r="L112" s="54">
        <v>0.03483082599401937</v>
      </c>
      <c r="M112" s="54">
        <v>-0.000003265160356348169</v>
      </c>
      <c r="N112" s="54">
        <v>-0.00005225412978459518</v>
      </c>
      <c r="O112" s="54">
        <v>0.009183631786930518</v>
      </c>
      <c r="P112" s="54">
        <v>-0.0000012244351336305635</v>
      </c>
      <c r="Q112" s="54">
        <v>-0.0001053062362996541</v>
      </c>
      <c r="S112" s="26" t="s">
        <v>39</v>
      </c>
      <c r="T112" s="5">
        <v>800</v>
      </c>
    </row>
    <row r="113" spans="2:20" x14ac:dyDescent="0.25">
      <c r="B113" s="10" t="s">
        <v>40</v>
      </c>
      <c r="C113" s="33">
        <v>-0.010266038293366976</v>
      </c>
      <c r="D113" s="25" t="s">
        <v>4</v>
      </c>
      <c r="F113" s="54">
        <v>0.0000032651603563481744</v>
      </c>
      <c r="G113" s="54">
        <v>0.00000761887755861239</v>
      </c>
      <c r="H113" s="54">
        <v>-1.6325801781788007e-8</v>
      </c>
      <c r="I113" s="54">
        <v>0.0000032651603563481744</v>
      </c>
      <c r="J113" s="54">
        <v>0.0000018028106738424607</v>
      </c>
      <c r="K113" s="54">
        <v>-1.9386889615899766e-8</v>
      </c>
      <c r="L113" s="54">
        <v>0.0000032651603563481736</v>
      </c>
      <c r="M113" s="54">
        <v>1.7006043522843275e-10</v>
      </c>
      <c r="N113" s="54">
        <v>-1.6325801781788e-8</v>
      </c>
      <c r="O113" s="54">
        <v>4.591631751098048e-7</v>
      </c>
      <c r="P113" s="54">
        <v>6.377266321066232e-11</v>
      </c>
      <c r="Q113" s="54">
        <v>-6.122175668137362e-9</v>
      </c>
      <c r="S113" s="26" t="s">
        <v>40</v>
      </c>
      <c r="T113" s="5">
        <v>0</v>
      </c>
    </row>
    <row r="114" spans="2:20" x14ac:dyDescent="0.25">
      <c r="B114" s="10" t="s">
        <v>41</v>
      </c>
      <c r="C114" s="33">
        <v>-0.12291289633039171</v>
      </c>
      <c r="D114" s="25" t="s">
        <v>97</v>
      </c>
      <c r="F114" s="54">
        <v>-0.00005226365322210972</v>
      </c>
      <c r="G114" s="54">
        <v>-1.6325801781787997e-8</v>
      </c>
      <c r="H114" s="54">
        <v>5.660682665763149e-7</v>
      </c>
      <c r="I114" s="54">
        <v>-0.00005225651064397382</v>
      </c>
      <c r="J114" s="54">
        <v>0.000013070717511227955</v>
      </c>
      <c r="K114" s="54">
        <v>-1.8495687908406616e-7</v>
      </c>
      <c r="L114" s="54">
        <v>-0.00005225412978459517</v>
      </c>
      <c r="M114" s="54">
        <v>1.6325801781788014e-8</v>
      </c>
      <c r="N114" s="54">
        <v>-4.347935154128118e-8</v>
      </c>
      <c r="O114" s="54">
        <v>-0.000018062104204780236</v>
      </c>
      <c r="P114" s="54">
        <v>6.122175668170507e-9</v>
      </c>
      <c r="Q114" s="54">
        <v>1.979725872484504e-7</v>
      </c>
      <c r="S114" s="26" t="s">
        <v>41</v>
      </c>
      <c r="T114" s="5">
        <v>53333.333333333336</v>
      </c>
    </row>
    <row r="115" spans="2:20" x14ac:dyDescent="0.25">
      <c r="B115" s="10" t="s">
        <v>42</v>
      </c>
      <c r="C115" s="33">
        <v>21.906307071786543</v>
      </c>
      <c r="D115" s="25" t="s">
        <v>4</v>
      </c>
      <c r="F115" s="54">
        <v>0.03483177833777082</v>
      </c>
      <c r="G115" s="54">
        <v>0.000003265160356348169</v>
      </c>
      <c r="H115" s="54">
        <v>-0.00005225651064397385</v>
      </c>
      <c r="I115" s="54">
        <v>0.03483463542482657</v>
      </c>
      <c r="J115" s="54">
        <v>0.001957642198084123</v>
      </c>
      <c r="K115" s="54">
        <v>0.000006512804481225298</v>
      </c>
      <c r="L115" s="54">
        <v>0.03483368302527372</v>
      </c>
      <c r="M115" s="54">
        <v>-0.0000032651603563481677</v>
      </c>
      <c r="N115" s="54">
        <v>-0.00005226127236273105</v>
      </c>
      <c r="O115" s="54">
        <v>0.009184284663213249</v>
      </c>
      <c r="P115" s="54">
        <v>-0.000001224435133630563</v>
      </c>
      <c r="Q115" s="54">
        <v>-0.00010531393689170686</v>
      </c>
      <c r="S115" s="26" t="s">
        <v>42</v>
      </c>
      <c r="T115" s="5">
        <v>0</v>
      </c>
    </row>
    <row r="116" spans="2:20" x14ac:dyDescent="0.25">
      <c r="B116" s="10" t="s">
        <v>43</v>
      </c>
      <c r="C116" s="33">
        <v>-21.726052898053258</v>
      </c>
      <c r="D116" s="25" t="s">
        <v>4</v>
      </c>
      <c r="F116" s="54">
        <v>0.00195710650472394</v>
      </c>
      <c r="G116" s="54">
        <v>0.000001802810673842461</v>
      </c>
      <c r="H116" s="54">
        <v>0.000013070717511227935</v>
      </c>
      <c r="I116" s="54">
        <v>0.001957642198084132</v>
      </c>
      <c r="J116" s="54">
        <v>0.0033722805320671517</v>
      </c>
      <c r="K116" s="54">
        <v>-0.00002305145816443684</v>
      </c>
      <c r="L116" s="54">
        <v>0.001957820762537529</v>
      </c>
      <c r="M116" s="54">
        <v>0.0000058162369452051615</v>
      </c>
      <c r="N116" s="54">
        <v>-0.00003264535384759177</v>
      </c>
      <c r="O116" s="54">
        <v>-0.0005282214955577577</v>
      </c>
      <c r="P116" s="54">
        <v>0.000002181088854451935</v>
      </c>
      <c r="Q116" s="54">
        <v>0.0000038287931129450475</v>
      </c>
      <c r="S116" s="26" t="s">
        <v>43</v>
      </c>
      <c r="T116" s="5">
        <v>-7000</v>
      </c>
    </row>
    <row r="117" spans="2:20" x14ac:dyDescent="0.25">
      <c r="B117" s="10" t="s">
        <v>44</v>
      </c>
      <c r="C117" s="33">
        <v>0.162929673212598</v>
      </c>
      <c r="D117" s="25" t="s">
        <v>97</v>
      </c>
      <c r="F117" s="54">
        <v>0.000006516375770293181</v>
      </c>
      <c r="G117" s="54">
        <v>-1.9386889615899776e-8</v>
      </c>
      <c r="H117" s="54">
        <v>-1.8495687908406603e-7</v>
      </c>
      <c r="I117" s="54">
        <v>0.000006512804481225231</v>
      </c>
      <c r="J117" s="54">
        <v>-0.000023051458164436854</v>
      </c>
      <c r="K117" s="54">
        <v>3.803737503381224e-7</v>
      </c>
      <c r="L117" s="54">
        <v>0.000006511614051535913</v>
      </c>
      <c r="M117" s="54">
        <v>1.9386889615899756e-8</v>
      </c>
      <c r="N117" s="54">
        <v>1.1981692997473209e-7</v>
      </c>
      <c r="O117" s="54">
        <v>0.000006272629327917961</v>
      </c>
      <c r="P117" s="54">
        <v>7.270083605962408e-9</v>
      </c>
      <c r="Q117" s="54">
        <v>-6.220732329788984e-8</v>
      </c>
      <c r="S117" s="26" t="s">
        <v>44</v>
      </c>
      <c r="T117" s="5">
        <v>0</v>
      </c>
    </row>
    <row r="118" spans="2:20" x14ac:dyDescent="0.25">
      <c r="B118" s="10" t="s">
        <v>45</v>
      </c>
      <c r="C118" s="33">
        <v>21.904678911180213</v>
      </c>
      <c r="D118" s="25" t="s">
        <v>4</v>
      </c>
      <c r="F118" s="54">
        <v>0.03483082599401937</v>
      </c>
      <c r="G118" s="54">
        <v>0.0000032651603563481698</v>
      </c>
      <c r="H118" s="54">
        <v>-0.000052254129784595226</v>
      </c>
      <c r="I118" s="54">
        <v>0.034833683025273725</v>
      </c>
      <c r="J118" s="54">
        <v>0.0019578207625375213</v>
      </c>
      <c r="K118" s="54">
        <v>0.000006511614051535979</v>
      </c>
      <c r="L118" s="54">
        <v>0.03483463536902517</v>
      </c>
      <c r="M118" s="54">
        <v>-0.0000032651603563481677</v>
      </c>
      <c r="N118" s="54">
        <v>-0.0000522636532221097</v>
      </c>
      <c r="O118" s="54">
        <v>0.009184502288640824</v>
      </c>
      <c r="P118" s="54">
        <v>-0.000001224435133630563</v>
      </c>
      <c r="Q118" s="54">
        <v>-0.00010531650375572441</v>
      </c>
      <c r="S118" s="26" t="s">
        <v>45</v>
      </c>
      <c r="T118" s="5">
        <v>0</v>
      </c>
    </row>
    <row r="119" spans="2:20" x14ac:dyDescent="0.25">
      <c r="B119" s="10" t="s">
        <v>46</v>
      </c>
      <c r="C119" s="33">
        <v>-0.04306729503996638</v>
      </c>
      <c r="D119" s="25" t="s">
        <v>4</v>
      </c>
      <c r="F119" s="54">
        <v>-0.0000032651603563481634</v>
      </c>
      <c r="G119" s="54">
        <v>1.7006043522843335e-10</v>
      </c>
      <c r="H119" s="54">
        <v>1.6325801781788007e-8</v>
      </c>
      <c r="I119" s="54">
        <v>-0.0000032651603563481634</v>
      </c>
      <c r="J119" s="54">
        <v>0.000005816236945205163</v>
      </c>
      <c r="K119" s="54">
        <v>1.938688961589976e-8</v>
      </c>
      <c r="L119" s="54">
        <v>-0.0000032651603563481626</v>
      </c>
      <c r="M119" s="54">
        <v>0.00000761887755861239</v>
      </c>
      <c r="N119" s="54">
        <v>1.632580178178795e-8</v>
      </c>
      <c r="O119" s="54">
        <v>-4.591631751098044e-7</v>
      </c>
      <c r="P119" s="54">
        <v>0.0000028570790844796465</v>
      </c>
      <c r="Q119" s="54">
        <v>6.122175668137352e-9</v>
      </c>
      <c r="S119" s="26" t="s">
        <v>46</v>
      </c>
      <c r="T119" s="5">
        <v>0</v>
      </c>
    </row>
    <row r="120" spans="2:20" x14ac:dyDescent="0.25">
      <c r="B120" s="10" t="s">
        <v>47</v>
      </c>
      <c r="C120" s="33">
        <v>0.1845954487677352</v>
      </c>
      <c r="D120" s="25" t="s">
        <v>97</v>
      </c>
      <c r="F120" s="54">
        <v>-0.00005225412978459524</v>
      </c>
      <c r="G120" s="54">
        <v>-1.6325801781788004e-8</v>
      </c>
      <c r="H120" s="54">
        <v>-4.3479351541280964e-8</v>
      </c>
      <c r="I120" s="54">
        <v>-0.00005226127236273113</v>
      </c>
      <c r="J120" s="54">
        <v>-0.00003264535384759176</v>
      </c>
      <c r="K120" s="54">
        <v>1.1981692997473195e-7</v>
      </c>
      <c r="L120" s="54">
        <v>-0.00005226365322210975</v>
      </c>
      <c r="M120" s="54">
        <v>1.632580178178797e-8</v>
      </c>
      <c r="N120" s="54">
        <v>5.66068266576315e-7</v>
      </c>
      <c r="O120" s="54">
        <v>0.0000033642909695154093</v>
      </c>
      <c r="P120" s="54">
        <v>6.122175668170488e-9</v>
      </c>
      <c r="Q120" s="54">
        <v>-2.0017441113737332e-9</v>
      </c>
      <c r="S120" s="26" t="s">
        <v>47</v>
      </c>
      <c r="T120" s="5">
        <v>0</v>
      </c>
    </row>
    <row r="121" spans="2:20" x14ac:dyDescent="0.25">
      <c r="B121" s="10" t="s">
        <v>48</v>
      </c>
      <c r="C121" s="33">
        <v>14.42492534319559</v>
      </c>
      <c r="D121" s="25" t="s">
        <v>4</v>
      </c>
      <c r="F121" s="54">
        <v>0.009183631786930515</v>
      </c>
      <c r="G121" s="54">
        <v>4.591631751098035e-7</v>
      </c>
      <c r="H121" s="54">
        <v>-0.000018062104204780243</v>
      </c>
      <c r="I121" s="54">
        <v>0.009184284663213249</v>
      </c>
      <c r="J121" s="54">
        <v>-0.0005282214955577604</v>
      </c>
      <c r="K121" s="54">
        <v>0.000006272629327917975</v>
      </c>
      <c r="L121" s="54">
        <v>0.009184502288640824</v>
      </c>
      <c r="M121" s="54">
        <v>-4.5916317510980413e-7</v>
      </c>
      <c r="N121" s="54">
        <v>0.000003364290969515427</v>
      </c>
      <c r="O121" s="54">
        <v>0.005535470495948001</v>
      </c>
      <c r="P121" s="54">
        <v>-1.721861906661766e-7</v>
      </c>
      <c r="Q121" s="54">
        <v>-0.00004343781669001802</v>
      </c>
      <c r="S121" s="26" t="s">
        <v>48</v>
      </c>
      <c r="T121" s="5">
        <v>0</v>
      </c>
    </row>
    <row r="122" spans="2:20" x14ac:dyDescent="0.25">
      <c r="B122" s="10" t="s">
        <v>49</v>
      </c>
      <c r="C122" s="33">
        <v>-0.016150235639987392</v>
      </c>
      <c r="D122" s="25" t="s">
        <v>4</v>
      </c>
      <c r="F122" s="54">
        <v>-0.0000012244351336305616</v>
      </c>
      <c r="G122" s="54">
        <v>6.37726632106625e-11</v>
      </c>
      <c r="H122" s="54">
        <v>6.1221756681705035e-9</v>
      </c>
      <c r="I122" s="54">
        <v>-0.0000012244351336305613</v>
      </c>
      <c r="J122" s="54">
        <v>0.0000021810888544519363</v>
      </c>
      <c r="K122" s="54">
        <v>7.27008360596241e-9</v>
      </c>
      <c r="L122" s="54">
        <v>-0.000001224435133630561</v>
      </c>
      <c r="M122" s="54">
        <v>0.0000028570790844796465</v>
      </c>
      <c r="N122" s="54">
        <v>6.122175668170482e-9</v>
      </c>
      <c r="O122" s="54">
        <v>-1.721861906661766e-7</v>
      </c>
      <c r="P122" s="54">
        <v>0.0000028571189423941533</v>
      </c>
      <c r="Q122" s="54">
        <v>2.295815875551506e-9</v>
      </c>
      <c r="S122" s="26" t="s">
        <v>49</v>
      </c>
      <c r="T122" s="5">
        <v>0</v>
      </c>
    </row>
    <row r="123" spans="2:20" x14ac:dyDescent="0.25">
      <c r="B123" s="10" t="s">
        <v>50</v>
      </c>
      <c r="C123" s="33">
        <v>-0.16302544699545962</v>
      </c>
      <c r="D123" s="25" t="s">
        <v>97</v>
      </c>
      <c r="F123" s="54">
        <v>-0.00010530623629965404</v>
      </c>
      <c r="G123" s="54">
        <v>-6.122175668137345e-9</v>
      </c>
      <c r="H123" s="54">
        <v>1.979725872484504e-7</v>
      </c>
      <c r="I123" s="54">
        <v>-0.00010531393689170679</v>
      </c>
      <c r="J123" s="54">
        <v>0.0000038287931129450746</v>
      </c>
      <c r="K123" s="54">
        <v>-6.22073232978901e-8</v>
      </c>
      <c r="L123" s="54">
        <v>-0.00010531650375572436</v>
      </c>
      <c r="M123" s="54">
        <v>6.12217566813735e-9</v>
      </c>
      <c r="N123" s="54">
        <v>-2.0017441113739516e-9</v>
      </c>
      <c r="O123" s="54">
        <v>-0.000043437816690018006</v>
      </c>
      <c r="P123" s="54">
        <v>2.295815875551507e-9</v>
      </c>
      <c r="Q123" s="54">
        <v>6.253744415170489e-7</v>
      </c>
      <c r="S123" s="26" t="s">
        <v>50</v>
      </c>
      <c r="T123" s="5">
        <v>-100000</v>
      </c>
    </row>
    <row r="127" spans="2:14" x14ac:dyDescent="0.25">
      <c r="B127" s="1" t="s">
        <v>203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7" x14ac:dyDescent="0.25">
      <c r="B128" s="10" t="s">
        <v>204</v>
      </c>
      <c r="C128" s="10" t="s">
        <v>129</v>
      </c>
      <c r="D128" s="10" t="s">
        <v>205</v>
      </c>
      <c r="E128" s="10" t="s">
        <v>131</v>
      </c>
      <c r="F128" s="10" t="s">
        <v>132</v>
      </c>
      <c r="G128" s="10" t="s">
        <v>133</v>
      </c>
    </row>
    <row r="129" spans="2:7" x14ac:dyDescent="0.25">
      <c r="B129" s="10" t="s">
        <v>36</v>
      </c>
      <c r="C129" s="10" t="s">
        <v>134</v>
      </c>
      <c r="D129" s="55" t="s">
        <v>206</v>
      </c>
      <c r="E129" s="7">
        <v>-745.2156816778036</v>
      </c>
      <c r="F129" s="25" t="s">
        <v>207</v>
      </c>
      <c r="G129" s="27" t="s">
        <v>86</v>
      </c>
    </row>
    <row r="130" spans="2:7" x14ac:dyDescent="0.25">
      <c r="B130" s="10" t="s">
        <v>37</v>
      </c>
      <c r="C130" s="10" t="s">
        <v>136</v>
      </c>
      <c r="D130" s="55" t="s">
        <v>208</v>
      </c>
      <c r="E130" s="7">
        <v>1347.4175260044155</v>
      </c>
      <c r="F130" s="25" t="s">
        <v>207</v>
      </c>
      <c r="G130" s="27" t="s">
        <v>86</v>
      </c>
    </row>
    <row r="131" spans="2:7" x14ac:dyDescent="0.25">
      <c r="B131" s="10" t="s">
        <v>38</v>
      </c>
      <c r="C131" s="10" t="s">
        <v>137</v>
      </c>
      <c r="D131" s="55" t="s">
        <v>209</v>
      </c>
      <c r="E131" s="7">
        <v>75985.46475923553</v>
      </c>
      <c r="F131" s="25" t="s">
        <v>210</v>
      </c>
      <c r="G131" s="27" t="s">
        <v>86</v>
      </c>
    </row>
    <row r="132" spans="2:7" x14ac:dyDescent="0.25">
      <c r="B132" s="10" t="s">
        <v>51</v>
      </c>
      <c r="C132" s="10" t="s">
        <v>151</v>
      </c>
      <c r="D132" s="55" t="s">
        <v>211</v>
      </c>
      <c r="E132" s="7">
        <v>-854.784318319601</v>
      </c>
      <c r="F132" s="25" t="s">
        <v>207</v>
      </c>
      <c r="G132" s="27" t="s">
        <v>86</v>
      </c>
    </row>
    <row r="133" spans="2:7" x14ac:dyDescent="0.25">
      <c r="B133" s="10" t="s">
        <v>52</v>
      </c>
      <c r="C133" s="10" t="s">
        <v>152</v>
      </c>
      <c r="D133" s="55" t="s">
        <v>212</v>
      </c>
      <c r="E133" s="7">
        <v>5652.582473995587</v>
      </c>
      <c r="F133" s="25" t="s">
        <v>207</v>
      </c>
      <c r="G133" s="27" t="s">
        <v>86</v>
      </c>
    </row>
    <row r="134" spans="2:7" x14ac:dyDescent="0.25">
      <c r="B134" s="10" t="s">
        <v>53</v>
      </c>
      <c r="C134" s="10" t="s">
        <v>153</v>
      </c>
      <c r="D134" s="55" t="s">
        <v>213</v>
      </c>
      <c r="E134" s="7">
        <v>182981.54564149276</v>
      </c>
      <c r="F134" s="25" t="s">
        <v>210</v>
      </c>
      <c r="G134" s="27" t="s">
        <v>86</v>
      </c>
    </row>
    <row r="138" spans="2:4" x14ac:dyDescent="0.25">
      <c r="B138" s="38" t="s">
        <v>214</v>
      </c>
      <c r="C138" s="38"/>
      <c r="D138" s="38"/>
    </row>
    <row r="139" spans="2:4" x14ac:dyDescent="0.25">
      <c r="B139" s="10" t="s">
        <v>82</v>
      </c>
      <c r="C139" s="10" t="s">
        <v>157</v>
      </c>
      <c r="D139" s="10" t="s">
        <v>158</v>
      </c>
    </row>
    <row r="140" spans="2:4" x14ac:dyDescent="0.25">
      <c r="B140" s="10">
        <v>1</v>
      </c>
      <c r="C140" s="12">
        <v>0</v>
      </c>
      <c r="D140" s="33">
        <v>0</v>
      </c>
    </row>
    <row r="141" spans="2:4" x14ac:dyDescent="0.25">
      <c r="B141" s="10">
        <v>2</v>
      </c>
      <c r="C141" s="12">
        <v>0</v>
      </c>
      <c r="D141" s="33">
        <v>-0.010266038293366973</v>
      </c>
    </row>
    <row r="142" spans="2:4" x14ac:dyDescent="0.25">
      <c r="B142" s="10">
        <v>3</v>
      </c>
      <c r="C142" s="12">
        <v>300</v>
      </c>
      <c r="D142" s="33">
        <v>-21.726052898053254</v>
      </c>
    </row>
    <row r="143" spans="2:4" x14ac:dyDescent="0.25">
      <c r="B143" s="10">
        <v>4</v>
      </c>
      <c r="C143" s="12">
        <v>400</v>
      </c>
      <c r="D143" s="33">
        <v>-0.043067295039966355</v>
      </c>
    </row>
    <row r="144" spans="2:4" x14ac:dyDescent="0.25">
      <c r="B144" s="10">
        <v>5</v>
      </c>
      <c r="C144" s="12">
        <v>400</v>
      </c>
      <c r="D144" s="33">
        <v>-0.01615023563998738</v>
      </c>
    </row>
    <row r="145" spans="2:4" x14ac:dyDescent="0.25">
      <c r="B145" s="10">
        <v>6</v>
      </c>
      <c r="C145" s="12">
        <v>400</v>
      </c>
      <c r="D145" s="33">
        <v>0</v>
      </c>
    </row>
    <row r="148" spans="2:8" x14ac:dyDescent="0.25">
      <c r="B148" s="56" t="s">
        <v>215</v>
      </c>
      <c r="C148" s="56"/>
      <c r="D148" s="56"/>
      <c r="E148" s="56"/>
      <c r="F148" s="56"/>
      <c r="G148" s="56"/>
      <c r="H148" s="56"/>
    </row>
  </sheetData>
  <sheetProtection sheet="1" algorithmName="SHA-512" hashValue="+++XiMroOHyA+j8SxiJt5lbtLwPhJdkYx4sbjqS0dcNLSjY00yJkIx6hCpRowu8aJGr9elUciGa4CVbwXGMIkA==" saltValue="Lj5P9f7qnyBQlQwYKH7rVg==" spinCount="100000"/>
  <mergeCells count="13">
    <mergeCell ref="B1:N1"/>
    <mergeCell ref="B2:N2"/>
    <mergeCell ref="B3:N3"/>
    <mergeCell ref="B39:AH39"/>
    <mergeCell ref="B76:R76"/>
    <mergeCell ref="B93:R93"/>
    <mergeCell ref="B110:Z110"/>
    <mergeCell ref="B111:D111"/>
    <mergeCell ref="F111:Q111"/>
    <mergeCell ref="S111:T111"/>
    <mergeCell ref="B127:N127"/>
    <mergeCell ref="B138:D138"/>
    <mergeCell ref="B148:H1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3.1 MIXTAS</vt:lpstr>
      <vt:lpstr>PLANTILLA ULIANOV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Cátedra Ing. Ulianov Cuba Valencia - Análisis Estructural II</dc:creator>
  <dc:title/>
  <dc:subject/>
  <dc:description/>
  <cp:keywords/>
  <cp:category/>
  <cp:lastModifiedBy>Cátedra Ing. Ulianov Cuba Valencia</cp:lastModifiedBy>
  <dcterms:created xsi:type="dcterms:W3CDTF">2026-10-21T04:07:31Z</dcterms:created>
  <dcterms:modified xsi:type="dcterms:W3CDTF">2026-10-21T04:07:31Z</dcterms:modified>
</cp:coreProperties>
</file>