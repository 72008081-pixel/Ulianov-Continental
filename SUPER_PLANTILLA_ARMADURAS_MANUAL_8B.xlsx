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176" yWindow="4248" windowWidth="12000" windowHeight="7992" tabRatio="600" firstSheet="0" activeTab="0" autoFilterDateGrouping="1"/>
  </bookViews>
  <sheets>
    <sheet xmlns:r="http://schemas.openxmlformats.org/officeDocument/2006/relationships" name="MANUAL_ISOSTATICA_3R" sheetId="1" state="visible" r:id="rId1"/>
    <sheet xmlns:r="http://schemas.openxmlformats.org/officeDocument/2006/relationships" name="MANUAL_HIPERESTATICA_4R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0"/>
    <numFmt numFmtId="165" formatCode="0.00000E+00"/>
    <numFmt numFmtId="166" formatCode="0.000000000"/>
    <numFmt numFmtId="167" formatCode="0.00000000"/>
    <numFmt numFmtId="168" formatCode="#,##0.000"/>
  </numFmts>
  <fonts count="15">
    <font>
      <name val="Calibri"/>
      <family val="2"/>
      <color theme="1"/>
      <sz val="11"/>
      <scheme val="minor"/>
    </font>
    <font>
      <name val="Segoe UI"/>
      <b val="1"/>
      <color rgb="FFFFFFFF"/>
      <sz val="13"/>
    </font>
    <font>
      <name val="Segoe UI"/>
      <i val="1"/>
      <color rgb="FFCBD5E1"/>
      <sz val="9"/>
    </font>
    <font>
      <name val="Segoe UI"/>
      <b val="1"/>
      <color rgb="FFFFFFFF"/>
      <sz val="9"/>
    </font>
    <font>
      <name val="Segoe UI"/>
      <b val="1"/>
      <color rgb="FF1E293B"/>
      <sz val="9"/>
    </font>
    <font>
      <name val="Segoe UI"/>
      <b val="1"/>
      <color rgb="FFFFFFFF"/>
      <sz val="10"/>
    </font>
    <font>
      <name val="Segoe UI"/>
      <b val="1"/>
      <sz val="9"/>
    </font>
    <font>
      <name val="Segoe UI"/>
      <b val="1"/>
      <color rgb="FF1E3A8A"/>
      <sz val="9"/>
    </font>
    <font>
      <name val="Segoe UI"/>
      <sz val="9"/>
    </font>
    <font>
      <name val="Segoe UI"/>
      <b val="1"/>
      <color rgb="FF1E293B"/>
      <sz val="11"/>
    </font>
    <font>
      <name val="Segoe UI"/>
      <b val="1"/>
      <color rgb="FF1E293B"/>
      <sz val="10"/>
    </font>
    <font>
      <name val="Segoe UI"/>
      <i val="1"/>
      <color rgb="FF64748B"/>
      <sz val="8"/>
    </font>
    <font>
      <name val="Segoe UI"/>
      <color rgb="FF334155"/>
      <sz val="8"/>
    </font>
    <font>
      <name val="Segoe UI"/>
      <b val="1"/>
      <color rgb="FF1E293B"/>
      <sz val="10"/>
      <u val="single"/>
    </font>
    <font>
      <name val="Segoe UI"/>
      <b val="1"/>
      <color rgb="FF334155"/>
      <sz val="8"/>
    </font>
  </fonts>
  <fills count="20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334155"/>
      </patternFill>
    </fill>
    <fill>
      <patternFill patternType="solid">
        <fgColor rgb="FFF1F5F9"/>
      </patternFill>
    </fill>
    <fill>
      <patternFill patternType="solid">
        <fgColor rgb="FF0F766E"/>
      </patternFill>
    </fill>
    <fill>
      <patternFill patternType="solid">
        <fgColor rgb="FFF8FAFC"/>
      </patternFill>
    </fill>
    <fill>
      <patternFill patternType="solid">
        <fgColor rgb="FFFEF3C7"/>
      </patternFill>
    </fill>
    <fill>
      <patternFill patternType="solid">
        <fgColor rgb="FFE0F2FE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F3E8FF"/>
      </patternFill>
    </fill>
    <fill>
      <patternFill patternType="solid">
        <fgColor rgb="FFCCFBF1"/>
      </patternFill>
    </fill>
    <fill>
      <patternFill patternType="solid">
        <fgColor rgb="FFFEF9C3"/>
      </patternFill>
    </fill>
    <fill>
      <patternFill patternType="solid">
        <fgColor rgb="FFEDE7F6"/>
      </patternFill>
    </fill>
    <fill>
      <patternFill patternType="solid">
        <fgColor rgb="FFFFFFFF"/>
      </patternFill>
    </fill>
    <fill>
      <patternFill patternType="solid">
        <fgColor rgb="FFD1FAE5"/>
      </patternFill>
    </fill>
    <fill>
      <patternFill patternType="solid">
        <fgColor rgb="FFE2E8F0"/>
      </patternFill>
    </fill>
    <fill>
      <patternFill patternType="solid">
        <fgColor rgb="FFFEF08A"/>
      </patternFill>
    </fill>
    <fill>
      <patternFill patternType="solid">
        <fgColor rgb="FFEDEDFA"/>
      </patternFill>
    </fill>
  </fills>
  <borders count="11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medium">
        <color rgb="FF10B981"/>
      </top>
      <bottom style="medium">
        <color rgb="FF10B981"/>
      </bottom>
      <diagonal/>
    </border>
    <border>
      <left style="medium">
        <color rgb="FF94A3B8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/>
      <bottom/>
      <diagonal/>
    </border>
    <border>
      <left style="thin">
        <color rgb="FFCBD5E1"/>
      </left>
      <right style="thin">
        <color rgb="FFCBD5E1"/>
      </right>
      <top/>
      <bottom/>
      <diagonal/>
    </border>
    <border>
      <left style="thin">
        <color rgb="FFCBD5E1"/>
      </left>
      <right style="thin">
        <color rgb="FFCBD5E1"/>
      </right>
      <top/>
      <bottom style="thin">
        <color rgb="FFCBD5E1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4" fontId="7" fillId="7" borderId="1" applyAlignment="1" pivotButton="0" quotePrefix="0" xfId="0">
      <alignment horizontal="right" vertical="center"/>
    </xf>
    <xf numFmtId="4" fontId="8" fillId="6" borderId="1" applyAlignment="1" pivotButton="0" quotePrefix="0" xfId="0">
      <alignment horizontal="right" vertical="center"/>
    </xf>
    <xf numFmtId="4" fontId="6" fillId="6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right" vertical="center"/>
    </xf>
    <xf numFmtId="3" fontId="7" fillId="7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1" fontId="7" fillId="7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4" fontId="8" fillId="8" borderId="1" applyAlignment="1" pivotButton="0" quotePrefix="0" xfId="0">
      <alignment horizontal="right" vertical="center"/>
    </xf>
    <xf numFmtId="4" fontId="8" fillId="15" borderId="1" applyAlignment="1" pivotButton="0" quotePrefix="0" xfId="0">
      <alignment horizontal="right" vertical="center"/>
    </xf>
    <xf numFmtId="4" fontId="8" fillId="9" borderId="1" applyAlignment="1" pivotButton="0" quotePrefix="0" xfId="0">
      <alignment horizontal="right" vertical="center"/>
    </xf>
    <xf numFmtId="4" fontId="8" fillId="10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4" fontId="8" fillId="11" borderId="1" applyAlignment="1" pivotButton="0" quotePrefix="0" xfId="0">
      <alignment horizontal="right" vertical="center"/>
    </xf>
    <xf numFmtId="4" fontId="8" fillId="12" borderId="1" applyAlignment="1" pivotButton="0" quotePrefix="0" xfId="0">
      <alignment horizontal="right" vertical="center"/>
    </xf>
    <xf numFmtId="4" fontId="8" fillId="13" borderId="1" applyAlignment="1" pivotButton="0" quotePrefix="0" xfId="0">
      <alignment horizontal="right" vertical="center"/>
    </xf>
    <xf numFmtId="4" fontId="8" fillId="14" borderId="1" applyAlignment="1" pivotButton="0" quotePrefix="0" xfId="0">
      <alignment horizontal="right" vertical="center"/>
    </xf>
    <xf numFmtId="4" fontId="6" fillId="16" borderId="2" applyAlignment="1" pivotButton="0" quotePrefix="0" xfId="0">
      <alignment horizontal="right" vertical="center"/>
    </xf>
    <xf numFmtId="4" fontId="6" fillId="16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6" fillId="15" borderId="1" applyAlignment="1" pivotButton="0" quotePrefix="0" xfId="0">
      <alignment horizontal="center" vertical="center" wrapText="1"/>
    </xf>
    <xf numFmtId="4" fontId="6" fillId="1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4" fontId="6" fillId="15" borderId="1" applyAlignment="1" pivotButton="0" quotePrefix="0" xfId="0">
      <alignment horizontal="right" vertical="center"/>
    </xf>
    <xf numFmtId="4" fontId="6" fillId="9" borderId="1" applyAlignment="1" pivotButton="0" quotePrefix="0" xfId="0">
      <alignment horizontal="right" vertical="center"/>
    </xf>
    <xf numFmtId="165" fontId="8" fillId="15" borderId="1" applyAlignment="1" pivotButton="0" quotePrefix="0" xfId="0">
      <alignment horizontal="right" vertical="center"/>
    </xf>
    <xf numFmtId="166" fontId="6" fillId="15" borderId="1" applyAlignment="1" pivotButton="0" quotePrefix="0" xfId="0">
      <alignment horizontal="right" vertical="center"/>
    </xf>
    <xf numFmtId="0" fontId="6" fillId="19" borderId="1" applyAlignment="1" pivotButton="0" quotePrefix="0" xfId="0">
      <alignment horizontal="center" vertical="center" wrapText="1"/>
    </xf>
    <xf numFmtId="166" fontId="8" fillId="15" borderId="1" applyAlignment="1" pivotButton="0" quotePrefix="0" xfId="0">
      <alignment horizontal="right" vertical="center"/>
    </xf>
    <xf numFmtId="0" fontId="6" fillId="15" borderId="0" applyAlignment="1" pivotButton="0" quotePrefix="0" xfId="0">
      <alignment horizontal="center" vertical="center" wrapText="1"/>
    </xf>
    <xf numFmtId="164" fontId="8" fillId="15" borderId="1" applyAlignment="1" pivotButton="0" quotePrefix="0" xfId="0">
      <alignment horizontal="right" vertical="center"/>
    </xf>
    <xf numFmtId="167" fontId="8" fillId="15" borderId="1" applyAlignment="1" pivotButton="0" quotePrefix="0" xfId="0">
      <alignment horizontal="right" vertical="center"/>
    </xf>
    <xf numFmtId="168" fontId="6" fillId="18" borderId="1" applyAlignment="1" pivotButton="0" quotePrefix="0" xfId="0">
      <alignment horizontal="right" vertical="center"/>
    </xf>
    <xf numFmtId="0" fontId="12" fillId="6" borderId="3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4" fillId="17" borderId="3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5" fillId="3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0" pivotButton="0" quotePrefix="0" xfId="0"/>
    <xf numFmtId="0" fontId="0" fillId="0" borderId="6" pivotButton="0" quotePrefix="0" xfId="0"/>
  </cellXfs>
  <cellStyles count="1">
    <cellStyle name="Normal" xfId="0" builtinId="0"/>
  </cellStyles>
  <dxfs count="16">
    <dxf>
      <font>
        <name val="Segoe UI"/>
        <b val="1"/>
        <sz val="9"/>
      </font>
      <fill>
        <patternFill patternType="solid">
          <fgColor rgb="FFEDE7F6"/>
        </patternFill>
      </fill>
    </dxf>
    <dxf>
      <font>
        <name val="Segoe UI"/>
        <b val="1"/>
        <sz val="9"/>
      </font>
      <fill>
        <patternFill patternType="solid">
          <fgColor rgb="FFFEF9C3"/>
        </patternFill>
      </fill>
    </dxf>
    <dxf>
      <font>
        <name val="Segoe UI"/>
        <b val="1"/>
        <sz val="9"/>
      </font>
      <fill>
        <patternFill patternType="solid">
          <fgColor rgb="FFCCFBF1"/>
        </patternFill>
      </fill>
    </dxf>
    <dxf>
      <font>
        <name val="Segoe UI"/>
        <b val="1"/>
        <sz val="9"/>
      </font>
      <fill>
        <patternFill patternType="solid">
          <fgColor rgb="FFF3E8FF"/>
        </patternFill>
      </fill>
    </dxf>
    <dxf>
      <font>
        <name val="Segoe UI"/>
        <b val="1"/>
        <sz val="9"/>
      </font>
      <fill>
        <patternFill patternType="solid">
          <fgColor rgb="FFFEF3C7"/>
        </patternFill>
      </fill>
    </dxf>
    <dxf>
      <font>
        <name val="Segoe UI"/>
        <b val="1"/>
        <sz val="9"/>
      </font>
      <fill>
        <patternFill patternType="solid">
          <fgColor rgb="FFFEE2E2"/>
        </patternFill>
      </fill>
    </dxf>
    <dxf>
      <font>
        <name val="Segoe UI"/>
        <b val="1"/>
        <sz val="9"/>
      </font>
      <fill>
        <patternFill patternType="solid">
          <fgColor rgb="FFDCFCE7"/>
        </patternFill>
      </fill>
    </dxf>
    <dxf>
      <font>
        <name val="Segoe UI"/>
        <b val="1"/>
        <sz val="9"/>
      </font>
      <fill>
        <patternFill patternType="solid">
          <fgColor rgb="FFE0F2FE"/>
        </patternFill>
      </fill>
    </dxf>
    <dxf>
      <font>
        <name val="Segoe UI"/>
        <b val="1"/>
        <sz val="9"/>
      </font>
      <fill>
        <patternFill patternType="solid">
          <fgColor rgb="FFEDE7F6"/>
        </patternFill>
      </fill>
    </dxf>
    <dxf>
      <font>
        <name val="Segoe UI"/>
        <b val="1"/>
        <sz val="9"/>
      </font>
      <fill>
        <patternFill patternType="solid">
          <fgColor rgb="FFFEF9C3"/>
        </patternFill>
      </fill>
    </dxf>
    <dxf>
      <font>
        <name val="Segoe UI"/>
        <b val="1"/>
        <sz val="9"/>
      </font>
      <fill>
        <patternFill patternType="solid">
          <fgColor rgb="FFCCFBF1"/>
        </patternFill>
      </fill>
    </dxf>
    <dxf>
      <font>
        <name val="Segoe UI"/>
        <b val="1"/>
        <sz val="9"/>
      </font>
      <fill>
        <patternFill patternType="solid">
          <fgColor rgb="FFF3E8FF"/>
        </patternFill>
      </fill>
    </dxf>
    <dxf>
      <font>
        <name val="Segoe UI"/>
        <b val="1"/>
        <sz val="9"/>
      </font>
      <fill>
        <patternFill patternType="solid">
          <fgColor rgb="FFFEF3C7"/>
        </patternFill>
      </fill>
    </dxf>
    <dxf>
      <font>
        <name val="Segoe UI"/>
        <b val="1"/>
        <sz val="9"/>
      </font>
      <fill>
        <patternFill patternType="solid">
          <fgColor rgb="FFFEE2E2"/>
        </patternFill>
      </fill>
    </dxf>
    <dxf>
      <font>
        <name val="Segoe UI"/>
        <b val="1"/>
        <sz val="9"/>
      </font>
      <fill>
        <patternFill patternType="solid">
          <fgColor rgb="FFDCFCE7"/>
        </patternFill>
      </fill>
    </dxf>
    <dxf>
      <font>
        <name val="Segoe UI"/>
        <b val="1"/>
        <sz val="9"/>
      </font>
      <fill>
        <patternFill patternType="solid">
          <fgColor rgb="FFE0F2F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1"/>
  <sheetViews>
    <sheetView tabSelected="1" workbookViewId="0">
      <selection activeCell="A1" sqref="A1:N1"/>
    </sheetView>
  </sheetViews>
  <sheetFormatPr baseColWidth="10" defaultColWidth="8.88671875" defaultRowHeight="14.4"/>
  <cols>
    <col width="11" customWidth="1" style="52" min="1" max="1"/>
    <col width="13" customWidth="1" style="52" min="2" max="14"/>
    <col width="3" customWidth="1" style="52" min="15" max="15"/>
    <col width="7" customWidth="1" style="52" min="16" max="16"/>
    <col width="11" customWidth="1" style="52" min="17" max="18"/>
    <col width="14" customWidth="1" style="52" min="19" max="19"/>
    <col width="6" customWidth="1" style="52" min="20" max="21"/>
    <col width="12" customWidth="1" style="52" min="22" max="23"/>
    <col width="3" customWidth="1" style="52" min="24" max="25"/>
    <col width="18" customWidth="1" style="52" min="26" max="31"/>
  </cols>
  <sheetData>
    <row r="1" ht="25.95" customHeight="1" s="52">
      <c r="A1" s="59" t="inlineStr">
        <is>
          <t>PLANTILLA MANUAL - CASO ISOSTÁTICO (HASTA 6 NODOS Y 8 BARRAS - CÁTEDRA ING. ULIANOV)</t>
        </is>
      </c>
    </row>
    <row r="2" ht="18" customHeight="1" s="52">
      <c r="A2" s="62" t="inlineStr">
        <is>
          <t>Cátedra: Análisis Estructural II | Ing. Ulianov Cuba Valencia | Plantilla 100% Automatizada con Capacidad hasta 6 Nodos y 8 Barras</t>
        </is>
      </c>
    </row>
    <row r="4" ht="18" customHeight="1" s="52">
      <c r="B4" s="54" t="inlineStr">
        <is>
          <t>BARRA</t>
        </is>
      </c>
      <c r="C4" s="54" t="inlineStr">
        <is>
          <t>INICIO (cm)</t>
        </is>
      </c>
      <c r="D4" s="63" t="n"/>
      <c r="E4" s="54" t="inlineStr">
        <is>
          <t>FIN (cm)</t>
        </is>
      </c>
      <c r="F4" s="63" t="n"/>
      <c r="G4" s="54" t="inlineStr">
        <is>
          <t>DX (cm)</t>
        </is>
      </c>
      <c r="H4" s="54" t="inlineStr">
        <is>
          <t>DY (cm)</t>
        </is>
      </c>
      <c r="I4" s="54" t="inlineStr">
        <is>
          <t>L (cm)</t>
        </is>
      </c>
      <c r="J4" s="54" t="inlineStr">
        <is>
          <t>Cx</t>
        </is>
      </c>
      <c r="K4" s="54" t="inlineStr">
        <is>
          <t>Cy</t>
        </is>
      </c>
      <c r="L4" s="54" t="inlineStr">
        <is>
          <t>A (cm²)</t>
        </is>
      </c>
      <c r="M4" s="54" t="inlineStr">
        <is>
          <t>E (Kgf/cm²)</t>
        </is>
      </c>
      <c r="N4" s="54" t="inlineStr">
        <is>
          <t>AE/L (Kgf/cm)</t>
        </is>
      </c>
      <c r="P4" s="51" t="inlineStr">
        <is>
          <t>COORDENADAS, CONDICIONES DE APOYO Y CARGAS NODALES (HASTA 6 NODOS)</t>
        </is>
      </c>
    </row>
    <row r="5" ht="18" customHeight="1" s="52">
      <c r="B5" s="64" t="n"/>
      <c r="C5" s="55" t="inlineStr">
        <is>
          <t>X</t>
        </is>
      </c>
      <c r="D5" s="55" t="inlineStr">
        <is>
          <t>Y</t>
        </is>
      </c>
      <c r="E5" s="55" t="inlineStr">
        <is>
          <t>X</t>
        </is>
      </c>
      <c r="F5" s="55" t="inlineStr">
        <is>
          <t>Y</t>
        </is>
      </c>
      <c r="G5" s="64" t="n"/>
      <c r="H5" s="64" t="n"/>
      <c r="I5" s="64" t="n"/>
      <c r="J5" s="64" t="n"/>
      <c r="K5" s="64" t="n"/>
      <c r="L5" s="64" t="n"/>
      <c r="M5" s="64" t="n"/>
      <c r="N5" s="64" t="n"/>
      <c r="P5" s="55" t="inlineStr">
        <is>
          <t>NUDO</t>
        </is>
      </c>
      <c r="Q5" s="55" t="inlineStr">
        <is>
          <t>X (cm)</t>
        </is>
      </c>
      <c r="R5" s="55" t="inlineStr">
        <is>
          <t>Y (cm)</t>
        </is>
      </c>
      <c r="S5" s="55" t="inlineStr">
        <is>
          <t>TIPO APOYO</t>
        </is>
      </c>
      <c r="T5" s="55" t="inlineStr">
        <is>
          <t>Rx</t>
        </is>
      </c>
      <c r="U5" s="55" t="inlineStr">
        <is>
          <t>Ry</t>
        </is>
      </c>
      <c r="V5" s="55" t="inlineStr">
        <is>
          <t>Px (Kgf)</t>
        </is>
      </c>
      <c r="W5" s="55" t="inlineStr">
        <is>
          <t>Py (Kgf)</t>
        </is>
      </c>
    </row>
    <row r="6" ht="19.05" customHeight="1" s="52">
      <c r="B6" s="3" t="n">
        <v>1</v>
      </c>
      <c r="C6" s="4">
        <f>IF(C17="","", IFERROR(VLOOKUP(C17, $P$6:$W$11, 2, FALSE), ""))</f>
        <v/>
      </c>
      <c r="D6" s="4">
        <f>IF(C17="","", IFERROR(VLOOKUP(C17, $P$6:$W$11, 3, FALSE), ""))</f>
        <v/>
      </c>
      <c r="E6" s="4">
        <f>IF(F17="","", IFERROR(VLOOKUP(F17, $P$6:$W$11, 2, FALSE), ""))</f>
        <v/>
      </c>
      <c r="F6" s="4">
        <f>IF(F17="","", IFERROR(VLOOKUP(F17, $P$6:$W$11, 3, FALSE), ""))</f>
        <v/>
      </c>
      <c r="G6" s="5">
        <f>IF(OR(C6="",E6=""), "", E6-C6)</f>
        <v/>
      </c>
      <c r="H6" s="5">
        <f>IF(OR(D6="",F6=""), "", F6-D6)</f>
        <v/>
      </c>
      <c r="I6" s="6">
        <f>IF(OR(G6="",H6=""), "", SQRT(G6^2+H6^2))</f>
        <v/>
      </c>
      <c r="J6" s="7">
        <f>IF(OR(I6="",I6=0), "", G6/I6)</f>
        <v/>
      </c>
      <c r="K6" s="7">
        <f>IF(OR(I6="",I6=0), "", H6/I6)</f>
        <v/>
      </c>
      <c r="L6" s="4">
        <f>IF(C17="","", 10)</f>
        <v/>
      </c>
      <c r="M6" s="8">
        <f>IF(C17="","", 2100000)</f>
        <v/>
      </c>
      <c r="N6" s="6">
        <f>IF(OR(I6="",I6=0,L6="",M6=""), 0, (L6*M6)/I6)</f>
        <v/>
      </c>
      <c r="P6" s="9" t="n">
        <v>1</v>
      </c>
      <c r="Q6" s="4" t="n">
        <v>0</v>
      </c>
      <c r="R6" s="4" t="n">
        <v>0</v>
      </c>
      <c r="S6" s="10" t="inlineStr">
        <is>
          <t>Móvil Y</t>
        </is>
      </c>
      <c r="T6" s="9">
        <f>IF(Q6="","", IF(LEFT(UPPER(TRIM(S6)),4)="FIJO", 1, IF(OR(UPPER(TRIM(S6))="MOVIL X", UPPER(TRIM(S6))="MÓVIL X", UPPER(TRIM(S6))="RODILLO X"), 1, 0)))</f>
        <v/>
      </c>
      <c r="U6" s="9">
        <f>IF(Q6="","", IF(LEFT(UPPER(TRIM(S6)),4)="FIJO", 1, IF(OR(UPPER(TRIM(S6))="MOVIL Y", UPPER(TRIM(S6))="MÓVIL Y", UPPER(TRIM(S6))="RODILLO Y", UPPER(TRIM(S6))="MOVIL", UPPER(TRIM(S6))="MÓVIL"), 1, 0)))</f>
        <v/>
      </c>
      <c r="V6" s="4" t="n">
        <v>0</v>
      </c>
      <c r="W6" s="4" t="n">
        <v>0</v>
      </c>
    </row>
    <row r="7" ht="19.05" customHeight="1" s="52">
      <c r="B7" s="56" t="n">
        <v>2</v>
      </c>
      <c r="C7" s="4">
        <f>IF(C18="","", IFERROR(VLOOKUP(C18, $P$6:$W$11, 2, FALSE), ""))</f>
        <v/>
      </c>
      <c r="D7" s="4">
        <f>IF(C18="","", IFERROR(VLOOKUP(C18, $P$6:$W$11, 3, FALSE), ""))</f>
        <v/>
      </c>
      <c r="E7" s="4">
        <f>IF(F18="","", IFERROR(VLOOKUP(F18, $P$6:$W$11, 2, FALSE), ""))</f>
        <v/>
      </c>
      <c r="F7" s="4">
        <f>IF(F18="","", IFERROR(VLOOKUP(F18, $P$6:$W$11, 3, FALSE), ""))</f>
        <v/>
      </c>
      <c r="G7" s="5">
        <f>IF(OR(C7="",E7=""), "", E7-C7)</f>
        <v/>
      </c>
      <c r="H7" s="5">
        <f>IF(OR(D7="",F7=""), "", F7-D7)</f>
        <v/>
      </c>
      <c r="I7" s="6">
        <f>IF(OR(G7="",H7=""), "", SQRT(G7^2+H7^2))</f>
        <v/>
      </c>
      <c r="J7" s="7">
        <f>IF(OR(I7="",I7=0), "", G7/I7)</f>
        <v/>
      </c>
      <c r="K7" s="7">
        <f>IF(OR(I7="",I7=0), "", H7/I7)</f>
        <v/>
      </c>
      <c r="L7" s="4">
        <f>IF(C18="","", 10)</f>
        <v/>
      </c>
      <c r="M7" s="8">
        <f>IF(C18="","", 2100000)</f>
        <v/>
      </c>
      <c r="N7" s="6">
        <f>IF(OR(I7="",I7=0,L7="",M7=""), 0, (L7*M7)/I7)</f>
        <v/>
      </c>
      <c r="P7" s="9" t="n">
        <v>2</v>
      </c>
      <c r="Q7" s="4" t="n">
        <v>-700</v>
      </c>
      <c r="R7" s="4" t="n">
        <v>0</v>
      </c>
      <c r="S7" s="10" t="inlineStr">
        <is>
          <t>Fijo</t>
        </is>
      </c>
      <c r="T7" s="9">
        <f>IF(Q7="","", IF(LEFT(UPPER(TRIM(S7)),4)="FIJO", 1, IF(OR(UPPER(TRIM(S7))="MOVIL X", UPPER(TRIM(S7))="MÓVIL X", UPPER(TRIM(S7))="RODILLO X"), 1, 0)))</f>
        <v/>
      </c>
      <c r="U7" s="9">
        <f>IF(Q7="","", IF(LEFT(UPPER(TRIM(S7)),4)="FIJO", 1, IF(OR(UPPER(TRIM(S7))="MOVIL Y", UPPER(TRIM(S7))="MÓVIL Y", UPPER(TRIM(S7))="RODILLO Y", UPPER(TRIM(S7))="MOVIL", UPPER(TRIM(S7))="MÓVIL"), 1, 0)))</f>
        <v/>
      </c>
      <c r="V7" s="4" t="n">
        <v>0</v>
      </c>
      <c r="W7" s="4" t="n">
        <v>0</v>
      </c>
    </row>
    <row r="8" ht="19.05" customHeight="1" s="52">
      <c r="B8" s="12" t="n">
        <v>3</v>
      </c>
      <c r="C8" s="4">
        <f>IF(C19="","", IFERROR(VLOOKUP(C19, $P$6:$W$11, 2, FALSE), ""))</f>
        <v/>
      </c>
      <c r="D8" s="4">
        <f>IF(C19="","", IFERROR(VLOOKUP(C19, $P$6:$W$11, 3, FALSE), ""))</f>
        <v/>
      </c>
      <c r="E8" s="4">
        <f>IF(F19="","", IFERROR(VLOOKUP(F19, $P$6:$W$11, 2, FALSE), ""))</f>
        <v/>
      </c>
      <c r="F8" s="4">
        <f>IF(F19="","", IFERROR(VLOOKUP(F19, $P$6:$W$11, 3, FALSE), ""))</f>
        <v/>
      </c>
      <c r="G8" s="5">
        <f>IF(OR(C8="",E8=""), "", E8-C8)</f>
        <v/>
      </c>
      <c r="H8" s="5">
        <f>IF(OR(D8="",F8=""), "", F8-D8)</f>
        <v/>
      </c>
      <c r="I8" s="6">
        <f>IF(OR(G8="",H8=""), "", SQRT(G8^2+H8^2))</f>
        <v/>
      </c>
      <c r="J8" s="7">
        <f>IF(OR(I8="",I8=0), "", G8/I8)</f>
        <v/>
      </c>
      <c r="K8" s="7">
        <f>IF(OR(I8="",I8=0), "", H8/I8)</f>
        <v/>
      </c>
      <c r="L8" s="4">
        <f>IF(C19="","", 10)</f>
        <v/>
      </c>
      <c r="M8" s="8">
        <f>IF(C19="","", 2100000)</f>
        <v/>
      </c>
      <c r="N8" s="6">
        <f>IF(OR(I8="",I8=0,L8="",M8=""), 0, (L8*M8)/I8)</f>
        <v/>
      </c>
      <c r="P8" s="9" t="n">
        <v>3</v>
      </c>
      <c r="Q8" s="4" t="n">
        <v>-400</v>
      </c>
      <c r="R8" s="4" t="n">
        <v>500</v>
      </c>
      <c r="S8" s="10" t="inlineStr">
        <is>
          <t>Libre</t>
        </is>
      </c>
      <c r="T8" s="9">
        <f>IF(Q8="","", IF(LEFT(UPPER(TRIM(S8)),4)="FIJO", 1, IF(OR(UPPER(TRIM(S8))="MOVIL X", UPPER(TRIM(S8))="MÓVIL X", UPPER(TRIM(S8))="RODILLO X"), 1, 0)))</f>
        <v/>
      </c>
      <c r="U8" s="9">
        <f>IF(Q8="","", IF(LEFT(UPPER(TRIM(S8)),4)="FIJO", 1, IF(OR(UPPER(TRIM(S8))="MOVIL Y", UPPER(TRIM(S8))="MÓVIL Y", UPPER(TRIM(S8))="RODILLO Y", UPPER(TRIM(S8))="MOVIL", UPPER(TRIM(S8))="MÓVIL"), 1, 0)))</f>
        <v/>
      </c>
      <c r="V8" s="4" t="n">
        <v>4000</v>
      </c>
      <c r="W8" s="4" t="n">
        <v>-5000</v>
      </c>
    </row>
    <row r="9" ht="19.05" customHeight="1" s="52">
      <c r="B9" s="13" t="n">
        <v>4</v>
      </c>
      <c r="C9" s="4">
        <f>IF(C20="","", IFERROR(VLOOKUP(C20, $P$6:$W$11, 2, FALSE), ""))</f>
        <v/>
      </c>
      <c r="D9" s="4">
        <f>IF(C20="","", IFERROR(VLOOKUP(C20, $P$6:$W$11, 3, FALSE), ""))</f>
        <v/>
      </c>
      <c r="E9" s="4">
        <f>IF(F20="","", IFERROR(VLOOKUP(F20, $P$6:$W$11, 2, FALSE), ""))</f>
        <v/>
      </c>
      <c r="F9" s="4">
        <f>IF(F20="","", IFERROR(VLOOKUP(F20, $P$6:$W$11, 3, FALSE), ""))</f>
        <v/>
      </c>
      <c r="G9" s="5">
        <f>IF(OR(C9="",E9=""), "", E9-C9)</f>
        <v/>
      </c>
      <c r="H9" s="5">
        <f>IF(OR(D9="",F9=""), "", F9-D9)</f>
        <v/>
      </c>
      <c r="I9" s="6">
        <f>IF(OR(G9="",H9=""), "", SQRT(G9^2+H9^2))</f>
        <v/>
      </c>
      <c r="J9" s="7">
        <f>IF(OR(I9="",I9=0), "", G9/I9)</f>
        <v/>
      </c>
      <c r="K9" s="7">
        <f>IF(OR(I9="",I9=0), "", H9/I9)</f>
        <v/>
      </c>
      <c r="L9" s="4">
        <f>IF(C20="","", 10)</f>
        <v/>
      </c>
      <c r="M9" s="8">
        <f>IF(C20="","", 2100000)</f>
        <v/>
      </c>
      <c r="N9" s="6">
        <f>IF(OR(I9="",I9=0,L9="",M9=""), 0, (L9*M9)/I9)</f>
        <v/>
      </c>
      <c r="P9" s="9" t="n">
        <v>4</v>
      </c>
      <c r="Q9" s="4" t="n"/>
      <c r="R9" s="4" t="n"/>
      <c r="S9" s="10" t="inlineStr">
        <is>
          <t>Libre</t>
        </is>
      </c>
      <c r="T9" s="9">
        <f>IF(Q9="","", IF(LEFT(UPPER(TRIM(S9)),4)="FIJO", 1, IF(OR(UPPER(TRIM(S9))="MOVIL X", UPPER(TRIM(S9))="MÓVIL X", UPPER(TRIM(S9))="RODILLO X"), 1, 0)))</f>
        <v/>
      </c>
      <c r="U9" s="9">
        <f>IF(Q9="","", IF(LEFT(UPPER(TRIM(S9)),4)="FIJO", 1, IF(OR(UPPER(TRIM(S9))="MOVIL Y", UPPER(TRIM(S9))="MÓVIL Y", UPPER(TRIM(S9))="RODILLO Y", UPPER(TRIM(S9))="MOVIL", UPPER(TRIM(S9))="MÓVIL"), 1, 0)))</f>
        <v/>
      </c>
      <c r="V9" s="4" t="n"/>
      <c r="W9" s="4" t="n"/>
    </row>
    <row r="10" ht="19.05" customHeight="1" s="52">
      <c r="B10" s="14" t="n">
        <v>5</v>
      </c>
      <c r="C10" s="4">
        <f>IF(C21="","", IFERROR(VLOOKUP(C21, $P$6:$W$11, 2, FALSE), ""))</f>
        <v/>
      </c>
      <c r="D10" s="4">
        <f>IF(C21="","", IFERROR(VLOOKUP(C21, $P$6:$W$11, 3, FALSE), ""))</f>
        <v/>
      </c>
      <c r="E10" s="4">
        <f>IF(F21="","", IFERROR(VLOOKUP(F21, $P$6:$W$11, 2, FALSE), ""))</f>
        <v/>
      </c>
      <c r="F10" s="4">
        <f>IF(F21="","", IFERROR(VLOOKUP(F21, $P$6:$W$11, 3, FALSE), ""))</f>
        <v/>
      </c>
      <c r="G10" s="5">
        <f>IF(OR(C10="",E10=""), "", E10-C10)</f>
        <v/>
      </c>
      <c r="H10" s="5">
        <f>IF(OR(D10="",F10=""), "", F10-D10)</f>
        <v/>
      </c>
      <c r="I10" s="6">
        <f>IF(OR(G10="",H10=""), "", SQRT(G10^2+H10^2))</f>
        <v/>
      </c>
      <c r="J10" s="7">
        <f>IF(OR(I10="",I10=0), "", G10/I10)</f>
        <v/>
      </c>
      <c r="K10" s="7">
        <f>IF(OR(I10="",I10=0), "", H10/I10)</f>
        <v/>
      </c>
      <c r="L10" s="4">
        <f>IF(C21="","", 10)</f>
        <v/>
      </c>
      <c r="M10" s="8">
        <f>IF(C21="","", 2100000)</f>
        <v/>
      </c>
      <c r="N10" s="6">
        <f>IF(OR(I10="",I10=0,L10="",M10=""), 0, (L10*M10)/I10)</f>
        <v/>
      </c>
      <c r="P10" s="9" t="n">
        <v>5</v>
      </c>
      <c r="Q10" s="4" t="n"/>
      <c r="R10" s="4" t="n"/>
      <c r="S10" s="10" t="inlineStr">
        <is>
          <t>Libre</t>
        </is>
      </c>
      <c r="T10" s="9">
        <f>IF(Q10="","", IF(LEFT(UPPER(TRIM(S10)),4)="FIJO", 1, IF(OR(UPPER(TRIM(S10))="MOVIL X", UPPER(TRIM(S10))="MÓVIL X", UPPER(TRIM(S10))="RODILLO X"), 1, 0)))</f>
        <v/>
      </c>
      <c r="U10" s="9">
        <f>IF(Q10="","", IF(LEFT(UPPER(TRIM(S10)),4)="FIJO", 1, IF(OR(UPPER(TRIM(S10))="MOVIL Y", UPPER(TRIM(S10))="MÓVIL Y", UPPER(TRIM(S10))="RODILLO Y", UPPER(TRIM(S10))="MOVIL", UPPER(TRIM(S10))="MÓVIL"), 1, 0)))</f>
        <v/>
      </c>
      <c r="V10" s="4" t="n"/>
      <c r="W10" s="4" t="n"/>
    </row>
    <row r="11" ht="19.05" customHeight="1" s="52">
      <c r="B11" s="15" t="n">
        <v>6</v>
      </c>
      <c r="C11" s="4">
        <f>IF(C22="","", IFERROR(VLOOKUP(C22, $P$6:$W$11, 2, FALSE), ""))</f>
        <v/>
      </c>
      <c r="D11" s="4">
        <f>IF(C22="","", IFERROR(VLOOKUP(C22, $P$6:$W$11, 3, FALSE), ""))</f>
        <v/>
      </c>
      <c r="E11" s="4">
        <f>IF(F22="","", IFERROR(VLOOKUP(F22, $P$6:$W$11, 2, FALSE), ""))</f>
        <v/>
      </c>
      <c r="F11" s="4">
        <f>IF(F22="","", IFERROR(VLOOKUP(F22, $P$6:$W$11, 3, FALSE), ""))</f>
        <v/>
      </c>
      <c r="G11" s="5">
        <f>IF(OR(C11="",E11=""), "", E11-C11)</f>
        <v/>
      </c>
      <c r="H11" s="5">
        <f>IF(OR(D11="",F11=""), "", F11-D11)</f>
        <v/>
      </c>
      <c r="I11" s="6">
        <f>IF(OR(G11="",H11=""), "", SQRT(G11^2+H11^2))</f>
        <v/>
      </c>
      <c r="J11" s="7">
        <f>IF(OR(I11="",I11=0), "", G11/I11)</f>
        <v/>
      </c>
      <c r="K11" s="7">
        <f>IF(OR(I11="",I11=0), "", H11/I11)</f>
        <v/>
      </c>
      <c r="L11" s="4">
        <f>IF(C22="","", 10)</f>
        <v/>
      </c>
      <c r="M11" s="8">
        <f>IF(C22="","", 2100000)</f>
        <v/>
      </c>
      <c r="N11" s="6">
        <f>IF(OR(I11="",I11=0,L11="",M11=""), 0, (L11*M11)/I11)</f>
        <v/>
      </c>
      <c r="P11" s="9" t="n">
        <v>6</v>
      </c>
      <c r="Q11" s="4" t="n"/>
      <c r="R11" s="4" t="n"/>
      <c r="S11" s="10" t="inlineStr">
        <is>
          <t>Libre</t>
        </is>
      </c>
      <c r="T11" s="9">
        <f>IF(Q11="","", IF(LEFT(UPPER(TRIM(S11)),4)="FIJO", 1, IF(OR(UPPER(TRIM(S11))="MOVIL X", UPPER(TRIM(S11))="MÓVIL X", UPPER(TRIM(S11))="RODILLO X"), 1, 0)))</f>
        <v/>
      </c>
      <c r="U11" s="9">
        <f>IF(Q11="","", IF(LEFT(UPPER(TRIM(S11)),4)="FIJO", 1, IF(OR(UPPER(TRIM(S11))="MOVIL Y", UPPER(TRIM(S11))="MÓVIL Y", UPPER(TRIM(S11))="RODILLO Y", UPPER(TRIM(S11))="MOVIL", UPPER(TRIM(S11))="MÓVIL"), 1, 0)))</f>
        <v/>
      </c>
      <c r="V11" s="4" t="n"/>
      <c r="W11" s="4" t="n"/>
    </row>
    <row r="12" ht="19.05" customHeight="1" s="52">
      <c r="B12" s="16" t="n">
        <v>7</v>
      </c>
      <c r="C12" s="4">
        <f>IF(C23="","", IFERROR(VLOOKUP(C23, $P$6:$W$11, 2, FALSE), ""))</f>
        <v/>
      </c>
      <c r="D12" s="4">
        <f>IF(C23="","", IFERROR(VLOOKUP(C23, $P$6:$W$11, 3, FALSE), ""))</f>
        <v/>
      </c>
      <c r="E12" s="4">
        <f>IF(F23="","", IFERROR(VLOOKUP(F23, $P$6:$W$11, 2, FALSE), ""))</f>
        <v/>
      </c>
      <c r="F12" s="4">
        <f>IF(F23="","", IFERROR(VLOOKUP(F23, $P$6:$W$11, 3, FALSE), ""))</f>
        <v/>
      </c>
      <c r="G12" s="5">
        <f>IF(OR(C12="",E12=""), "", E12-C12)</f>
        <v/>
      </c>
      <c r="H12" s="5">
        <f>IF(OR(D12="",F12=""), "", F12-D12)</f>
        <v/>
      </c>
      <c r="I12" s="6">
        <f>IF(OR(G12="",H12=""), "", SQRT(G12^2+H12^2))</f>
        <v/>
      </c>
      <c r="J12" s="7">
        <f>IF(OR(I12="",I12=0), "", G12/I12)</f>
        <v/>
      </c>
      <c r="K12" s="7">
        <f>IF(OR(I12="",I12=0), "", H12/I12)</f>
        <v/>
      </c>
      <c r="L12" s="4">
        <f>IF(C23="","", 10)</f>
        <v/>
      </c>
      <c r="M12" s="8">
        <f>IF(C23="","", 2100000)</f>
        <v/>
      </c>
      <c r="N12" s="6">
        <f>IF(OR(I12="",I12=0,L12="",M12=""), 0, (L12*M12)/I12)</f>
        <v/>
      </c>
    </row>
    <row r="13" ht="19.05" customHeight="1" s="52">
      <c r="B13" s="17" t="n">
        <v>8</v>
      </c>
      <c r="C13" s="4">
        <f>IF(C24="","", IFERROR(VLOOKUP(C24, $P$6:$W$11, 2, FALSE), ""))</f>
        <v/>
      </c>
      <c r="D13" s="4">
        <f>IF(C24="","", IFERROR(VLOOKUP(C24, $P$6:$W$11, 3, FALSE), ""))</f>
        <v/>
      </c>
      <c r="E13" s="4">
        <f>IF(F24="","", IFERROR(VLOOKUP(F24, $P$6:$W$11, 2, FALSE), ""))</f>
        <v/>
      </c>
      <c r="F13" s="4">
        <f>IF(F24="","", IFERROR(VLOOKUP(F24, $P$6:$W$11, 3, FALSE), ""))</f>
        <v/>
      </c>
      <c r="G13" s="5">
        <f>IF(OR(C13="",E13=""), "", E13-C13)</f>
        <v/>
      </c>
      <c r="H13" s="5">
        <f>IF(OR(D13="",F13=""), "", F13-D13)</f>
        <v/>
      </c>
      <c r="I13" s="6">
        <f>IF(OR(G13="",H13=""), "", SQRT(G13^2+H13^2))</f>
        <v/>
      </c>
      <c r="J13" s="7">
        <f>IF(OR(I13="",I13=0), "", G13/I13)</f>
        <v/>
      </c>
      <c r="K13" s="7">
        <f>IF(OR(I13="",I13=0), "", H13/I13)</f>
        <v/>
      </c>
      <c r="L13" s="4">
        <f>IF(C24="","", 10)</f>
        <v/>
      </c>
      <c r="M13" s="8">
        <f>IF(C24="","", 2100000)</f>
        <v/>
      </c>
      <c r="N13" s="6">
        <f>IF(OR(I13="",I13=0,L13="",M13=""), 0, (L13*M13)/I13)</f>
        <v/>
      </c>
    </row>
    <row r="15" ht="19.95" customHeight="1" s="52">
      <c r="B15" s="58" t="inlineStr">
        <is>
          <t>CONECTIVIDAD DE BARRAS Y GRADOS DE LIBERTAD ASOCIADOS:</t>
        </is>
      </c>
    </row>
    <row r="16" ht="18" customHeight="1" s="52">
      <c r="B16" s="54" t="inlineStr">
        <is>
          <t>BARRA</t>
        </is>
      </c>
      <c r="C16" s="54" t="inlineStr">
        <is>
          <t>NUDO INICIO</t>
        </is>
      </c>
      <c r="D16" s="54" t="inlineStr">
        <is>
          <t>u_ini_x</t>
        </is>
      </c>
      <c r="E16" s="54" t="inlineStr">
        <is>
          <t>u_ini_y</t>
        </is>
      </c>
      <c r="F16" s="54" t="inlineStr">
        <is>
          <t>NUDO FIN</t>
        </is>
      </c>
      <c r="G16" s="54" t="inlineStr">
        <is>
          <t>u_fin_x</t>
        </is>
      </c>
      <c r="H16" s="54" t="inlineStr">
        <is>
          <t>u_fin_y</t>
        </is>
      </c>
    </row>
    <row r="17" ht="19.05" customHeight="1" s="52">
      <c r="B17" s="3" t="n">
        <v>1</v>
      </c>
      <c r="C17" s="18" t="n">
        <v>1</v>
      </c>
      <c r="D17" s="9">
        <f>IF(C17="","", "U" &amp; C17 &amp; "X")</f>
        <v/>
      </c>
      <c r="E17" s="9">
        <f>IF(C17="","", "U" &amp; C17 &amp; "Y")</f>
        <v/>
      </c>
      <c r="F17" s="18" t="n">
        <v>3</v>
      </c>
      <c r="G17" s="9">
        <f>IF(F17="","", "U" &amp; F17 &amp; "X")</f>
        <v/>
      </c>
      <c r="H17" s="9">
        <f>IF(F17="","", "U" &amp; F17 &amp; "Y")</f>
        <v/>
      </c>
    </row>
    <row r="18" ht="19.05" customHeight="1" s="52">
      <c r="B18" s="56" t="n">
        <v>2</v>
      </c>
      <c r="C18" s="18" t="n">
        <v>2</v>
      </c>
      <c r="D18" s="9">
        <f>IF(C18="","", "U" &amp; C18 &amp; "X")</f>
        <v/>
      </c>
      <c r="E18" s="9">
        <f>IF(C18="","", "U" &amp; C18 &amp; "Y")</f>
        <v/>
      </c>
      <c r="F18" s="18" t="n">
        <v>3</v>
      </c>
      <c r="G18" s="9">
        <f>IF(F18="","", "U" &amp; F18 &amp; "X")</f>
        <v/>
      </c>
      <c r="H18" s="9">
        <f>IF(F18="","", "U" &amp; F18 &amp; "Y")</f>
        <v/>
      </c>
    </row>
    <row r="19" ht="19.05" customHeight="1" s="52">
      <c r="B19" s="12" t="n">
        <v>3</v>
      </c>
      <c r="C19" s="18" t="n">
        <v>2</v>
      </c>
      <c r="D19" s="9">
        <f>IF(C19="","", "U" &amp; C19 &amp; "X")</f>
        <v/>
      </c>
      <c r="E19" s="9">
        <f>IF(C19="","", "U" &amp; C19 &amp; "Y")</f>
        <v/>
      </c>
      <c r="F19" s="18" t="n">
        <v>1</v>
      </c>
      <c r="G19" s="9">
        <f>IF(F19="","", "U" &amp; F19 &amp; "X")</f>
        <v/>
      </c>
      <c r="H19" s="9">
        <f>IF(F19="","", "U" &amp; F19 &amp; "Y")</f>
        <v/>
      </c>
    </row>
    <row r="20" ht="19.05" customHeight="1" s="52">
      <c r="B20" s="13" t="n">
        <v>4</v>
      </c>
      <c r="C20" s="18" t="n"/>
      <c r="D20" s="9">
        <f>IF(C20="","", "U" &amp; C20 &amp; "X")</f>
        <v/>
      </c>
      <c r="E20" s="9">
        <f>IF(C20="","", "U" &amp; C20 &amp; "Y")</f>
        <v/>
      </c>
      <c r="F20" s="18" t="n"/>
      <c r="G20" s="9">
        <f>IF(F20="","", "U" &amp; F20 &amp; "X")</f>
        <v/>
      </c>
      <c r="H20" s="9">
        <f>IF(F20="","", "U" &amp; F20 &amp; "Y")</f>
        <v/>
      </c>
    </row>
    <row r="21" ht="19.05" customHeight="1" s="52">
      <c r="B21" s="14" t="n">
        <v>5</v>
      </c>
      <c r="C21" s="18" t="n"/>
      <c r="D21" s="9">
        <f>IF(C21="","", "U" &amp; C21 &amp; "X")</f>
        <v/>
      </c>
      <c r="E21" s="9">
        <f>IF(C21="","", "U" &amp; C21 &amp; "Y")</f>
        <v/>
      </c>
      <c r="F21" s="18" t="n"/>
      <c r="G21" s="9">
        <f>IF(F21="","", "U" &amp; F21 &amp; "X")</f>
        <v/>
      </c>
      <c r="H21" s="9">
        <f>IF(F21="","", "U" &amp; F21 &amp; "Y")</f>
        <v/>
      </c>
    </row>
    <row r="22" ht="19.05" customHeight="1" s="52">
      <c r="B22" s="15" t="n">
        <v>6</v>
      </c>
      <c r="C22" s="18" t="n"/>
      <c r="D22" s="9">
        <f>IF(C22="","", "U" &amp; C22 &amp; "X")</f>
        <v/>
      </c>
      <c r="E22" s="9">
        <f>IF(C22="","", "U" &amp; C22 &amp; "Y")</f>
        <v/>
      </c>
      <c r="F22" s="18" t="n"/>
      <c r="G22" s="9">
        <f>IF(F22="","", "U" &amp; F22 &amp; "X")</f>
        <v/>
      </c>
      <c r="H22" s="9">
        <f>IF(F22="","", "U" &amp; F22 &amp; "Y")</f>
        <v/>
      </c>
    </row>
    <row r="23" ht="19.05" customHeight="1" s="52">
      <c r="B23" s="16" t="n">
        <v>7</v>
      </c>
      <c r="C23" s="18" t="n"/>
      <c r="D23" s="9">
        <f>IF(C23="","", "U" &amp; C23 &amp; "X")</f>
        <v/>
      </c>
      <c r="E23" s="9">
        <f>IF(C23="","", "U" &amp; C23 &amp; "Y")</f>
        <v/>
      </c>
      <c r="F23" s="18" t="n"/>
      <c r="G23" s="9">
        <f>IF(F23="","", "U" &amp; F23 &amp; "X")</f>
        <v/>
      </c>
      <c r="H23" s="9">
        <f>IF(F23="","", "U" &amp; F23 &amp; "Y")</f>
        <v/>
      </c>
    </row>
    <row r="24" ht="19.05" customHeight="1" s="52">
      <c r="B24" s="17" t="n">
        <v>8</v>
      </c>
      <c r="C24" s="18" t="n"/>
      <c r="D24" s="9">
        <f>IF(C24="","", "U" &amp; C24 &amp; "X")</f>
        <v/>
      </c>
      <c r="E24" s="9">
        <f>IF(C24="","", "U" &amp; C24 &amp; "Y")</f>
        <v/>
      </c>
      <c r="F24" s="18" t="n"/>
      <c r="G24" s="9">
        <f>IF(F24="","", "U" &amp; F24 &amp; "X")</f>
        <v/>
      </c>
      <c r="H24" s="9">
        <f>IF(F24="","", "U" &amp; F24 &amp; "Y")</f>
        <v/>
      </c>
    </row>
    <row r="27" ht="19.05" customHeight="1" s="52">
      <c r="A27" s="19" t="inlineStr">
        <is>
          <t>k1=</t>
        </is>
      </c>
      <c r="B27" s="3">
        <f>IF(D17="","-",D17)</f>
        <v/>
      </c>
      <c r="C27" s="3">
        <f>IF(E17="","-",E17)</f>
        <v/>
      </c>
      <c r="D27" s="3">
        <f>IF(G17="","-",G17)</f>
        <v/>
      </c>
      <c r="E27" s="3">
        <f>IF(H17="","-",H17)</f>
        <v/>
      </c>
    </row>
    <row r="28" ht="18" customHeight="1" s="52">
      <c r="B28" s="20">
        <f>IF(N6=0, 0, N6*J6*J6)</f>
        <v/>
      </c>
      <c r="C28" s="20">
        <f>IF(N6=0, 0, N6*J6*K6)</f>
        <v/>
      </c>
      <c r="D28" s="20">
        <f>IF(N6=0, 0, -N6*J6*J6)</f>
        <v/>
      </c>
      <c r="E28" s="20">
        <f>IF(N6=0, 0, -N6*J6*K6)</f>
        <v/>
      </c>
      <c r="F28" s="3">
        <f>IF(D17="","-",D17)</f>
        <v/>
      </c>
    </row>
    <row r="29" ht="18" customHeight="1" s="52">
      <c r="B29" s="20">
        <f>IF(N6=0, 0, N6*J6*K6)</f>
        <v/>
      </c>
      <c r="C29" s="20">
        <f>IF(N6=0, 0, N6*K6*K6)</f>
        <v/>
      </c>
      <c r="D29" s="20">
        <f>IF(N6=0, 0, -N6*J6*K6)</f>
        <v/>
      </c>
      <c r="E29" s="20">
        <f>IF(N6=0, 0, -N6*K6*K6)</f>
        <v/>
      </c>
      <c r="F29" s="3">
        <f>IF(E17="","-",E17)</f>
        <v/>
      </c>
    </row>
    <row r="30" ht="18" customHeight="1" s="52">
      <c r="B30" s="20">
        <f>IF(N6=0, 0, -N6*J6*J6)</f>
        <v/>
      </c>
      <c r="C30" s="20">
        <f>IF(N6=0, 0, -N6*J6*K6)</f>
        <v/>
      </c>
      <c r="D30" s="20">
        <f>IF(N6=0, 0, N6*J6*J6)</f>
        <v/>
      </c>
      <c r="E30" s="20">
        <f>IF(N6=0, 0, N6*J6*K6)</f>
        <v/>
      </c>
      <c r="F30" s="3">
        <f>IF(G17="","-",G17)</f>
        <v/>
      </c>
    </row>
    <row r="31" ht="18" customHeight="1" s="52">
      <c r="B31" s="20">
        <f>IF(N6=0, 0, -N6*J6*K6)</f>
        <v/>
      </c>
      <c r="C31" s="20">
        <f>IF(N6=0, 0, -N6*K6*K6)</f>
        <v/>
      </c>
      <c r="D31" s="20">
        <f>IF(N6=0, 0, N6*J6*K6)</f>
        <v/>
      </c>
      <c r="E31" s="20">
        <f>IF(N6=0, 0, N6*K6*K6)</f>
        <v/>
      </c>
      <c r="F31" s="3">
        <f>IF(H17="","-",H17)</f>
        <v/>
      </c>
    </row>
    <row r="33" ht="19.05" customHeight="1" s="52">
      <c r="B33" s="54" t="inlineStr">
        <is>
          <t>U1X</t>
        </is>
      </c>
      <c r="C33" s="54" t="inlineStr">
        <is>
          <t>U1Y</t>
        </is>
      </c>
      <c r="D33" s="54" t="inlineStr">
        <is>
          <t>U2X</t>
        </is>
      </c>
      <c r="E33" s="54" t="inlineStr">
        <is>
          <t>U2Y</t>
        </is>
      </c>
      <c r="F33" s="54" t="inlineStr">
        <is>
          <t>U3X</t>
        </is>
      </c>
      <c r="G33" s="54" t="inlineStr">
        <is>
          <t>U3Y</t>
        </is>
      </c>
      <c r="H33" s="54" t="inlineStr">
        <is>
          <t>U4X</t>
        </is>
      </c>
      <c r="I33" s="54" t="inlineStr">
        <is>
          <t>U4Y</t>
        </is>
      </c>
      <c r="J33" s="54" t="inlineStr">
        <is>
          <t>U5X</t>
        </is>
      </c>
      <c r="K33" s="54" t="inlineStr">
        <is>
          <t>U5Y</t>
        </is>
      </c>
      <c r="L33" s="54" t="inlineStr">
        <is>
          <t>U6X</t>
        </is>
      </c>
      <c r="M33" s="54" t="inlineStr">
        <is>
          <t>U6Y</t>
        </is>
      </c>
    </row>
    <row r="34" ht="19.05" customHeight="1" s="52">
      <c r="B34" s="21">
        <f>IFERROR(INDEX($B$28:$E$31, MATCH($N34, $B$27:$E$27, 0), MATCH(B$33, $B$27:$E$27, 0)), 0)</f>
        <v/>
      </c>
      <c r="C34" s="21">
        <f>IFERROR(INDEX($B$28:$E$31, MATCH($N34, $B$27:$E$27, 0), MATCH(C$33, $B$27:$E$27, 0)), 0)</f>
        <v/>
      </c>
      <c r="D34" s="21">
        <f>IFERROR(INDEX($B$28:$E$31, MATCH($N34, $B$27:$E$27, 0), MATCH(D$33, $B$27:$E$27, 0)), 0)</f>
        <v/>
      </c>
      <c r="E34" s="21">
        <f>IFERROR(INDEX($B$28:$E$31, MATCH($N34, $B$27:$E$27, 0), MATCH(E$33, $B$27:$E$27, 0)), 0)</f>
        <v/>
      </c>
      <c r="F34" s="21">
        <f>IFERROR(INDEX($B$28:$E$31, MATCH($N34, $B$27:$E$27, 0), MATCH(F$33, $B$27:$E$27, 0)), 0)</f>
        <v/>
      </c>
      <c r="G34" s="21">
        <f>IFERROR(INDEX($B$28:$E$31, MATCH($N34, $B$27:$E$27, 0), MATCH(G$33, $B$27:$E$27, 0)), 0)</f>
        <v/>
      </c>
      <c r="H34" s="21">
        <f>IFERROR(INDEX($B$28:$E$31, MATCH($N34, $B$27:$E$27, 0), MATCH(H$33, $B$27:$E$27, 0)), 0)</f>
        <v/>
      </c>
      <c r="I34" s="21">
        <f>IFERROR(INDEX($B$28:$E$31, MATCH($N34, $B$27:$E$27, 0), MATCH(I$33, $B$27:$E$27, 0)), 0)</f>
        <v/>
      </c>
      <c r="J34" s="21">
        <f>IFERROR(INDEX($B$28:$E$31, MATCH($N34, $B$27:$E$27, 0), MATCH(J$33, $B$27:$E$27, 0)), 0)</f>
        <v/>
      </c>
      <c r="K34" s="21">
        <f>IFERROR(INDEX($B$28:$E$31, MATCH($N34, $B$27:$E$27, 0), MATCH(K$33, $B$27:$E$27, 0)), 0)</f>
        <v/>
      </c>
      <c r="L34" s="21">
        <f>IFERROR(INDEX($B$28:$E$31, MATCH($N34, $B$27:$E$27, 0), MATCH(L$33, $B$27:$E$27, 0)), 0)</f>
        <v/>
      </c>
      <c r="M34" s="21">
        <f>IFERROR(INDEX($B$28:$E$31, MATCH($N34, $B$27:$E$27, 0), MATCH(M$33, $B$27:$E$27, 0)), 0)</f>
        <v/>
      </c>
      <c r="N34" s="3" t="inlineStr">
        <is>
          <t>U1X</t>
        </is>
      </c>
    </row>
    <row r="35" ht="19.05" customHeight="1" s="52">
      <c r="B35" s="21">
        <f>IFERROR(INDEX($B$28:$E$31, MATCH($N35, $B$27:$E$27, 0), MATCH(B$33, $B$27:$E$27, 0)), 0)</f>
        <v/>
      </c>
      <c r="C35" s="21">
        <f>IFERROR(INDEX($B$28:$E$31, MATCH($N35, $B$27:$E$27, 0), MATCH(C$33, $B$27:$E$27, 0)), 0)</f>
        <v/>
      </c>
      <c r="D35" s="21">
        <f>IFERROR(INDEX($B$28:$E$31, MATCH($N35, $B$27:$E$27, 0), MATCH(D$33, $B$27:$E$27, 0)), 0)</f>
        <v/>
      </c>
      <c r="E35" s="21">
        <f>IFERROR(INDEX($B$28:$E$31, MATCH($N35, $B$27:$E$27, 0), MATCH(E$33, $B$27:$E$27, 0)), 0)</f>
        <v/>
      </c>
      <c r="F35" s="21">
        <f>IFERROR(INDEX($B$28:$E$31, MATCH($N35, $B$27:$E$27, 0), MATCH(F$33, $B$27:$E$27, 0)), 0)</f>
        <v/>
      </c>
      <c r="G35" s="21">
        <f>IFERROR(INDEX($B$28:$E$31, MATCH($N35, $B$27:$E$27, 0), MATCH(G$33, $B$27:$E$27, 0)), 0)</f>
        <v/>
      </c>
      <c r="H35" s="21">
        <f>IFERROR(INDEX($B$28:$E$31, MATCH($N35, $B$27:$E$27, 0), MATCH(H$33, $B$27:$E$27, 0)), 0)</f>
        <v/>
      </c>
      <c r="I35" s="21">
        <f>IFERROR(INDEX($B$28:$E$31, MATCH($N35, $B$27:$E$27, 0), MATCH(I$33, $B$27:$E$27, 0)), 0)</f>
        <v/>
      </c>
      <c r="J35" s="21">
        <f>IFERROR(INDEX($B$28:$E$31, MATCH($N35, $B$27:$E$27, 0), MATCH(J$33, $B$27:$E$27, 0)), 0)</f>
        <v/>
      </c>
      <c r="K35" s="21">
        <f>IFERROR(INDEX($B$28:$E$31, MATCH($N35, $B$27:$E$27, 0), MATCH(K$33, $B$27:$E$27, 0)), 0)</f>
        <v/>
      </c>
      <c r="L35" s="21">
        <f>IFERROR(INDEX($B$28:$E$31, MATCH($N35, $B$27:$E$27, 0), MATCH(L$33, $B$27:$E$27, 0)), 0)</f>
        <v/>
      </c>
      <c r="M35" s="21">
        <f>IFERROR(INDEX($B$28:$E$31, MATCH($N35, $B$27:$E$27, 0), MATCH(M$33, $B$27:$E$27, 0)), 0)</f>
        <v/>
      </c>
      <c r="N35" s="3" t="inlineStr">
        <is>
          <t>U1Y</t>
        </is>
      </c>
    </row>
    <row r="36" ht="19.05" customHeight="1" s="52">
      <c r="B36" s="21">
        <f>IFERROR(INDEX($B$28:$E$31, MATCH($N36, $B$27:$E$27, 0), MATCH(B$33, $B$27:$E$27, 0)), 0)</f>
        <v/>
      </c>
      <c r="C36" s="21">
        <f>IFERROR(INDEX($B$28:$E$31, MATCH($N36, $B$27:$E$27, 0), MATCH(C$33, $B$27:$E$27, 0)), 0)</f>
        <v/>
      </c>
      <c r="D36" s="21">
        <f>IFERROR(INDEX($B$28:$E$31, MATCH($N36, $B$27:$E$27, 0), MATCH(D$33, $B$27:$E$27, 0)), 0)</f>
        <v/>
      </c>
      <c r="E36" s="21">
        <f>IFERROR(INDEX($B$28:$E$31, MATCH($N36, $B$27:$E$27, 0), MATCH(E$33, $B$27:$E$27, 0)), 0)</f>
        <v/>
      </c>
      <c r="F36" s="21">
        <f>IFERROR(INDEX($B$28:$E$31, MATCH($N36, $B$27:$E$27, 0), MATCH(F$33, $B$27:$E$27, 0)), 0)</f>
        <v/>
      </c>
      <c r="G36" s="21">
        <f>IFERROR(INDEX($B$28:$E$31, MATCH($N36, $B$27:$E$27, 0), MATCH(G$33, $B$27:$E$27, 0)), 0)</f>
        <v/>
      </c>
      <c r="H36" s="21">
        <f>IFERROR(INDEX($B$28:$E$31, MATCH($N36, $B$27:$E$27, 0), MATCH(H$33, $B$27:$E$27, 0)), 0)</f>
        <v/>
      </c>
      <c r="I36" s="21">
        <f>IFERROR(INDEX($B$28:$E$31, MATCH($N36, $B$27:$E$27, 0), MATCH(I$33, $B$27:$E$27, 0)), 0)</f>
        <v/>
      </c>
      <c r="J36" s="21">
        <f>IFERROR(INDEX($B$28:$E$31, MATCH($N36, $B$27:$E$27, 0), MATCH(J$33, $B$27:$E$27, 0)), 0)</f>
        <v/>
      </c>
      <c r="K36" s="21">
        <f>IFERROR(INDEX($B$28:$E$31, MATCH($N36, $B$27:$E$27, 0), MATCH(K$33, $B$27:$E$27, 0)), 0)</f>
        <v/>
      </c>
      <c r="L36" s="21">
        <f>IFERROR(INDEX($B$28:$E$31, MATCH($N36, $B$27:$E$27, 0), MATCH(L$33, $B$27:$E$27, 0)), 0)</f>
        <v/>
      </c>
      <c r="M36" s="21">
        <f>IFERROR(INDEX($B$28:$E$31, MATCH($N36, $B$27:$E$27, 0), MATCH(M$33, $B$27:$E$27, 0)), 0)</f>
        <v/>
      </c>
      <c r="N36" s="3" t="inlineStr">
        <is>
          <t>U2X</t>
        </is>
      </c>
    </row>
    <row r="37" ht="19.05" customHeight="1" s="52">
      <c r="B37" s="21">
        <f>IFERROR(INDEX($B$28:$E$31, MATCH($N37, $B$27:$E$27, 0), MATCH(B$33, $B$27:$E$27, 0)), 0)</f>
        <v/>
      </c>
      <c r="C37" s="21">
        <f>IFERROR(INDEX($B$28:$E$31, MATCH($N37, $B$27:$E$27, 0), MATCH(C$33, $B$27:$E$27, 0)), 0)</f>
        <v/>
      </c>
      <c r="D37" s="21">
        <f>IFERROR(INDEX($B$28:$E$31, MATCH($N37, $B$27:$E$27, 0), MATCH(D$33, $B$27:$E$27, 0)), 0)</f>
        <v/>
      </c>
      <c r="E37" s="21">
        <f>IFERROR(INDEX($B$28:$E$31, MATCH($N37, $B$27:$E$27, 0), MATCH(E$33, $B$27:$E$27, 0)), 0)</f>
        <v/>
      </c>
      <c r="F37" s="21">
        <f>IFERROR(INDEX($B$28:$E$31, MATCH($N37, $B$27:$E$27, 0), MATCH(F$33, $B$27:$E$27, 0)), 0)</f>
        <v/>
      </c>
      <c r="G37" s="21">
        <f>IFERROR(INDEX($B$28:$E$31, MATCH($N37, $B$27:$E$27, 0), MATCH(G$33, $B$27:$E$27, 0)), 0)</f>
        <v/>
      </c>
      <c r="H37" s="21">
        <f>IFERROR(INDEX($B$28:$E$31, MATCH($N37, $B$27:$E$27, 0), MATCH(H$33, $B$27:$E$27, 0)), 0)</f>
        <v/>
      </c>
      <c r="I37" s="21">
        <f>IFERROR(INDEX($B$28:$E$31, MATCH($N37, $B$27:$E$27, 0), MATCH(I$33, $B$27:$E$27, 0)), 0)</f>
        <v/>
      </c>
      <c r="J37" s="21">
        <f>IFERROR(INDEX($B$28:$E$31, MATCH($N37, $B$27:$E$27, 0), MATCH(J$33, $B$27:$E$27, 0)), 0)</f>
        <v/>
      </c>
      <c r="K37" s="21">
        <f>IFERROR(INDEX($B$28:$E$31, MATCH($N37, $B$27:$E$27, 0), MATCH(K$33, $B$27:$E$27, 0)), 0)</f>
        <v/>
      </c>
      <c r="L37" s="21">
        <f>IFERROR(INDEX($B$28:$E$31, MATCH($N37, $B$27:$E$27, 0), MATCH(L$33, $B$27:$E$27, 0)), 0)</f>
        <v/>
      </c>
      <c r="M37" s="21">
        <f>IFERROR(INDEX($B$28:$E$31, MATCH($N37, $B$27:$E$27, 0), MATCH(M$33, $B$27:$E$27, 0)), 0)</f>
        <v/>
      </c>
      <c r="N37" s="3" t="inlineStr">
        <is>
          <t>U2Y</t>
        </is>
      </c>
    </row>
    <row r="38" ht="19.05" customHeight="1" s="52">
      <c r="B38" s="21">
        <f>IFERROR(INDEX($B$28:$E$31, MATCH($N38, $B$27:$E$27, 0), MATCH(B$33, $B$27:$E$27, 0)), 0)</f>
        <v/>
      </c>
      <c r="C38" s="21">
        <f>IFERROR(INDEX($B$28:$E$31, MATCH($N38, $B$27:$E$27, 0), MATCH(C$33, $B$27:$E$27, 0)), 0)</f>
        <v/>
      </c>
      <c r="D38" s="21">
        <f>IFERROR(INDEX($B$28:$E$31, MATCH($N38, $B$27:$E$27, 0), MATCH(D$33, $B$27:$E$27, 0)), 0)</f>
        <v/>
      </c>
      <c r="E38" s="21">
        <f>IFERROR(INDEX($B$28:$E$31, MATCH($N38, $B$27:$E$27, 0), MATCH(E$33, $B$27:$E$27, 0)), 0)</f>
        <v/>
      </c>
      <c r="F38" s="21">
        <f>IFERROR(INDEX($B$28:$E$31, MATCH($N38, $B$27:$E$27, 0), MATCH(F$33, $B$27:$E$27, 0)), 0)</f>
        <v/>
      </c>
      <c r="G38" s="21">
        <f>IFERROR(INDEX($B$28:$E$31, MATCH($N38, $B$27:$E$27, 0), MATCH(G$33, $B$27:$E$27, 0)), 0)</f>
        <v/>
      </c>
      <c r="H38" s="21">
        <f>IFERROR(INDEX($B$28:$E$31, MATCH($N38, $B$27:$E$27, 0), MATCH(H$33, $B$27:$E$27, 0)), 0)</f>
        <v/>
      </c>
      <c r="I38" s="21">
        <f>IFERROR(INDEX($B$28:$E$31, MATCH($N38, $B$27:$E$27, 0), MATCH(I$33, $B$27:$E$27, 0)), 0)</f>
        <v/>
      </c>
      <c r="J38" s="21">
        <f>IFERROR(INDEX($B$28:$E$31, MATCH($N38, $B$27:$E$27, 0), MATCH(J$33, $B$27:$E$27, 0)), 0)</f>
        <v/>
      </c>
      <c r="K38" s="21">
        <f>IFERROR(INDEX($B$28:$E$31, MATCH($N38, $B$27:$E$27, 0), MATCH(K$33, $B$27:$E$27, 0)), 0)</f>
        <v/>
      </c>
      <c r="L38" s="21">
        <f>IFERROR(INDEX($B$28:$E$31, MATCH($N38, $B$27:$E$27, 0), MATCH(L$33, $B$27:$E$27, 0)), 0)</f>
        <v/>
      </c>
      <c r="M38" s="21">
        <f>IFERROR(INDEX($B$28:$E$31, MATCH($N38, $B$27:$E$27, 0), MATCH(M$33, $B$27:$E$27, 0)), 0)</f>
        <v/>
      </c>
      <c r="N38" s="3" t="inlineStr">
        <is>
          <t>U3X</t>
        </is>
      </c>
    </row>
    <row r="39" ht="19.05" customHeight="1" s="52">
      <c r="A39" s="19" t="inlineStr">
        <is>
          <t>K1=</t>
        </is>
      </c>
      <c r="B39" s="21">
        <f>IFERROR(INDEX($B$28:$E$31, MATCH($N39, $B$27:$E$27, 0), MATCH(B$33, $B$27:$E$27, 0)), 0)</f>
        <v/>
      </c>
      <c r="C39" s="21">
        <f>IFERROR(INDEX($B$28:$E$31, MATCH($N39, $B$27:$E$27, 0), MATCH(C$33, $B$27:$E$27, 0)), 0)</f>
        <v/>
      </c>
      <c r="D39" s="21">
        <f>IFERROR(INDEX($B$28:$E$31, MATCH($N39, $B$27:$E$27, 0), MATCH(D$33, $B$27:$E$27, 0)), 0)</f>
        <v/>
      </c>
      <c r="E39" s="21">
        <f>IFERROR(INDEX($B$28:$E$31, MATCH($N39, $B$27:$E$27, 0), MATCH(E$33, $B$27:$E$27, 0)), 0)</f>
        <v/>
      </c>
      <c r="F39" s="21">
        <f>IFERROR(INDEX($B$28:$E$31, MATCH($N39, $B$27:$E$27, 0), MATCH(F$33, $B$27:$E$27, 0)), 0)</f>
        <v/>
      </c>
      <c r="G39" s="21">
        <f>IFERROR(INDEX($B$28:$E$31, MATCH($N39, $B$27:$E$27, 0), MATCH(G$33, $B$27:$E$27, 0)), 0)</f>
        <v/>
      </c>
      <c r="H39" s="21">
        <f>IFERROR(INDEX($B$28:$E$31, MATCH($N39, $B$27:$E$27, 0), MATCH(H$33, $B$27:$E$27, 0)), 0)</f>
        <v/>
      </c>
      <c r="I39" s="21">
        <f>IFERROR(INDEX($B$28:$E$31, MATCH($N39, $B$27:$E$27, 0), MATCH(I$33, $B$27:$E$27, 0)), 0)</f>
        <v/>
      </c>
      <c r="J39" s="21">
        <f>IFERROR(INDEX($B$28:$E$31, MATCH($N39, $B$27:$E$27, 0), MATCH(J$33, $B$27:$E$27, 0)), 0)</f>
        <v/>
      </c>
      <c r="K39" s="21">
        <f>IFERROR(INDEX($B$28:$E$31, MATCH($N39, $B$27:$E$27, 0), MATCH(K$33, $B$27:$E$27, 0)), 0)</f>
        <v/>
      </c>
      <c r="L39" s="21">
        <f>IFERROR(INDEX($B$28:$E$31, MATCH($N39, $B$27:$E$27, 0), MATCH(L$33, $B$27:$E$27, 0)), 0)</f>
        <v/>
      </c>
      <c r="M39" s="21">
        <f>IFERROR(INDEX($B$28:$E$31, MATCH($N39, $B$27:$E$27, 0), MATCH(M$33, $B$27:$E$27, 0)), 0)</f>
        <v/>
      </c>
      <c r="N39" s="3" t="inlineStr">
        <is>
          <t>U3Y</t>
        </is>
      </c>
    </row>
    <row r="40" ht="19.05" customHeight="1" s="52">
      <c r="B40" s="21">
        <f>IFERROR(INDEX($B$28:$E$31, MATCH($N40, $B$27:$E$27, 0), MATCH(B$33, $B$27:$E$27, 0)), 0)</f>
        <v/>
      </c>
      <c r="C40" s="21">
        <f>IFERROR(INDEX($B$28:$E$31, MATCH($N40, $B$27:$E$27, 0), MATCH(C$33, $B$27:$E$27, 0)), 0)</f>
        <v/>
      </c>
      <c r="D40" s="21">
        <f>IFERROR(INDEX($B$28:$E$31, MATCH($N40, $B$27:$E$27, 0), MATCH(D$33, $B$27:$E$27, 0)), 0)</f>
        <v/>
      </c>
      <c r="E40" s="21">
        <f>IFERROR(INDEX($B$28:$E$31, MATCH($N40, $B$27:$E$27, 0), MATCH(E$33, $B$27:$E$27, 0)), 0)</f>
        <v/>
      </c>
      <c r="F40" s="21">
        <f>IFERROR(INDEX($B$28:$E$31, MATCH($N40, $B$27:$E$27, 0), MATCH(F$33, $B$27:$E$27, 0)), 0)</f>
        <v/>
      </c>
      <c r="G40" s="21">
        <f>IFERROR(INDEX($B$28:$E$31, MATCH($N40, $B$27:$E$27, 0), MATCH(G$33, $B$27:$E$27, 0)), 0)</f>
        <v/>
      </c>
      <c r="H40" s="21">
        <f>IFERROR(INDEX($B$28:$E$31, MATCH($N40, $B$27:$E$27, 0), MATCH(H$33, $B$27:$E$27, 0)), 0)</f>
        <v/>
      </c>
      <c r="I40" s="21">
        <f>IFERROR(INDEX($B$28:$E$31, MATCH($N40, $B$27:$E$27, 0), MATCH(I$33, $B$27:$E$27, 0)), 0)</f>
        <v/>
      </c>
      <c r="J40" s="21">
        <f>IFERROR(INDEX($B$28:$E$31, MATCH($N40, $B$27:$E$27, 0), MATCH(J$33, $B$27:$E$27, 0)), 0)</f>
        <v/>
      </c>
      <c r="K40" s="21">
        <f>IFERROR(INDEX($B$28:$E$31, MATCH($N40, $B$27:$E$27, 0), MATCH(K$33, $B$27:$E$27, 0)), 0)</f>
        <v/>
      </c>
      <c r="L40" s="21">
        <f>IFERROR(INDEX($B$28:$E$31, MATCH($N40, $B$27:$E$27, 0), MATCH(L$33, $B$27:$E$27, 0)), 0)</f>
        <v/>
      </c>
      <c r="M40" s="21">
        <f>IFERROR(INDEX($B$28:$E$31, MATCH($N40, $B$27:$E$27, 0), MATCH(M$33, $B$27:$E$27, 0)), 0)</f>
        <v/>
      </c>
      <c r="N40" s="3" t="inlineStr">
        <is>
          <t>U4X</t>
        </is>
      </c>
    </row>
    <row r="41" ht="19.05" customHeight="1" s="52">
      <c r="B41" s="21">
        <f>IFERROR(INDEX($B$28:$E$31, MATCH($N41, $B$27:$E$27, 0), MATCH(B$33, $B$27:$E$27, 0)), 0)</f>
        <v/>
      </c>
      <c r="C41" s="21">
        <f>IFERROR(INDEX($B$28:$E$31, MATCH($N41, $B$27:$E$27, 0), MATCH(C$33, $B$27:$E$27, 0)), 0)</f>
        <v/>
      </c>
      <c r="D41" s="21">
        <f>IFERROR(INDEX($B$28:$E$31, MATCH($N41, $B$27:$E$27, 0), MATCH(D$33, $B$27:$E$27, 0)), 0)</f>
        <v/>
      </c>
      <c r="E41" s="21">
        <f>IFERROR(INDEX($B$28:$E$31, MATCH($N41, $B$27:$E$27, 0), MATCH(E$33, $B$27:$E$27, 0)), 0)</f>
        <v/>
      </c>
      <c r="F41" s="21">
        <f>IFERROR(INDEX($B$28:$E$31, MATCH($N41, $B$27:$E$27, 0), MATCH(F$33, $B$27:$E$27, 0)), 0)</f>
        <v/>
      </c>
      <c r="G41" s="21">
        <f>IFERROR(INDEX($B$28:$E$31, MATCH($N41, $B$27:$E$27, 0), MATCH(G$33, $B$27:$E$27, 0)), 0)</f>
        <v/>
      </c>
      <c r="H41" s="21">
        <f>IFERROR(INDEX($B$28:$E$31, MATCH($N41, $B$27:$E$27, 0), MATCH(H$33, $B$27:$E$27, 0)), 0)</f>
        <v/>
      </c>
      <c r="I41" s="21">
        <f>IFERROR(INDEX($B$28:$E$31, MATCH($N41, $B$27:$E$27, 0), MATCH(I$33, $B$27:$E$27, 0)), 0)</f>
        <v/>
      </c>
      <c r="J41" s="21">
        <f>IFERROR(INDEX($B$28:$E$31, MATCH($N41, $B$27:$E$27, 0), MATCH(J$33, $B$27:$E$27, 0)), 0)</f>
        <v/>
      </c>
      <c r="K41" s="21">
        <f>IFERROR(INDEX($B$28:$E$31, MATCH($N41, $B$27:$E$27, 0), MATCH(K$33, $B$27:$E$27, 0)), 0)</f>
        <v/>
      </c>
      <c r="L41" s="21">
        <f>IFERROR(INDEX($B$28:$E$31, MATCH($N41, $B$27:$E$27, 0), MATCH(L$33, $B$27:$E$27, 0)), 0)</f>
        <v/>
      </c>
      <c r="M41" s="21">
        <f>IFERROR(INDEX($B$28:$E$31, MATCH($N41, $B$27:$E$27, 0), MATCH(M$33, $B$27:$E$27, 0)), 0)</f>
        <v/>
      </c>
      <c r="N41" s="3" t="inlineStr">
        <is>
          <t>U4Y</t>
        </is>
      </c>
    </row>
    <row r="42" ht="19.05" customHeight="1" s="52">
      <c r="B42" s="21">
        <f>IFERROR(INDEX($B$28:$E$31, MATCH($N42, $B$27:$E$27, 0), MATCH(B$33, $B$27:$E$27, 0)), 0)</f>
        <v/>
      </c>
      <c r="C42" s="21">
        <f>IFERROR(INDEX($B$28:$E$31, MATCH($N42, $B$27:$E$27, 0), MATCH(C$33, $B$27:$E$27, 0)), 0)</f>
        <v/>
      </c>
      <c r="D42" s="21">
        <f>IFERROR(INDEX($B$28:$E$31, MATCH($N42, $B$27:$E$27, 0), MATCH(D$33, $B$27:$E$27, 0)), 0)</f>
        <v/>
      </c>
      <c r="E42" s="21">
        <f>IFERROR(INDEX($B$28:$E$31, MATCH($N42, $B$27:$E$27, 0), MATCH(E$33, $B$27:$E$27, 0)), 0)</f>
        <v/>
      </c>
      <c r="F42" s="21">
        <f>IFERROR(INDEX($B$28:$E$31, MATCH($N42, $B$27:$E$27, 0), MATCH(F$33, $B$27:$E$27, 0)), 0)</f>
        <v/>
      </c>
      <c r="G42" s="21">
        <f>IFERROR(INDEX($B$28:$E$31, MATCH($N42, $B$27:$E$27, 0), MATCH(G$33, $B$27:$E$27, 0)), 0)</f>
        <v/>
      </c>
      <c r="H42" s="21">
        <f>IFERROR(INDEX($B$28:$E$31, MATCH($N42, $B$27:$E$27, 0), MATCH(H$33, $B$27:$E$27, 0)), 0)</f>
        <v/>
      </c>
      <c r="I42" s="21">
        <f>IFERROR(INDEX($B$28:$E$31, MATCH($N42, $B$27:$E$27, 0), MATCH(I$33, $B$27:$E$27, 0)), 0)</f>
        <v/>
      </c>
      <c r="J42" s="21">
        <f>IFERROR(INDEX($B$28:$E$31, MATCH($N42, $B$27:$E$27, 0), MATCH(J$33, $B$27:$E$27, 0)), 0)</f>
        <v/>
      </c>
      <c r="K42" s="21">
        <f>IFERROR(INDEX($B$28:$E$31, MATCH($N42, $B$27:$E$27, 0), MATCH(K$33, $B$27:$E$27, 0)), 0)</f>
        <v/>
      </c>
      <c r="L42" s="21">
        <f>IFERROR(INDEX($B$28:$E$31, MATCH($N42, $B$27:$E$27, 0), MATCH(L$33, $B$27:$E$27, 0)), 0)</f>
        <v/>
      </c>
      <c r="M42" s="21">
        <f>IFERROR(INDEX($B$28:$E$31, MATCH($N42, $B$27:$E$27, 0), MATCH(M$33, $B$27:$E$27, 0)), 0)</f>
        <v/>
      </c>
      <c r="N42" s="3" t="inlineStr">
        <is>
          <t>U5X</t>
        </is>
      </c>
    </row>
    <row r="43" ht="19.05" customHeight="1" s="52">
      <c r="B43" s="21">
        <f>IFERROR(INDEX($B$28:$E$31, MATCH($N43, $B$27:$E$27, 0), MATCH(B$33, $B$27:$E$27, 0)), 0)</f>
        <v/>
      </c>
      <c r="C43" s="21">
        <f>IFERROR(INDEX($B$28:$E$31, MATCH($N43, $B$27:$E$27, 0), MATCH(C$33, $B$27:$E$27, 0)), 0)</f>
        <v/>
      </c>
      <c r="D43" s="21">
        <f>IFERROR(INDEX($B$28:$E$31, MATCH($N43, $B$27:$E$27, 0), MATCH(D$33, $B$27:$E$27, 0)), 0)</f>
        <v/>
      </c>
      <c r="E43" s="21">
        <f>IFERROR(INDEX($B$28:$E$31, MATCH($N43, $B$27:$E$27, 0), MATCH(E$33, $B$27:$E$27, 0)), 0)</f>
        <v/>
      </c>
      <c r="F43" s="21">
        <f>IFERROR(INDEX($B$28:$E$31, MATCH($N43, $B$27:$E$27, 0), MATCH(F$33, $B$27:$E$27, 0)), 0)</f>
        <v/>
      </c>
      <c r="G43" s="21">
        <f>IFERROR(INDEX($B$28:$E$31, MATCH($N43, $B$27:$E$27, 0), MATCH(G$33, $B$27:$E$27, 0)), 0)</f>
        <v/>
      </c>
      <c r="H43" s="21">
        <f>IFERROR(INDEX($B$28:$E$31, MATCH($N43, $B$27:$E$27, 0), MATCH(H$33, $B$27:$E$27, 0)), 0)</f>
        <v/>
      </c>
      <c r="I43" s="21">
        <f>IFERROR(INDEX($B$28:$E$31, MATCH($N43, $B$27:$E$27, 0), MATCH(I$33, $B$27:$E$27, 0)), 0)</f>
        <v/>
      </c>
      <c r="J43" s="21">
        <f>IFERROR(INDEX($B$28:$E$31, MATCH($N43, $B$27:$E$27, 0), MATCH(J$33, $B$27:$E$27, 0)), 0)</f>
        <v/>
      </c>
      <c r="K43" s="21">
        <f>IFERROR(INDEX($B$28:$E$31, MATCH($N43, $B$27:$E$27, 0), MATCH(K$33, $B$27:$E$27, 0)), 0)</f>
        <v/>
      </c>
      <c r="L43" s="21">
        <f>IFERROR(INDEX($B$28:$E$31, MATCH($N43, $B$27:$E$27, 0), MATCH(L$33, $B$27:$E$27, 0)), 0)</f>
        <v/>
      </c>
      <c r="M43" s="21">
        <f>IFERROR(INDEX($B$28:$E$31, MATCH($N43, $B$27:$E$27, 0), MATCH(M$33, $B$27:$E$27, 0)), 0)</f>
        <v/>
      </c>
      <c r="N43" s="3" t="inlineStr">
        <is>
          <t>U5Y</t>
        </is>
      </c>
    </row>
    <row r="44" ht="19.05" customHeight="1" s="52">
      <c r="B44" s="21">
        <f>IFERROR(INDEX($B$28:$E$31, MATCH($N44, $B$27:$E$27, 0), MATCH(B$33, $B$27:$E$27, 0)), 0)</f>
        <v/>
      </c>
      <c r="C44" s="21">
        <f>IFERROR(INDEX($B$28:$E$31, MATCH($N44, $B$27:$E$27, 0), MATCH(C$33, $B$27:$E$27, 0)), 0)</f>
        <v/>
      </c>
      <c r="D44" s="21">
        <f>IFERROR(INDEX($B$28:$E$31, MATCH($N44, $B$27:$E$27, 0), MATCH(D$33, $B$27:$E$27, 0)), 0)</f>
        <v/>
      </c>
      <c r="E44" s="21">
        <f>IFERROR(INDEX($B$28:$E$31, MATCH($N44, $B$27:$E$27, 0), MATCH(E$33, $B$27:$E$27, 0)), 0)</f>
        <v/>
      </c>
      <c r="F44" s="21">
        <f>IFERROR(INDEX($B$28:$E$31, MATCH($N44, $B$27:$E$27, 0), MATCH(F$33, $B$27:$E$27, 0)), 0)</f>
        <v/>
      </c>
      <c r="G44" s="21">
        <f>IFERROR(INDEX($B$28:$E$31, MATCH($N44, $B$27:$E$27, 0), MATCH(G$33, $B$27:$E$27, 0)), 0)</f>
        <v/>
      </c>
      <c r="H44" s="21">
        <f>IFERROR(INDEX($B$28:$E$31, MATCH($N44, $B$27:$E$27, 0), MATCH(H$33, $B$27:$E$27, 0)), 0)</f>
        <v/>
      </c>
      <c r="I44" s="21">
        <f>IFERROR(INDEX($B$28:$E$31, MATCH($N44, $B$27:$E$27, 0), MATCH(I$33, $B$27:$E$27, 0)), 0)</f>
        <v/>
      </c>
      <c r="J44" s="21">
        <f>IFERROR(INDEX($B$28:$E$31, MATCH($N44, $B$27:$E$27, 0), MATCH(J$33, $B$27:$E$27, 0)), 0)</f>
        <v/>
      </c>
      <c r="K44" s="21">
        <f>IFERROR(INDEX($B$28:$E$31, MATCH($N44, $B$27:$E$27, 0), MATCH(K$33, $B$27:$E$27, 0)), 0)</f>
        <v/>
      </c>
      <c r="L44" s="21">
        <f>IFERROR(INDEX($B$28:$E$31, MATCH($N44, $B$27:$E$27, 0), MATCH(L$33, $B$27:$E$27, 0)), 0)</f>
        <v/>
      </c>
      <c r="M44" s="21">
        <f>IFERROR(INDEX($B$28:$E$31, MATCH($N44, $B$27:$E$27, 0), MATCH(M$33, $B$27:$E$27, 0)), 0)</f>
        <v/>
      </c>
      <c r="N44" s="3" t="inlineStr">
        <is>
          <t>U6X</t>
        </is>
      </c>
    </row>
    <row r="45" ht="19.05" customHeight="1" s="52">
      <c r="B45" s="21">
        <f>IFERROR(INDEX($B$28:$E$31, MATCH($N45, $B$27:$E$27, 0), MATCH(B$33, $B$27:$E$27, 0)), 0)</f>
        <v/>
      </c>
      <c r="C45" s="21">
        <f>IFERROR(INDEX($B$28:$E$31, MATCH($N45, $B$27:$E$27, 0), MATCH(C$33, $B$27:$E$27, 0)), 0)</f>
        <v/>
      </c>
      <c r="D45" s="21">
        <f>IFERROR(INDEX($B$28:$E$31, MATCH($N45, $B$27:$E$27, 0), MATCH(D$33, $B$27:$E$27, 0)), 0)</f>
        <v/>
      </c>
      <c r="E45" s="21">
        <f>IFERROR(INDEX($B$28:$E$31, MATCH($N45, $B$27:$E$27, 0), MATCH(E$33, $B$27:$E$27, 0)), 0)</f>
        <v/>
      </c>
      <c r="F45" s="21">
        <f>IFERROR(INDEX($B$28:$E$31, MATCH($N45, $B$27:$E$27, 0), MATCH(F$33, $B$27:$E$27, 0)), 0)</f>
        <v/>
      </c>
      <c r="G45" s="21">
        <f>IFERROR(INDEX($B$28:$E$31, MATCH($N45, $B$27:$E$27, 0), MATCH(G$33, $B$27:$E$27, 0)), 0)</f>
        <v/>
      </c>
      <c r="H45" s="21">
        <f>IFERROR(INDEX($B$28:$E$31, MATCH($N45, $B$27:$E$27, 0), MATCH(H$33, $B$27:$E$27, 0)), 0)</f>
        <v/>
      </c>
      <c r="I45" s="21">
        <f>IFERROR(INDEX($B$28:$E$31, MATCH($N45, $B$27:$E$27, 0), MATCH(I$33, $B$27:$E$27, 0)), 0)</f>
        <v/>
      </c>
      <c r="J45" s="21">
        <f>IFERROR(INDEX($B$28:$E$31, MATCH($N45, $B$27:$E$27, 0), MATCH(J$33, $B$27:$E$27, 0)), 0)</f>
        <v/>
      </c>
      <c r="K45" s="21">
        <f>IFERROR(INDEX($B$28:$E$31, MATCH($N45, $B$27:$E$27, 0), MATCH(K$33, $B$27:$E$27, 0)), 0)</f>
        <v/>
      </c>
      <c r="L45" s="21">
        <f>IFERROR(INDEX($B$28:$E$31, MATCH($N45, $B$27:$E$27, 0), MATCH(L$33, $B$27:$E$27, 0)), 0)</f>
        <v/>
      </c>
      <c r="M45" s="21">
        <f>IFERROR(INDEX($B$28:$E$31, MATCH($N45, $B$27:$E$27, 0), MATCH(M$33, $B$27:$E$27, 0)), 0)</f>
        <v/>
      </c>
      <c r="N45" s="3" t="inlineStr">
        <is>
          <t>U6Y</t>
        </is>
      </c>
    </row>
    <row r="48" ht="19.05" customHeight="1" s="52">
      <c r="A48" s="19" t="inlineStr">
        <is>
          <t>k2=</t>
        </is>
      </c>
      <c r="B48" s="56">
        <f>IF(D18="","-",D18)</f>
        <v/>
      </c>
      <c r="C48" s="56">
        <f>IF(E18="","-",E18)</f>
        <v/>
      </c>
      <c r="D48" s="56">
        <f>IF(G18="","-",G18)</f>
        <v/>
      </c>
      <c r="E48" s="56">
        <f>IF(H18="","-",H18)</f>
        <v/>
      </c>
    </row>
    <row r="49" ht="18" customHeight="1" s="52">
      <c r="B49" s="22">
        <f>IF(N7=0, 0, N7*J7*J7)</f>
        <v/>
      </c>
      <c r="C49" s="22">
        <f>IF(N7=0, 0, N7*J7*K7)</f>
        <v/>
      </c>
      <c r="D49" s="22">
        <f>IF(N7=0, 0, -N7*J7*J7)</f>
        <v/>
      </c>
      <c r="E49" s="22">
        <f>IF(N7=0, 0, -N7*J7*K7)</f>
        <v/>
      </c>
      <c r="F49" s="56">
        <f>IF(D18="","-",D18)</f>
        <v/>
      </c>
    </row>
    <row r="50" ht="18" customHeight="1" s="52">
      <c r="B50" s="22">
        <f>IF(N7=0, 0, N7*J7*K7)</f>
        <v/>
      </c>
      <c r="C50" s="22">
        <f>IF(N7=0, 0, N7*K7*K7)</f>
        <v/>
      </c>
      <c r="D50" s="22">
        <f>IF(N7=0, 0, -N7*J7*K7)</f>
        <v/>
      </c>
      <c r="E50" s="22">
        <f>IF(N7=0, 0, -N7*K7*K7)</f>
        <v/>
      </c>
      <c r="F50" s="56">
        <f>IF(E18="","-",E18)</f>
        <v/>
      </c>
    </row>
    <row r="51" ht="18" customHeight="1" s="52">
      <c r="B51" s="22">
        <f>IF(N7=0, 0, -N7*J7*J7)</f>
        <v/>
      </c>
      <c r="C51" s="22">
        <f>IF(N7=0, 0, -N7*J7*K7)</f>
        <v/>
      </c>
      <c r="D51" s="22">
        <f>IF(N7=0, 0, N7*J7*J7)</f>
        <v/>
      </c>
      <c r="E51" s="22">
        <f>IF(N7=0, 0, N7*J7*K7)</f>
        <v/>
      </c>
      <c r="F51" s="56">
        <f>IF(G18="","-",G18)</f>
        <v/>
      </c>
    </row>
    <row r="52" ht="18" customHeight="1" s="52">
      <c r="B52" s="22">
        <f>IF(N7=0, 0, -N7*J7*K7)</f>
        <v/>
      </c>
      <c r="C52" s="22">
        <f>IF(N7=0, 0, -N7*K7*K7)</f>
        <v/>
      </c>
      <c r="D52" s="22">
        <f>IF(N7=0, 0, N7*J7*K7)</f>
        <v/>
      </c>
      <c r="E52" s="22">
        <f>IF(N7=0, 0, N7*K7*K7)</f>
        <v/>
      </c>
      <c r="F52" s="56">
        <f>IF(H18="","-",H18)</f>
        <v/>
      </c>
    </row>
    <row r="54" ht="19.05" customHeight="1" s="52">
      <c r="B54" s="54" t="inlineStr">
        <is>
          <t>U1X</t>
        </is>
      </c>
      <c r="C54" s="54" t="inlineStr">
        <is>
          <t>U1Y</t>
        </is>
      </c>
      <c r="D54" s="54" t="inlineStr">
        <is>
          <t>U2X</t>
        </is>
      </c>
      <c r="E54" s="54" t="inlineStr">
        <is>
          <t>U2Y</t>
        </is>
      </c>
      <c r="F54" s="54" t="inlineStr">
        <is>
          <t>U3X</t>
        </is>
      </c>
      <c r="G54" s="54" t="inlineStr">
        <is>
          <t>U3Y</t>
        </is>
      </c>
      <c r="H54" s="54" t="inlineStr">
        <is>
          <t>U4X</t>
        </is>
      </c>
      <c r="I54" s="54" t="inlineStr">
        <is>
          <t>U4Y</t>
        </is>
      </c>
      <c r="J54" s="54" t="inlineStr">
        <is>
          <t>U5X</t>
        </is>
      </c>
      <c r="K54" s="54" t="inlineStr">
        <is>
          <t>U5Y</t>
        </is>
      </c>
      <c r="L54" s="54" t="inlineStr">
        <is>
          <t>U6X</t>
        </is>
      </c>
      <c r="M54" s="54" t="inlineStr">
        <is>
          <t>U6Y</t>
        </is>
      </c>
    </row>
    <row r="55" ht="19.05" customHeight="1" s="52">
      <c r="B55" s="21">
        <f>IFERROR(INDEX($B$49:$E$52, MATCH($N55, $B$48:$E$48, 0), MATCH(B$54, $B$48:$E$48, 0)), 0)</f>
        <v/>
      </c>
      <c r="C55" s="21">
        <f>IFERROR(INDEX($B$49:$E$52, MATCH($N55, $B$48:$E$48, 0), MATCH(C$54, $B$48:$E$48, 0)), 0)</f>
        <v/>
      </c>
      <c r="D55" s="21">
        <f>IFERROR(INDEX($B$49:$E$52, MATCH($N55, $B$48:$E$48, 0), MATCH(D$54, $B$48:$E$48, 0)), 0)</f>
        <v/>
      </c>
      <c r="E55" s="21">
        <f>IFERROR(INDEX($B$49:$E$52, MATCH($N55, $B$48:$E$48, 0), MATCH(E$54, $B$48:$E$48, 0)), 0)</f>
        <v/>
      </c>
      <c r="F55" s="21">
        <f>IFERROR(INDEX($B$49:$E$52, MATCH($N55, $B$48:$E$48, 0), MATCH(F$54, $B$48:$E$48, 0)), 0)</f>
        <v/>
      </c>
      <c r="G55" s="21">
        <f>IFERROR(INDEX($B$49:$E$52, MATCH($N55, $B$48:$E$48, 0), MATCH(G$54, $B$48:$E$48, 0)), 0)</f>
        <v/>
      </c>
      <c r="H55" s="21">
        <f>IFERROR(INDEX($B$49:$E$52, MATCH($N55, $B$48:$E$48, 0), MATCH(H$54, $B$48:$E$48, 0)), 0)</f>
        <v/>
      </c>
      <c r="I55" s="21">
        <f>IFERROR(INDEX($B$49:$E$52, MATCH($N55, $B$48:$E$48, 0), MATCH(I$54, $B$48:$E$48, 0)), 0)</f>
        <v/>
      </c>
      <c r="J55" s="21">
        <f>IFERROR(INDEX($B$49:$E$52, MATCH($N55, $B$48:$E$48, 0), MATCH(J$54, $B$48:$E$48, 0)), 0)</f>
        <v/>
      </c>
      <c r="K55" s="21">
        <f>IFERROR(INDEX($B$49:$E$52, MATCH($N55, $B$48:$E$48, 0), MATCH(K$54, $B$48:$E$48, 0)), 0)</f>
        <v/>
      </c>
      <c r="L55" s="21">
        <f>IFERROR(INDEX($B$49:$E$52, MATCH($N55, $B$48:$E$48, 0), MATCH(L$54, $B$48:$E$48, 0)), 0)</f>
        <v/>
      </c>
      <c r="M55" s="21">
        <f>IFERROR(INDEX($B$49:$E$52, MATCH($N55, $B$48:$E$48, 0), MATCH(M$54, $B$48:$E$48, 0)), 0)</f>
        <v/>
      </c>
      <c r="N55" s="56" t="inlineStr">
        <is>
          <t>U1X</t>
        </is>
      </c>
    </row>
    <row r="56" ht="19.05" customHeight="1" s="52">
      <c r="B56" s="21">
        <f>IFERROR(INDEX($B$49:$E$52, MATCH($N56, $B$48:$E$48, 0), MATCH(B$54, $B$48:$E$48, 0)), 0)</f>
        <v/>
      </c>
      <c r="C56" s="21">
        <f>IFERROR(INDEX($B$49:$E$52, MATCH($N56, $B$48:$E$48, 0), MATCH(C$54, $B$48:$E$48, 0)), 0)</f>
        <v/>
      </c>
      <c r="D56" s="21">
        <f>IFERROR(INDEX($B$49:$E$52, MATCH($N56, $B$48:$E$48, 0), MATCH(D$54, $B$48:$E$48, 0)), 0)</f>
        <v/>
      </c>
      <c r="E56" s="21">
        <f>IFERROR(INDEX($B$49:$E$52, MATCH($N56, $B$48:$E$48, 0), MATCH(E$54, $B$48:$E$48, 0)), 0)</f>
        <v/>
      </c>
      <c r="F56" s="21">
        <f>IFERROR(INDEX($B$49:$E$52, MATCH($N56, $B$48:$E$48, 0), MATCH(F$54, $B$48:$E$48, 0)), 0)</f>
        <v/>
      </c>
      <c r="G56" s="21">
        <f>IFERROR(INDEX($B$49:$E$52, MATCH($N56, $B$48:$E$48, 0), MATCH(G$54, $B$48:$E$48, 0)), 0)</f>
        <v/>
      </c>
      <c r="H56" s="21">
        <f>IFERROR(INDEX($B$49:$E$52, MATCH($N56, $B$48:$E$48, 0), MATCH(H$54, $B$48:$E$48, 0)), 0)</f>
        <v/>
      </c>
      <c r="I56" s="21">
        <f>IFERROR(INDEX($B$49:$E$52, MATCH($N56, $B$48:$E$48, 0), MATCH(I$54, $B$48:$E$48, 0)), 0)</f>
        <v/>
      </c>
      <c r="J56" s="21">
        <f>IFERROR(INDEX($B$49:$E$52, MATCH($N56, $B$48:$E$48, 0), MATCH(J$54, $B$48:$E$48, 0)), 0)</f>
        <v/>
      </c>
      <c r="K56" s="21">
        <f>IFERROR(INDEX($B$49:$E$52, MATCH($N56, $B$48:$E$48, 0), MATCH(K$54, $B$48:$E$48, 0)), 0)</f>
        <v/>
      </c>
      <c r="L56" s="21">
        <f>IFERROR(INDEX($B$49:$E$52, MATCH($N56, $B$48:$E$48, 0), MATCH(L$54, $B$48:$E$48, 0)), 0)</f>
        <v/>
      </c>
      <c r="M56" s="21">
        <f>IFERROR(INDEX($B$49:$E$52, MATCH($N56, $B$48:$E$48, 0), MATCH(M$54, $B$48:$E$48, 0)), 0)</f>
        <v/>
      </c>
      <c r="N56" s="56" t="inlineStr">
        <is>
          <t>U1Y</t>
        </is>
      </c>
    </row>
    <row r="57" ht="19.05" customHeight="1" s="52">
      <c r="B57" s="21">
        <f>IFERROR(INDEX($B$49:$E$52, MATCH($N57, $B$48:$E$48, 0), MATCH(B$54, $B$48:$E$48, 0)), 0)</f>
        <v/>
      </c>
      <c r="C57" s="21">
        <f>IFERROR(INDEX($B$49:$E$52, MATCH($N57, $B$48:$E$48, 0), MATCH(C$54, $B$48:$E$48, 0)), 0)</f>
        <v/>
      </c>
      <c r="D57" s="21">
        <f>IFERROR(INDEX($B$49:$E$52, MATCH($N57, $B$48:$E$48, 0), MATCH(D$54, $B$48:$E$48, 0)), 0)</f>
        <v/>
      </c>
      <c r="E57" s="21">
        <f>IFERROR(INDEX($B$49:$E$52, MATCH($N57, $B$48:$E$48, 0), MATCH(E$54, $B$48:$E$48, 0)), 0)</f>
        <v/>
      </c>
      <c r="F57" s="21">
        <f>IFERROR(INDEX($B$49:$E$52, MATCH($N57, $B$48:$E$48, 0), MATCH(F$54, $B$48:$E$48, 0)), 0)</f>
        <v/>
      </c>
      <c r="G57" s="21">
        <f>IFERROR(INDEX($B$49:$E$52, MATCH($N57, $B$48:$E$48, 0), MATCH(G$54, $B$48:$E$48, 0)), 0)</f>
        <v/>
      </c>
      <c r="H57" s="21">
        <f>IFERROR(INDEX($B$49:$E$52, MATCH($N57, $B$48:$E$48, 0), MATCH(H$54, $B$48:$E$48, 0)), 0)</f>
        <v/>
      </c>
      <c r="I57" s="21">
        <f>IFERROR(INDEX($B$49:$E$52, MATCH($N57, $B$48:$E$48, 0), MATCH(I$54, $B$48:$E$48, 0)), 0)</f>
        <v/>
      </c>
      <c r="J57" s="21">
        <f>IFERROR(INDEX($B$49:$E$52, MATCH($N57, $B$48:$E$48, 0), MATCH(J$54, $B$48:$E$48, 0)), 0)</f>
        <v/>
      </c>
      <c r="K57" s="21">
        <f>IFERROR(INDEX($B$49:$E$52, MATCH($N57, $B$48:$E$48, 0), MATCH(K$54, $B$48:$E$48, 0)), 0)</f>
        <v/>
      </c>
      <c r="L57" s="21">
        <f>IFERROR(INDEX($B$49:$E$52, MATCH($N57, $B$48:$E$48, 0), MATCH(L$54, $B$48:$E$48, 0)), 0)</f>
        <v/>
      </c>
      <c r="M57" s="21">
        <f>IFERROR(INDEX($B$49:$E$52, MATCH($N57, $B$48:$E$48, 0), MATCH(M$54, $B$48:$E$48, 0)), 0)</f>
        <v/>
      </c>
      <c r="N57" s="56" t="inlineStr">
        <is>
          <t>U2X</t>
        </is>
      </c>
    </row>
    <row r="58" ht="19.05" customHeight="1" s="52">
      <c r="B58" s="21">
        <f>IFERROR(INDEX($B$49:$E$52, MATCH($N58, $B$48:$E$48, 0), MATCH(B$54, $B$48:$E$48, 0)), 0)</f>
        <v/>
      </c>
      <c r="C58" s="21">
        <f>IFERROR(INDEX($B$49:$E$52, MATCH($N58, $B$48:$E$48, 0), MATCH(C$54, $B$48:$E$48, 0)), 0)</f>
        <v/>
      </c>
      <c r="D58" s="21">
        <f>IFERROR(INDEX($B$49:$E$52, MATCH($N58, $B$48:$E$48, 0), MATCH(D$54, $B$48:$E$48, 0)), 0)</f>
        <v/>
      </c>
      <c r="E58" s="21">
        <f>IFERROR(INDEX($B$49:$E$52, MATCH($N58, $B$48:$E$48, 0), MATCH(E$54, $B$48:$E$48, 0)), 0)</f>
        <v/>
      </c>
      <c r="F58" s="21">
        <f>IFERROR(INDEX($B$49:$E$52, MATCH($N58, $B$48:$E$48, 0), MATCH(F$54, $B$48:$E$48, 0)), 0)</f>
        <v/>
      </c>
      <c r="G58" s="21">
        <f>IFERROR(INDEX($B$49:$E$52, MATCH($N58, $B$48:$E$48, 0), MATCH(G$54, $B$48:$E$48, 0)), 0)</f>
        <v/>
      </c>
      <c r="H58" s="21">
        <f>IFERROR(INDEX($B$49:$E$52, MATCH($N58, $B$48:$E$48, 0), MATCH(H$54, $B$48:$E$48, 0)), 0)</f>
        <v/>
      </c>
      <c r="I58" s="21">
        <f>IFERROR(INDEX($B$49:$E$52, MATCH($N58, $B$48:$E$48, 0), MATCH(I$54, $B$48:$E$48, 0)), 0)</f>
        <v/>
      </c>
      <c r="J58" s="21">
        <f>IFERROR(INDEX($B$49:$E$52, MATCH($N58, $B$48:$E$48, 0), MATCH(J$54, $B$48:$E$48, 0)), 0)</f>
        <v/>
      </c>
      <c r="K58" s="21">
        <f>IFERROR(INDEX($B$49:$E$52, MATCH($N58, $B$48:$E$48, 0), MATCH(K$54, $B$48:$E$48, 0)), 0)</f>
        <v/>
      </c>
      <c r="L58" s="21">
        <f>IFERROR(INDEX($B$49:$E$52, MATCH($N58, $B$48:$E$48, 0), MATCH(L$54, $B$48:$E$48, 0)), 0)</f>
        <v/>
      </c>
      <c r="M58" s="21">
        <f>IFERROR(INDEX($B$49:$E$52, MATCH($N58, $B$48:$E$48, 0), MATCH(M$54, $B$48:$E$48, 0)), 0)</f>
        <v/>
      </c>
      <c r="N58" s="56" t="inlineStr">
        <is>
          <t>U2Y</t>
        </is>
      </c>
    </row>
    <row r="59" ht="19.05" customHeight="1" s="52">
      <c r="B59" s="21">
        <f>IFERROR(INDEX($B$49:$E$52, MATCH($N59, $B$48:$E$48, 0), MATCH(B$54, $B$48:$E$48, 0)), 0)</f>
        <v/>
      </c>
      <c r="C59" s="21">
        <f>IFERROR(INDEX($B$49:$E$52, MATCH($N59, $B$48:$E$48, 0), MATCH(C$54, $B$48:$E$48, 0)), 0)</f>
        <v/>
      </c>
      <c r="D59" s="21">
        <f>IFERROR(INDEX($B$49:$E$52, MATCH($N59, $B$48:$E$48, 0), MATCH(D$54, $B$48:$E$48, 0)), 0)</f>
        <v/>
      </c>
      <c r="E59" s="21">
        <f>IFERROR(INDEX($B$49:$E$52, MATCH($N59, $B$48:$E$48, 0), MATCH(E$54, $B$48:$E$48, 0)), 0)</f>
        <v/>
      </c>
      <c r="F59" s="21">
        <f>IFERROR(INDEX($B$49:$E$52, MATCH($N59, $B$48:$E$48, 0), MATCH(F$54, $B$48:$E$48, 0)), 0)</f>
        <v/>
      </c>
      <c r="G59" s="21">
        <f>IFERROR(INDEX($B$49:$E$52, MATCH($N59, $B$48:$E$48, 0), MATCH(G$54, $B$48:$E$48, 0)), 0)</f>
        <v/>
      </c>
      <c r="H59" s="21">
        <f>IFERROR(INDEX($B$49:$E$52, MATCH($N59, $B$48:$E$48, 0), MATCH(H$54, $B$48:$E$48, 0)), 0)</f>
        <v/>
      </c>
      <c r="I59" s="21">
        <f>IFERROR(INDEX($B$49:$E$52, MATCH($N59, $B$48:$E$48, 0), MATCH(I$54, $B$48:$E$48, 0)), 0)</f>
        <v/>
      </c>
      <c r="J59" s="21">
        <f>IFERROR(INDEX($B$49:$E$52, MATCH($N59, $B$48:$E$48, 0), MATCH(J$54, $B$48:$E$48, 0)), 0)</f>
        <v/>
      </c>
      <c r="K59" s="21">
        <f>IFERROR(INDEX($B$49:$E$52, MATCH($N59, $B$48:$E$48, 0), MATCH(K$54, $B$48:$E$48, 0)), 0)</f>
        <v/>
      </c>
      <c r="L59" s="21">
        <f>IFERROR(INDEX($B$49:$E$52, MATCH($N59, $B$48:$E$48, 0), MATCH(L$54, $B$48:$E$48, 0)), 0)</f>
        <v/>
      </c>
      <c r="M59" s="21">
        <f>IFERROR(INDEX($B$49:$E$52, MATCH($N59, $B$48:$E$48, 0), MATCH(M$54, $B$48:$E$48, 0)), 0)</f>
        <v/>
      </c>
      <c r="N59" s="56" t="inlineStr">
        <is>
          <t>U3X</t>
        </is>
      </c>
    </row>
    <row r="60" ht="19.05" customHeight="1" s="52">
      <c r="A60" s="19" t="inlineStr">
        <is>
          <t>K2=</t>
        </is>
      </c>
      <c r="B60" s="21">
        <f>IFERROR(INDEX($B$49:$E$52, MATCH($N60, $B$48:$E$48, 0), MATCH(B$54, $B$48:$E$48, 0)), 0)</f>
        <v/>
      </c>
      <c r="C60" s="21">
        <f>IFERROR(INDEX($B$49:$E$52, MATCH($N60, $B$48:$E$48, 0), MATCH(C$54, $B$48:$E$48, 0)), 0)</f>
        <v/>
      </c>
      <c r="D60" s="21">
        <f>IFERROR(INDEX($B$49:$E$52, MATCH($N60, $B$48:$E$48, 0), MATCH(D$54, $B$48:$E$48, 0)), 0)</f>
        <v/>
      </c>
      <c r="E60" s="21">
        <f>IFERROR(INDEX($B$49:$E$52, MATCH($N60, $B$48:$E$48, 0), MATCH(E$54, $B$48:$E$48, 0)), 0)</f>
        <v/>
      </c>
      <c r="F60" s="21">
        <f>IFERROR(INDEX($B$49:$E$52, MATCH($N60, $B$48:$E$48, 0), MATCH(F$54, $B$48:$E$48, 0)), 0)</f>
        <v/>
      </c>
      <c r="G60" s="21">
        <f>IFERROR(INDEX($B$49:$E$52, MATCH($N60, $B$48:$E$48, 0), MATCH(G$54, $B$48:$E$48, 0)), 0)</f>
        <v/>
      </c>
      <c r="H60" s="21">
        <f>IFERROR(INDEX($B$49:$E$52, MATCH($N60, $B$48:$E$48, 0), MATCH(H$54, $B$48:$E$48, 0)), 0)</f>
        <v/>
      </c>
      <c r="I60" s="21">
        <f>IFERROR(INDEX($B$49:$E$52, MATCH($N60, $B$48:$E$48, 0), MATCH(I$54, $B$48:$E$48, 0)), 0)</f>
        <v/>
      </c>
      <c r="J60" s="21">
        <f>IFERROR(INDEX($B$49:$E$52, MATCH($N60, $B$48:$E$48, 0), MATCH(J$54, $B$48:$E$48, 0)), 0)</f>
        <v/>
      </c>
      <c r="K60" s="21">
        <f>IFERROR(INDEX($B$49:$E$52, MATCH($N60, $B$48:$E$48, 0), MATCH(K$54, $B$48:$E$48, 0)), 0)</f>
        <v/>
      </c>
      <c r="L60" s="21">
        <f>IFERROR(INDEX($B$49:$E$52, MATCH($N60, $B$48:$E$48, 0), MATCH(L$54, $B$48:$E$48, 0)), 0)</f>
        <v/>
      </c>
      <c r="M60" s="21">
        <f>IFERROR(INDEX($B$49:$E$52, MATCH($N60, $B$48:$E$48, 0), MATCH(M$54, $B$48:$E$48, 0)), 0)</f>
        <v/>
      </c>
      <c r="N60" s="56" t="inlineStr">
        <is>
          <t>U3Y</t>
        </is>
      </c>
    </row>
    <row r="61" ht="19.05" customHeight="1" s="52">
      <c r="B61" s="21">
        <f>IFERROR(INDEX($B$49:$E$52, MATCH($N61, $B$48:$E$48, 0), MATCH(B$54, $B$48:$E$48, 0)), 0)</f>
        <v/>
      </c>
      <c r="C61" s="21">
        <f>IFERROR(INDEX($B$49:$E$52, MATCH($N61, $B$48:$E$48, 0), MATCH(C$54, $B$48:$E$48, 0)), 0)</f>
        <v/>
      </c>
      <c r="D61" s="21">
        <f>IFERROR(INDEX($B$49:$E$52, MATCH($N61, $B$48:$E$48, 0), MATCH(D$54, $B$48:$E$48, 0)), 0)</f>
        <v/>
      </c>
      <c r="E61" s="21">
        <f>IFERROR(INDEX($B$49:$E$52, MATCH($N61, $B$48:$E$48, 0), MATCH(E$54, $B$48:$E$48, 0)), 0)</f>
        <v/>
      </c>
      <c r="F61" s="21">
        <f>IFERROR(INDEX($B$49:$E$52, MATCH($N61, $B$48:$E$48, 0), MATCH(F$54, $B$48:$E$48, 0)), 0)</f>
        <v/>
      </c>
      <c r="G61" s="21">
        <f>IFERROR(INDEX($B$49:$E$52, MATCH($N61, $B$48:$E$48, 0), MATCH(G$54, $B$48:$E$48, 0)), 0)</f>
        <v/>
      </c>
      <c r="H61" s="21">
        <f>IFERROR(INDEX($B$49:$E$52, MATCH($N61, $B$48:$E$48, 0), MATCH(H$54, $B$48:$E$48, 0)), 0)</f>
        <v/>
      </c>
      <c r="I61" s="21">
        <f>IFERROR(INDEX($B$49:$E$52, MATCH($N61, $B$48:$E$48, 0), MATCH(I$54, $B$48:$E$48, 0)), 0)</f>
        <v/>
      </c>
      <c r="J61" s="21">
        <f>IFERROR(INDEX($B$49:$E$52, MATCH($N61, $B$48:$E$48, 0), MATCH(J$54, $B$48:$E$48, 0)), 0)</f>
        <v/>
      </c>
      <c r="K61" s="21">
        <f>IFERROR(INDEX($B$49:$E$52, MATCH($N61, $B$48:$E$48, 0), MATCH(K$54, $B$48:$E$48, 0)), 0)</f>
        <v/>
      </c>
      <c r="L61" s="21">
        <f>IFERROR(INDEX($B$49:$E$52, MATCH($N61, $B$48:$E$48, 0), MATCH(L$54, $B$48:$E$48, 0)), 0)</f>
        <v/>
      </c>
      <c r="M61" s="21">
        <f>IFERROR(INDEX($B$49:$E$52, MATCH($N61, $B$48:$E$48, 0), MATCH(M$54, $B$48:$E$48, 0)), 0)</f>
        <v/>
      </c>
      <c r="N61" s="56" t="inlineStr">
        <is>
          <t>U4X</t>
        </is>
      </c>
    </row>
    <row r="62" ht="19.05" customHeight="1" s="52">
      <c r="B62" s="21">
        <f>IFERROR(INDEX($B$49:$E$52, MATCH($N62, $B$48:$E$48, 0), MATCH(B$54, $B$48:$E$48, 0)), 0)</f>
        <v/>
      </c>
      <c r="C62" s="21">
        <f>IFERROR(INDEX($B$49:$E$52, MATCH($N62, $B$48:$E$48, 0), MATCH(C$54, $B$48:$E$48, 0)), 0)</f>
        <v/>
      </c>
      <c r="D62" s="21">
        <f>IFERROR(INDEX($B$49:$E$52, MATCH($N62, $B$48:$E$48, 0), MATCH(D$54, $B$48:$E$48, 0)), 0)</f>
        <v/>
      </c>
      <c r="E62" s="21">
        <f>IFERROR(INDEX($B$49:$E$52, MATCH($N62, $B$48:$E$48, 0), MATCH(E$54, $B$48:$E$48, 0)), 0)</f>
        <v/>
      </c>
      <c r="F62" s="21">
        <f>IFERROR(INDEX($B$49:$E$52, MATCH($N62, $B$48:$E$48, 0), MATCH(F$54, $B$48:$E$48, 0)), 0)</f>
        <v/>
      </c>
      <c r="G62" s="21">
        <f>IFERROR(INDEX($B$49:$E$52, MATCH($N62, $B$48:$E$48, 0), MATCH(G$54, $B$48:$E$48, 0)), 0)</f>
        <v/>
      </c>
      <c r="H62" s="21">
        <f>IFERROR(INDEX($B$49:$E$52, MATCH($N62, $B$48:$E$48, 0), MATCH(H$54, $B$48:$E$48, 0)), 0)</f>
        <v/>
      </c>
      <c r="I62" s="21">
        <f>IFERROR(INDEX($B$49:$E$52, MATCH($N62, $B$48:$E$48, 0), MATCH(I$54, $B$48:$E$48, 0)), 0)</f>
        <v/>
      </c>
      <c r="J62" s="21">
        <f>IFERROR(INDEX($B$49:$E$52, MATCH($N62, $B$48:$E$48, 0), MATCH(J$54, $B$48:$E$48, 0)), 0)</f>
        <v/>
      </c>
      <c r="K62" s="21">
        <f>IFERROR(INDEX($B$49:$E$52, MATCH($N62, $B$48:$E$48, 0), MATCH(K$54, $B$48:$E$48, 0)), 0)</f>
        <v/>
      </c>
      <c r="L62" s="21">
        <f>IFERROR(INDEX($B$49:$E$52, MATCH($N62, $B$48:$E$48, 0), MATCH(L$54, $B$48:$E$48, 0)), 0)</f>
        <v/>
      </c>
      <c r="M62" s="21">
        <f>IFERROR(INDEX($B$49:$E$52, MATCH($N62, $B$48:$E$48, 0), MATCH(M$54, $B$48:$E$48, 0)), 0)</f>
        <v/>
      </c>
      <c r="N62" s="56" t="inlineStr">
        <is>
          <t>U4Y</t>
        </is>
      </c>
    </row>
    <row r="63" ht="19.05" customHeight="1" s="52">
      <c r="B63" s="21">
        <f>IFERROR(INDEX($B$49:$E$52, MATCH($N63, $B$48:$E$48, 0), MATCH(B$54, $B$48:$E$48, 0)), 0)</f>
        <v/>
      </c>
      <c r="C63" s="21">
        <f>IFERROR(INDEX($B$49:$E$52, MATCH($N63, $B$48:$E$48, 0), MATCH(C$54, $B$48:$E$48, 0)), 0)</f>
        <v/>
      </c>
      <c r="D63" s="21">
        <f>IFERROR(INDEX($B$49:$E$52, MATCH($N63, $B$48:$E$48, 0), MATCH(D$54, $B$48:$E$48, 0)), 0)</f>
        <v/>
      </c>
      <c r="E63" s="21">
        <f>IFERROR(INDEX($B$49:$E$52, MATCH($N63, $B$48:$E$48, 0), MATCH(E$54, $B$48:$E$48, 0)), 0)</f>
        <v/>
      </c>
      <c r="F63" s="21">
        <f>IFERROR(INDEX($B$49:$E$52, MATCH($N63, $B$48:$E$48, 0), MATCH(F$54, $B$48:$E$48, 0)), 0)</f>
        <v/>
      </c>
      <c r="G63" s="21">
        <f>IFERROR(INDEX($B$49:$E$52, MATCH($N63, $B$48:$E$48, 0), MATCH(G$54, $B$48:$E$48, 0)), 0)</f>
        <v/>
      </c>
      <c r="H63" s="21">
        <f>IFERROR(INDEX($B$49:$E$52, MATCH($N63, $B$48:$E$48, 0), MATCH(H$54, $B$48:$E$48, 0)), 0)</f>
        <v/>
      </c>
      <c r="I63" s="21">
        <f>IFERROR(INDEX($B$49:$E$52, MATCH($N63, $B$48:$E$48, 0), MATCH(I$54, $B$48:$E$48, 0)), 0)</f>
        <v/>
      </c>
      <c r="J63" s="21">
        <f>IFERROR(INDEX($B$49:$E$52, MATCH($N63, $B$48:$E$48, 0), MATCH(J$54, $B$48:$E$48, 0)), 0)</f>
        <v/>
      </c>
      <c r="K63" s="21">
        <f>IFERROR(INDEX($B$49:$E$52, MATCH($N63, $B$48:$E$48, 0), MATCH(K$54, $B$48:$E$48, 0)), 0)</f>
        <v/>
      </c>
      <c r="L63" s="21">
        <f>IFERROR(INDEX($B$49:$E$52, MATCH($N63, $B$48:$E$48, 0), MATCH(L$54, $B$48:$E$48, 0)), 0)</f>
        <v/>
      </c>
      <c r="M63" s="21">
        <f>IFERROR(INDEX($B$49:$E$52, MATCH($N63, $B$48:$E$48, 0), MATCH(M$54, $B$48:$E$48, 0)), 0)</f>
        <v/>
      </c>
      <c r="N63" s="56" t="inlineStr">
        <is>
          <t>U5X</t>
        </is>
      </c>
    </row>
    <row r="64" ht="19.05" customHeight="1" s="52">
      <c r="B64" s="21">
        <f>IFERROR(INDEX($B$49:$E$52, MATCH($N64, $B$48:$E$48, 0), MATCH(B$54, $B$48:$E$48, 0)), 0)</f>
        <v/>
      </c>
      <c r="C64" s="21">
        <f>IFERROR(INDEX($B$49:$E$52, MATCH($N64, $B$48:$E$48, 0), MATCH(C$54, $B$48:$E$48, 0)), 0)</f>
        <v/>
      </c>
      <c r="D64" s="21">
        <f>IFERROR(INDEX($B$49:$E$52, MATCH($N64, $B$48:$E$48, 0), MATCH(D$54, $B$48:$E$48, 0)), 0)</f>
        <v/>
      </c>
      <c r="E64" s="21">
        <f>IFERROR(INDEX($B$49:$E$52, MATCH($N64, $B$48:$E$48, 0), MATCH(E$54, $B$48:$E$48, 0)), 0)</f>
        <v/>
      </c>
      <c r="F64" s="21">
        <f>IFERROR(INDEX($B$49:$E$52, MATCH($N64, $B$48:$E$48, 0), MATCH(F$54, $B$48:$E$48, 0)), 0)</f>
        <v/>
      </c>
      <c r="G64" s="21">
        <f>IFERROR(INDEX($B$49:$E$52, MATCH($N64, $B$48:$E$48, 0), MATCH(G$54, $B$48:$E$48, 0)), 0)</f>
        <v/>
      </c>
      <c r="H64" s="21">
        <f>IFERROR(INDEX($B$49:$E$52, MATCH($N64, $B$48:$E$48, 0), MATCH(H$54, $B$48:$E$48, 0)), 0)</f>
        <v/>
      </c>
      <c r="I64" s="21">
        <f>IFERROR(INDEX($B$49:$E$52, MATCH($N64, $B$48:$E$48, 0), MATCH(I$54, $B$48:$E$48, 0)), 0)</f>
        <v/>
      </c>
      <c r="J64" s="21">
        <f>IFERROR(INDEX($B$49:$E$52, MATCH($N64, $B$48:$E$48, 0), MATCH(J$54, $B$48:$E$48, 0)), 0)</f>
        <v/>
      </c>
      <c r="K64" s="21">
        <f>IFERROR(INDEX($B$49:$E$52, MATCH($N64, $B$48:$E$48, 0), MATCH(K$54, $B$48:$E$48, 0)), 0)</f>
        <v/>
      </c>
      <c r="L64" s="21">
        <f>IFERROR(INDEX($B$49:$E$52, MATCH($N64, $B$48:$E$48, 0), MATCH(L$54, $B$48:$E$48, 0)), 0)</f>
        <v/>
      </c>
      <c r="M64" s="21">
        <f>IFERROR(INDEX($B$49:$E$52, MATCH($N64, $B$48:$E$48, 0), MATCH(M$54, $B$48:$E$48, 0)), 0)</f>
        <v/>
      </c>
      <c r="N64" s="56" t="inlineStr">
        <is>
          <t>U5Y</t>
        </is>
      </c>
    </row>
    <row r="65" ht="19.05" customHeight="1" s="52">
      <c r="B65" s="21">
        <f>IFERROR(INDEX($B$49:$E$52, MATCH($N65, $B$48:$E$48, 0), MATCH(B$54, $B$48:$E$48, 0)), 0)</f>
        <v/>
      </c>
      <c r="C65" s="21">
        <f>IFERROR(INDEX($B$49:$E$52, MATCH($N65, $B$48:$E$48, 0), MATCH(C$54, $B$48:$E$48, 0)), 0)</f>
        <v/>
      </c>
      <c r="D65" s="21">
        <f>IFERROR(INDEX($B$49:$E$52, MATCH($N65, $B$48:$E$48, 0), MATCH(D$54, $B$48:$E$48, 0)), 0)</f>
        <v/>
      </c>
      <c r="E65" s="21">
        <f>IFERROR(INDEX($B$49:$E$52, MATCH($N65, $B$48:$E$48, 0), MATCH(E$54, $B$48:$E$48, 0)), 0)</f>
        <v/>
      </c>
      <c r="F65" s="21">
        <f>IFERROR(INDEX($B$49:$E$52, MATCH($N65, $B$48:$E$48, 0), MATCH(F$54, $B$48:$E$48, 0)), 0)</f>
        <v/>
      </c>
      <c r="G65" s="21">
        <f>IFERROR(INDEX($B$49:$E$52, MATCH($N65, $B$48:$E$48, 0), MATCH(G$54, $B$48:$E$48, 0)), 0)</f>
        <v/>
      </c>
      <c r="H65" s="21">
        <f>IFERROR(INDEX($B$49:$E$52, MATCH($N65, $B$48:$E$48, 0), MATCH(H$54, $B$48:$E$48, 0)), 0)</f>
        <v/>
      </c>
      <c r="I65" s="21">
        <f>IFERROR(INDEX($B$49:$E$52, MATCH($N65, $B$48:$E$48, 0), MATCH(I$54, $B$48:$E$48, 0)), 0)</f>
        <v/>
      </c>
      <c r="J65" s="21">
        <f>IFERROR(INDEX($B$49:$E$52, MATCH($N65, $B$48:$E$48, 0), MATCH(J$54, $B$48:$E$48, 0)), 0)</f>
        <v/>
      </c>
      <c r="K65" s="21">
        <f>IFERROR(INDEX($B$49:$E$52, MATCH($N65, $B$48:$E$48, 0), MATCH(K$54, $B$48:$E$48, 0)), 0)</f>
        <v/>
      </c>
      <c r="L65" s="21">
        <f>IFERROR(INDEX($B$49:$E$52, MATCH($N65, $B$48:$E$48, 0), MATCH(L$54, $B$48:$E$48, 0)), 0)</f>
        <v/>
      </c>
      <c r="M65" s="21">
        <f>IFERROR(INDEX($B$49:$E$52, MATCH($N65, $B$48:$E$48, 0), MATCH(M$54, $B$48:$E$48, 0)), 0)</f>
        <v/>
      </c>
      <c r="N65" s="56" t="inlineStr">
        <is>
          <t>U6X</t>
        </is>
      </c>
    </row>
    <row r="66" ht="19.05" customHeight="1" s="52">
      <c r="B66" s="21">
        <f>IFERROR(INDEX($B$49:$E$52, MATCH($N66, $B$48:$E$48, 0), MATCH(B$54, $B$48:$E$48, 0)), 0)</f>
        <v/>
      </c>
      <c r="C66" s="21">
        <f>IFERROR(INDEX($B$49:$E$52, MATCH($N66, $B$48:$E$48, 0), MATCH(C$54, $B$48:$E$48, 0)), 0)</f>
        <v/>
      </c>
      <c r="D66" s="21">
        <f>IFERROR(INDEX($B$49:$E$52, MATCH($N66, $B$48:$E$48, 0), MATCH(D$54, $B$48:$E$48, 0)), 0)</f>
        <v/>
      </c>
      <c r="E66" s="21">
        <f>IFERROR(INDEX($B$49:$E$52, MATCH($N66, $B$48:$E$48, 0), MATCH(E$54, $B$48:$E$48, 0)), 0)</f>
        <v/>
      </c>
      <c r="F66" s="21">
        <f>IFERROR(INDEX($B$49:$E$52, MATCH($N66, $B$48:$E$48, 0), MATCH(F$54, $B$48:$E$48, 0)), 0)</f>
        <v/>
      </c>
      <c r="G66" s="21">
        <f>IFERROR(INDEX($B$49:$E$52, MATCH($N66, $B$48:$E$48, 0), MATCH(G$54, $B$48:$E$48, 0)), 0)</f>
        <v/>
      </c>
      <c r="H66" s="21">
        <f>IFERROR(INDEX($B$49:$E$52, MATCH($N66, $B$48:$E$48, 0), MATCH(H$54, $B$48:$E$48, 0)), 0)</f>
        <v/>
      </c>
      <c r="I66" s="21">
        <f>IFERROR(INDEX($B$49:$E$52, MATCH($N66, $B$48:$E$48, 0), MATCH(I$54, $B$48:$E$48, 0)), 0)</f>
        <v/>
      </c>
      <c r="J66" s="21">
        <f>IFERROR(INDEX($B$49:$E$52, MATCH($N66, $B$48:$E$48, 0), MATCH(J$54, $B$48:$E$48, 0)), 0)</f>
        <v/>
      </c>
      <c r="K66" s="21">
        <f>IFERROR(INDEX($B$49:$E$52, MATCH($N66, $B$48:$E$48, 0), MATCH(K$54, $B$48:$E$48, 0)), 0)</f>
        <v/>
      </c>
      <c r="L66" s="21">
        <f>IFERROR(INDEX($B$49:$E$52, MATCH($N66, $B$48:$E$48, 0), MATCH(L$54, $B$48:$E$48, 0)), 0)</f>
        <v/>
      </c>
      <c r="M66" s="21">
        <f>IFERROR(INDEX($B$49:$E$52, MATCH($N66, $B$48:$E$48, 0), MATCH(M$54, $B$48:$E$48, 0)), 0)</f>
        <v/>
      </c>
      <c r="N66" s="56" t="inlineStr">
        <is>
          <t>U6Y</t>
        </is>
      </c>
    </row>
    <row r="69" ht="19.05" customHeight="1" s="52">
      <c r="A69" s="19" t="inlineStr">
        <is>
          <t>k3=</t>
        </is>
      </c>
      <c r="B69" s="12">
        <f>IF(D19="","-",D19)</f>
        <v/>
      </c>
      <c r="C69" s="12">
        <f>IF(E19="","-",E19)</f>
        <v/>
      </c>
      <c r="D69" s="12">
        <f>IF(G19="","-",G19)</f>
        <v/>
      </c>
      <c r="E69" s="12">
        <f>IF(H19="","-",H19)</f>
        <v/>
      </c>
    </row>
    <row r="70" ht="18" customHeight="1" s="52">
      <c r="B70" s="23">
        <f>IF(N8=0, 0, N8*J8*J8)</f>
        <v/>
      </c>
      <c r="C70" s="23">
        <f>IF(N8=0, 0, N8*J8*K8)</f>
        <v/>
      </c>
      <c r="D70" s="23">
        <f>IF(N8=0, 0, -N8*J8*J8)</f>
        <v/>
      </c>
      <c r="E70" s="23">
        <f>IF(N8=0, 0, -N8*J8*K8)</f>
        <v/>
      </c>
      <c r="F70" s="12">
        <f>IF(D19="","-",D19)</f>
        <v/>
      </c>
    </row>
    <row r="71" ht="18" customHeight="1" s="52">
      <c r="B71" s="23">
        <f>IF(N8=0, 0, N8*J8*K8)</f>
        <v/>
      </c>
      <c r="C71" s="23">
        <f>IF(N8=0, 0, N8*K8*K8)</f>
        <v/>
      </c>
      <c r="D71" s="23">
        <f>IF(N8=0, 0, -N8*J8*K8)</f>
        <v/>
      </c>
      <c r="E71" s="23">
        <f>IF(N8=0, 0, -N8*K8*K8)</f>
        <v/>
      </c>
      <c r="F71" s="12">
        <f>IF(E19="","-",E19)</f>
        <v/>
      </c>
    </row>
    <row r="72" ht="18" customHeight="1" s="52">
      <c r="B72" s="23">
        <f>IF(N8=0, 0, -N8*J8*J8)</f>
        <v/>
      </c>
      <c r="C72" s="23">
        <f>IF(N8=0, 0, -N8*J8*K8)</f>
        <v/>
      </c>
      <c r="D72" s="23">
        <f>IF(N8=0, 0, N8*J8*J8)</f>
        <v/>
      </c>
      <c r="E72" s="23">
        <f>IF(N8=0, 0, N8*J8*K8)</f>
        <v/>
      </c>
      <c r="F72" s="12">
        <f>IF(G19="","-",G19)</f>
        <v/>
      </c>
    </row>
    <row r="73" ht="18" customHeight="1" s="52">
      <c r="B73" s="23">
        <f>IF(N8=0, 0, -N8*J8*K8)</f>
        <v/>
      </c>
      <c r="C73" s="23">
        <f>IF(N8=0, 0, -N8*K8*K8)</f>
        <v/>
      </c>
      <c r="D73" s="23">
        <f>IF(N8=0, 0, N8*J8*K8)</f>
        <v/>
      </c>
      <c r="E73" s="23">
        <f>IF(N8=0, 0, N8*K8*K8)</f>
        <v/>
      </c>
      <c r="F73" s="12">
        <f>IF(H19="","-",H19)</f>
        <v/>
      </c>
    </row>
    <row r="75" ht="19.05" customHeight="1" s="52">
      <c r="B75" s="54" t="inlineStr">
        <is>
          <t>U1X</t>
        </is>
      </c>
      <c r="C75" s="54" t="inlineStr">
        <is>
          <t>U1Y</t>
        </is>
      </c>
      <c r="D75" s="54" t="inlineStr">
        <is>
          <t>U2X</t>
        </is>
      </c>
      <c r="E75" s="54" t="inlineStr">
        <is>
          <t>U2Y</t>
        </is>
      </c>
      <c r="F75" s="54" t="inlineStr">
        <is>
          <t>U3X</t>
        </is>
      </c>
      <c r="G75" s="54" t="inlineStr">
        <is>
          <t>U3Y</t>
        </is>
      </c>
      <c r="H75" s="54" t="inlineStr">
        <is>
          <t>U4X</t>
        </is>
      </c>
      <c r="I75" s="54" t="inlineStr">
        <is>
          <t>U4Y</t>
        </is>
      </c>
      <c r="J75" s="54" t="inlineStr">
        <is>
          <t>U5X</t>
        </is>
      </c>
      <c r="K75" s="54" t="inlineStr">
        <is>
          <t>U5Y</t>
        </is>
      </c>
      <c r="L75" s="54" t="inlineStr">
        <is>
          <t>U6X</t>
        </is>
      </c>
      <c r="M75" s="54" t="inlineStr">
        <is>
          <t>U6Y</t>
        </is>
      </c>
    </row>
    <row r="76" ht="19.05" customHeight="1" s="52">
      <c r="B76" s="21">
        <f>IFERROR(INDEX($B$70:$E$73, MATCH($N76, $B$69:$E$69, 0), MATCH(B$75, $B$69:$E$69, 0)), 0)</f>
        <v/>
      </c>
      <c r="C76" s="21">
        <f>IFERROR(INDEX($B$70:$E$73, MATCH($N76, $B$69:$E$69, 0), MATCH(C$75, $B$69:$E$69, 0)), 0)</f>
        <v/>
      </c>
      <c r="D76" s="21">
        <f>IFERROR(INDEX($B$70:$E$73, MATCH($N76, $B$69:$E$69, 0), MATCH(D$75, $B$69:$E$69, 0)), 0)</f>
        <v/>
      </c>
      <c r="E76" s="21">
        <f>IFERROR(INDEX($B$70:$E$73, MATCH($N76, $B$69:$E$69, 0), MATCH(E$75, $B$69:$E$69, 0)), 0)</f>
        <v/>
      </c>
      <c r="F76" s="21">
        <f>IFERROR(INDEX($B$70:$E$73, MATCH($N76, $B$69:$E$69, 0), MATCH(F$75, $B$69:$E$69, 0)), 0)</f>
        <v/>
      </c>
      <c r="G76" s="21">
        <f>IFERROR(INDEX($B$70:$E$73, MATCH($N76, $B$69:$E$69, 0), MATCH(G$75, $B$69:$E$69, 0)), 0)</f>
        <v/>
      </c>
      <c r="H76" s="21">
        <f>IFERROR(INDEX($B$70:$E$73, MATCH($N76, $B$69:$E$69, 0), MATCH(H$75, $B$69:$E$69, 0)), 0)</f>
        <v/>
      </c>
      <c r="I76" s="21">
        <f>IFERROR(INDEX($B$70:$E$73, MATCH($N76, $B$69:$E$69, 0), MATCH(I$75, $B$69:$E$69, 0)), 0)</f>
        <v/>
      </c>
      <c r="J76" s="21">
        <f>IFERROR(INDEX($B$70:$E$73, MATCH($N76, $B$69:$E$69, 0), MATCH(J$75, $B$69:$E$69, 0)), 0)</f>
        <v/>
      </c>
      <c r="K76" s="21">
        <f>IFERROR(INDEX($B$70:$E$73, MATCH($N76, $B$69:$E$69, 0), MATCH(K$75, $B$69:$E$69, 0)), 0)</f>
        <v/>
      </c>
      <c r="L76" s="21">
        <f>IFERROR(INDEX($B$70:$E$73, MATCH($N76, $B$69:$E$69, 0), MATCH(L$75, $B$69:$E$69, 0)), 0)</f>
        <v/>
      </c>
      <c r="M76" s="21">
        <f>IFERROR(INDEX($B$70:$E$73, MATCH($N76, $B$69:$E$69, 0), MATCH(M$75, $B$69:$E$69, 0)), 0)</f>
        <v/>
      </c>
      <c r="N76" s="12" t="inlineStr">
        <is>
          <t>U1X</t>
        </is>
      </c>
    </row>
    <row r="77" ht="19.05" customHeight="1" s="52">
      <c r="B77" s="21">
        <f>IFERROR(INDEX($B$70:$E$73, MATCH($N77, $B$69:$E$69, 0), MATCH(B$75, $B$69:$E$69, 0)), 0)</f>
        <v/>
      </c>
      <c r="C77" s="21">
        <f>IFERROR(INDEX($B$70:$E$73, MATCH($N77, $B$69:$E$69, 0), MATCH(C$75, $B$69:$E$69, 0)), 0)</f>
        <v/>
      </c>
      <c r="D77" s="21">
        <f>IFERROR(INDEX($B$70:$E$73, MATCH($N77, $B$69:$E$69, 0), MATCH(D$75, $B$69:$E$69, 0)), 0)</f>
        <v/>
      </c>
      <c r="E77" s="21">
        <f>IFERROR(INDEX($B$70:$E$73, MATCH($N77, $B$69:$E$69, 0), MATCH(E$75, $B$69:$E$69, 0)), 0)</f>
        <v/>
      </c>
      <c r="F77" s="21">
        <f>IFERROR(INDEX($B$70:$E$73, MATCH($N77, $B$69:$E$69, 0), MATCH(F$75, $B$69:$E$69, 0)), 0)</f>
        <v/>
      </c>
      <c r="G77" s="21">
        <f>IFERROR(INDEX($B$70:$E$73, MATCH($N77, $B$69:$E$69, 0), MATCH(G$75, $B$69:$E$69, 0)), 0)</f>
        <v/>
      </c>
      <c r="H77" s="21">
        <f>IFERROR(INDEX($B$70:$E$73, MATCH($N77, $B$69:$E$69, 0), MATCH(H$75, $B$69:$E$69, 0)), 0)</f>
        <v/>
      </c>
      <c r="I77" s="21">
        <f>IFERROR(INDEX($B$70:$E$73, MATCH($N77, $B$69:$E$69, 0), MATCH(I$75, $B$69:$E$69, 0)), 0)</f>
        <v/>
      </c>
      <c r="J77" s="21">
        <f>IFERROR(INDEX($B$70:$E$73, MATCH($N77, $B$69:$E$69, 0), MATCH(J$75, $B$69:$E$69, 0)), 0)</f>
        <v/>
      </c>
      <c r="K77" s="21">
        <f>IFERROR(INDEX($B$70:$E$73, MATCH($N77, $B$69:$E$69, 0), MATCH(K$75, $B$69:$E$69, 0)), 0)</f>
        <v/>
      </c>
      <c r="L77" s="21">
        <f>IFERROR(INDEX($B$70:$E$73, MATCH($N77, $B$69:$E$69, 0), MATCH(L$75, $B$69:$E$69, 0)), 0)</f>
        <v/>
      </c>
      <c r="M77" s="21">
        <f>IFERROR(INDEX($B$70:$E$73, MATCH($N77, $B$69:$E$69, 0), MATCH(M$75, $B$69:$E$69, 0)), 0)</f>
        <v/>
      </c>
      <c r="N77" s="12" t="inlineStr">
        <is>
          <t>U1Y</t>
        </is>
      </c>
    </row>
    <row r="78" ht="19.05" customHeight="1" s="52">
      <c r="B78" s="21">
        <f>IFERROR(INDEX($B$70:$E$73, MATCH($N78, $B$69:$E$69, 0), MATCH(B$75, $B$69:$E$69, 0)), 0)</f>
        <v/>
      </c>
      <c r="C78" s="21">
        <f>IFERROR(INDEX($B$70:$E$73, MATCH($N78, $B$69:$E$69, 0), MATCH(C$75, $B$69:$E$69, 0)), 0)</f>
        <v/>
      </c>
      <c r="D78" s="21">
        <f>IFERROR(INDEX($B$70:$E$73, MATCH($N78, $B$69:$E$69, 0), MATCH(D$75, $B$69:$E$69, 0)), 0)</f>
        <v/>
      </c>
      <c r="E78" s="21">
        <f>IFERROR(INDEX($B$70:$E$73, MATCH($N78, $B$69:$E$69, 0), MATCH(E$75, $B$69:$E$69, 0)), 0)</f>
        <v/>
      </c>
      <c r="F78" s="21">
        <f>IFERROR(INDEX($B$70:$E$73, MATCH($N78, $B$69:$E$69, 0), MATCH(F$75, $B$69:$E$69, 0)), 0)</f>
        <v/>
      </c>
      <c r="G78" s="21">
        <f>IFERROR(INDEX($B$70:$E$73, MATCH($N78, $B$69:$E$69, 0), MATCH(G$75, $B$69:$E$69, 0)), 0)</f>
        <v/>
      </c>
      <c r="H78" s="21">
        <f>IFERROR(INDEX($B$70:$E$73, MATCH($N78, $B$69:$E$69, 0), MATCH(H$75, $B$69:$E$69, 0)), 0)</f>
        <v/>
      </c>
      <c r="I78" s="21">
        <f>IFERROR(INDEX($B$70:$E$73, MATCH($N78, $B$69:$E$69, 0), MATCH(I$75, $B$69:$E$69, 0)), 0)</f>
        <v/>
      </c>
      <c r="J78" s="21">
        <f>IFERROR(INDEX($B$70:$E$73, MATCH($N78, $B$69:$E$69, 0), MATCH(J$75, $B$69:$E$69, 0)), 0)</f>
        <v/>
      </c>
      <c r="K78" s="21">
        <f>IFERROR(INDEX($B$70:$E$73, MATCH($N78, $B$69:$E$69, 0), MATCH(K$75, $B$69:$E$69, 0)), 0)</f>
        <v/>
      </c>
      <c r="L78" s="21">
        <f>IFERROR(INDEX($B$70:$E$73, MATCH($N78, $B$69:$E$69, 0), MATCH(L$75, $B$69:$E$69, 0)), 0)</f>
        <v/>
      </c>
      <c r="M78" s="21">
        <f>IFERROR(INDEX($B$70:$E$73, MATCH($N78, $B$69:$E$69, 0), MATCH(M$75, $B$69:$E$69, 0)), 0)</f>
        <v/>
      </c>
      <c r="N78" s="12" t="inlineStr">
        <is>
          <t>U2X</t>
        </is>
      </c>
    </row>
    <row r="79" ht="19.05" customHeight="1" s="52">
      <c r="B79" s="21">
        <f>IFERROR(INDEX($B$70:$E$73, MATCH($N79, $B$69:$E$69, 0), MATCH(B$75, $B$69:$E$69, 0)), 0)</f>
        <v/>
      </c>
      <c r="C79" s="21">
        <f>IFERROR(INDEX($B$70:$E$73, MATCH($N79, $B$69:$E$69, 0), MATCH(C$75, $B$69:$E$69, 0)), 0)</f>
        <v/>
      </c>
      <c r="D79" s="21">
        <f>IFERROR(INDEX($B$70:$E$73, MATCH($N79, $B$69:$E$69, 0), MATCH(D$75, $B$69:$E$69, 0)), 0)</f>
        <v/>
      </c>
      <c r="E79" s="21">
        <f>IFERROR(INDEX($B$70:$E$73, MATCH($N79, $B$69:$E$69, 0), MATCH(E$75, $B$69:$E$69, 0)), 0)</f>
        <v/>
      </c>
      <c r="F79" s="21">
        <f>IFERROR(INDEX($B$70:$E$73, MATCH($N79, $B$69:$E$69, 0), MATCH(F$75, $B$69:$E$69, 0)), 0)</f>
        <v/>
      </c>
      <c r="G79" s="21">
        <f>IFERROR(INDEX($B$70:$E$73, MATCH($N79, $B$69:$E$69, 0), MATCH(G$75, $B$69:$E$69, 0)), 0)</f>
        <v/>
      </c>
      <c r="H79" s="21">
        <f>IFERROR(INDEX($B$70:$E$73, MATCH($N79, $B$69:$E$69, 0), MATCH(H$75, $B$69:$E$69, 0)), 0)</f>
        <v/>
      </c>
      <c r="I79" s="21">
        <f>IFERROR(INDEX($B$70:$E$73, MATCH($N79, $B$69:$E$69, 0), MATCH(I$75, $B$69:$E$69, 0)), 0)</f>
        <v/>
      </c>
      <c r="J79" s="21">
        <f>IFERROR(INDEX($B$70:$E$73, MATCH($N79, $B$69:$E$69, 0), MATCH(J$75, $B$69:$E$69, 0)), 0)</f>
        <v/>
      </c>
      <c r="K79" s="21">
        <f>IFERROR(INDEX($B$70:$E$73, MATCH($N79, $B$69:$E$69, 0), MATCH(K$75, $B$69:$E$69, 0)), 0)</f>
        <v/>
      </c>
      <c r="L79" s="21">
        <f>IFERROR(INDEX($B$70:$E$73, MATCH($N79, $B$69:$E$69, 0), MATCH(L$75, $B$69:$E$69, 0)), 0)</f>
        <v/>
      </c>
      <c r="M79" s="21">
        <f>IFERROR(INDEX($B$70:$E$73, MATCH($N79, $B$69:$E$69, 0), MATCH(M$75, $B$69:$E$69, 0)), 0)</f>
        <v/>
      </c>
      <c r="N79" s="12" t="inlineStr">
        <is>
          <t>U2Y</t>
        </is>
      </c>
    </row>
    <row r="80" ht="19.05" customHeight="1" s="52">
      <c r="B80" s="21">
        <f>IFERROR(INDEX($B$70:$E$73, MATCH($N80, $B$69:$E$69, 0), MATCH(B$75, $B$69:$E$69, 0)), 0)</f>
        <v/>
      </c>
      <c r="C80" s="21">
        <f>IFERROR(INDEX($B$70:$E$73, MATCH($N80, $B$69:$E$69, 0), MATCH(C$75, $B$69:$E$69, 0)), 0)</f>
        <v/>
      </c>
      <c r="D80" s="21">
        <f>IFERROR(INDEX($B$70:$E$73, MATCH($N80, $B$69:$E$69, 0), MATCH(D$75, $B$69:$E$69, 0)), 0)</f>
        <v/>
      </c>
      <c r="E80" s="21">
        <f>IFERROR(INDEX($B$70:$E$73, MATCH($N80, $B$69:$E$69, 0), MATCH(E$75, $B$69:$E$69, 0)), 0)</f>
        <v/>
      </c>
      <c r="F80" s="21">
        <f>IFERROR(INDEX($B$70:$E$73, MATCH($N80, $B$69:$E$69, 0), MATCH(F$75, $B$69:$E$69, 0)), 0)</f>
        <v/>
      </c>
      <c r="G80" s="21">
        <f>IFERROR(INDEX($B$70:$E$73, MATCH($N80, $B$69:$E$69, 0), MATCH(G$75, $B$69:$E$69, 0)), 0)</f>
        <v/>
      </c>
      <c r="H80" s="21">
        <f>IFERROR(INDEX($B$70:$E$73, MATCH($N80, $B$69:$E$69, 0), MATCH(H$75, $B$69:$E$69, 0)), 0)</f>
        <v/>
      </c>
      <c r="I80" s="21">
        <f>IFERROR(INDEX($B$70:$E$73, MATCH($N80, $B$69:$E$69, 0), MATCH(I$75, $B$69:$E$69, 0)), 0)</f>
        <v/>
      </c>
      <c r="J80" s="21">
        <f>IFERROR(INDEX($B$70:$E$73, MATCH($N80, $B$69:$E$69, 0), MATCH(J$75, $B$69:$E$69, 0)), 0)</f>
        <v/>
      </c>
      <c r="K80" s="21">
        <f>IFERROR(INDEX($B$70:$E$73, MATCH($N80, $B$69:$E$69, 0), MATCH(K$75, $B$69:$E$69, 0)), 0)</f>
        <v/>
      </c>
      <c r="L80" s="21">
        <f>IFERROR(INDEX($B$70:$E$73, MATCH($N80, $B$69:$E$69, 0), MATCH(L$75, $B$69:$E$69, 0)), 0)</f>
        <v/>
      </c>
      <c r="M80" s="21">
        <f>IFERROR(INDEX($B$70:$E$73, MATCH($N80, $B$69:$E$69, 0), MATCH(M$75, $B$69:$E$69, 0)), 0)</f>
        <v/>
      </c>
      <c r="N80" s="12" t="inlineStr">
        <is>
          <t>U3X</t>
        </is>
      </c>
    </row>
    <row r="81" ht="19.05" customHeight="1" s="52">
      <c r="A81" s="19" t="inlineStr">
        <is>
          <t>K3=</t>
        </is>
      </c>
      <c r="B81" s="21">
        <f>IFERROR(INDEX($B$70:$E$73, MATCH($N81, $B$69:$E$69, 0), MATCH(B$75, $B$69:$E$69, 0)), 0)</f>
        <v/>
      </c>
      <c r="C81" s="21">
        <f>IFERROR(INDEX($B$70:$E$73, MATCH($N81, $B$69:$E$69, 0), MATCH(C$75, $B$69:$E$69, 0)), 0)</f>
        <v/>
      </c>
      <c r="D81" s="21">
        <f>IFERROR(INDEX($B$70:$E$73, MATCH($N81, $B$69:$E$69, 0), MATCH(D$75, $B$69:$E$69, 0)), 0)</f>
        <v/>
      </c>
      <c r="E81" s="21">
        <f>IFERROR(INDEX($B$70:$E$73, MATCH($N81, $B$69:$E$69, 0), MATCH(E$75, $B$69:$E$69, 0)), 0)</f>
        <v/>
      </c>
      <c r="F81" s="21">
        <f>IFERROR(INDEX($B$70:$E$73, MATCH($N81, $B$69:$E$69, 0), MATCH(F$75, $B$69:$E$69, 0)), 0)</f>
        <v/>
      </c>
      <c r="G81" s="21">
        <f>IFERROR(INDEX($B$70:$E$73, MATCH($N81, $B$69:$E$69, 0), MATCH(G$75, $B$69:$E$69, 0)), 0)</f>
        <v/>
      </c>
      <c r="H81" s="21">
        <f>IFERROR(INDEX($B$70:$E$73, MATCH($N81, $B$69:$E$69, 0), MATCH(H$75, $B$69:$E$69, 0)), 0)</f>
        <v/>
      </c>
      <c r="I81" s="21">
        <f>IFERROR(INDEX($B$70:$E$73, MATCH($N81, $B$69:$E$69, 0), MATCH(I$75, $B$69:$E$69, 0)), 0)</f>
        <v/>
      </c>
      <c r="J81" s="21">
        <f>IFERROR(INDEX($B$70:$E$73, MATCH($N81, $B$69:$E$69, 0), MATCH(J$75, $B$69:$E$69, 0)), 0)</f>
        <v/>
      </c>
      <c r="K81" s="21">
        <f>IFERROR(INDEX($B$70:$E$73, MATCH($N81, $B$69:$E$69, 0), MATCH(K$75, $B$69:$E$69, 0)), 0)</f>
        <v/>
      </c>
      <c r="L81" s="21">
        <f>IFERROR(INDEX($B$70:$E$73, MATCH($N81, $B$69:$E$69, 0), MATCH(L$75, $B$69:$E$69, 0)), 0)</f>
        <v/>
      </c>
      <c r="M81" s="21">
        <f>IFERROR(INDEX($B$70:$E$73, MATCH($N81, $B$69:$E$69, 0), MATCH(M$75, $B$69:$E$69, 0)), 0)</f>
        <v/>
      </c>
      <c r="N81" s="12" t="inlineStr">
        <is>
          <t>U3Y</t>
        </is>
      </c>
    </row>
    <row r="82" ht="19.05" customHeight="1" s="52">
      <c r="B82" s="21">
        <f>IFERROR(INDEX($B$70:$E$73, MATCH($N82, $B$69:$E$69, 0), MATCH(B$75, $B$69:$E$69, 0)), 0)</f>
        <v/>
      </c>
      <c r="C82" s="21">
        <f>IFERROR(INDEX($B$70:$E$73, MATCH($N82, $B$69:$E$69, 0), MATCH(C$75, $B$69:$E$69, 0)), 0)</f>
        <v/>
      </c>
      <c r="D82" s="21">
        <f>IFERROR(INDEX($B$70:$E$73, MATCH($N82, $B$69:$E$69, 0), MATCH(D$75, $B$69:$E$69, 0)), 0)</f>
        <v/>
      </c>
      <c r="E82" s="21">
        <f>IFERROR(INDEX($B$70:$E$73, MATCH($N82, $B$69:$E$69, 0), MATCH(E$75, $B$69:$E$69, 0)), 0)</f>
        <v/>
      </c>
      <c r="F82" s="21">
        <f>IFERROR(INDEX($B$70:$E$73, MATCH($N82, $B$69:$E$69, 0), MATCH(F$75, $B$69:$E$69, 0)), 0)</f>
        <v/>
      </c>
      <c r="G82" s="21">
        <f>IFERROR(INDEX($B$70:$E$73, MATCH($N82, $B$69:$E$69, 0), MATCH(G$75, $B$69:$E$69, 0)), 0)</f>
        <v/>
      </c>
      <c r="H82" s="21">
        <f>IFERROR(INDEX($B$70:$E$73, MATCH($N82, $B$69:$E$69, 0), MATCH(H$75, $B$69:$E$69, 0)), 0)</f>
        <v/>
      </c>
      <c r="I82" s="21">
        <f>IFERROR(INDEX($B$70:$E$73, MATCH($N82, $B$69:$E$69, 0), MATCH(I$75, $B$69:$E$69, 0)), 0)</f>
        <v/>
      </c>
      <c r="J82" s="21">
        <f>IFERROR(INDEX($B$70:$E$73, MATCH($N82, $B$69:$E$69, 0), MATCH(J$75, $B$69:$E$69, 0)), 0)</f>
        <v/>
      </c>
      <c r="K82" s="21">
        <f>IFERROR(INDEX($B$70:$E$73, MATCH($N82, $B$69:$E$69, 0), MATCH(K$75, $B$69:$E$69, 0)), 0)</f>
        <v/>
      </c>
      <c r="L82" s="21">
        <f>IFERROR(INDEX($B$70:$E$73, MATCH($N82, $B$69:$E$69, 0), MATCH(L$75, $B$69:$E$69, 0)), 0)</f>
        <v/>
      </c>
      <c r="M82" s="21">
        <f>IFERROR(INDEX($B$70:$E$73, MATCH($N82, $B$69:$E$69, 0), MATCH(M$75, $B$69:$E$69, 0)), 0)</f>
        <v/>
      </c>
      <c r="N82" s="12" t="inlineStr">
        <is>
          <t>U4X</t>
        </is>
      </c>
    </row>
    <row r="83" ht="19.05" customHeight="1" s="52">
      <c r="B83" s="21">
        <f>IFERROR(INDEX($B$70:$E$73, MATCH($N83, $B$69:$E$69, 0), MATCH(B$75, $B$69:$E$69, 0)), 0)</f>
        <v/>
      </c>
      <c r="C83" s="21">
        <f>IFERROR(INDEX($B$70:$E$73, MATCH($N83, $B$69:$E$69, 0), MATCH(C$75, $B$69:$E$69, 0)), 0)</f>
        <v/>
      </c>
      <c r="D83" s="21">
        <f>IFERROR(INDEX($B$70:$E$73, MATCH($N83, $B$69:$E$69, 0), MATCH(D$75, $B$69:$E$69, 0)), 0)</f>
        <v/>
      </c>
      <c r="E83" s="21">
        <f>IFERROR(INDEX($B$70:$E$73, MATCH($N83, $B$69:$E$69, 0), MATCH(E$75, $B$69:$E$69, 0)), 0)</f>
        <v/>
      </c>
      <c r="F83" s="21">
        <f>IFERROR(INDEX($B$70:$E$73, MATCH($N83, $B$69:$E$69, 0), MATCH(F$75, $B$69:$E$69, 0)), 0)</f>
        <v/>
      </c>
      <c r="G83" s="21">
        <f>IFERROR(INDEX($B$70:$E$73, MATCH($N83, $B$69:$E$69, 0), MATCH(G$75, $B$69:$E$69, 0)), 0)</f>
        <v/>
      </c>
      <c r="H83" s="21">
        <f>IFERROR(INDEX($B$70:$E$73, MATCH($N83, $B$69:$E$69, 0), MATCH(H$75, $B$69:$E$69, 0)), 0)</f>
        <v/>
      </c>
      <c r="I83" s="21">
        <f>IFERROR(INDEX($B$70:$E$73, MATCH($N83, $B$69:$E$69, 0), MATCH(I$75, $B$69:$E$69, 0)), 0)</f>
        <v/>
      </c>
      <c r="J83" s="21">
        <f>IFERROR(INDEX($B$70:$E$73, MATCH($N83, $B$69:$E$69, 0), MATCH(J$75, $B$69:$E$69, 0)), 0)</f>
        <v/>
      </c>
      <c r="K83" s="21">
        <f>IFERROR(INDEX($B$70:$E$73, MATCH($N83, $B$69:$E$69, 0), MATCH(K$75, $B$69:$E$69, 0)), 0)</f>
        <v/>
      </c>
      <c r="L83" s="21">
        <f>IFERROR(INDEX($B$70:$E$73, MATCH($N83, $B$69:$E$69, 0), MATCH(L$75, $B$69:$E$69, 0)), 0)</f>
        <v/>
      </c>
      <c r="M83" s="21">
        <f>IFERROR(INDEX($B$70:$E$73, MATCH($N83, $B$69:$E$69, 0), MATCH(M$75, $B$69:$E$69, 0)), 0)</f>
        <v/>
      </c>
      <c r="N83" s="12" t="inlineStr">
        <is>
          <t>U4Y</t>
        </is>
      </c>
    </row>
    <row r="84" ht="19.05" customHeight="1" s="52">
      <c r="B84" s="21">
        <f>IFERROR(INDEX($B$70:$E$73, MATCH($N84, $B$69:$E$69, 0), MATCH(B$75, $B$69:$E$69, 0)), 0)</f>
        <v/>
      </c>
      <c r="C84" s="21">
        <f>IFERROR(INDEX($B$70:$E$73, MATCH($N84, $B$69:$E$69, 0), MATCH(C$75, $B$69:$E$69, 0)), 0)</f>
        <v/>
      </c>
      <c r="D84" s="21">
        <f>IFERROR(INDEX($B$70:$E$73, MATCH($N84, $B$69:$E$69, 0), MATCH(D$75, $B$69:$E$69, 0)), 0)</f>
        <v/>
      </c>
      <c r="E84" s="21">
        <f>IFERROR(INDEX($B$70:$E$73, MATCH($N84, $B$69:$E$69, 0), MATCH(E$75, $B$69:$E$69, 0)), 0)</f>
        <v/>
      </c>
      <c r="F84" s="21">
        <f>IFERROR(INDEX($B$70:$E$73, MATCH($N84, $B$69:$E$69, 0), MATCH(F$75, $B$69:$E$69, 0)), 0)</f>
        <v/>
      </c>
      <c r="G84" s="21">
        <f>IFERROR(INDEX($B$70:$E$73, MATCH($N84, $B$69:$E$69, 0), MATCH(G$75, $B$69:$E$69, 0)), 0)</f>
        <v/>
      </c>
      <c r="H84" s="21">
        <f>IFERROR(INDEX($B$70:$E$73, MATCH($N84, $B$69:$E$69, 0), MATCH(H$75, $B$69:$E$69, 0)), 0)</f>
        <v/>
      </c>
      <c r="I84" s="21">
        <f>IFERROR(INDEX($B$70:$E$73, MATCH($N84, $B$69:$E$69, 0), MATCH(I$75, $B$69:$E$69, 0)), 0)</f>
        <v/>
      </c>
      <c r="J84" s="21">
        <f>IFERROR(INDEX($B$70:$E$73, MATCH($N84, $B$69:$E$69, 0), MATCH(J$75, $B$69:$E$69, 0)), 0)</f>
        <v/>
      </c>
      <c r="K84" s="21">
        <f>IFERROR(INDEX($B$70:$E$73, MATCH($N84, $B$69:$E$69, 0), MATCH(K$75, $B$69:$E$69, 0)), 0)</f>
        <v/>
      </c>
      <c r="L84" s="21">
        <f>IFERROR(INDEX($B$70:$E$73, MATCH($N84, $B$69:$E$69, 0), MATCH(L$75, $B$69:$E$69, 0)), 0)</f>
        <v/>
      </c>
      <c r="M84" s="21">
        <f>IFERROR(INDEX($B$70:$E$73, MATCH($N84, $B$69:$E$69, 0), MATCH(M$75, $B$69:$E$69, 0)), 0)</f>
        <v/>
      </c>
      <c r="N84" s="12" t="inlineStr">
        <is>
          <t>U5X</t>
        </is>
      </c>
    </row>
    <row r="85" ht="19.05" customHeight="1" s="52">
      <c r="B85" s="21">
        <f>IFERROR(INDEX($B$70:$E$73, MATCH($N85, $B$69:$E$69, 0), MATCH(B$75, $B$69:$E$69, 0)), 0)</f>
        <v/>
      </c>
      <c r="C85" s="21">
        <f>IFERROR(INDEX($B$70:$E$73, MATCH($N85, $B$69:$E$69, 0), MATCH(C$75, $B$69:$E$69, 0)), 0)</f>
        <v/>
      </c>
      <c r="D85" s="21">
        <f>IFERROR(INDEX($B$70:$E$73, MATCH($N85, $B$69:$E$69, 0), MATCH(D$75, $B$69:$E$69, 0)), 0)</f>
        <v/>
      </c>
      <c r="E85" s="21">
        <f>IFERROR(INDEX($B$70:$E$73, MATCH($N85, $B$69:$E$69, 0), MATCH(E$75, $B$69:$E$69, 0)), 0)</f>
        <v/>
      </c>
      <c r="F85" s="21">
        <f>IFERROR(INDEX($B$70:$E$73, MATCH($N85, $B$69:$E$69, 0), MATCH(F$75, $B$69:$E$69, 0)), 0)</f>
        <v/>
      </c>
      <c r="G85" s="21">
        <f>IFERROR(INDEX($B$70:$E$73, MATCH($N85, $B$69:$E$69, 0), MATCH(G$75, $B$69:$E$69, 0)), 0)</f>
        <v/>
      </c>
      <c r="H85" s="21">
        <f>IFERROR(INDEX($B$70:$E$73, MATCH($N85, $B$69:$E$69, 0), MATCH(H$75, $B$69:$E$69, 0)), 0)</f>
        <v/>
      </c>
      <c r="I85" s="21">
        <f>IFERROR(INDEX($B$70:$E$73, MATCH($N85, $B$69:$E$69, 0), MATCH(I$75, $B$69:$E$69, 0)), 0)</f>
        <v/>
      </c>
      <c r="J85" s="21">
        <f>IFERROR(INDEX($B$70:$E$73, MATCH($N85, $B$69:$E$69, 0), MATCH(J$75, $B$69:$E$69, 0)), 0)</f>
        <v/>
      </c>
      <c r="K85" s="21">
        <f>IFERROR(INDEX($B$70:$E$73, MATCH($N85, $B$69:$E$69, 0), MATCH(K$75, $B$69:$E$69, 0)), 0)</f>
        <v/>
      </c>
      <c r="L85" s="21">
        <f>IFERROR(INDEX($B$70:$E$73, MATCH($N85, $B$69:$E$69, 0), MATCH(L$75, $B$69:$E$69, 0)), 0)</f>
        <v/>
      </c>
      <c r="M85" s="21">
        <f>IFERROR(INDEX($B$70:$E$73, MATCH($N85, $B$69:$E$69, 0), MATCH(M$75, $B$69:$E$69, 0)), 0)</f>
        <v/>
      </c>
      <c r="N85" s="12" t="inlineStr">
        <is>
          <t>U5Y</t>
        </is>
      </c>
    </row>
    <row r="86" ht="19.05" customHeight="1" s="52">
      <c r="B86" s="21">
        <f>IFERROR(INDEX($B$70:$E$73, MATCH($N86, $B$69:$E$69, 0), MATCH(B$75, $B$69:$E$69, 0)), 0)</f>
        <v/>
      </c>
      <c r="C86" s="21">
        <f>IFERROR(INDEX($B$70:$E$73, MATCH($N86, $B$69:$E$69, 0), MATCH(C$75, $B$69:$E$69, 0)), 0)</f>
        <v/>
      </c>
      <c r="D86" s="21">
        <f>IFERROR(INDEX($B$70:$E$73, MATCH($N86, $B$69:$E$69, 0), MATCH(D$75, $B$69:$E$69, 0)), 0)</f>
        <v/>
      </c>
      <c r="E86" s="21">
        <f>IFERROR(INDEX($B$70:$E$73, MATCH($N86, $B$69:$E$69, 0), MATCH(E$75, $B$69:$E$69, 0)), 0)</f>
        <v/>
      </c>
      <c r="F86" s="21">
        <f>IFERROR(INDEX($B$70:$E$73, MATCH($N86, $B$69:$E$69, 0), MATCH(F$75, $B$69:$E$69, 0)), 0)</f>
        <v/>
      </c>
      <c r="G86" s="21">
        <f>IFERROR(INDEX($B$70:$E$73, MATCH($N86, $B$69:$E$69, 0), MATCH(G$75, $B$69:$E$69, 0)), 0)</f>
        <v/>
      </c>
      <c r="H86" s="21">
        <f>IFERROR(INDEX($B$70:$E$73, MATCH($N86, $B$69:$E$69, 0), MATCH(H$75, $B$69:$E$69, 0)), 0)</f>
        <v/>
      </c>
      <c r="I86" s="21">
        <f>IFERROR(INDEX($B$70:$E$73, MATCH($N86, $B$69:$E$69, 0), MATCH(I$75, $B$69:$E$69, 0)), 0)</f>
        <v/>
      </c>
      <c r="J86" s="21">
        <f>IFERROR(INDEX($B$70:$E$73, MATCH($N86, $B$69:$E$69, 0), MATCH(J$75, $B$69:$E$69, 0)), 0)</f>
        <v/>
      </c>
      <c r="K86" s="21">
        <f>IFERROR(INDEX($B$70:$E$73, MATCH($N86, $B$69:$E$69, 0), MATCH(K$75, $B$69:$E$69, 0)), 0)</f>
        <v/>
      </c>
      <c r="L86" s="21">
        <f>IFERROR(INDEX($B$70:$E$73, MATCH($N86, $B$69:$E$69, 0), MATCH(L$75, $B$69:$E$69, 0)), 0)</f>
        <v/>
      </c>
      <c r="M86" s="21">
        <f>IFERROR(INDEX($B$70:$E$73, MATCH($N86, $B$69:$E$69, 0), MATCH(M$75, $B$69:$E$69, 0)), 0)</f>
        <v/>
      </c>
      <c r="N86" s="12" t="inlineStr">
        <is>
          <t>U6X</t>
        </is>
      </c>
    </row>
    <row r="87" ht="19.05" customHeight="1" s="52">
      <c r="B87" s="21">
        <f>IFERROR(INDEX($B$70:$E$73, MATCH($N87, $B$69:$E$69, 0), MATCH(B$75, $B$69:$E$69, 0)), 0)</f>
        <v/>
      </c>
      <c r="C87" s="21">
        <f>IFERROR(INDEX($B$70:$E$73, MATCH($N87, $B$69:$E$69, 0), MATCH(C$75, $B$69:$E$69, 0)), 0)</f>
        <v/>
      </c>
      <c r="D87" s="21">
        <f>IFERROR(INDEX($B$70:$E$73, MATCH($N87, $B$69:$E$69, 0), MATCH(D$75, $B$69:$E$69, 0)), 0)</f>
        <v/>
      </c>
      <c r="E87" s="21">
        <f>IFERROR(INDEX($B$70:$E$73, MATCH($N87, $B$69:$E$69, 0), MATCH(E$75, $B$69:$E$69, 0)), 0)</f>
        <v/>
      </c>
      <c r="F87" s="21">
        <f>IFERROR(INDEX($B$70:$E$73, MATCH($N87, $B$69:$E$69, 0), MATCH(F$75, $B$69:$E$69, 0)), 0)</f>
        <v/>
      </c>
      <c r="G87" s="21">
        <f>IFERROR(INDEX($B$70:$E$73, MATCH($N87, $B$69:$E$69, 0), MATCH(G$75, $B$69:$E$69, 0)), 0)</f>
        <v/>
      </c>
      <c r="H87" s="21">
        <f>IFERROR(INDEX($B$70:$E$73, MATCH($N87, $B$69:$E$69, 0), MATCH(H$75, $B$69:$E$69, 0)), 0)</f>
        <v/>
      </c>
      <c r="I87" s="21">
        <f>IFERROR(INDEX($B$70:$E$73, MATCH($N87, $B$69:$E$69, 0), MATCH(I$75, $B$69:$E$69, 0)), 0)</f>
        <v/>
      </c>
      <c r="J87" s="21">
        <f>IFERROR(INDEX($B$70:$E$73, MATCH($N87, $B$69:$E$69, 0), MATCH(J$75, $B$69:$E$69, 0)), 0)</f>
        <v/>
      </c>
      <c r="K87" s="21">
        <f>IFERROR(INDEX($B$70:$E$73, MATCH($N87, $B$69:$E$69, 0), MATCH(K$75, $B$69:$E$69, 0)), 0)</f>
        <v/>
      </c>
      <c r="L87" s="21">
        <f>IFERROR(INDEX($B$70:$E$73, MATCH($N87, $B$69:$E$69, 0), MATCH(L$75, $B$69:$E$69, 0)), 0)</f>
        <v/>
      </c>
      <c r="M87" s="21">
        <f>IFERROR(INDEX($B$70:$E$73, MATCH($N87, $B$69:$E$69, 0), MATCH(M$75, $B$69:$E$69, 0)), 0)</f>
        <v/>
      </c>
      <c r="N87" s="12" t="inlineStr">
        <is>
          <t>U6Y</t>
        </is>
      </c>
    </row>
    <row r="90" ht="19.05" customHeight="1" s="52">
      <c r="A90" s="19" t="inlineStr">
        <is>
          <t>k4=</t>
        </is>
      </c>
      <c r="B90" s="13">
        <f>IF(D20="","-",D20)</f>
        <v/>
      </c>
      <c r="C90" s="13">
        <f>IF(E20="","-",E20)</f>
        <v/>
      </c>
      <c r="D90" s="13">
        <f>IF(G20="","-",G20)</f>
        <v/>
      </c>
      <c r="E90" s="13">
        <f>IF(H20="","-",H20)</f>
        <v/>
      </c>
    </row>
    <row r="91" ht="18" customHeight="1" s="52">
      <c r="B91" s="24">
        <f>IF(N9=0, 0, N9*J9*J9)</f>
        <v/>
      </c>
      <c r="C91" s="24">
        <f>IF(N9=0, 0, N9*J9*K9)</f>
        <v/>
      </c>
      <c r="D91" s="24">
        <f>IF(N9=0, 0, -N9*J9*J9)</f>
        <v/>
      </c>
      <c r="E91" s="24">
        <f>IF(N9=0, 0, -N9*J9*K9)</f>
        <v/>
      </c>
      <c r="F91" s="13">
        <f>IF(D20="","-",D20)</f>
        <v/>
      </c>
    </row>
    <row r="92" ht="18" customHeight="1" s="52">
      <c r="B92" s="24">
        <f>IF(N9=0, 0, N9*J9*K9)</f>
        <v/>
      </c>
      <c r="C92" s="24">
        <f>IF(N9=0, 0, N9*K9*K9)</f>
        <v/>
      </c>
      <c r="D92" s="24">
        <f>IF(N9=0, 0, -N9*J9*K9)</f>
        <v/>
      </c>
      <c r="E92" s="24">
        <f>IF(N9=0, 0, -N9*K9*K9)</f>
        <v/>
      </c>
      <c r="F92" s="13">
        <f>IF(E20="","-",E20)</f>
        <v/>
      </c>
    </row>
    <row r="93" ht="18" customHeight="1" s="52">
      <c r="B93" s="24">
        <f>IF(N9=0, 0, -N9*J9*J9)</f>
        <v/>
      </c>
      <c r="C93" s="24">
        <f>IF(N9=0, 0, -N9*J9*K9)</f>
        <v/>
      </c>
      <c r="D93" s="24">
        <f>IF(N9=0, 0, N9*J9*J9)</f>
        <v/>
      </c>
      <c r="E93" s="24">
        <f>IF(N9=0, 0, N9*J9*K9)</f>
        <v/>
      </c>
      <c r="F93" s="13">
        <f>IF(G20="","-",G20)</f>
        <v/>
      </c>
    </row>
    <row r="94" ht="18" customHeight="1" s="52">
      <c r="B94" s="24">
        <f>IF(N9=0, 0, -N9*J9*K9)</f>
        <v/>
      </c>
      <c r="C94" s="24">
        <f>IF(N9=0, 0, -N9*K9*K9)</f>
        <v/>
      </c>
      <c r="D94" s="24">
        <f>IF(N9=0, 0, N9*J9*K9)</f>
        <v/>
      </c>
      <c r="E94" s="24">
        <f>IF(N9=0, 0, N9*K9*K9)</f>
        <v/>
      </c>
      <c r="F94" s="13">
        <f>IF(H20="","-",H20)</f>
        <v/>
      </c>
    </row>
    <row r="96" ht="19.05" customHeight="1" s="52">
      <c r="B96" s="54" t="inlineStr">
        <is>
          <t>U1X</t>
        </is>
      </c>
      <c r="C96" s="54" t="inlineStr">
        <is>
          <t>U1Y</t>
        </is>
      </c>
      <c r="D96" s="54" t="inlineStr">
        <is>
          <t>U2X</t>
        </is>
      </c>
      <c r="E96" s="54" t="inlineStr">
        <is>
          <t>U2Y</t>
        </is>
      </c>
      <c r="F96" s="54" t="inlineStr">
        <is>
          <t>U3X</t>
        </is>
      </c>
      <c r="G96" s="54" t="inlineStr">
        <is>
          <t>U3Y</t>
        </is>
      </c>
      <c r="H96" s="54" t="inlineStr">
        <is>
          <t>U4X</t>
        </is>
      </c>
      <c r="I96" s="54" t="inlineStr">
        <is>
          <t>U4Y</t>
        </is>
      </c>
      <c r="J96" s="54" t="inlineStr">
        <is>
          <t>U5X</t>
        </is>
      </c>
      <c r="K96" s="54" t="inlineStr">
        <is>
          <t>U5Y</t>
        </is>
      </c>
      <c r="L96" s="54" t="inlineStr">
        <is>
          <t>U6X</t>
        </is>
      </c>
      <c r="M96" s="54" t="inlineStr">
        <is>
          <t>U6Y</t>
        </is>
      </c>
    </row>
    <row r="97" ht="19.05" customHeight="1" s="52">
      <c r="B97" s="21">
        <f>IFERROR(INDEX($B$91:$E$94, MATCH($N97, $B$90:$E$90, 0), MATCH(B$96, $B$90:$E$90, 0)), 0)</f>
        <v/>
      </c>
      <c r="C97" s="21">
        <f>IFERROR(INDEX($B$91:$E$94, MATCH($N97, $B$90:$E$90, 0), MATCH(C$96, $B$90:$E$90, 0)), 0)</f>
        <v/>
      </c>
      <c r="D97" s="21">
        <f>IFERROR(INDEX($B$91:$E$94, MATCH($N97, $B$90:$E$90, 0), MATCH(D$96, $B$90:$E$90, 0)), 0)</f>
        <v/>
      </c>
      <c r="E97" s="21">
        <f>IFERROR(INDEX($B$91:$E$94, MATCH($N97, $B$90:$E$90, 0), MATCH(E$96, $B$90:$E$90, 0)), 0)</f>
        <v/>
      </c>
      <c r="F97" s="21">
        <f>IFERROR(INDEX($B$91:$E$94, MATCH($N97, $B$90:$E$90, 0), MATCH(F$96, $B$90:$E$90, 0)), 0)</f>
        <v/>
      </c>
      <c r="G97" s="21">
        <f>IFERROR(INDEX($B$91:$E$94, MATCH($N97, $B$90:$E$90, 0), MATCH(G$96, $B$90:$E$90, 0)), 0)</f>
        <v/>
      </c>
      <c r="H97" s="21">
        <f>IFERROR(INDEX($B$91:$E$94, MATCH($N97, $B$90:$E$90, 0), MATCH(H$96, $B$90:$E$90, 0)), 0)</f>
        <v/>
      </c>
      <c r="I97" s="21">
        <f>IFERROR(INDEX($B$91:$E$94, MATCH($N97, $B$90:$E$90, 0), MATCH(I$96, $B$90:$E$90, 0)), 0)</f>
        <v/>
      </c>
      <c r="J97" s="21">
        <f>IFERROR(INDEX($B$91:$E$94, MATCH($N97, $B$90:$E$90, 0), MATCH(J$96, $B$90:$E$90, 0)), 0)</f>
        <v/>
      </c>
      <c r="K97" s="21">
        <f>IFERROR(INDEX($B$91:$E$94, MATCH($N97, $B$90:$E$90, 0), MATCH(K$96, $B$90:$E$90, 0)), 0)</f>
        <v/>
      </c>
      <c r="L97" s="21">
        <f>IFERROR(INDEX($B$91:$E$94, MATCH($N97, $B$90:$E$90, 0), MATCH(L$96, $B$90:$E$90, 0)), 0)</f>
        <v/>
      </c>
      <c r="M97" s="21">
        <f>IFERROR(INDEX($B$91:$E$94, MATCH($N97, $B$90:$E$90, 0), MATCH(M$96, $B$90:$E$90, 0)), 0)</f>
        <v/>
      </c>
      <c r="N97" s="13" t="inlineStr">
        <is>
          <t>U1X</t>
        </is>
      </c>
    </row>
    <row r="98" ht="19.05" customHeight="1" s="52">
      <c r="B98" s="21">
        <f>IFERROR(INDEX($B$91:$E$94, MATCH($N98, $B$90:$E$90, 0), MATCH(B$96, $B$90:$E$90, 0)), 0)</f>
        <v/>
      </c>
      <c r="C98" s="21">
        <f>IFERROR(INDEX($B$91:$E$94, MATCH($N98, $B$90:$E$90, 0), MATCH(C$96, $B$90:$E$90, 0)), 0)</f>
        <v/>
      </c>
      <c r="D98" s="21">
        <f>IFERROR(INDEX($B$91:$E$94, MATCH($N98, $B$90:$E$90, 0), MATCH(D$96, $B$90:$E$90, 0)), 0)</f>
        <v/>
      </c>
      <c r="E98" s="21">
        <f>IFERROR(INDEX($B$91:$E$94, MATCH($N98, $B$90:$E$90, 0), MATCH(E$96, $B$90:$E$90, 0)), 0)</f>
        <v/>
      </c>
      <c r="F98" s="21">
        <f>IFERROR(INDEX($B$91:$E$94, MATCH($N98, $B$90:$E$90, 0), MATCH(F$96, $B$90:$E$90, 0)), 0)</f>
        <v/>
      </c>
      <c r="G98" s="21">
        <f>IFERROR(INDEX($B$91:$E$94, MATCH($N98, $B$90:$E$90, 0), MATCH(G$96, $B$90:$E$90, 0)), 0)</f>
        <v/>
      </c>
      <c r="H98" s="21">
        <f>IFERROR(INDEX($B$91:$E$94, MATCH($N98, $B$90:$E$90, 0), MATCH(H$96, $B$90:$E$90, 0)), 0)</f>
        <v/>
      </c>
      <c r="I98" s="21">
        <f>IFERROR(INDEX($B$91:$E$94, MATCH($N98, $B$90:$E$90, 0), MATCH(I$96, $B$90:$E$90, 0)), 0)</f>
        <v/>
      </c>
      <c r="J98" s="21">
        <f>IFERROR(INDEX($B$91:$E$94, MATCH($N98, $B$90:$E$90, 0), MATCH(J$96, $B$90:$E$90, 0)), 0)</f>
        <v/>
      </c>
      <c r="K98" s="21">
        <f>IFERROR(INDEX($B$91:$E$94, MATCH($N98, $B$90:$E$90, 0), MATCH(K$96, $B$90:$E$90, 0)), 0)</f>
        <v/>
      </c>
      <c r="L98" s="21">
        <f>IFERROR(INDEX($B$91:$E$94, MATCH($N98, $B$90:$E$90, 0), MATCH(L$96, $B$90:$E$90, 0)), 0)</f>
        <v/>
      </c>
      <c r="M98" s="21">
        <f>IFERROR(INDEX($B$91:$E$94, MATCH($N98, $B$90:$E$90, 0), MATCH(M$96, $B$90:$E$90, 0)), 0)</f>
        <v/>
      </c>
      <c r="N98" s="13" t="inlineStr">
        <is>
          <t>U1Y</t>
        </is>
      </c>
    </row>
    <row r="99" ht="19.05" customHeight="1" s="52">
      <c r="B99" s="21">
        <f>IFERROR(INDEX($B$91:$E$94, MATCH($N99, $B$90:$E$90, 0), MATCH(B$96, $B$90:$E$90, 0)), 0)</f>
        <v/>
      </c>
      <c r="C99" s="21">
        <f>IFERROR(INDEX($B$91:$E$94, MATCH($N99, $B$90:$E$90, 0), MATCH(C$96, $B$90:$E$90, 0)), 0)</f>
        <v/>
      </c>
      <c r="D99" s="21">
        <f>IFERROR(INDEX($B$91:$E$94, MATCH($N99, $B$90:$E$90, 0), MATCH(D$96, $B$90:$E$90, 0)), 0)</f>
        <v/>
      </c>
      <c r="E99" s="21">
        <f>IFERROR(INDEX($B$91:$E$94, MATCH($N99, $B$90:$E$90, 0), MATCH(E$96, $B$90:$E$90, 0)), 0)</f>
        <v/>
      </c>
      <c r="F99" s="21">
        <f>IFERROR(INDEX($B$91:$E$94, MATCH($N99, $B$90:$E$90, 0), MATCH(F$96, $B$90:$E$90, 0)), 0)</f>
        <v/>
      </c>
      <c r="G99" s="21">
        <f>IFERROR(INDEX($B$91:$E$94, MATCH($N99, $B$90:$E$90, 0), MATCH(G$96, $B$90:$E$90, 0)), 0)</f>
        <v/>
      </c>
      <c r="H99" s="21">
        <f>IFERROR(INDEX($B$91:$E$94, MATCH($N99, $B$90:$E$90, 0), MATCH(H$96, $B$90:$E$90, 0)), 0)</f>
        <v/>
      </c>
      <c r="I99" s="21">
        <f>IFERROR(INDEX($B$91:$E$94, MATCH($N99, $B$90:$E$90, 0), MATCH(I$96, $B$90:$E$90, 0)), 0)</f>
        <v/>
      </c>
      <c r="J99" s="21">
        <f>IFERROR(INDEX($B$91:$E$94, MATCH($N99, $B$90:$E$90, 0), MATCH(J$96, $B$90:$E$90, 0)), 0)</f>
        <v/>
      </c>
      <c r="K99" s="21">
        <f>IFERROR(INDEX($B$91:$E$94, MATCH($N99, $B$90:$E$90, 0), MATCH(K$96, $B$90:$E$90, 0)), 0)</f>
        <v/>
      </c>
      <c r="L99" s="21">
        <f>IFERROR(INDEX($B$91:$E$94, MATCH($N99, $B$90:$E$90, 0), MATCH(L$96, $B$90:$E$90, 0)), 0)</f>
        <v/>
      </c>
      <c r="M99" s="21">
        <f>IFERROR(INDEX($B$91:$E$94, MATCH($N99, $B$90:$E$90, 0), MATCH(M$96, $B$90:$E$90, 0)), 0)</f>
        <v/>
      </c>
      <c r="N99" s="13" t="inlineStr">
        <is>
          <t>U2X</t>
        </is>
      </c>
    </row>
    <row r="100" ht="19.05" customHeight="1" s="52">
      <c r="B100" s="21">
        <f>IFERROR(INDEX($B$91:$E$94, MATCH($N100, $B$90:$E$90, 0), MATCH(B$96, $B$90:$E$90, 0)), 0)</f>
        <v/>
      </c>
      <c r="C100" s="21">
        <f>IFERROR(INDEX($B$91:$E$94, MATCH($N100, $B$90:$E$90, 0), MATCH(C$96, $B$90:$E$90, 0)), 0)</f>
        <v/>
      </c>
      <c r="D100" s="21">
        <f>IFERROR(INDEX($B$91:$E$94, MATCH($N100, $B$90:$E$90, 0), MATCH(D$96, $B$90:$E$90, 0)), 0)</f>
        <v/>
      </c>
      <c r="E100" s="21">
        <f>IFERROR(INDEX($B$91:$E$94, MATCH($N100, $B$90:$E$90, 0), MATCH(E$96, $B$90:$E$90, 0)), 0)</f>
        <v/>
      </c>
      <c r="F100" s="21">
        <f>IFERROR(INDEX($B$91:$E$94, MATCH($N100, $B$90:$E$90, 0), MATCH(F$96, $B$90:$E$90, 0)), 0)</f>
        <v/>
      </c>
      <c r="G100" s="21">
        <f>IFERROR(INDEX($B$91:$E$94, MATCH($N100, $B$90:$E$90, 0), MATCH(G$96, $B$90:$E$90, 0)), 0)</f>
        <v/>
      </c>
      <c r="H100" s="21">
        <f>IFERROR(INDEX($B$91:$E$94, MATCH($N100, $B$90:$E$90, 0), MATCH(H$96, $B$90:$E$90, 0)), 0)</f>
        <v/>
      </c>
      <c r="I100" s="21">
        <f>IFERROR(INDEX($B$91:$E$94, MATCH($N100, $B$90:$E$90, 0), MATCH(I$96, $B$90:$E$90, 0)), 0)</f>
        <v/>
      </c>
      <c r="J100" s="21">
        <f>IFERROR(INDEX($B$91:$E$94, MATCH($N100, $B$90:$E$90, 0), MATCH(J$96, $B$90:$E$90, 0)), 0)</f>
        <v/>
      </c>
      <c r="K100" s="21">
        <f>IFERROR(INDEX($B$91:$E$94, MATCH($N100, $B$90:$E$90, 0), MATCH(K$96, $B$90:$E$90, 0)), 0)</f>
        <v/>
      </c>
      <c r="L100" s="21">
        <f>IFERROR(INDEX($B$91:$E$94, MATCH($N100, $B$90:$E$90, 0), MATCH(L$96, $B$90:$E$90, 0)), 0)</f>
        <v/>
      </c>
      <c r="M100" s="21">
        <f>IFERROR(INDEX($B$91:$E$94, MATCH($N100, $B$90:$E$90, 0), MATCH(M$96, $B$90:$E$90, 0)), 0)</f>
        <v/>
      </c>
      <c r="N100" s="13" t="inlineStr">
        <is>
          <t>U2Y</t>
        </is>
      </c>
    </row>
    <row r="101" ht="19.05" customHeight="1" s="52">
      <c r="B101" s="21">
        <f>IFERROR(INDEX($B$91:$E$94, MATCH($N101, $B$90:$E$90, 0), MATCH(B$96, $B$90:$E$90, 0)), 0)</f>
        <v/>
      </c>
      <c r="C101" s="21">
        <f>IFERROR(INDEX($B$91:$E$94, MATCH($N101, $B$90:$E$90, 0), MATCH(C$96, $B$90:$E$90, 0)), 0)</f>
        <v/>
      </c>
      <c r="D101" s="21">
        <f>IFERROR(INDEX($B$91:$E$94, MATCH($N101, $B$90:$E$90, 0), MATCH(D$96, $B$90:$E$90, 0)), 0)</f>
        <v/>
      </c>
      <c r="E101" s="21">
        <f>IFERROR(INDEX($B$91:$E$94, MATCH($N101, $B$90:$E$90, 0), MATCH(E$96, $B$90:$E$90, 0)), 0)</f>
        <v/>
      </c>
      <c r="F101" s="21">
        <f>IFERROR(INDEX($B$91:$E$94, MATCH($N101, $B$90:$E$90, 0), MATCH(F$96, $B$90:$E$90, 0)), 0)</f>
        <v/>
      </c>
      <c r="G101" s="21">
        <f>IFERROR(INDEX($B$91:$E$94, MATCH($N101, $B$90:$E$90, 0), MATCH(G$96, $B$90:$E$90, 0)), 0)</f>
        <v/>
      </c>
      <c r="H101" s="21">
        <f>IFERROR(INDEX($B$91:$E$94, MATCH($N101, $B$90:$E$90, 0), MATCH(H$96, $B$90:$E$90, 0)), 0)</f>
        <v/>
      </c>
      <c r="I101" s="21">
        <f>IFERROR(INDEX($B$91:$E$94, MATCH($N101, $B$90:$E$90, 0), MATCH(I$96, $B$90:$E$90, 0)), 0)</f>
        <v/>
      </c>
      <c r="J101" s="21">
        <f>IFERROR(INDEX($B$91:$E$94, MATCH($N101, $B$90:$E$90, 0), MATCH(J$96, $B$90:$E$90, 0)), 0)</f>
        <v/>
      </c>
      <c r="K101" s="21">
        <f>IFERROR(INDEX($B$91:$E$94, MATCH($N101, $B$90:$E$90, 0), MATCH(K$96, $B$90:$E$90, 0)), 0)</f>
        <v/>
      </c>
      <c r="L101" s="21">
        <f>IFERROR(INDEX($B$91:$E$94, MATCH($N101, $B$90:$E$90, 0), MATCH(L$96, $B$90:$E$90, 0)), 0)</f>
        <v/>
      </c>
      <c r="M101" s="21">
        <f>IFERROR(INDEX($B$91:$E$94, MATCH($N101, $B$90:$E$90, 0), MATCH(M$96, $B$90:$E$90, 0)), 0)</f>
        <v/>
      </c>
      <c r="N101" s="13" t="inlineStr">
        <is>
          <t>U3X</t>
        </is>
      </c>
    </row>
    <row r="102" ht="19.05" customHeight="1" s="52">
      <c r="A102" s="19" t="inlineStr">
        <is>
          <t>K4=</t>
        </is>
      </c>
      <c r="B102" s="21">
        <f>IFERROR(INDEX($B$91:$E$94, MATCH($N102, $B$90:$E$90, 0), MATCH(B$96, $B$90:$E$90, 0)), 0)</f>
        <v/>
      </c>
      <c r="C102" s="21">
        <f>IFERROR(INDEX($B$91:$E$94, MATCH($N102, $B$90:$E$90, 0), MATCH(C$96, $B$90:$E$90, 0)), 0)</f>
        <v/>
      </c>
      <c r="D102" s="21">
        <f>IFERROR(INDEX($B$91:$E$94, MATCH($N102, $B$90:$E$90, 0), MATCH(D$96, $B$90:$E$90, 0)), 0)</f>
        <v/>
      </c>
      <c r="E102" s="21">
        <f>IFERROR(INDEX($B$91:$E$94, MATCH($N102, $B$90:$E$90, 0), MATCH(E$96, $B$90:$E$90, 0)), 0)</f>
        <v/>
      </c>
      <c r="F102" s="21">
        <f>IFERROR(INDEX($B$91:$E$94, MATCH($N102, $B$90:$E$90, 0), MATCH(F$96, $B$90:$E$90, 0)), 0)</f>
        <v/>
      </c>
      <c r="G102" s="21">
        <f>IFERROR(INDEX($B$91:$E$94, MATCH($N102, $B$90:$E$90, 0), MATCH(G$96, $B$90:$E$90, 0)), 0)</f>
        <v/>
      </c>
      <c r="H102" s="21">
        <f>IFERROR(INDEX($B$91:$E$94, MATCH($N102, $B$90:$E$90, 0), MATCH(H$96, $B$90:$E$90, 0)), 0)</f>
        <v/>
      </c>
      <c r="I102" s="21">
        <f>IFERROR(INDEX($B$91:$E$94, MATCH($N102, $B$90:$E$90, 0), MATCH(I$96, $B$90:$E$90, 0)), 0)</f>
        <v/>
      </c>
      <c r="J102" s="21">
        <f>IFERROR(INDEX($B$91:$E$94, MATCH($N102, $B$90:$E$90, 0), MATCH(J$96, $B$90:$E$90, 0)), 0)</f>
        <v/>
      </c>
      <c r="K102" s="21">
        <f>IFERROR(INDEX($B$91:$E$94, MATCH($N102, $B$90:$E$90, 0), MATCH(K$96, $B$90:$E$90, 0)), 0)</f>
        <v/>
      </c>
      <c r="L102" s="21">
        <f>IFERROR(INDEX($B$91:$E$94, MATCH($N102, $B$90:$E$90, 0), MATCH(L$96, $B$90:$E$90, 0)), 0)</f>
        <v/>
      </c>
      <c r="M102" s="21">
        <f>IFERROR(INDEX($B$91:$E$94, MATCH($N102, $B$90:$E$90, 0), MATCH(M$96, $B$90:$E$90, 0)), 0)</f>
        <v/>
      </c>
      <c r="N102" s="13" t="inlineStr">
        <is>
          <t>U3Y</t>
        </is>
      </c>
    </row>
    <row r="103" ht="19.05" customHeight="1" s="52">
      <c r="B103" s="21">
        <f>IFERROR(INDEX($B$91:$E$94, MATCH($N103, $B$90:$E$90, 0), MATCH(B$96, $B$90:$E$90, 0)), 0)</f>
        <v/>
      </c>
      <c r="C103" s="21">
        <f>IFERROR(INDEX($B$91:$E$94, MATCH($N103, $B$90:$E$90, 0), MATCH(C$96, $B$90:$E$90, 0)), 0)</f>
        <v/>
      </c>
      <c r="D103" s="21">
        <f>IFERROR(INDEX($B$91:$E$94, MATCH($N103, $B$90:$E$90, 0), MATCH(D$96, $B$90:$E$90, 0)), 0)</f>
        <v/>
      </c>
      <c r="E103" s="21">
        <f>IFERROR(INDEX($B$91:$E$94, MATCH($N103, $B$90:$E$90, 0), MATCH(E$96, $B$90:$E$90, 0)), 0)</f>
        <v/>
      </c>
      <c r="F103" s="21">
        <f>IFERROR(INDEX($B$91:$E$94, MATCH($N103, $B$90:$E$90, 0), MATCH(F$96, $B$90:$E$90, 0)), 0)</f>
        <v/>
      </c>
      <c r="G103" s="21">
        <f>IFERROR(INDEX($B$91:$E$94, MATCH($N103, $B$90:$E$90, 0), MATCH(G$96, $B$90:$E$90, 0)), 0)</f>
        <v/>
      </c>
      <c r="H103" s="21">
        <f>IFERROR(INDEX($B$91:$E$94, MATCH($N103, $B$90:$E$90, 0), MATCH(H$96, $B$90:$E$90, 0)), 0)</f>
        <v/>
      </c>
      <c r="I103" s="21">
        <f>IFERROR(INDEX($B$91:$E$94, MATCH($N103, $B$90:$E$90, 0), MATCH(I$96, $B$90:$E$90, 0)), 0)</f>
        <v/>
      </c>
      <c r="J103" s="21">
        <f>IFERROR(INDEX($B$91:$E$94, MATCH($N103, $B$90:$E$90, 0), MATCH(J$96, $B$90:$E$90, 0)), 0)</f>
        <v/>
      </c>
      <c r="K103" s="21">
        <f>IFERROR(INDEX($B$91:$E$94, MATCH($N103, $B$90:$E$90, 0), MATCH(K$96, $B$90:$E$90, 0)), 0)</f>
        <v/>
      </c>
      <c r="L103" s="21">
        <f>IFERROR(INDEX($B$91:$E$94, MATCH($N103, $B$90:$E$90, 0), MATCH(L$96, $B$90:$E$90, 0)), 0)</f>
        <v/>
      </c>
      <c r="M103" s="21">
        <f>IFERROR(INDEX($B$91:$E$94, MATCH($N103, $B$90:$E$90, 0), MATCH(M$96, $B$90:$E$90, 0)), 0)</f>
        <v/>
      </c>
      <c r="N103" s="13" t="inlineStr">
        <is>
          <t>U4X</t>
        </is>
      </c>
    </row>
    <row r="104" ht="19.05" customHeight="1" s="52">
      <c r="B104" s="21">
        <f>IFERROR(INDEX($B$91:$E$94, MATCH($N104, $B$90:$E$90, 0), MATCH(B$96, $B$90:$E$90, 0)), 0)</f>
        <v/>
      </c>
      <c r="C104" s="21">
        <f>IFERROR(INDEX($B$91:$E$94, MATCH($N104, $B$90:$E$90, 0), MATCH(C$96, $B$90:$E$90, 0)), 0)</f>
        <v/>
      </c>
      <c r="D104" s="21">
        <f>IFERROR(INDEX($B$91:$E$94, MATCH($N104, $B$90:$E$90, 0), MATCH(D$96, $B$90:$E$90, 0)), 0)</f>
        <v/>
      </c>
      <c r="E104" s="21">
        <f>IFERROR(INDEX($B$91:$E$94, MATCH($N104, $B$90:$E$90, 0), MATCH(E$96, $B$90:$E$90, 0)), 0)</f>
        <v/>
      </c>
      <c r="F104" s="21">
        <f>IFERROR(INDEX($B$91:$E$94, MATCH($N104, $B$90:$E$90, 0), MATCH(F$96, $B$90:$E$90, 0)), 0)</f>
        <v/>
      </c>
      <c r="G104" s="21">
        <f>IFERROR(INDEX($B$91:$E$94, MATCH($N104, $B$90:$E$90, 0), MATCH(G$96, $B$90:$E$90, 0)), 0)</f>
        <v/>
      </c>
      <c r="H104" s="21">
        <f>IFERROR(INDEX($B$91:$E$94, MATCH($N104, $B$90:$E$90, 0), MATCH(H$96, $B$90:$E$90, 0)), 0)</f>
        <v/>
      </c>
      <c r="I104" s="21">
        <f>IFERROR(INDEX($B$91:$E$94, MATCH($N104, $B$90:$E$90, 0), MATCH(I$96, $B$90:$E$90, 0)), 0)</f>
        <v/>
      </c>
      <c r="J104" s="21">
        <f>IFERROR(INDEX($B$91:$E$94, MATCH($N104, $B$90:$E$90, 0), MATCH(J$96, $B$90:$E$90, 0)), 0)</f>
        <v/>
      </c>
      <c r="K104" s="21">
        <f>IFERROR(INDEX($B$91:$E$94, MATCH($N104, $B$90:$E$90, 0), MATCH(K$96, $B$90:$E$90, 0)), 0)</f>
        <v/>
      </c>
      <c r="L104" s="21">
        <f>IFERROR(INDEX($B$91:$E$94, MATCH($N104, $B$90:$E$90, 0), MATCH(L$96, $B$90:$E$90, 0)), 0)</f>
        <v/>
      </c>
      <c r="M104" s="21">
        <f>IFERROR(INDEX($B$91:$E$94, MATCH($N104, $B$90:$E$90, 0), MATCH(M$96, $B$90:$E$90, 0)), 0)</f>
        <v/>
      </c>
      <c r="N104" s="13" t="inlineStr">
        <is>
          <t>U4Y</t>
        </is>
      </c>
    </row>
    <row r="105" ht="19.05" customHeight="1" s="52">
      <c r="B105" s="21">
        <f>IFERROR(INDEX($B$91:$E$94, MATCH($N105, $B$90:$E$90, 0), MATCH(B$96, $B$90:$E$90, 0)), 0)</f>
        <v/>
      </c>
      <c r="C105" s="21">
        <f>IFERROR(INDEX($B$91:$E$94, MATCH($N105, $B$90:$E$90, 0), MATCH(C$96, $B$90:$E$90, 0)), 0)</f>
        <v/>
      </c>
      <c r="D105" s="21">
        <f>IFERROR(INDEX($B$91:$E$94, MATCH($N105, $B$90:$E$90, 0), MATCH(D$96, $B$90:$E$90, 0)), 0)</f>
        <v/>
      </c>
      <c r="E105" s="21">
        <f>IFERROR(INDEX($B$91:$E$94, MATCH($N105, $B$90:$E$90, 0), MATCH(E$96, $B$90:$E$90, 0)), 0)</f>
        <v/>
      </c>
      <c r="F105" s="21">
        <f>IFERROR(INDEX($B$91:$E$94, MATCH($N105, $B$90:$E$90, 0), MATCH(F$96, $B$90:$E$90, 0)), 0)</f>
        <v/>
      </c>
      <c r="G105" s="21">
        <f>IFERROR(INDEX($B$91:$E$94, MATCH($N105, $B$90:$E$90, 0), MATCH(G$96, $B$90:$E$90, 0)), 0)</f>
        <v/>
      </c>
      <c r="H105" s="21">
        <f>IFERROR(INDEX($B$91:$E$94, MATCH($N105, $B$90:$E$90, 0), MATCH(H$96, $B$90:$E$90, 0)), 0)</f>
        <v/>
      </c>
      <c r="I105" s="21">
        <f>IFERROR(INDEX($B$91:$E$94, MATCH($N105, $B$90:$E$90, 0), MATCH(I$96, $B$90:$E$90, 0)), 0)</f>
        <v/>
      </c>
      <c r="J105" s="21">
        <f>IFERROR(INDEX($B$91:$E$94, MATCH($N105, $B$90:$E$90, 0), MATCH(J$96, $B$90:$E$90, 0)), 0)</f>
        <v/>
      </c>
      <c r="K105" s="21">
        <f>IFERROR(INDEX($B$91:$E$94, MATCH($N105, $B$90:$E$90, 0), MATCH(K$96, $B$90:$E$90, 0)), 0)</f>
        <v/>
      </c>
      <c r="L105" s="21">
        <f>IFERROR(INDEX($B$91:$E$94, MATCH($N105, $B$90:$E$90, 0), MATCH(L$96, $B$90:$E$90, 0)), 0)</f>
        <v/>
      </c>
      <c r="M105" s="21">
        <f>IFERROR(INDEX($B$91:$E$94, MATCH($N105, $B$90:$E$90, 0), MATCH(M$96, $B$90:$E$90, 0)), 0)</f>
        <v/>
      </c>
      <c r="N105" s="13" t="inlineStr">
        <is>
          <t>U5X</t>
        </is>
      </c>
    </row>
    <row r="106" ht="19.05" customHeight="1" s="52">
      <c r="B106" s="21">
        <f>IFERROR(INDEX($B$91:$E$94, MATCH($N106, $B$90:$E$90, 0), MATCH(B$96, $B$90:$E$90, 0)), 0)</f>
        <v/>
      </c>
      <c r="C106" s="21">
        <f>IFERROR(INDEX($B$91:$E$94, MATCH($N106, $B$90:$E$90, 0), MATCH(C$96, $B$90:$E$90, 0)), 0)</f>
        <v/>
      </c>
      <c r="D106" s="21">
        <f>IFERROR(INDEX($B$91:$E$94, MATCH($N106, $B$90:$E$90, 0), MATCH(D$96, $B$90:$E$90, 0)), 0)</f>
        <v/>
      </c>
      <c r="E106" s="21">
        <f>IFERROR(INDEX($B$91:$E$94, MATCH($N106, $B$90:$E$90, 0), MATCH(E$96, $B$90:$E$90, 0)), 0)</f>
        <v/>
      </c>
      <c r="F106" s="21">
        <f>IFERROR(INDEX($B$91:$E$94, MATCH($N106, $B$90:$E$90, 0), MATCH(F$96, $B$90:$E$90, 0)), 0)</f>
        <v/>
      </c>
      <c r="G106" s="21">
        <f>IFERROR(INDEX($B$91:$E$94, MATCH($N106, $B$90:$E$90, 0), MATCH(G$96, $B$90:$E$90, 0)), 0)</f>
        <v/>
      </c>
      <c r="H106" s="21">
        <f>IFERROR(INDEX($B$91:$E$94, MATCH($N106, $B$90:$E$90, 0), MATCH(H$96, $B$90:$E$90, 0)), 0)</f>
        <v/>
      </c>
      <c r="I106" s="21">
        <f>IFERROR(INDEX($B$91:$E$94, MATCH($N106, $B$90:$E$90, 0), MATCH(I$96, $B$90:$E$90, 0)), 0)</f>
        <v/>
      </c>
      <c r="J106" s="21">
        <f>IFERROR(INDEX($B$91:$E$94, MATCH($N106, $B$90:$E$90, 0), MATCH(J$96, $B$90:$E$90, 0)), 0)</f>
        <v/>
      </c>
      <c r="K106" s="21">
        <f>IFERROR(INDEX($B$91:$E$94, MATCH($N106, $B$90:$E$90, 0), MATCH(K$96, $B$90:$E$90, 0)), 0)</f>
        <v/>
      </c>
      <c r="L106" s="21">
        <f>IFERROR(INDEX($B$91:$E$94, MATCH($N106, $B$90:$E$90, 0), MATCH(L$96, $B$90:$E$90, 0)), 0)</f>
        <v/>
      </c>
      <c r="M106" s="21">
        <f>IFERROR(INDEX($B$91:$E$94, MATCH($N106, $B$90:$E$90, 0), MATCH(M$96, $B$90:$E$90, 0)), 0)</f>
        <v/>
      </c>
      <c r="N106" s="13" t="inlineStr">
        <is>
          <t>U5Y</t>
        </is>
      </c>
    </row>
    <row r="107" ht="19.05" customHeight="1" s="52">
      <c r="B107" s="21">
        <f>IFERROR(INDEX($B$91:$E$94, MATCH($N107, $B$90:$E$90, 0), MATCH(B$96, $B$90:$E$90, 0)), 0)</f>
        <v/>
      </c>
      <c r="C107" s="21">
        <f>IFERROR(INDEX($B$91:$E$94, MATCH($N107, $B$90:$E$90, 0), MATCH(C$96, $B$90:$E$90, 0)), 0)</f>
        <v/>
      </c>
      <c r="D107" s="21">
        <f>IFERROR(INDEX($B$91:$E$94, MATCH($N107, $B$90:$E$90, 0), MATCH(D$96, $B$90:$E$90, 0)), 0)</f>
        <v/>
      </c>
      <c r="E107" s="21">
        <f>IFERROR(INDEX($B$91:$E$94, MATCH($N107, $B$90:$E$90, 0), MATCH(E$96, $B$90:$E$90, 0)), 0)</f>
        <v/>
      </c>
      <c r="F107" s="21">
        <f>IFERROR(INDEX($B$91:$E$94, MATCH($N107, $B$90:$E$90, 0), MATCH(F$96, $B$90:$E$90, 0)), 0)</f>
        <v/>
      </c>
      <c r="G107" s="21">
        <f>IFERROR(INDEX($B$91:$E$94, MATCH($N107, $B$90:$E$90, 0), MATCH(G$96, $B$90:$E$90, 0)), 0)</f>
        <v/>
      </c>
      <c r="H107" s="21">
        <f>IFERROR(INDEX($B$91:$E$94, MATCH($N107, $B$90:$E$90, 0), MATCH(H$96, $B$90:$E$90, 0)), 0)</f>
        <v/>
      </c>
      <c r="I107" s="21">
        <f>IFERROR(INDEX($B$91:$E$94, MATCH($N107, $B$90:$E$90, 0), MATCH(I$96, $B$90:$E$90, 0)), 0)</f>
        <v/>
      </c>
      <c r="J107" s="21">
        <f>IFERROR(INDEX($B$91:$E$94, MATCH($N107, $B$90:$E$90, 0), MATCH(J$96, $B$90:$E$90, 0)), 0)</f>
        <v/>
      </c>
      <c r="K107" s="21">
        <f>IFERROR(INDEX($B$91:$E$94, MATCH($N107, $B$90:$E$90, 0), MATCH(K$96, $B$90:$E$90, 0)), 0)</f>
        <v/>
      </c>
      <c r="L107" s="21">
        <f>IFERROR(INDEX($B$91:$E$94, MATCH($N107, $B$90:$E$90, 0), MATCH(L$96, $B$90:$E$90, 0)), 0)</f>
        <v/>
      </c>
      <c r="M107" s="21">
        <f>IFERROR(INDEX($B$91:$E$94, MATCH($N107, $B$90:$E$90, 0), MATCH(M$96, $B$90:$E$90, 0)), 0)</f>
        <v/>
      </c>
      <c r="N107" s="13" t="inlineStr">
        <is>
          <t>U6X</t>
        </is>
      </c>
    </row>
    <row r="108" ht="19.05" customHeight="1" s="52">
      <c r="B108" s="21">
        <f>IFERROR(INDEX($B$91:$E$94, MATCH($N108, $B$90:$E$90, 0), MATCH(B$96, $B$90:$E$90, 0)), 0)</f>
        <v/>
      </c>
      <c r="C108" s="21">
        <f>IFERROR(INDEX($B$91:$E$94, MATCH($N108, $B$90:$E$90, 0), MATCH(C$96, $B$90:$E$90, 0)), 0)</f>
        <v/>
      </c>
      <c r="D108" s="21">
        <f>IFERROR(INDEX($B$91:$E$94, MATCH($N108, $B$90:$E$90, 0), MATCH(D$96, $B$90:$E$90, 0)), 0)</f>
        <v/>
      </c>
      <c r="E108" s="21">
        <f>IFERROR(INDEX($B$91:$E$94, MATCH($N108, $B$90:$E$90, 0), MATCH(E$96, $B$90:$E$90, 0)), 0)</f>
        <v/>
      </c>
      <c r="F108" s="21">
        <f>IFERROR(INDEX($B$91:$E$94, MATCH($N108, $B$90:$E$90, 0), MATCH(F$96, $B$90:$E$90, 0)), 0)</f>
        <v/>
      </c>
      <c r="G108" s="21">
        <f>IFERROR(INDEX($B$91:$E$94, MATCH($N108, $B$90:$E$90, 0), MATCH(G$96, $B$90:$E$90, 0)), 0)</f>
        <v/>
      </c>
      <c r="H108" s="21">
        <f>IFERROR(INDEX($B$91:$E$94, MATCH($N108, $B$90:$E$90, 0), MATCH(H$96, $B$90:$E$90, 0)), 0)</f>
        <v/>
      </c>
      <c r="I108" s="21">
        <f>IFERROR(INDEX($B$91:$E$94, MATCH($N108, $B$90:$E$90, 0), MATCH(I$96, $B$90:$E$90, 0)), 0)</f>
        <v/>
      </c>
      <c r="J108" s="21">
        <f>IFERROR(INDEX($B$91:$E$94, MATCH($N108, $B$90:$E$90, 0), MATCH(J$96, $B$90:$E$90, 0)), 0)</f>
        <v/>
      </c>
      <c r="K108" s="21">
        <f>IFERROR(INDEX($B$91:$E$94, MATCH($N108, $B$90:$E$90, 0), MATCH(K$96, $B$90:$E$90, 0)), 0)</f>
        <v/>
      </c>
      <c r="L108" s="21">
        <f>IFERROR(INDEX($B$91:$E$94, MATCH($N108, $B$90:$E$90, 0), MATCH(L$96, $B$90:$E$90, 0)), 0)</f>
        <v/>
      </c>
      <c r="M108" s="21">
        <f>IFERROR(INDEX($B$91:$E$94, MATCH($N108, $B$90:$E$90, 0), MATCH(M$96, $B$90:$E$90, 0)), 0)</f>
        <v/>
      </c>
      <c r="N108" s="13" t="inlineStr">
        <is>
          <t>U6Y</t>
        </is>
      </c>
    </row>
    <row r="111" ht="19.05" customHeight="1" s="52">
      <c r="A111" s="19" t="inlineStr">
        <is>
          <t>k5=</t>
        </is>
      </c>
      <c r="B111" s="14">
        <f>IF(D21="","-",D21)</f>
        <v/>
      </c>
      <c r="C111" s="14">
        <f>IF(E21="","-",E21)</f>
        <v/>
      </c>
      <c r="D111" s="14">
        <f>IF(G21="","-",G21)</f>
        <v/>
      </c>
      <c r="E111" s="14">
        <f>IF(H21="","-",H21)</f>
        <v/>
      </c>
    </row>
    <row r="112" ht="18" customHeight="1" s="52">
      <c r="B112" s="25">
        <f>IF(N10=0, 0, N10*J10*J10)</f>
        <v/>
      </c>
      <c r="C112" s="25">
        <f>IF(N10=0, 0, N10*J10*K10)</f>
        <v/>
      </c>
      <c r="D112" s="25">
        <f>IF(N10=0, 0, -N10*J10*J10)</f>
        <v/>
      </c>
      <c r="E112" s="25">
        <f>IF(N10=0, 0, -N10*J10*K10)</f>
        <v/>
      </c>
      <c r="F112" s="14">
        <f>IF(D21="","-",D21)</f>
        <v/>
      </c>
    </row>
    <row r="113" ht="18" customHeight="1" s="52">
      <c r="B113" s="25">
        <f>IF(N10=0, 0, N10*J10*K10)</f>
        <v/>
      </c>
      <c r="C113" s="25">
        <f>IF(N10=0, 0, N10*K10*K10)</f>
        <v/>
      </c>
      <c r="D113" s="25">
        <f>IF(N10=0, 0, -N10*J10*K10)</f>
        <v/>
      </c>
      <c r="E113" s="25">
        <f>IF(N10=0, 0, -N10*K10*K10)</f>
        <v/>
      </c>
      <c r="F113" s="14">
        <f>IF(E21="","-",E21)</f>
        <v/>
      </c>
    </row>
    <row r="114" ht="18" customHeight="1" s="52">
      <c r="B114" s="25">
        <f>IF(N10=0, 0, -N10*J10*J10)</f>
        <v/>
      </c>
      <c r="C114" s="25">
        <f>IF(N10=0, 0, -N10*J10*K10)</f>
        <v/>
      </c>
      <c r="D114" s="25">
        <f>IF(N10=0, 0, N10*J10*J10)</f>
        <v/>
      </c>
      <c r="E114" s="25">
        <f>IF(N10=0, 0, N10*J10*K10)</f>
        <v/>
      </c>
      <c r="F114" s="14">
        <f>IF(G21="","-",G21)</f>
        <v/>
      </c>
    </row>
    <row r="115" ht="18" customHeight="1" s="52">
      <c r="B115" s="25">
        <f>IF(N10=0, 0, -N10*J10*K10)</f>
        <v/>
      </c>
      <c r="C115" s="25">
        <f>IF(N10=0, 0, -N10*K10*K10)</f>
        <v/>
      </c>
      <c r="D115" s="25">
        <f>IF(N10=0, 0, N10*J10*K10)</f>
        <v/>
      </c>
      <c r="E115" s="25">
        <f>IF(N10=0, 0, N10*K10*K10)</f>
        <v/>
      </c>
      <c r="F115" s="14">
        <f>IF(H21="","-",H21)</f>
        <v/>
      </c>
    </row>
    <row r="117" ht="19.05" customHeight="1" s="52">
      <c r="B117" s="54" t="inlineStr">
        <is>
          <t>U1X</t>
        </is>
      </c>
      <c r="C117" s="54" t="inlineStr">
        <is>
          <t>U1Y</t>
        </is>
      </c>
      <c r="D117" s="54" t="inlineStr">
        <is>
          <t>U2X</t>
        </is>
      </c>
      <c r="E117" s="54" t="inlineStr">
        <is>
          <t>U2Y</t>
        </is>
      </c>
      <c r="F117" s="54" t="inlineStr">
        <is>
          <t>U3X</t>
        </is>
      </c>
      <c r="G117" s="54" t="inlineStr">
        <is>
          <t>U3Y</t>
        </is>
      </c>
      <c r="H117" s="54" t="inlineStr">
        <is>
          <t>U4X</t>
        </is>
      </c>
      <c r="I117" s="54" t="inlineStr">
        <is>
          <t>U4Y</t>
        </is>
      </c>
      <c r="J117" s="54" t="inlineStr">
        <is>
          <t>U5X</t>
        </is>
      </c>
      <c r="K117" s="54" t="inlineStr">
        <is>
          <t>U5Y</t>
        </is>
      </c>
      <c r="L117" s="54" t="inlineStr">
        <is>
          <t>U6X</t>
        </is>
      </c>
      <c r="M117" s="54" t="inlineStr">
        <is>
          <t>U6Y</t>
        </is>
      </c>
    </row>
    <row r="118" ht="19.05" customHeight="1" s="52">
      <c r="B118" s="21">
        <f>IFERROR(INDEX($B$112:$E$115, MATCH($N118, $B$111:$E$111, 0), MATCH(B$117, $B$111:$E$111, 0)), 0)</f>
        <v/>
      </c>
      <c r="C118" s="21">
        <f>IFERROR(INDEX($B$112:$E$115, MATCH($N118, $B$111:$E$111, 0), MATCH(C$117, $B$111:$E$111, 0)), 0)</f>
        <v/>
      </c>
      <c r="D118" s="21">
        <f>IFERROR(INDEX($B$112:$E$115, MATCH($N118, $B$111:$E$111, 0), MATCH(D$117, $B$111:$E$111, 0)), 0)</f>
        <v/>
      </c>
      <c r="E118" s="21">
        <f>IFERROR(INDEX($B$112:$E$115, MATCH($N118, $B$111:$E$111, 0), MATCH(E$117, $B$111:$E$111, 0)), 0)</f>
        <v/>
      </c>
      <c r="F118" s="21">
        <f>IFERROR(INDEX($B$112:$E$115, MATCH($N118, $B$111:$E$111, 0), MATCH(F$117, $B$111:$E$111, 0)), 0)</f>
        <v/>
      </c>
      <c r="G118" s="21">
        <f>IFERROR(INDEX($B$112:$E$115, MATCH($N118, $B$111:$E$111, 0), MATCH(G$117, $B$111:$E$111, 0)), 0)</f>
        <v/>
      </c>
      <c r="H118" s="21">
        <f>IFERROR(INDEX($B$112:$E$115, MATCH($N118, $B$111:$E$111, 0), MATCH(H$117, $B$111:$E$111, 0)), 0)</f>
        <v/>
      </c>
      <c r="I118" s="21">
        <f>IFERROR(INDEX($B$112:$E$115, MATCH($N118, $B$111:$E$111, 0), MATCH(I$117, $B$111:$E$111, 0)), 0)</f>
        <v/>
      </c>
      <c r="J118" s="21">
        <f>IFERROR(INDEX($B$112:$E$115, MATCH($N118, $B$111:$E$111, 0), MATCH(J$117, $B$111:$E$111, 0)), 0)</f>
        <v/>
      </c>
      <c r="K118" s="21">
        <f>IFERROR(INDEX($B$112:$E$115, MATCH($N118, $B$111:$E$111, 0), MATCH(K$117, $B$111:$E$111, 0)), 0)</f>
        <v/>
      </c>
      <c r="L118" s="21">
        <f>IFERROR(INDEX($B$112:$E$115, MATCH($N118, $B$111:$E$111, 0), MATCH(L$117, $B$111:$E$111, 0)), 0)</f>
        <v/>
      </c>
      <c r="M118" s="21">
        <f>IFERROR(INDEX($B$112:$E$115, MATCH($N118, $B$111:$E$111, 0), MATCH(M$117, $B$111:$E$111, 0)), 0)</f>
        <v/>
      </c>
      <c r="N118" s="14" t="inlineStr">
        <is>
          <t>U1X</t>
        </is>
      </c>
    </row>
    <row r="119" ht="19.05" customHeight="1" s="52">
      <c r="B119" s="21">
        <f>IFERROR(INDEX($B$112:$E$115, MATCH($N119, $B$111:$E$111, 0), MATCH(B$117, $B$111:$E$111, 0)), 0)</f>
        <v/>
      </c>
      <c r="C119" s="21">
        <f>IFERROR(INDEX($B$112:$E$115, MATCH($N119, $B$111:$E$111, 0), MATCH(C$117, $B$111:$E$111, 0)), 0)</f>
        <v/>
      </c>
      <c r="D119" s="21">
        <f>IFERROR(INDEX($B$112:$E$115, MATCH($N119, $B$111:$E$111, 0), MATCH(D$117, $B$111:$E$111, 0)), 0)</f>
        <v/>
      </c>
      <c r="E119" s="21">
        <f>IFERROR(INDEX($B$112:$E$115, MATCH($N119, $B$111:$E$111, 0), MATCH(E$117, $B$111:$E$111, 0)), 0)</f>
        <v/>
      </c>
      <c r="F119" s="21">
        <f>IFERROR(INDEX($B$112:$E$115, MATCH($N119, $B$111:$E$111, 0), MATCH(F$117, $B$111:$E$111, 0)), 0)</f>
        <v/>
      </c>
      <c r="G119" s="21">
        <f>IFERROR(INDEX($B$112:$E$115, MATCH($N119, $B$111:$E$111, 0), MATCH(G$117, $B$111:$E$111, 0)), 0)</f>
        <v/>
      </c>
      <c r="H119" s="21">
        <f>IFERROR(INDEX($B$112:$E$115, MATCH($N119, $B$111:$E$111, 0), MATCH(H$117, $B$111:$E$111, 0)), 0)</f>
        <v/>
      </c>
      <c r="I119" s="21">
        <f>IFERROR(INDEX($B$112:$E$115, MATCH($N119, $B$111:$E$111, 0), MATCH(I$117, $B$111:$E$111, 0)), 0)</f>
        <v/>
      </c>
      <c r="J119" s="21">
        <f>IFERROR(INDEX($B$112:$E$115, MATCH($N119, $B$111:$E$111, 0), MATCH(J$117, $B$111:$E$111, 0)), 0)</f>
        <v/>
      </c>
      <c r="K119" s="21">
        <f>IFERROR(INDEX($B$112:$E$115, MATCH($N119, $B$111:$E$111, 0), MATCH(K$117, $B$111:$E$111, 0)), 0)</f>
        <v/>
      </c>
      <c r="L119" s="21">
        <f>IFERROR(INDEX($B$112:$E$115, MATCH($N119, $B$111:$E$111, 0), MATCH(L$117, $B$111:$E$111, 0)), 0)</f>
        <v/>
      </c>
      <c r="M119" s="21">
        <f>IFERROR(INDEX($B$112:$E$115, MATCH($N119, $B$111:$E$111, 0), MATCH(M$117, $B$111:$E$111, 0)), 0)</f>
        <v/>
      </c>
      <c r="N119" s="14" t="inlineStr">
        <is>
          <t>U1Y</t>
        </is>
      </c>
    </row>
    <row r="120" ht="19.05" customHeight="1" s="52">
      <c r="B120" s="21">
        <f>IFERROR(INDEX($B$112:$E$115, MATCH($N120, $B$111:$E$111, 0), MATCH(B$117, $B$111:$E$111, 0)), 0)</f>
        <v/>
      </c>
      <c r="C120" s="21">
        <f>IFERROR(INDEX($B$112:$E$115, MATCH($N120, $B$111:$E$111, 0), MATCH(C$117, $B$111:$E$111, 0)), 0)</f>
        <v/>
      </c>
      <c r="D120" s="21">
        <f>IFERROR(INDEX($B$112:$E$115, MATCH($N120, $B$111:$E$111, 0), MATCH(D$117, $B$111:$E$111, 0)), 0)</f>
        <v/>
      </c>
      <c r="E120" s="21">
        <f>IFERROR(INDEX($B$112:$E$115, MATCH($N120, $B$111:$E$111, 0), MATCH(E$117, $B$111:$E$111, 0)), 0)</f>
        <v/>
      </c>
      <c r="F120" s="21">
        <f>IFERROR(INDEX($B$112:$E$115, MATCH($N120, $B$111:$E$111, 0), MATCH(F$117, $B$111:$E$111, 0)), 0)</f>
        <v/>
      </c>
      <c r="G120" s="21">
        <f>IFERROR(INDEX($B$112:$E$115, MATCH($N120, $B$111:$E$111, 0), MATCH(G$117, $B$111:$E$111, 0)), 0)</f>
        <v/>
      </c>
      <c r="H120" s="21">
        <f>IFERROR(INDEX($B$112:$E$115, MATCH($N120, $B$111:$E$111, 0), MATCH(H$117, $B$111:$E$111, 0)), 0)</f>
        <v/>
      </c>
      <c r="I120" s="21">
        <f>IFERROR(INDEX($B$112:$E$115, MATCH($N120, $B$111:$E$111, 0), MATCH(I$117, $B$111:$E$111, 0)), 0)</f>
        <v/>
      </c>
      <c r="J120" s="21">
        <f>IFERROR(INDEX($B$112:$E$115, MATCH($N120, $B$111:$E$111, 0), MATCH(J$117, $B$111:$E$111, 0)), 0)</f>
        <v/>
      </c>
      <c r="K120" s="21">
        <f>IFERROR(INDEX($B$112:$E$115, MATCH($N120, $B$111:$E$111, 0), MATCH(K$117, $B$111:$E$111, 0)), 0)</f>
        <v/>
      </c>
      <c r="L120" s="21">
        <f>IFERROR(INDEX($B$112:$E$115, MATCH($N120, $B$111:$E$111, 0), MATCH(L$117, $B$111:$E$111, 0)), 0)</f>
        <v/>
      </c>
      <c r="M120" s="21">
        <f>IFERROR(INDEX($B$112:$E$115, MATCH($N120, $B$111:$E$111, 0), MATCH(M$117, $B$111:$E$111, 0)), 0)</f>
        <v/>
      </c>
      <c r="N120" s="14" t="inlineStr">
        <is>
          <t>U2X</t>
        </is>
      </c>
    </row>
    <row r="121" ht="19.05" customHeight="1" s="52">
      <c r="B121" s="21">
        <f>IFERROR(INDEX($B$112:$E$115, MATCH($N121, $B$111:$E$111, 0), MATCH(B$117, $B$111:$E$111, 0)), 0)</f>
        <v/>
      </c>
      <c r="C121" s="21">
        <f>IFERROR(INDEX($B$112:$E$115, MATCH($N121, $B$111:$E$111, 0), MATCH(C$117, $B$111:$E$111, 0)), 0)</f>
        <v/>
      </c>
      <c r="D121" s="21">
        <f>IFERROR(INDEX($B$112:$E$115, MATCH($N121, $B$111:$E$111, 0), MATCH(D$117, $B$111:$E$111, 0)), 0)</f>
        <v/>
      </c>
      <c r="E121" s="21">
        <f>IFERROR(INDEX($B$112:$E$115, MATCH($N121, $B$111:$E$111, 0), MATCH(E$117, $B$111:$E$111, 0)), 0)</f>
        <v/>
      </c>
      <c r="F121" s="21">
        <f>IFERROR(INDEX($B$112:$E$115, MATCH($N121, $B$111:$E$111, 0), MATCH(F$117, $B$111:$E$111, 0)), 0)</f>
        <v/>
      </c>
      <c r="G121" s="21">
        <f>IFERROR(INDEX($B$112:$E$115, MATCH($N121, $B$111:$E$111, 0), MATCH(G$117, $B$111:$E$111, 0)), 0)</f>
        <v/>
      </c>
      <c r="H121" s="21">
        <f>IFERROR(INDEX($B$112:$E$115, MATCH($N121, $B$111:$E$111, 0), MATCH(H$117, $B$111:$E$111, 0)), 0)</f>
        <v/>
      </c>
      <c r="I121" s="21">
        <f>IFERROR(INDEX($B$112:$E$115, MATCH($N121, $B$111:$E$111, 0), MATCH(I$117, $B$111:$E$111, 0)), 0)</f>
        <v/>
      </c>
      <c r="J121" s="21">
        <f>IFERROR(INDEX($B$112:$E$115, MATCH($N121, $B$111:$E$111, 0), MATCH(J$117, $B$111:$E$111, 0)), 0)</f>
        <v/>
      </c>
      <c r="K121" s="21">
        <f>IFERROR(INDEX($B$112:$E$115, MATCH($N121, $B$111:$E$111, 0), MATCH(K$117, $B$111:$E$111, 0)), 0)</f>
        <v/>
      </c>
      <c r="L121" s="21">
        <f>IFERROR(INDEX($B$112:$E$115, MATCH($N121, $B$111:$E$111, 0), MATCH(L$117, $B$111:$E$111, 0)), 0)</f>
        <v/>
      </c>
      <c r="M121" s="21">
        <f>IFERROR(INDEX($B$112:$E$115, MATCH($N121, $B$111:$E$111, 0), MATCH(M$117, $B$111:$E$111, 0)), 0)</f>
        <v/>
      </c>
      <c r="N121" s="14" t="inlineStr">
        <is>
          <t>U2Y</t>
        </is>
      </c>
    </row>
    <row r="122" ht="19.05" customHeight="1" s="52">
      <c r="B122" s="21">
        <f>IFERROR(INDEX($B$112:$E$115, MATCH($N122, $B$111:$E$111, 0), MATCH(B$117, $B$111:$E$111, 0)), 0)</f>
        <v/>
      </c>
      <c r="C122" s="21">
        <f>IFERROR(INDEX($B$112:$E$115, MATCH($N122, $B$111:$E$111, 0), MATCH(C$117, $B$111:$E$111, 0)), 0)</f>
        <v/>
      </c>
      <c r="D122" s="21">
        <f>IFERROR(INDEX($B$112:$E$115, MATCH($N122, $B$111:$E$111, 0), MATCH(D$117, $B$111:$E$111, 0)), 0)</f>
        <v/>
      </c>
      <c r="E122" s="21">
        <f>IFERROR(INDEX($B$112:$E$115, MATCH($N122, $B$111:$E$111, 0), MATCH(E$117, $B$111:$E$111, 0)), 0)</f>
        <v/>
      </c>
      <c r="F122" s="21">
        <f>IFERROR(INDEX($B$112:$E$115, MATCH($N122, $B$111:$E$111, 0), MATCH(F$117, $B$111:$E$111, 0)), 0)</f>
        <v/>
      </c>
      <c r="G122" s="21">
        <f>IFERROR(INDEX($B$112:$E$115, MATCH($N122, $B$111:$E$111, 0), MATCH(G$117, $B$111:$E$111, 0)), 0)</f>
        <v/>
      </c>
      <c r="H122" s="21">
        <f>IFERROR(INDEX($B$112:$E$115, MATCH($N122, $B$111:$E$111, 0), MATCH(H$117, $B$111:$E$111, 0)), 0)</f>
        <v/>
      </c>
      <c r="I122" s="21">
        <f>IFERROR(INDEX($B$112:$E$115, MATCH($N122, $B$111:$E$111, 0), MATCH(I$117, $B$111:$E$111, 0)), 0)</f>
        <v/>
      </c>
      <c r="J122" s="21">
        <f>IFERROR(INDEX($B$112:$E$115, MATCH($N122, $B$111:$E$111, 0), MATCH(J$117, $B$111:$E$111, 0)), 0)</f>
        <v/>
      </c>
      <c r="K122" s="21">
        <f>IFERROR(INDEX($B$112:$E$115, MATCH($N122, $B$111:$E$111, 0), MATCH(K$117, $B$111:$E$111, 0)), 0)</f>
        <v/>
      </c>
      <c r="L122" s="21">
        <f>IFERROR(INDEX($B$112:$E$115, MATCH($N122, $B$111:$E$111, 0), MATCH(L$117, $B$111:$E$111, 0)), 0)</f>
        <v/>
      </c>
      <c r="M122" s="21">
        <f>IFERROR(INDEX($B$112:$E$115, MATCH($N122, $B$111:$E$111, 0), MATCH(M$117, $B$111:$E$111, 0)), 0)</f>
        <v/>
      </c>
      <c r="N122" s="14" t="inlineStr">
        <is>
          <t>U3X</t>
        </is>
      </c>
    </row>
    <row r="123" ht="19.05" customHeight="1" s="52">
      <c r="A123" s="19" t="inlineStr">
        <is>
          <t>K5=</t>
        </is>
      </c>
      <c r="B123" s="21">
        <f>IFERROR(INDEX($B$112:$E$115, MATCH($N123, $B$111:$E$111, 0), MATCH(B$117, $B$111:$E$111, 0)), 0)</f>
        <v/>
      </c>
      <c r="C123" s="21">
        <f>IFERROR(INDEX($B$112:$E$115, MATCH($N123, $B$111:$E$111, 0), MATCH(C$117, $B$111:$E$111, 0)), 0)</f>
        <v/>
      </c>
      <c r="D123" s="21">
        <f>IFERROR(INDEX($B$112:$E$115, MATCH($N123, $B$111:$E$111, 0), MATCH(D$117, $B$111:$E$111, 0)), 0)</f>
        <v/>
      </c>
      <c r="E123" s="21">
        <f>IFERROR(INDEX($B$112:$E$115, MATCH($N123, $B$111:$E$111, 0), MATCH(E$117, $B$111:$E$111, 0)), 0)</f>
        <v/>
      </c>
      <c r="F123" s="21">
        <f>IFERROR(INDEX($B$112:$E$115, MATCH($N123, $B$111:$E$111, 0), MATCH(F$117, $B$111:$E$111, 0)), 0)</f>
        <v/>
      </c>
      <c r="G123" s="21">
        <f>IFERROR(INDEX($B$112:$E$115, MATCH($N123, $B$111:$E$111, 0), MATCH(G$117, $B$111:$E$111, 0)), 0)</f>
        <v/>
      </c>
      <c r="H123" s="21">
        <f>IFERROR(INDEX($B$112:$E$115, MATCH($N123, $B$111:$E$111, 0), MATCH(H$117, $B$111:$E$111, 0)), 0)</f>
        <v/>
      </c>
      <c r="I123" s="21">
        <f>IFERROR(INDEX($B$112:$E$115, MATCH($N123, $B$111:$E$111, 0), MATCH(I$117, $B$111:$E$111, 0)), 0)</f>
        <v/>
      </c>
      <c r="J123" s="21">
        <f>IFERROR(INDEX($B$112:$E$115, MATCH($N123, $B$111:$E$111, 0), MATCH(J$117, $B$111:$E$111, 0)), 0)</f>
        <v/>
      </c>
      <c r="K123" s="21">
        <f>IFERROR(INDEX($B$112:$E$115, MATCH($N123, $B$111:$E$111, 0), MATCH(K$117, $B$111:$E$111, 0)), 0)</f>
        <v/>
      </c>
      <c r="L123" s="21">
        <f>IFERROR(INDEX($B$112:$E$115, MATCH($N123, $B$111:$E$111, 0), MATCH(L$117, $B$111:$E$111, 0)), 0)</f>
        <v/>
      </c>
      <c r="M123" s="21">
        <f>IFERROR(INDEX($B$112:$E$115, MATCH($N123, $B$111:$E$111, 0), MATCH(M$117, $B$111:$E$111, 0)), 0)</f>
        <v/>
      </c>
      <c r="N123" s="14" t="inlineStr">
        <is>
          <t>U3Y</t>
        </is>
      </c>
    </row>
    <row r="124" ht="19.05" customHeight="1" s="52">
      <c r="B124" s="21">
        <f>IFERROR(INDEX($B$112:$E$115, MATCH($N124, $B$111:$E$111, 0), MATCH(B$117, $B$111:$E$111, 0)), 0)</f>
        <v/>
      </c>
      <c r="C124" s="21">
        <f>IFERROR(INDEX($B$112:$E$115, MATCH($N124, $B$111:$E$111, 0), MATCH(C$117, $B$111:$E$111, 0)), 0)</f>
        <v/>
      </c>
      <c r="D124" s="21">
        <f>IFERROR(INDEX($B$112:$E$115, MATCH($N124, $B$111:$E$111, 0), MATCH(D$117, $B$111:$E$111, 0)), 0)</f>
        <v/>
      </c>
      <c r="E124" s="21">
        <f>IFERROR(INDEX($B$112:$E$115, MATCH($N124, $B$111:$E$111, 0), MATCH(E$117, $B$111:$E$111, 0)), 0)</f>
        <v/>
      </c>
      <c r="F124" s="21">
        <f>IFERROR(INDEX($B$112:$E$115, MATCH($N124, $B$111:$E$111, 0), MATCH(F$117, $B$111:$E$111, 0)), 0)</f>
        <v/>
      </c>
      <c r="G124" s="21">
        <f>IFERROR(INDEX($B$112:$E$115, MATCH($N124, $B$111:$E$111, 0), MATCH(G$117, $B$111:$E$111, 0)), 0)</f>
        <v/>
      </c>
      <c r="H124" s="21">
        <f>IFERROR(INDEX($B$112:$E$115, MATCH($N124, $B$111:$E$111, 0), MATCH(H$117, $B$111:$E$111, 0)), 0)</f>
        <v/>
      </c>
      <c r="I124" s="21">
        <f>IFERROR(INDEX($B$112:$E$115, MATCH($N124, $B$111:$E$111, 0), MATCH(I$117, $B$111:$E$111, 0)), 0)</f>
        <v/>
      </c>
      <c r="J124" s="21">
        <f>IFERROR(INDEX($B$112:$E$115, MATCH($N124, $B$111:$E$111, 0), MATCH(J$117, $B$111:$E$111, 0)), 0)</f>
        <v/>
      </c>
      <c r="K124" s="21">
        <f>IFERROR(INDEX($B$112:$E$115, MATCH($N124, $B$111:$E$111, 0), MATCH(K$117, $B$111:$E$111, 0)), 0)</f>
        <v/>
      </c>
      <c r="L124" s="21">
        <f>IFERROR(INDEX($B$112:$E$115, MATCH($N124, $B$111:$E$111, 0), MATCH(L$117, $B$111:$E$111, 0)), 0)</f>
        <v/>
      </c>
      <c r="M124" s="21">
        <f>IFERROR(INDEX($B$112:$E$115, MATCH($N124, $B$111:$E$111, 0), MATCH(M$117, $B$111:$E$111, 0)), 0)</f>
        <v/>
      </c>
      <c r="N124" s="14" t="inlineStr">
        <is>
          <t>U4X</t>
        </is>
      </c>
    </row>
    <row r="125" ht="19.05" customHeight="1" s="52">
      <c r="B125" s="21">
        <f>IFERROR(INDEX($B$112:$E$115, MATCH($N125, $B$111:$E$111, 0), MATCH(B$117, $B$111:$E$111, 0)), 0)</f>
        <v/>
      </c>
      <c r="C125" s="21">
        <f>IFERROR(INDEX($B$112:$E$115, MATCH($N125, $B$111:$E$111, 0), MATCH(C$117, $B$111:$E$111, 0)), 0)</f>
        <v/>
      </c>
      <c r="D125" s="21">
        <f>IFERROR(INDEX($B$112:$E$115, MATCH($N125, $B$111:$E$111, 0), MATCH(D$117, $B$111:$E$111, 0)), 0)</f>
        <v/>
      </c>
      <c r="E125" s="21">
        <f>IFERROR(INDEX($B$112:$E$115, MATCH($N125, $B$111:$E$111, 0), MATCH(E$117, $B$111:$E$111, 0)), 0)</f>
        <v/>
      </c>
      <c r="F125" s="21">
        <f>IFERROR(INDEX($B$112:$E$115, MATCH($N125, $B$111:$E$111, 0), MATCH(F$117, $B$111:$E$111, 0)), 0)</f>
        <v/>
      </c>
      <c r="G125" s="21">
        <f>IFERROR(INDEX($B$112:$E$115, MATCH($N125, $B$111:$E$111, 0), MATCH(G$117, $B$111:$E$111, 0)), 0)</f>
        <v/>
      </c>
      <c r="H125" s="21">
        <f>IFERROR(INDEX($B$112:$E$115, MATCH($N125, $B$111:$E$111, 0), MATCH(H$117, $B$111:$E$111, 0)), 0)</f>
        <v/>
      </c>
      <c r="I125" s="21">
        <f>IFERROR(INDEX($B$112:$E$115, MATCH($N125, $B$111:$E$111, 0), MATCH(I$117, $B$111:$E$111, 0)), 0)</f>
        <v/>
      </c>
      <c r="J125" s="21">
        <f>IFERROR(INDEX($B$112:$E$115, MATCH($N125, $B$111:$E$111, 0), MATCH(J$117, $B$111:$E$111, 0)), 0)</f>
        <v/>
      </c>
      <c r="K125" s="21">
        <f>IFERROR(INDEX($B$112:$E$115, MATCH($N125, $B$111:$E$111, 0), MATCH(K$117, $B$111:$E$111, 0)), 0)</f>
        <v/>
      </c>
      <c r="L125" s="21">
        <f>IFERROR(INDEX($B$112:$E$115, MATCH($N125, $B$111:$E$111, 0), MATCH(L$117, $B$111:$E$111, 0)), 0)</f>
        <v/>
      </c>
      <c r="M125" s="21">
        <f>IFERROR(INDEX($B$112:$E$115, MATCH($N125, $B$111:$E$111, 0), MATCH(M$117, $B$111:$E$111, 0)), 0)</f>
        <v/>
      </c>
      <c r="N125" s="14" t="inlineStr">
        <is>
          <t>U4Y</t>
        </is>
      </c>
    </row>
    <row r="126" ht="19.05" customHeight="1" s="52">
      <c r="B126" s="21">
        <f>IFERROR(INDEX($B$112:$E$115, MATCH($N126, $B$111:$E$111, 0), MATCH(B$117, $B$111:$E$111, 0)), 0)</f>
        <v/>
      </c>
      <c r="C126" s="21">
        <f>IFERROR(INDEX($B$112:$E$115, MATCH($N126, $B$111:$E$111, 0), MATCH(C$117, $B$111:$E$111, 0)), 0)</f>
        <v/>
      </c>
      <c r="D126" s="21">
        <f>IFERROR(INDEX($B$112:$E$115, MATCH($N126, $B$111:$E$111, 0), MATCH(D$117, $B$111:$E$111, 0)), 0)</f>
        <v/>
      </c>
      <c r="E126" s="21">
        <f>IFERROR(INDEX($B$112:$E$115, MATCH($N126, $B$111:$E$111, 0), MATCH(E$117, $B$111:$E$111, 0)), 0)</f>
        <v/>
      </c>
      <c r="F126" s="21">
        <f>IFERROR(INDEX($B$112:$E$115, MATCH($N126, $B$111:$E$111, 0), MATCH(F$117, $B$111:$E$111, 0)), 0)</f>
        <v/>
      </c>
      <c r="G126" s="21">
        <f>IFERROR(INDEX($B$112:$E$115, MATCH($N126, $B$111:$E$111, 0), MATCH(G$117, $B$111:$E$111, 0)), 0)</f>
        <v/>
      </c>
      <c r="H126" s="21">
        <f>IFERROR(INDEX($B$112:$E$115, MATCH($N126, $B$111:$E$111, 0), MATCH(H$117, $B$111:$E$111, 0)), 0)</f>
        <v/>
      </c>
      <c r="I126" s="21">
        <f>IFERROR(INDEX($B$112:$E$115, MATCH($N126, $B$111:$E$111, 0), MATCH(I$117, $B$111:$E$111, 0)), 0)</f>
        <v/>
      </c>
      <c r="J126" s="21">
        <f>IFERROR(INDEX($B$112:$E$115, MATCH($N126, $B$111:$E$111, 0), MATCH(J$117, $B$111:$E$111, 0)), 0)</f>
        <v/>
      </c>
      <c r="K126" s="21">
        <f>IFERROR(INDEX($B$112:$E$115, MATCH($N126, $B$111:$E$111, 0), MATCH(K$117, $B$111:$E$111, 0)), 0)</f>
        <v/>
      </c>
      <c r="L126" s="21">
        <f>IFERROR(INDEX($B$112:$E$115, MATCH($N126, $B$111:$E$111, 0), MATCH(L$117, $B$111:$E$111, 0)), 0)</f>
        <v/>
      </c>
      <c r="M126" s="21">
        <f>IFERROR(INDEX($B$112:$E$115, MATCH($N126, $B$111:$E$111, 0), MATCH(M$117, $B$111:$E$111, 0)), 0)</f>
        <v/>
      </c>
      <c r="N126" s="14" t="inlineStr">
        <is>
          <t>U5X</t>
        </is>
      </c>
    </row>
    <row r="127" ht="19.05" customHeight="1" s="52">
      <c r="B127" s="21">
        <f>IFERROR(INDEX($B$112:$E$115, MATCH($N127, $B$111:$E$111, 0), MATCH(B$117, $B$111:$E$111, 0)), 0)</f>
        <v/>
      </c>
      <c r="C127" s="21">
        <f>IFERROR(INDEX($B$112:$E$115, MATCH($N127, $B$111:$E$111, 0), MATCH(C$117, $B$111:$E$111, 0)), 0)</f>
        <v/>
      </c>
      <c r="D127" s="21">
        <f>IFERROR(INDEX($B$112:$E$115, MATCH($N127, $B$111:$E$111, 0), MATCH(D$117, $B$111:$E$111, 0)), 0)</f>
        <v/>
      </c>
      <c r="E127" s="21">
        <f>IFERROR(INDEX($B$112:$E$115, MATCH($N127, $B$111:$E$111, 0), MATCH(E$117, $B$111:$E$111, 0)), 0)</f>
        <v/>
      </c>
      <c r="F127" s="21">
        <f>IFERROR(INDEX($B$112:$E$115, MATCH($N127, $B$111:$E$111, 0), MATCH(F$117, $B$111:$E$111, 0)), 0)</f>
        <v/>
      </c>
      <c r="G127" s="21">
        <f>IFERROR(INDEX($B$112:$E$115, MATCH($N127, $B$111:$E$111, 0), MATCH(G$117, $B$111:$E$111, 0)), 0)</f>
        <v/>
      </c>
      <c r="H127" s="21">
        <f>IFERROR(INDEX($B$112:$E$115, MATCH($N127, $B$111:$E$111, 0), MATCH(H$117, $B$111:$E$111, 0)), 0)</f>
        <v/>
      </c>
      <c r="I127" s="21">
        <f>IFERROR(INDEX($B$112:$E$115, MATCH($N127, $B$111:$E$111, 0), MATCH(I$117, $B$111:$E$111, 0)), 0)</f>
        <v/>
      </c>
      <c r="J127" s="21">
        <f>IFERROR(INDEX($B$112:$E$115, MATCH($N127, $B$111:$E$111, 0), MATCH(J$117, $B$111:$E$111, 0)), 0)</f>
        <v/>
      </c>
      <c r="K127" s="21">
        <f>IFERROR(INDEX($B$112:$E$115, MATCH($N127, $B$111:$E$111, 0), MATCH(K$117, $B$111:$E$111, 0)), 0)</f>
        <v/>
      </c>
      <c r="L127" s="21">
        <f>IFERROR(INDEX($B$112:$E$115, MATCH($N127, $B$111:$E$111, 0), MATCH(L$117, $B$111:$E$111, 0)), 0)</f>
        <v/>
      </c>
      <c r="M127" s="21">
        <f>IFERROR(INDEX($B$112:$E$115, MATCH($N127, $B$111:$E$111, 0), MATCH(M$117, $B$111:$E$111, 0)), 0)</f>
        <v/>
      </c>
      <c r="N127" s="14" t="inlineStr">
        <is>
          <t>U5Y</t>
        </is>
      </c>
    </row>
    <row r="128" ht="19.05" customHeight="1" s="52">
      <c r="B128" s="21">
        <f>IFERROR(INDEX($B$112:$E$115, MATCH($N128, $B$111:$E$111, 0), MATCH(B$117, $B$111:$E$111, 0)), 0)</f>
        <v/>
      </c>
      <c r="C128" s="21">
        <f>IFERROR(INDEX($B$112:$E$115, MATCH($N128, $B$111:$E$111, 0), MATCH(C$117, $B$111:$E$111, 0)), 0)</f>
        <v/>
      </c>
      <c r="D128" s="21">
        <f>IFERROR(INDEX($B$112:$E$115, MATCH($N128, $B$111:$E$111, 0), MATCH(D$117, $B$111:$E$111, 0)), 0)</f>
        <v/>
      </c>
      <c r="E128" s="21">
        <f>IFERROR(INDEX($B$112:$E$115, MATCH($N128, $B$111:$E$111, 0), MATCH(E$117, $B$111:$E$111, 0)), 0)</f>
        <v/>
      </c>
      <c r="F128" s="21">
        <f>IFERROR(INDEX($B$112:$E$115, MATCH($N128, $B$111:$E$111, 0), MATCH(F$117, $B$111:$E$111, 0)), 0)</f>
        <v/>
      </c>
      <c r="G128" s="21">
        <f>IFERROR(INDEX($B$112:$E$115, MATCH($N128, $B$111:$E$111, 0), MATCH(G$117, $B$111:$E$111, 0)), 0)</f>
        <v/>
      </c>
      <c r="H128" s="21">
        <f>IFERROR(INDEX($B$112:$E$115, MATCH($N128, $B$111:$E$111, 0), MATCH(H$117, $B$111:$E$111, 0)), 0)</f>
        <v/>
      </c>
      <c r="I128" s="21">
        <f>IFERROR(INDEX($B$112:$E$115, MATCH($N128, $B$111:$E$111, 0), MATCH(I$117, $B$111:$E$111, 0)), 0)</f>
        <v/>
      </c>
      <c r="J128" s="21">
        <f>IFERROR(INDEX($B$112:$E$115, MATCH($N128, $B$111:$E$111, 0), MATCH(J$117, $B$111:$E$111, 0)), 0)</f>
        <v/>
      </c>
      <c r="K128" s="21">
        <f>IFERROR(INDEX($B$112:$E$115, MATCH($N128, $B$111:$E$111, 0), MATCH(K$117, $B$111:$E$111, 0)), 0)</f>
        <v/>
      </c>
      <c r="L128" s="21">
        <f>IFERROR(INDEX($B$112:$E$115, MATCH($N128, $B$111:$E$111, 0), MATCH(L$117, $B$111:$E$111, 0)), 0)</f>
        <v/>
      </c>
      <c r="M128" s="21">
        <f>IFERROR(INDEX($B$112:$E$115, MATCH($N128, $B$111:$E$111, 0), MATCH(M$117, $B$111:$E$111, 0)), 0)</f>
        <v/>
      </c>
      <c r="N128" s="14" t="inlineStr">
        <is>
          <t>U6X</t>
        </is>
      </c>
    </row>
    <row r="129" ht="19.05" customHeight="1" s="52">
      <c r="B129" s="21">
        <f>IFERROR(INDEX($B$112:$E$115, MATCH($N129, $B$111:$E$111, 0), MATCH(B$117, $B$111:$E$111, 0)), 0)</f>
        <v/>
      </c>
      <c r="C129" s="21">
        <f>IFERROR(INDEX($B$112:$E$115, MATCH($N129, $B$111:$E$111, 0), MATCH(C$117, $B$111:$E$111, 0)), 0)</f>
        <v/>
      </c>
      <c r="D129" s="21">
        <f>IFERROR(INDEX($B$112:$E$115, MATCH($N129, $B$111:$E$111, 0), MATCH(D$117, $B$111:$E$111, 0)), 0)</f>
        <v/>
      </c>
      <c r="E129" s="21">
        <f>IFERROR(INDEX($B$112:$E$115, MATCH($N129, $B$111:$E$111, 0), MATCH(E$117, $B$111:$E$111, 0)), 0)</f>
        <v/>
      </c>
      <c r="F129" s="21">
        <f>IFERROR(INDEX($B$112:$E$115, MATCH($N129, $B$111:$E$111, 0), MATCH(F$117, $B$111:$E$111, 0)), 0)</f>
        <v/>
      </c>
      <c r="G129" s="21">
        <f>IFERROR(INDEX($B$112:$E$115, MATCH($N129, $B$111:$E$111, 0), MATCH(G$117, $B$111:$E$111, 0)), 0)</f>
        <v/>
      </c>
      <c r="H129" s="21">
        <f>IFERROR(INDEX($B$112:$E$115, MATCH($N129, $B$111:$E$111, 0), MATCH(H$117, $B$111:$E$111, 0)), 0)</f>
        <v/>
      </c>
      <c r="I129" s="21">
        <f>IFERROR(INDEX($B$112:$E$115, MATCH($N129, $B$111:$E$111, 0), MATCH(I$117, $B$111:$E$111, 0)), 0)</f>
        <v/>
      </c>
      <c r="J129" s="21">
        <f>IFERROR(INDEX($B$112:$E$115, MATCH($N129, $B$111:$E$111, 0), MATCH(J$117, $B$111:$E$111, 0)), 0)</f>
        <v/>
      </c>
      <c r="K129" s="21">
        <f>IFERROR(INDEX($B$112:$E$115, MATCH($N129, $B$111:$E$111, 0), MATCH(K$117, $B$111:$E$111, 0)), 0)</f>
        <v/>
      </c>
      <c r="L129" s="21">
        <f>IFERROR(INDEX($B$112:$E$115, MATCH($N129, $B$111:$E$111, 0), MATCH(L$117, $B$111:$E$111, 0)), 0)</f>
        <v/>
      </c>
      <c r="M129" s="21">
        <f>IFERROR(INDEX($B$112:$E$115, MATCH($N129, $B$111:$E$111, 0), MATCH(M$117, $B$111:$E$111, 0)), 0)</f>
        <v/>
      </c>
      <c r="N129" s="14" t="inlineStr">
        <is>
          <t>U6Y</t>
        </is>
      </c>
    </row>
    <row r="132" ht="19.05" customHeight="1" s="52">
      <c r="A132" s="19" t="inlineStr">
        <is>
          <t>k6=</t>
        </is>
      </c>
      <c r="B132" s="15">
        <f>IF(D22="","-",D22)</f>
        <v/>
      </c>
      <c r="C132" s="15">
        <f>IF(E22="","-",E22)</f>
        <v/>
      </c>
      <c r="D132" s="15">
        <f>IF(G22="","-",G22)</f>
        <v/>
      </c>
      <c r="E132" s="15">
        <f>IF(H22="","-",H22)</f>
        <v/>
      </c>
    </row>
    <row r="133" ht="18" customHeight="1" s="52">
      <c r="B133" s="26">
        <f>IF(N11=0, 0, N11*J11*J11)</f>
        <v/>
      </c>
      <c r="C133" s="26">
        <f>IF(N11=0, 0, N11*J11*K11)</f>
        <v/>
      </c>
      <c r="D133" s="26">
        <f>IF(N11=0, 0, -N11*J11*J11)</f>
        <v/>
      </c>
      <c r="E133" s="26">
        <f>IF(N11=0, 0, -N11*J11*K11)</f>
        <v/>
      </c>
      <c r="F133" s="15">
        <f>IF(D22="","-",D22)</f>
        <v/>
      </c>
    </row>
    <row r="134" ht="18" customHeight="1" s="52">
      <c r="B134" s="26">
        <f>IF(N11=0, 0, N11*J11*K11)</f>
        <v/>
      </c>
      <c r="C134" s="26">
        <f>IF(N11=0, 0, N11*K11*K11)</f>
        <v/>
      </c>
      <c r="D134" s="26">
        <f>IF(N11=0, 0, -N11*J11*K11)</f>
        <v/>
      </c>
      <c r="E134" s="26">
        <f>IF(N11=0, 0, -N11*K11*K11)</f>
        <v/>
      </c>
      <c r="F134" s="15">
        <f>IF(E22="","-",E22)</f>
        <v/>
      </c>
    </row>
    <row r="135" ht="18" customHeight="1" s="52">
      <c r="B135" s="26">
        <f>IF(N11=0, 0, -N11*J11*J11)</f>
        <v/>
      </c>
      <c r="C135" s="26">
        <f>IF(N11=0, 0, -N11*J11*K11)</f>
        <v/>
      </c>
      <c r="D135" s="26">
        <f>IF(N11=0, 0, N11*J11*J11)</f>
        <v/>
      </c>
      <c r="E135" s="26">
        <f>IF(N11=0, 0, N11*J11*K11)</f>
        <v/>
      </c>
      <c r="F135" s="15">
        <f>IF(G22="","-",G22)</f>
        <v/>
      </c>
    </row>
    <row r="136" ht="18" customHeight="1" s="52">
      <c r="B136" s="26">
        <f>IF(N11=0, 0, -N11*J11*K11)</f>
        <v/>
      </c>
      <c r="C136" s="26">
        <f>IF(N11=0, 0, -N11*K11*K11)</f>
        <v/>
      </c>
      <c r="D136" s="26">
        <f>IF(N11=0, 0, N11*J11*K11)</f>
        <v/>
      </c>
      <c r="E136" s="26">
        <f>IF(N11=0, 0, N11*K11*K11)</f>
        <v/>
      </c>
      <c r="F136" s="15">
        <f>IF(H22="","-",H22)</f>
        <v/>
      </c>
    </row>
    <row r="138" ht="19.05" customHeight="1" s="52">
      <c r="B138" s="54" t="inlineStr">
        <is>
          <t>U1X</t>
        </is>
      </c>
      <c r="C138" s="54" t="inlineStr">
        <is>
          <t>U1Y</t>
        </is>
      </c>
      <c r="D138" s="54" t="inlineStr">
        <is>
          <t>U2X</t>
        </is>
      </c>
      <c r="E138" s="54" t="inlineStr">
        <is>
          <t>U2Y</t>
        </is>
      </c>
      <c r="F138" s="54" t="inlineStr">
        <is>
          <t>U3X</t>
        </is>
      </c>
      <c r="G138" s="54" t="inlineStr">
        <is>
          <t>U3Y</t>
        </is>
      </c>
      <c r="H138" s="54" t="inlineStr">
        <is>
          <t>U4X</t>
        </is>
      </c>
      <c r="I138" s="54" t="inlineStr">
        <is>
          <t>U4Y</t>
        </is>
      </c>
      <c r="J138" s="54" t="inlineStr">
        <is>
          <t>U5X</t>
        </is>
      </c>
      <c r="K138" s="54" t="inlineStr">
        <is>
          <t>U5Y</t>
        </is>
      </c>
      <c r="L138" s="54" t="inlineStr">
        <is>
          <t>U6X</t>
        </is>
      </c>
      <c r="M138" s="54" t="inlineStr">
        <is>
          <t>U6Y</t>
        </is>
      </c>
    </row>
    <row r="139" ht="19.05" customHeight="1" s="52">
      <c r="B139" s="21">
        <f>IFERROR(INDEX($B$133:$E$136, MATCH($N139, $B$132:$E$132, 0), MATCH(B$138, $B$132:$E$132, 0)), 0)</f>
        <v/>
      </c>
      <c r="C139" s="21">
        <f>IFERROR(INDEX($B$133:$E$136, MATCH($N139, $B$132:$E$132, 0), MATCH(C$138, $B$132:$E$132, 0)), 0)</f>
        <v/>
      </c>
      <c r="D139" s="21">
        <f>IFERROR(INDEX($B$133:$E$136, MATCH($N139, $B$132:$E$132, 0), MATCH(D$138, $B$132:$E$132, 0)), 0)</f>
        <v/>
      </c>
      <c r="E139" s="21">
        <f>IFERROR(INDEX($B$133:$E$136, MATCH($N139, $B$132:$E$132, 0), MATCH(E$138, $B$132:$E$132, 0)), 0)</f>
        <v/>
      </c>
      <c r="F139" s="21">
        <f>IFERROR(INDEX($B$133:$E$136, MATCH($N139, $B$132:$E$132, 0), MATCH(F$138, $B$132:$E$132, 0)), 0)</f>
        <v/>
      </c>
      <c r="G139" s="21">
        <f>IFERROR(INDEX($B$133:$E$136, MATCH($N139, $B$132:$E$132, 0), MATCH(G$138, $B$132:$E$132, 0)), 0)</f>
        <v/>
      </c>
      <c r="H139" s="21">
        <f>IFERROR(INDEX($B$133:$E$136, MATCH($N139, $B$132:$E$132, 0), MATCH(H$138, $B$132:$E$132, 0)), 0)</f>
        <v/>
      </c>
      <c r="I139" s="21">
        <f>IFERROR(INDEX($B$133:$E$136, MATCH($N139, $B$132:$E$132, 0), MATCH(I$138, $B$132:$E$132, 0)), 0)</f>
        <v/>
      </c>
      <c r="J139" s="21">
        <f>IFERROR(INDEX($B$133:$E$136, MATCH($N139, $B$132:$E$132, 0), MATCH(J$138, $B$132:$E$132, 0)), 0)</f>
        <v/>
      </c>
      <c r="K139" s="21">
        <f>IFERROR(INDEX($B$133:$E$136, MATCH($N139, $B$132:$E$132, 0), MATCH(K$138, $B$132:$E$132, 0)), 0)</f>
        <v/>
      </c>
      <c r="L139" s="21">
        <f>IFERROR(INDEX($B$133:$E$136, MATCH($N139, $B$132:$E$132, 0), MATCH(L$138, $B$132:$E$132, 0)), 0)</f>
        <v/>
      </c>
      <c r="M139" s="21">
        <f>IFERROR(INDEX($B$133:$E$136, MATCH($N139, $B$132:$E$132, 0), MATCH(M$138, $B$132:$E$132, 0)), 0)</f>
        <v/>
      </c>
      <c r="N139" s="15" t="inlineStr">
        <is>
          <t>U1X</t>
        </is>
      </c>
    </row>
    <row r="140" ht="19.05" customHeight="1" s="52">
      <c r="B140" s="21">
        <f>IFERROR(INDEX($B$133:$E$136, MATCH($N140, $B$132:$E$132, 0), MATCH(B$138, $B$132:$E$132, 0)), 0)</f>
        <v/>
      </c>
      <c r="C140" s="21">
        <f>IFERROR(INDEX($B$133:$E$136, MATCH($N140, $B$132:$E$132, 0), MATCH(C$138, $B$132:$E$132, 0)), 0)</f>
        <v/>
      </c>
      <c r="D140" s="21">
        <f>IFERROR(INDEX($B$133:$E$136, MATCH($N140, $B$132:$E$132, 0), MATCH(D$138, $B$132:$E$132, 0)), 0)</f>
        <v/>
      </c>
      <c r="E140" s="21">
        <f>IFERROR(INDEX($B$133:$E$136, MATCH($N140, $B$132:$E$132, 0), MATCH(E$138, $B$132:$E$132, 0)), 0)</f>
        <v/>
      </c>
      <c r="F140" s="21">
        <f>IFERROR(INDEX($B$133:$E$136, MATCH($N140, $B$132:$E$132, 0), MATCH(F$138, $B$132:$E$132, 0)), 0)</f>
        <v/>
      </c>
      <c r="G140" s="21">
        <f>IFERROR(INDEX($B$133:$E$136, MATCH($N140, $B$132:$E$132, 0), MATCH(G$138, $B$132:$E$132, 0)), 0)</f>
        <v/>
      </c>
      <c r="H140" s="21">
        <f>IFERROR(INDEX($B$133:$E$136, MATCH($N140, $B$132:$E$132, 0), MATCH(H$138, $B$132:$E$132, 0)), 0)</f>
        <v/>
      </c>
      <c r="I140" s="21">
        <f>IFERROR(INDEX($B$133:$E$136, MATCH($N140, $B$132:$E$132, 0), MATCH(I$138, $B$132:$E$132, 0)), 0)</f>
        <v/>
      </c>
      <c r="J140" s="21">
        <f>IFERROR(INDEX($B$133:$E$136, MATCH($N140, $B$132:$E$132, 0), MATCH(J$138, $B$132:$E$132, 0)), 0)</f>
        <v/>
      </c>
      <c r="K140" s="21">
        <f>IFERROR(INDEX($B$133:$E$136, MATCH($N140, $B$132:$E$132, 0), MATCH(K$138, $B$132:$E$132, 0)), 0)</f>
        <v/>
      </c>
      <c r="L140" s="21">
        <f>IFERROR(INDEX($B$133:$E$136, MATCH($N140, $B$132:$E$132, 0), MATCH(L$138, $B$132:$E$132, 0)), 0)</f>
        <v/>
      </c>
      <c r="M140" s="21">
        <f>IFERROR(INDEX($B$133:$E$136, MATCH($N140, $B$132:$E$132, 0), MATCH(M$138, $B$132:$E$132, 0)), 0)</f>
        <v/>
      </c>
      <c r="N140" s="15" t="inlineStr">
        <is>
          <t>U1Y</t>
        </is>
      </c>
    </row>
    <row r="141" ht="19.05" customHeight="1" s="52">
      <c r="B141" s="21">
        <f>IFERROR(INDEX($B$133:$E$136, MATCH($N141, $B$132:$E$132, 0), MATCH(B$138, $B$132:$E$132, 0)), 0)</f>
        <v/>
      </c>
      <c r="C141" s="21">
        <f>IFERROR(INDEX($B$133:$E$136, MATCH($N141, $B$132:$E$132, 0), MATCH(C$138, $B$132:$E$132, 0)), 0)</f>
        <v/>
      </c>
      <c r="D141" s="21">
        <f>IFERROR(INDEX($B$133:$E$136, MATCH($N141, $B$132:$E$132, 0), MATCH(D$138, $B$132:$E$132, 0)), 0)</f>
        <v/>
      </c>
      <c r="E141" s="21">
        <f>IFERROR(INDEX($B$133:$E$136, MATCH($N141, $B$132:$E$132, 0), MATCH(E$138, $B$132:$E$132, 0)), 0)</f>
        <v/>
      </c>
      <c r="F141" s="21">
        <f>IFERROR(INDEX($B$133:$E$136, MATCH($N141, $B$132:$E$132, 0), MATCH(F$138, $B$132:$E$132, 0)), 0)</f>
        <v/>
      </c>
      <c r="G141" s="21">
        <f>IFERROR(INDEX($B$133:$E$136, MATCH($N141, $B$132:$E$132, 0), MATCH(G$138, $B$132:$E$132, 0)), 0)</f>
        <v/>
      </c>
      <c r="H141" s="21">
        <f>IFERROR(INDEX($B$133:$E$136, MATCH($N141, $B$132:$E$132, 0), MATCH(H$138, $B$132:$E$132, 0)), 0)</f>
        <v/>
      </c>
      <c r="I141" s="21">
        <f>IFERROR(INDEX($B$133:$E$136, MATCH($N141, $B$132:$E$132, 0), MATCH(I$138, $B$132:$E$132, 0)), 0)</f>
        <v/>
      </c>
      <c r="J141" s="21">
        <f>IFERROR(INDEX($B$133:$E$136, MATCH($N141, $B$132:$E$132, 0), MATCH(J$138, $B$132:$E$132, 0)), 0)</f>
        <v/>
      </c>
      <c r="K141" s="21">
        <f>IFERROR(INDEX($B$133:$E$136, MATCH($N141, $B$132:$E$132, 0), MATCH(K$138, $B$132:$E$132, 0)), 0)</f>
        <v/>
      </c>
      <c r="L141" s="21">
        <f>IFERROR(INDEX($B$133:$E$136, MATCH($N141, $B$132:$E$132, 0), MATCH(L$138, $B$132:$E$132, 0)), 0)</f>
        <v/>
      </c>
      <c r="M141" s="21">
        <f>IFERROR(INDEX($B$133:$E$136, MATCH($N141, $B$132:$E$132, 0), MATCH(M$138, $B$132:$E$132, 0)), 0)</f>
        <v/>
      </c>
      <c r="N141" s="15" t="inlineStr">
        <is>
          <t>U2X</t>
        </is>
      </c>
    </row>
    <row r="142" ht="19.05" customHeight="1" s="52">
      <c r="B142" s="21">
        <f>IFERROR(INDEX($B$133:$E$136, MATCH($N142, $B$132:$E$132, 0), MATCH(B$138, $B$132:$E$132, 0)), 0)</f>
        <v/>
      </c>
      <c r="C142" s="21">
        <f>IFERROR(INDEX($B$133:$E$136, MATCH($N142, $B$132:$E$132, 0), MATCH(C$138, $B$132:$E$132, 0)), 0)</f>
        <v/>
      </c>
      <c r="D142" s="21">
        <f>IFERROR(INDEX($B$133:$E$136, MATCH($N142, $B$132:$E$132, 0), MATCH(D$138, $B$132:$E$132, 0)), 0)</f>
        <v/>
      </c>
      <c r="E142" s="21">
        <f>IFERROR(INDEX($B$133:$E$136, MATCH($N142, $B$132:$E$132, 0), MATCH(E$138, $B$132:$E$132, 0)), 0)</f>
        <v/>
      </c>
      <c r="F142" s="21">
        <f>IFERROR(INDEX($B$133:$E$136, MATCH($N142, $B$132:$E$132, 0), MATCH(F$138, $B$132:$E$132, 0)), 0)</f>
        <v/>
      </c>
      <c r="G142" s="21">
        <f>IFERROR(INDEX($B$133:$E$136, MATCH($N142, $B$132:$E$132, 0), MATCH(G$138, $B$132:$E$132, 0)), 0)</f>
        <v/>
      </c>
      <c r="H142" s="21">
        <f>IFERROR(INDEX($B$133:$E$136, MATCH($N142, $B$132:$E$132, 0), MATCH(H$138, $B$132:$E$132, 0)), 0)</f>
        <v/>
      </c>
      <c r="I142" s="21">
        <f>IFERROR(INDEX($B$133:$E$136, MATCH($N142, $B$132:$E$132, 0), MATCH(I$138, $B$132:$E$132, 0)), 0)</f>
        <v/>
      </c>
      <c r="J142" s="21">
        <f>IFERROR(INDEX($B$133:$E$136, MATCH($N142, $B$132:$E$132, 0), MATCH(J$138, $B$132:$E$132, 0)), 0)</f>
        <v/>
      </c>
      <c r="K142" s="21">
        <f>IFERROR(INDEX($B$133:$E$136, MATCH($N142, $B$132:$E$132, 0), MATCH(K$138, $B$132:$E$132, 0)), 0)</f>
        <v/>
      </c>
      <c r="L142" s="21">
        <f>IFERROR(INDEX($B$133:$E$136, MATCH($N142, $B$132:$E$132, 0), MATCH(L$138, $B$132:$E$132, 0)), 0)</f>
        <v/>
      </c>
      <c r="M142" s="21">
        <f>IFERROR(INDEX($B$133:$E$136, MATCH($N142, $B$132:$E$132, 0), MATCH(M$138, $B$132:$E$132, 0)), 0)</f>
        <v/>
      </c>
      <c r="N142" s="15" t="inlineStr">
        <is>
          <t>U2Y</t>
        </is>
      </c>
    </row>
    <row r="143" ht="19.05" customHeight="1" s="52">
      <c r="B143" s="21">
        <f>IFERROR(INDEX($B$133:$E$136, MATCH($N143, $B$132:$E$132, 0), MATCH(B$138, $B$132:$E$132, 0)), 0)</f>
        <v/>
      </c>
      <c r="C143" s="21">
        <f>IFERROR(INDEX($B$133:$E$136, MATCH($N143, $B$132:$E$132, 0), MATCH(C$138, $B$132:$E$132, 0)), 0)</f>
        <v/>
      </c>
      <c r="D143" s="21">
        <f>IFERROR(INDEX($B$133:$E$136, MATCH($N143, $B$132:$E$132, 0), MATCH(D$138, $B$132:$E$132, 0)), 0)</f>
        <v/>
      </c>
      <c r="E143" s="21">
        <f>IFERROR(INDEX($B$133:$E$136, MATCH($N143, $B$132:$E$132, 0), MATCH(E$138, $B$132:$E$132, 0)), 0)</f>
        <v/>
      </c>
      <c r="F143" s="21">
        <f>IFERROR(INDEX($B$133:$E$136, MATCH($N143, $B$132:$E$132, 0), MATCH(F$138, $B$132:$E$132, 0)), 0)</f>
        <v/>
      </c>
      <c r="G143" s="21">
        <f>IFERROR(INDEX($B$133:$E$136, MATCH($N143, $B$132:$E$132, 0), MATCH(G$138, $B$132:$E$132, 0)), 0)</f>
        <v/>
      </c>
      <c r="H143" s="21">
        <f>IFERROR(INDEX($B$133:$E$136, MATCH($N143, $B$132:$E$132, 0), MATCH(H$138, $B$132:$E$132, 0)), 0)</f>
        <v/>
      </c>
      <c r="I143" s="21">
        <f>IFERROR(INDEX($B$133:$E$136, MATCH($N143, $B$132:$E$132, 0), MATCH(I$138, $B$132:$E$132, 0)), 0)</f>
        <v/>
      </c>
      <c r="J143" s="21">
        <f>IFERROR(INDEX($B$133:$E$136, MATCH($N143, $B$132:$E$132, 0), MATCH(J$138, $B$132:$E$132, 0)), 0)</f>
        <v/>
      </c>
      <c r="K143" s="21">
        <f>IFERROR(INDEX($B$133:$E$136, MATCH($N143, $B$132:$E$132, 0), MATCH(K$138, $B$132:$E$132, 0)), 0)</f>
        <v/>
      </c>
      <c r="L143" s="21">
        <f>IFERROR(INDEX($B$133:$E$136, MATCH($N143, $B$132:$E$132, 0), MATCH(L$138, $B$132:$E$132, 0)), 0)</f>
        <v/>
      </c>
      <c r="M143" s="21">
        <f>IFERROR(INDEX($B$133:$E$136, MATCH($N143, $B$132:$E$132, 0), MATCH(M$138, $B$132:$E$132, 0)), 0)</f>
        <v/>
      </c>
      <c r="N143" s="15" t="inlineStr">
        <is>
          <t>U3X</t>
        </is>
      </c>
    </row>
    <row r="144" ht="19.05" customHeight="1" s="52">
      <c r="A144" s="19" t="inlineStr">
        <is>
          <t>K6=</t>
        </is>
      </c>
      <c r="B144" s="21">
        <f>IFERROR(INDEX($B$133:$E$136, MATCH($N144, $B$132:$E$132, 0), MATCH(B$138, $B$132:$E$132, 0)), 0)</f>
        <v/>
      </c>
      <c r="C144" s="21">
        <f>IFERROR(INDEX($B$133:$E$136, MATCH($N144, $B$132:$E$132, 0), MATCH(C$138, $B$132:$E$132, 0)), 0)</f>
        <v/>
      </c>
      <c r="D144" s="21">
        <f>IFERROR(INDEX($B$133:$E$136, MATCH($N144, $B$132:$E$132, 0), MATCH(D$138, $B$132:$E$132, 0)), 0)</f>
        <v/>
      </c>
      <c r="E144" s="21">
        <f>IFERROR(INDEX($B$133:$E$136, MATCH($N144, $B$132:$E$132, 0), MATCH(E$138, $B$132:$E$132, 0)), 0)</f>
        <v/>
      </c>
      <c r="F144" s="21">
        <f>IFERROR(INDEX($B$133:$E$136, MATCH($N144, $B$132:$E$132, 0), MATCH(F$138, $B$132:$E$132, 0)), 0)</f>
        <v/>
      </c>
      <c r="G144" s="21">
        <f>IFERROR(INDEX($B$133:$E$136, MATCH($N144, $B$132:$E$132, 0), MATCH(G$138, $B$132:$E$132, 0)), 0)</f>
        <v/>
      </c>
      <c r="H144" s="21">
        <f>IFERROR(INDEX($B$133:$E$136, MATCH($N144, $B$132:$E$132, 0), MATCH(H$138, $B$132:$E$132, 0)), 0)</f>
        <v/>
      </c>
      <c r="I144" s="21">
        <f>IFERROR(INDEX($B$133:$E$136, MATCH($N144, $B$132:$E$132, 0), MATCH(I$138, $B$132:$E$132, 0)), 0)</f>
        <v/>
      </c>
      <c r="J144" s="21">
        <f>IFERROR(INDEX($B$133:$E$136, MATCH($N144, $B$132:$E$132, 0), MATCH(J$138, $B$132:$E$132, 0)), 0)</f>
        <v/>
      </c>
      <c r="K144" s="21">
        <f>IFERROR(INDEX($B$133:$E$136, MATCH($N144, $B$132:$E$132, 0), MATCH(K$138, $B$132:$E$132, 0)), 0)</f>
        <v/>
      </c>
      <c r="L144" s="21">
        <f>IFERROR(INDEX($B$133:$E$136, MATCH($N144, $B$132:$E$132, 0), MATCH(L$138, $B$132:$E$132, 0)), 0)</f>
        <v/>
      </c>
      <c r="M144" s="21">
        <f>IFERROR(INDEX($B$133:$E$136, MATCH($N144, $B$132:$E$132, 0), MATCH(M$138, $B$132:$E$132, 0)), 0)</f>
        <v/>
      </c>
      <c r="N144" s="15" t="inlineStr">
        <is>
          <t>U3Y</t>
        </is>
      </c>
    </row>
    <row r="145" ht="19.05" customHeight="1" s="52">
      <c r="B145" s="21">
        <f>IFERROR(INDEX($B$133:$E$136, MATCH($N145, $B$132:$E$132, 0), MATCH(B$138, $B$132:$E$132, 0)), 0)</f>
        <v/>
      </c>
      <c r="C145" s="21">
        <f>IFERROR(INDEX($B$133:$E$136, MATCH($N145, $B$132:$E$132, 0), MATCH(C$138, $B$132:$E$132, 0)), 0)</f>
        <v/>
      </c>
      <c r="D145" s="21">
        <f>IFERROR(INDEX($B$133:$E$136, MATCH($N145, $B$132:$E$132, 0), MATCH(D$138, $B$132:$E$132, 0)), 0)</f>
        <v/>
      </c>
      <c r="E145" s="21">
        <f>IFERROR(INDEX($B$133:$E$136, MATCH($N145, $B$132:$E$132, 0), MATCH(E$138, $B$132:$E$132, 0)), 0)</f>
        <v/>
      </c>
      <c r="F145" s="21">
        <f>IFERROR(INDEX($B$133:$E$136, MATCH($N145, $B$132:$E$132, 0), MATCH(F$138, $B$132:$E$132, 0)), 0)</f>
        <v/>
      </c>
      <c r="G145" s="21">
        <f>IFERROR(INDEX($B$133:$E$136, MATCH($N145, $B$132:$E$132, 0), MATCH(G$138, $B$132:$E$132, 0)), 0)</f>
        <v/>
      </c>
      <c r="H145" s="21">
        <f>IFERROR(INDEX($B$133:$E$136, MATCH($N145, $B$132:$E$132, 0), MATCH(H$138, $B$132:$E$132, 0)), 0)</f>
        <v/>
      </c>
      <c r="I145" s="21">
        <f>IFERROR(INDEX($B$133:$E$136, MATCH($N145, $B$132:$E$132, 0), MATCH(I$138, $B$132:$E$132, 0)), 0)</f>
        <v/>
      </c>
      <c r="J145" s="21">
        <f>IFERROR(INDEX($B$133:$E$136, MATCH($N145, $B$132:$E$132, 0), MATCH(J$138, $B$132:$E$132, 0)), 0)</f>
        <v/>
      </c>
      <c r="K145" s="21">
        <f>IFERROR(INDEX($B$133:$E$136, MATCH($N145, $B$132:$E$132, 0), MATCH(K$138, $B$132:$E$132, 0)), 0)</f>
        <v/>
      </c>
      <c r="L145" s="21">
        <f>IFERROR(INDEX($B$133:$E$136, MATCH($N145, $B$132:$E$132, 0), MATCH(L$138, $B$132:$E$132, 0)), 0)</f>
        <v/>
      </c>
      <c r="M145" s="21">
        <f>IFERROR(INDEX($B$133:$E$136, MATCH($N145, $B$132:$E$132, 0), MATCH(M$138, $B$132:$E$132, 0)), 0)</f>
        <v/>
      </c>
      <c r="N145" s="15" t="inlineStr">
        <is>
          <t>U4X</t>
        </is>
      </c>
    </row>
    <row r="146" ht="19.05" customHeight="1" s="52">
      <c r="B146" s="21">
        <f>IFERROR(INDEX($B$133:$E$136, MATCH($N146, $B$132:$E$132, 0), MATCH(B$138, $B$132:$E$132, 0)), 0)</f>
        <v/>
      </c>
      <c r="C146" s="21">
        <f>IFERROR(INDEX($B$133:$E$136, MATCH($N146, $B$132:$E$132, 0), MATCH(C$138, $B$132:$E$132, 0)), 0)</f>
        <v/>
      </c>
      <c r="D146" s="21">
        <f>IFERROR(INDEX($B$133:$E$136, MATCH($N146, $B$132:$E$132, 0), MATCH(D$138, $B$132:$E$132, 0)), 0)</f>
        <v/>
      </c>
      <c r="E146" s="21">
        <f>IFERROR(INDEX($B$133:$E$136, MATCH($N146, $B$132:$E$132, 0), MATCH(E$138, $B$132:$E$132, 0)), 0)</f>
        <v/>
      </c>
      <c r="F146" s="21">
        <f>IFERROR(INDEX($B$133:$E$136, MATCH($N146, $B$132:$E$132, 0), MATCH(F$138, $B$132:$E$132, 0)), 0)</f>
        <v/>
      </c>
      <c r="G146" s="21">
        <f>IFERROR(INDEX($B$133:$E$136, MATCH($N146, $B$132:$E$132, 0), MATCH(G$138, $B$132:$E$132, 0)), 0)</f>
        <v/>
      </c>
      <c r="H146" s="21">
        <f>IFERROR(INDEX($B$133:$E$136, MATCH($N146, $B$132:$E$132, 0), MATCH(H$138, $B$132:$E$132, 0)), 0)</f>
        <v/>
      </c>
      <c r="I146" s="21">
        <f>IFERROR(INDEX($B$133:$E$136, MATCH($N146, $B$132:$E$132, 0), MATCH(I$138, $B$132:$E$132, 0)), 0)</f>
        <v/>
      </c>
      <c r="J146" s="21">
        <f>IFERROR(INDEX($B$133:$E$136, MATCH($N146, $B$132:$E$132, 0), MATCH(J$138, $B$132:$E$132, 0)), 0)</f>
        <v/>
      </c>
      <c r="K146" s="21">
        <f>IFERROR(INDEX($B$133:$E$136, MATCH($N146, $B$132:$E$132, 0), MATCH(K$138, $B$132:$E$132, 0)), 0)</f>
        <v/>
      </c>
      <c r="L146" s="21">
        <f>IFERROR(INDEX($B$133:$E$136, MATCH($N146, $B$132:$E$132, 0), MATCH(L$138, $B$132:$E$132, 0)), 0)</f>
        <v/>
      </c>
      <c r="M146" s="21">
        <f>IFERROR(INDEX($B$133:$E$136, MATCH($N146, $B$132:$E$132, 0), MATCH(M$138, $B$132:$E$132, 0)), 0)</f>
        <v/>
      </c>
      <c r="N146" s="15" t="inlineStr">
        <is>
          <t>U4Y</t>
        </is>
      </c>
    </row>
    <row r="147" ht="19.05" customHeight="1" s="52">
      <c r="B147" s="21">
        <f>IFERROR(INDEX($B$133:$E$136, MATCH($N147, $B$132:$E$132, 0), MATCH(B$138, $B$132:$E$132, 0)), 0)</f>
        <v/>
      </c>
      <c r="C147" s="21">
        <f>IFERROR(INDEX($B$133:$E$136, MATCH($N147, $B$132:$E$132, 0), MATCH(C$138, $B$132:$E$132, 0)), 0)</f>
        <v/>
      </c>
      <c r="D147" s="21">
        <f>IFERROR(INDEX($B$133:$E$136, MATCH($N147, $B$132:$E$132, 0), MATCH(D$138, $B$132:$E$132, 0)), 0)</f>
        <v/>
      </c>
      <c r="E147" s="21">
        <f>IFERROR(INDEX($B$133:$E$136, MATCH($N147, $B$132:$E$132, 0), MATCH(E$138, $B$132:$E$132, 0)), 0)</f>
        <v/>
      </c>
      <c r="F147" s="21">
        <f>IFERROR(INDEX($B$133:$E$136, MATCH($N147, $B$132:$E$132, 0), MATCH(F$138, $B$132:$E$132, 0)), 0)</f>
        <v/>
      </c>
      <c r="G147" s="21">
        <f>IFERROR(INDEX($B$133:$E$136, MATCH($N147, $B$132:$E$132, 0), MATCH(G$138, $B$132:$E$132, 0)), 0)</f>
        <v/>
      </c>
      <c r="H147" s="21">
        <f>IFERROR(INDEX($B$133:$E$136, MATCH($N147, $B$132:$E$132, 0), MATCH(H$138, $B$132:$E$132, 0)), 0)</f>
        <v/>
      </c>
      <c r="I147" s="21">
        <f>IFERROR(INDEX($B$133:$E$136, MATCH($N147, $B$132:$E$132, 0), MATCH(I$138, $B$132:$E$132, 0)), 0)</f>
        <v/>
      </c>
      <c r="J147" s="21">
        <f>IFERROR(INDEX($B$133:$E$136, MATCH($N147, $B$132:$E$132, 0), MATCH(J$138, $B$132:$E$132, 0)), 0)</f>
        <v/>
      </c>
      <c r="K147" s="21">
        <f>IFERROR(INDEX($B$133:$E$136, MATCH($N147, $B$132:$E$132, 0), MATCH(K$138, $B$132:$E$132, 0)), 0)</f>
        <v/>
      </c>
      <c r="L147" s="21">
        <f>IFERROR(INDEX($B$133:$E$136, MATCH($N147, $B$132:$E$132, 0), MATCH(L$138, $B$132:$E$132, 0)), 0)</f>
        <v/>
      </c>
      <c r="M147" s="21">
        <f>IFERROR(INDEX($B$133:$E$136, MATCH($N147, $B$132:$E$132, 0), MATCH(M$138, $B$132:$E$132, 0)), 0)</f>
        <v/>
      </c>
      <c r="N147" s="15" t="inlineStr">
        <is>
          <t>U5X</t>
        </is>
      </c>
    </row>
    <row r="148" ht="19.05" customHeight="1" s="52">
      <c r="B148" s="21">
        <f>IFERROR(INDEX($B$133:$E$136, MATCH($N148, $B$132:$E$132, 0), MATCH(B$138, $B$132:$E$132, 0)), 0)</f>
        <v/>
      </c>
      <c r="C148" s="21">
        <f>IFERROR(INDEX($B$133:$E$136, MATCH($N148, $B$132:$E$132, 0), MATCH(C$138, $B$132:$E$132, 0)), 0)</f>
        <v/>
      </c>
      <c r="D148" s="21">
        <f>IFERROR(INDEX($B$133:$E$136, MATCH($N148, $B$132:$E$132, 0), MATCH(D$138, $B$132:$E$132, 0)), 0)</f>
        <v/>
      </c>
      <c r="E148" s="21">
        <f>IFERROR(INDEX($B$133:$E$136, MATCH($N148, $B$132:$E$132, 0), MATCH(E$138, $B$132:$E$132, 0)), 0)</f>
        <v/>
      </c>
      <c r="F148" s="21">
        <f>IFERROR(INDEX($B$133:$E$136, MATCH($N148, $B$132:$E$132, 0), MATCH(F$138, $B$132:$E$132, 0)), 0)</f>
        <v/>
      </c>
      <c r="G148" s="21">
        <f>IFERROR(INDEX($B$133:$E$136, MATCH($N148, $B$132:$E$132, 0), MATCH(G$138, $B$132:$E$132, 0)), 0)</f>
        <v/>
      </c>
      <c r="H148" s="21">
        <f>IFERROR(INDEX($B$133:$E$136, MATCH($N148, $B$132:$E$132, 0), MATCH(H$138, $B$132:$E$132, 0)), 0)</f>
        <v/>
      </c>
      <c r="I148" s="21">
        <f>IFERROR(INDEX($B$133:$E$136, MATCH($N148, $B$132:$E$132, 0), MATCH(I$138, $B$132:$E$132, 0)), 0)</f>
        <v/>
      </c>
      <c r="J148" s="21">
        <f>IFERROR(INDEX($B$133:$E$136, MATCH($N148, $B$132:$E$132, 0), MATCH(J$138, $B$132:$E$132, 0)), 0)</f>
        <v/>
      </c>
      <c r="K148" s="21">
        <f>IFERROR(INDEX($B$133:$E$136, MATCH($N148, $B$132:$E$132, 0), MATCH(K$138, $B$132:$E$132, 0)), 0)</f>
        <v/>
      </c>
      <c r="L148" s="21">
        <f>IFERROR(INDEX($B$133:$E$136, MATCH($N148, $B$132:$E$132, 0), MATCH(L$138, $B$132:$E$132, 0)), 0)</f>
        <v/>
      </c>
      <c r="M148" s="21">
        <f>IFERROR(INDEX($B$133:$E$136, MATCH($N148, $B$132:$E$132, 0), MATCH(M$138, $B$132:$E$132, 0)), 0)</f>
        <v/>
      </c>
      <c r="N148" s="15" t="inlineStr">
        <is>
          <t>U5Y</t>
        </is>
      </c>
    </row>
    <row r="149" ht="19.05" customHeight="1" s="52">
      <c r="B149" s="21">
        <f>IFERROR(INDEX($B$133:$E$136, MATCH($N149, $B$132:$E$132, 0), MATCH(B$138, $B$132:$E$132, 0)), 0)</f>
        <v/>
      </c>
      <c r="C149" s="21">
        <f>IFERROR(INDEX($B$133:$E$136, MATCH($N149, $B$132:$E$132, 0), MATCH(C$138, $B$132:$E$132, 0)), 0)</f>
        <v/>
      </c>
      <c r="D149" s="21">
        <f>IFERROR(INDEX($B$133:$E$136, MATCH($N149, $B$132:$E$132, 0), MATCH(D$138, $B$132:$E$132, 0)), 0)</f>
        <v/>
      </c>
      <c r="E149" s="21">
        <f>IFERROR(INDEX($B$133:$E$136, MATCH($N149, $B$132:$E$132, 0), MATCH(E$138, $B$132:$E$132, 0)), 0)</f>
        <v/>
      </c>
      <c r="F149" s="21">
        <f>IFERROR(INDEX($B$133:$E$136, MATCH($N149, $B$132:$E$132, 0), MATCH(F$138, $B$132:$E$132, 0)), 0)</f>
        <v/>
      </c>
      <c r="G149" s="21">
        <f>IFERROR(INDEX($B$133:$E$136, MATCH($N149, $B$132:$E$132, 0), MATCH(G$138, $B$132:$E$132, 0)), 0)</f>
        <v/>
      </c>
      <c r="H149" s="21">
        <f>IFERROR(INDEX($B$133:$E$136, MATCH($N149, $B$132:$E$132, 0), MATCH(H$138, $B$132:$E$132, 0)), 0)</f>
        <v/>
      </c>
      <c r="I149" s="21">
        <f>IFERROR(INDEX($B$133:$E$136, MATCH($N149, $B$132:$E$132, 0), MATCH(I$138, $B$132:$E$132, 0)), 0)</f>
        <v/>
      </c>
      <c r="J149" s="21">
        <f>IFERROR(INDEX($B$133:$E$136, MATCH($N149, $B$132:$E$132, 0), MATCH(J$138, $B$132:$E$132, 0)), 0)</f>
        <v/>
      </c>
      <c r="K149" s="21">
        <f>IFERROR(INDEX($B$133:$E$136, MATCH($N149, $B$132:$E$132, 0), MATCH(K$138, $B$132:$E$132, 0)), 0)</f>
        <v/>
      </c>
      <c r="L149" s="21">
        <f>IFERROR(INDEX($B$133:$E$136, MATCH($N149, $B$132:$E$132, 0), MATCH(L$138, $B$132:$E$132, 0)), 0)</f>
        <v/>
      </c>
      <c r="M149" s="21">
        <f>IFERROR(INDEX($B$133:$E$136, MATCH($N149, $B$132:$E$132, 0), MATCH(M$138, $B$132:$E$132, 0)), 0)</f>
        <v/>
      </c>
      <c r="N149" s="15" t="inlineStr">
        <is>
          <t>U6X</t>
        </is>
      </c>
    </row>
    <row r="150" ht="19.05" customHeight="1" s="52">
      <c r="B150" s="21">
        <f>IFERROR(INDEX($B$133:$E$136, MATCH($N150, $B$132:$E$132, 0), MATCH(B$138, $B$132:$E$132, 0)), 0)</f>
        <v/>
      </c>
      <c r="C150" s="21">
        <f>IFERROR(INDEX($B$133:$E$136, MATCH($N150, $B$132:$E$132, 0), MATCH(C$138, $B$132:$E$132, 0)), 0)</f>
        <v/>
      </c>
      <c r="D150" s="21">
        <f>IFERROR(INDEX($B$133:$E$136, MATCH($N150, $B$132:$E$132, 0), MATCH(D$138, $B$132:$E$132, 0)), 0)</f>
        <v/>
      </c>
      <c r="E150" s="21">
        <f>IFERROR(INDEX($B$133:$E$136, MATCH($N150, $B$132:$E$132, 0), MATCH(E$138, $B$132:$E$132, 0)), 0)</f>
        <v/>
      </c>
      <c r="F150" s="21">
        <f>IFERROR(INDEX($B$133:$E$136, MATCH($N150, $B$132:$E$132, 0), MATCH(F$138, $B$132:$E$132, 0)), 0)</f>
        <v/>
      </c>
      <c r="G150" s="21">
        <f>IFERROR(INDEX($B$133:$E$136, MATCH($N150, $B$132:$E$132, 0), MATCH(G$138, $B$132:$E$132, 0)), 0)</f>
        <v/>
      </c>
      <c r="H150" s="21">
        <f>IFERROR(INDEX($B$133:$E$136, MATCH($N150, $B$132:$E$132, 0), MATCH(H$138, $B$132:$E$132, 0)), 0)</f>
        <v/>
      </c>
      <c r="I150" s="21">
        <f>IFERROR(INDEX($B$133:$E$136, MATCH($N150, $B$132:$E$132, 0), MATCH(I$138, $B$132:$E$132, 0)), 0)</f>
        <v/>
      </c>
      <c r="J150" s="21">
        <f>IFERROR(INDEX($B$133:$E$136, MATCH($N150, $B$132:$E$132, 0), MATCH(J$138, $B$132:$E$132, 0)), 0)</f>
        <v/>
      </c>
      <c r="K150" s="21">
        <f>IFERROR(INDEX($B$133:$E$136, MATCH($N150, $B$132:$E$132, 0), MATCH(K$138, $B$132:$E$132, 0)), 0)</f>
        <v/>
      </c>
      <c r="L150" s="21">
        <f>IFERROR(INDEX($B$133:$E$136, MATCH($N150, $B$132:$E$132, 0), MATCH(L$138, $B$132:$E$132, 0)), 0)</f>
        <v/>
      </c>
      <c r="M150" s="21">
        <f>IFERROR(INDEX($B$133:$E$136, MATCH($N150, $B$132:$E$132, 0), MATCH(M$138, $B$132:$E$132, 0)), 0)</f>
        <v/>
      </c>
      <c r="N150" s="15" t="inlineStr">
        <is>
          <t>U6Y</t>
        </is>
      </c>
    </row>
    <row r="153" ht="19.05" customHeight="1" s="52">
      <c r="A153" s="19" t="inlineStr">
        <is>
          <t>k7=</t>
        </is>
      </c>
      <c r="B153" s="16">
        <f>IF(D23="","-",D23)</f>
        <v/>
      </c>
      <c r="C153" s="16">
        <f>IF(E23="","-",E23)</f>
        <v/>
      </c>
      <c r="D153" s="16">
        <f>IF(G23="","-",G23)</f>
        <v/>
      </c>
      <c r="E153" s="16">
        <f>IF(H23="","-",H23)</f>
        <v/>
      </c>
    </row>
    <row r="154" ht="18" customHeight="1" s="52">
      <c r="B154" s="27">
        <f>IF(N12=0, 0, N12*J12*J12)</f>
        <v/>
      </c>
      <c r="C154" s="27">
        <f>IF(N12=0, 0, N12*J12*K12)</f>
        <v/>
      </c>
      <c r="D154" s="27">
        <f>IF(N12=0, 0, -N12*J12*J12)</f>
        <v/>
      </c>
      <c r="E154" s="27">
        <f>IF(N12=0, 0, -N12*J12*K12)</f>
        <v/>
      </c>
      <c r="F154" s="16">
        <f>IF(D23="","-",D23)</f>
        <v/>
      </c>
    </row>
    <row r="155" ht="18" customHeight="1" s="52">
      <c r="B155" s="27">
        <f>IF(N12=0, 0, N12*J12*K12)</f>
        <v/>
      </c>
      <c r="C155" s="27">
        <f>IF(N12=0, 0, N12*K12*K12)</f>
        <v/>
      </c>
      <c r="D155" s="27">
        <f>IF(N12=0, 0, -N12*J12*K12)</f>
        <v/>
      </c>
      <c r="E155" s="27">
        <f>IF(N12=0, 0, -N12*K12*K12)</f>
        <v/>
      </c>
      <c r="F155" s="16">
        <f>IF(E23="","-",E23)</f>
        <v/>
      </c>
    </row>
    <row r="156" ht="18" customHeight="1" s="52">
      <c r="B156" s="27">
        <f>IF(N12=0, 0, -N12*J12*J12)</f>
        <v/>
      </c>
      <c r="C156" s="27">
        <f>IF(N12=0, 0, -N12*J12*K12)</f>
        <v/>
      </c>
      <c r="D156" s="27">
        <f>IF(N12=0, 0, N12*J12*J12)</f>
        <v/>
      </c>
      <c r="E156" s="27">
        <f>IF(N12=0, 0, N12*J12*K12)</f>
        <v/>
      </c>
      <c r="F156" s="16">
        <f>IF(G23="","-",G23)</f>
        <v/>
      </c>
    </row>
    <row r="157" ht="18" customHeight="1" s="52">
      <c r="B157" s="27">
        <f>IF(N12=0, 0, -N12*J12*K12)</f>
        <v/>
      </c>
      <c r="C157" s="27">
        <f>IF(N12=0, 0, -N12*K12*K12)</f>
        <v/>
      </c>
      <c r="D157" s="27">
        <f>IF(N12=0, 0, N12*J12*K12)</f>
        <v/>
      </c>
      <c r="E157" s="27">
        <f>IF(N12=0, 0, N12*K12*K12)</f>
        <v/>
      </c>
      <c r="F157" s="16">
        <f>IF(H23="","-",H23)</f>
        <v/>
      </c>
    </row>
    <row r="159" ht="19.05" customHeight="1" s="52">
      <c r="B159" s="54" t="inlineStr">
        <is>
          <t>U1X</t>
        </is>
      </c>
      <c r="C159" s="54" t="inlineStr">
        <is>
          <t>U1Y</t>
        </is>
      </c>
      <c r="D159" s="54" t="inlineStr">
        <is>
          <t>U2X</t>
        </is>
      </c>
      <c r="E159" s="54" t="inlineStr">
        <is>
          <t>U2Y</t>
        </is>
      </c>
      <c r="F159" s="54" t="inlineStr">
        <is>
          <t>U3X</t>
        </is>
      </c>
      <c r="G159" s="54" t="inlineStr">
        <is>
          <t>U3Y</t>
        </is>
      </c>
      <c r="H159" s="54" t="inlineStr">
        <is>
          <t>U4X</t>
        </is>
      </c>
      <c r="I159" s="54" t="inlineStr">
        <is>
          <t>U4Y</t>
        </is>
      </c>
      <c r="J159" s="54" t="inlineStr">
        <is>
          <t>U5X</t>
        </is>
      </c>
      <c r="K159" s="54" t="inlineStr">
        <is>
          <t>U5Y</t>
        </is>
      </c>
      <c r="L159" s="54" t="inlineStr">
        <is>
          <t>U6X</t>
        </is>
      </c>
      <c r="M159" s="54" t="inlineStr">
        <is>
          <t>U6Y</t>
        </is>
      </c>
    </row>
    <row r="160" ht="19.05" customHeight="1" s="52">
      <c r="B160" s="21">
        <f>IFERROR(INDEX($B$154:$E$157, MATCH($N160, $B$153:$E$153, 0), MATCH(B$159, $B$153:$E$153, 0)), 0)</f>
        <v/>
      </c>
      <c r="C160" s="21">
        <f>IFERROR(INDEX($B$154:$E$157, MATCH($N160, $B$153:$E$153, 0), MATCH(C$159, $B$153:$E$153, 0)), 0)</f>
        <v/>
      </c>
      <c r="D160" s="21">
        <f>IFERROR(INDEX($B$154:$E$157, MATCH($N160, $B$153:$E$153, 0), MATCH(D$159, $B$153:$E$153, 0)), 0)</f>
        <v/>
      </c>
      <c r="E160" s="21">
        <f>IFERROR(INDEX($B$154:$E$157, MATCH($N160, $B$153:$E$153, 0), MATCH(E$159, $B$153:$E$153, 0)), 0)</f>
        <v/>
      </c>
      <c r="F160" s="21">
        <f>IFERROR(INDEX($B$154:$E$157, MATCH($N160, $B$153:$E$153, 0), MATCH(F$159, $B$153:$E$153, 0)), 0)</f>
        <v/>
      </c>
      <c r="G160" s="21">
        <f>IFERROR(INDEX($B$154:$E$157, MATCH($N160, $B$153:$E$153, 0), MATCH(G$159, $B$153:$E$153, 0)), 0)</f>
        <v/>
      </c>
      <c r="H160" s="21">
        <f>IFERROR(INDEX($B$154:$E$157, MATCH($N160, $B$153:$E$153, 0), MATCH(H$159, $B$153:$E$153, 0)), 0)</f>
        <v/>
      </c>
      <c r="I160" s="21">
        <f>IFERROR(INDEX($B$154:$E$157, MATCH($N160, $B$153:$E$153, 0), MATCH(I$159, $B$153:$E$153, 0)), 0)</f>
        <v/>
      </c>
      <c r="J160" s="21">
        <f>IFERROR(INDEX($B$154:$E$157, MATCH($N160, $B$153:$E$153, 0), MATCH(J$159, $B$153:$E$153, 0)), 0)</f>
        <v/>
      </c>
      <c r="K160" s="21">
        <f>IFERROR(INDEX($B$154:$E$157, MATCH($N160, $B$153:$E$153, 0), MATCH(K$159, $B$153:$E$153, 0)), 0)</f>
        <v/>
      </c>
      <c r="L160" s="21">
        <f>IFERROR(INDEX($B$154:$E$157, MATCH($N160, $B$153:$E$153, 0), MATCH(L$159, $B$153:$E$153, 0)), 0)</f>
        <v/>
      </c>
      <c r="M160" s="21">
        <f>IFERROR(INDEX($B$154:$E$157, MATCH($N160, $B$153:$E$153, 0), MATCH(M$159, $B$153:$E$153, 0)), 0)</f>
        <v/>
      </c>
      <c r="N160" s="16" t="inlineStr">
        <is>
          <t>U1X</t>
        </is>
      </c>
    </row>
    <row r="161" ht="19.05" customHeight="1" s="52">
      <c r="B161" s="21">
        <f>IFERROR(INDEX($B$154:$E$157, MATCH($N161, $B$153:$E$153, 0), MATCH(B$159, $B$153:$E$153, 0)), 0)</f>
        <v/>
      </c>
      <c r="C161" s="21">
        <f>IFERROR(INDEX($B$154:$E$157, MATCH($N161, $B$153:$E$153, 0), MATCH(C$159, $B$153:$E$153, 0)), 0)</f>
        <v/>
      </c>
      <c r="D161" s="21">
        <f>IFERROR(INDEX($B$154:$E$157, MATCH($N161, $B$153:$E$153, 0), MATCH(D$159, $B$153:$E$153, 0)), 0)</f>
        <v/>
      </c>
      <c r="E161" s="21">
        <f>IFERROR(INDEX($B$154:$E$157, MATCH($N161, $B$153:$E$153, 0), MATCH(E$159, $B$153:$E$153, 0)), 0)</f>
        <v/>
      </c>
      <c r="F161" s="21">
        <f>IFERROR(INDEX($B$154:$E$157, MATCH($N161, $B$153:$E$153, 0), MATCH(F$159, $B$153:$E$153, 0)), 0)</f>
        <v/>
      </c>
      <c r="G161" s="21">
        <f>IFERROR(INDEX($B$154:$E$157, MATCH($N161, $B$153:$E$153, 0), MATCH(G$159, $B$153:$E$153, 0)), 0)</f>
        <v/>
      </c>
      <c r="H161" s="21">
        <f>IFERROR(INDEX($B$154:$E$157, MATCH($N161, $B$153:$E$153, 0), MATCH(H$159, $B$153:$E$153, 0)), 0)</f>
        <v/>
      </c>
      <c r="I161" s="21">
        <f>IFERROR(INDEX($B$154:$E$157, MATCH($N161, $B$153:$E$153, 0), MATCH(I$159, $B$153:$E$153, 0)), 0)</f>
        <v/>
      </c>
      <c r="J161" s="21">
        <f>IFERROR(INDEX($B$154:$E$157, MATCH($N161, $B$153:$E$153, 0), MATCH(J$159, $B$153:$E$153, 0)), 0)</f>
        <v/>
      </c>
      <c r="K161" s="21">
        <f>IFERROR(INDEX($B$154:$E$157, MATCH($N161, $B$153:$E$153, 0), MATCH(K$159, $B$153:$E$153, 0)), 0)</f>
        <v/>
      </c>
      <c r="L161" s="21">
        <f>IFERROR(INDEX($B$154:$E$157, MATCH($N161, $B$153:$E$153, 0), MATCH(L$159, $B$153:$E$153, 0)), 0)</f>
        <v/>
      </c>
      <c r="M161" s="21">
        <f>IFERROR(INDEX($B$154:$E$157, MATCH($N161, $B$153:$E$153, 0), MATCH(M$159, $B$153:$E$153, 0)), 0)</f>
        <v/>
      </c>
      <c r="N161" s="16" t="inlineStr">
        <is>
          <t>U1Y</t>
        </is>
      </c>
    </row>
    <row r="162" ht="19.05" customHeight="1" s="52">
      <c r="B162" s="21">
        <f>IFERROR(INDEX($B$154:$E$157, MATCH($N162, $B$153:$E$153, 0), MATCH(B$159, $B$153:$E$153, 0)), 0)</f>
        <v/>
      </c>
      <c r="C162" s="21">
        <f>IFERROR(INDEX($B$154:$E$157, MATCH($N162, $B$153:$E$153, 0), MATCH(C$159, $B$153:$E$153, 0)), 0)</f>
        <v/>
      </c>
      <c r="D162" s="21">
        <f>IFERROR(INDEX($B$154:$E$157, MATCH($N162, $B$153:$E$153, 0), MATCH(D$159, $B$153:$E$153, 0)), 0)</f>
        <v/>
      </c>
      <c r="E162" s="21">
        <f>IFERROR(INDEX($B$154:$E$157, MATCH($N162, $B$153:$E$153, 0), MATCH(E$159, $B$153:$E$153, 0)), 0)</f>
        <v/>
      </c>
      <c r="F162" s="21">
        <f>IFERROR(INDEX($B$154:$E$157, MATCH($N162, $B$153:$E$153, 0), MATCH(F$159, $B$153:$E$153, 0)), 0)</f>
        <v/>
      </c>
      <c r="G162" s="21">
        <f>IFERROR(INDEX($B$154:$E$157, MATCH($N162, $B$153:$E$153, 0), MATCH(G$159, $B$153:$E$153, 0)), 0)</f>
        <v/>
      </c>
      <c r="H162" s="21">
        <f>IFERROR(INDEX($B$154:$E$157, MATCH($N162, $B$153:$E$153, 0), MATCH(H$159, $B$153:$E$153, 0)), 0)</f>
        <v/>
      </c>
      <c r="I162" s="21">
        <f>IFERROR(INDEX($B$154:$E$157, MATCH($N162, $B$153:$E$153, 0), MATCH(I$159, $B$153:$E$153, 0)), 0)</f>
        <v/>
      </c>
      <c r="J162" s="21">
        <f>IFERROR(INDEX($B$154:$E$157, MATCH($N162, $B$153:$E$153, 0), MATCH(J$159, $B$153:$E$153, 0)), 0)</f>
        <v/>
      </c>
      <c r="K162" s="21">
        <f>IFERROR(INDEX($B$154:$E$157, MATCH($N162, $B$153:$E$153, 0), MATCH(K$159, $B$153:$E$153, 0)), 0)</f>
        <v/>
      </c>
      <c r="L162" s="21">
        <f>IFERROR(INDEX($B$154:$E$157, MATCH($N162, $B$153:$E$153, 0), MATCH(L$159, $B$153:$E$153, 0)), 0)</f>
        <v/>
      </c>
      <c r="M162" s="21">
        <f>IFERROR(INDEX($B$154:$E$157, MATCH($N162, $B$153:$E$153, 0), MATCH(M$159, $B$153:$E$153, 0)), 0)</f>
        <v/>
      </c>
      <c r="N162" s="16" t="inlineStr">
        <is>
          <t>U2X</t>
        </is>
      </c>
    </row>
    <row r="163" ht="19.05" customHeight="1" s="52">
      <c r="B163" s="21">
        <f>IFERROR(INDEX($B$154:$E$157, MATCH($N163, $B$153:$E$153, 0), MATCH(B$159, $B$153:$E$153, 0)), 0)</f>
        <v/>
      </c>
      <c r="C163" s="21">
        <f>IFERROR(INDEX($B$154:$E$157, MATCH($N163, $B$153:$E$153, 0), MATCH(C$159, $B$153:$E$153, 0)), 0)</f>
        <v/>
      </c>
      <c r="D163" s="21">
        <f>IFERROR(INDEX($B$154:$E$157, MATCH($N163, $B$153:$E$153, 0), MATCH(D$159, $B$153:$E$153, 0)), 0)</f>
        <v/>
      </c>
      <c r="E163" s="21">
        <f>IFERROR(INDEX($B$154:$E$157, MATCH($N163, $B$153:$E$153, 0), MATCH(E$159, $B$153:$E$153, 0)), 0)</f>
        <v/>
      </c>
      <c r="F163" s="21">
        <f>IFERROR(INDEX($B$154:$E$157, MATCH($N163, $B$153:$E$153, 0), MATCH(F$159, $B$153:$E$153, 0)), 0)</f>
        <v/>
      </c>
      <c r="G163" s="21">
        <f>IFERROR(INDEX($B$154:$E$157, MATCH($N163, $B$153:$E$153, 0), MATCH(G$159, $B$153:$E$153, 0)), 0)</f>
        <v/>
      </c>
      <c r="H163" s="21">
        <f>IFERROR(INDEX($B$154:$E$157, MATCH($N163, $B$153:$E$153, 0), MATCH(H$159, $B$153:$E$153, 0)), 0)</f>
        <v/>
      </c>
      <c r="I163" s="21">
        <f>IFERROR(INDEX($B$154:$E$157, MATCH($N163, $B$153:$E$153, 0), MATCH(I$159, $B$153:$E$153, 0)), 0)</f>
        <v/>
      </c>
      <c r="J163" s="21">
        <f>IFERROR(INDEX($B$154:$E$157, MATCH($N163, $B$153:$E$153, 0), MATCH(J$159, $B$153:$E$153, 0)), 0)</f>
        <v/>
      </c>
      <c r="K163" s="21">
        <f>IFERROR(INDEX($B$154:$E$157, MATCH($N163, $B$153:$E$153, 0), MATCH(K$159, $B$153:$E$153, 0)), 0)</f>
        <v/>
      </c>
      <c r="L163" s="21">
        <f>IFERROR(INDEX($B$154:$E$157, MATCH($N163, $B$153:$E$153, 0), MATCH(L$159, $B$153:$E$153, 0)), 0)</f>
        <v/>
      </c>
      <c r="M163" s="21">
        <f>IFERROR(INDEX($B$154:$E$157, MATCH($N163, $B$153:$E$153, 0), MATCH(M$159, $B$153:$E$153, 0)), 0)</f>
        <v/>
      </c>
      <c r="N163" s="16" t="inlineStr">
        <is>
          <t>U2Y</t>
        </is>
      </c>
    </row>
    <row r="164" ht="19.05" customHeight="1" s="52">
      <c r="B164" s="21">
        <f>IFERROR(INDEX($B$154:$E$157, MATCH($N164, $B$153:$E$153, 0), MATCH(B$159, $B$153:$E$153, 0)), 0)</f>
        <v/>
      </c>
      <c r="C164" s="21">
        <f>IFERROR(INDEX($B$154:$E$157, MATCH($N164, $B$153:$E$153, 0), MATCH(C$159, $B$153:$E$153, 0)), 0)</f>
        <v/>
      </c>
      <c r="D164" s="21">
        <f>IFERROR(INDEX($B$154:$E$157, MATCH($N164, $B$153:$E$153, 0), MATCH(D$159, $B$153:$E$153, 0)), 0)</f>
        <v/>
      </c>
      <c r="E164" s="21">
        <f>IFERROR(INDEX($B$154:$E$157, MATCH($N164, $B$153:$E$153, 0), MATCH(E$159, $B$153:$E$153, 0)), 0)</f>
        <v/>
      </c>
      <c r="F164" s="21">
        <f>IFERROR(INDEX($B$154:$E$157, MATCH($N164, $B$153:$E$153, 0), MATCH(F$159, $B$153:$E$153, 0)), 0)</f>
        <v/>
      </c>
      <c r="G164" s="21">
        <f>IFERROR(INDEX($B$154:$E$157, MATCH($N164, $B$153:$E$153, 0), MATCH(G$159, $B$153:$E$153, 0)), 0)</f>
        <v/>
      </c>
      <c r="H164" s="21">
        <f>IFERROR(INDEX($B$154:$E$157, MATCH($N164, $B$153:$E$153, 0), MATCH(H$159, $B$153:$E$153, 0)), 0)</f>
        <v/>
      </c>
      <c r="I164" s="21">
        <f>IFERROR(INDEX($B$154:$E$157, MATCH($N164, $B$153:$E$153, 0), MATCH(I$159, $B$153:$E$153, 0)), 0)</f>
        <v/>
      </c>
      <c r="J164" s="21">
        <f>IFERROR(INDEX($B$154:$E$157, MATCH($N164, $B$153:$E$153, 0), MATCH(J$159, $B$153:$E$153, 0)), 0)</f>
        <v/>
      </c>
      <c r="K164" s="21">
        <f>IFERROR(INDEX($B$154:$E$157, MATCH($N164, $B$153:$E$153, 0), MATCH(K$159, $B$153:$E$153, 0)), 0)</f>
        <v/>
      </c>
      <c r="L164" s="21">
        <f>IFERROR(INDEX($B$154:$E$157, MATCH($N164, $B$153:$E$153, 0), MATCH(L$159, $B$153:$E$153, 0)), 0)</f>
        <v/>
      </c>
      <c r="M164" s="21">
        <f>IFERROR(INDEX($B$154:$E$157, MATCH($N164, $B$153:$E$153, 0), MATCH(M$159, $B$153:$E$153, 0)), 0)</f>
        <v/>
      </c>
      <c r="N164" s="16" t="inlineStr">
        <is>
          <t>U3X</t>
        </is>
      </c>
    </row>
    <row r="165" ht="19.05" customHeight="1" s="52">
      <c r="A165" s="19" t="inlineStr">
        <is>
          <t>K7=</t>
        </is>
      </c>
      <c r="B165" s="21">
        <f>IFERROR(INDEX($B$154:$E$157, MATCH($N165, $B$153:$E$153, 0), MATCH(B$159, $B$153:$E$153, 0)), 0)</f>
        <v/>
      </c>
      <c r="C165" s="21">
        <f>IFERROR(INDEX($B$154:$E$157, MATCH($N165, $B$153:$E$153, 0), MATCH(C$159, $B$153:$E$153, 0)), 0)</f>
        <v/>
      </c>
      <c r="D165" s="21">
        <f>IFERROR(INDEX($B$154:$E$157, MATCH($N165, $B$153:$E$153, 0), MATCH(D$159, $B$153:$E$153, 0)), 0)</f>
        <v/>
      </c>
      <c r="E165" s="21">
        <f>IFERROR(INDEX($B$154:$E$157, MATCH($N165, $B$153:$E$153, 0), MATCH(E$159, $B$153:$E$153, 0)), 0)</f>
        <v/>
      </c>
      <c r="F165" s="21">
        <f>IFERROR(INDEX($B$154:$E$157, MATCH($N165, $B$153:$E$153, 0), MATCH(F$159, $B$153:$E$153, 0)), 0)</f>
        <v/>
      </c>
      <c r="G165" s="21">
        <f>IFERROR(INDEX($B$154:$E$157, MATCH($N165, $B$153:$E$153, 0), MATCH(G$159, $B$153:$E$153, 0)), 0)</f>
        <v/>
      </c>
      <c r="H165" s="21">
        <f>IFERROR(INDEX($B$154:$E$157, MATCH($N165, $B$153:$E$153, 0), MATCH(H$159, $B$153:$E$153, 0)), 0)</f>
        <v/>
      </c>
      <c r="I165" s="21">
        <f>IFERROR(INDEX($B$154:$E$157, MATCH($N165, $B$153:$E$153, 0), MATCH(I$159, $B$153:$E$153, 0)), 0)</f>
        <v/>
      </c>
      <c r="J165" s="21">
        <f>IFERROR(INDEX($B$154:$E$157, MATCH($N165, $B$153:$E$153, 0), MATCH(J$159, $B$153:$E$153, 0)), 0)</f>
        <v/>
      </c>
      <c r="K165" s="21">
        <f>IFERROR(INDEX($B$154:$E$157, MATCH($N165, $B$153:$E$153, 0), MATCH(K$159, $B$153:$E$153, 0)), 0)</f>
        <v/>
      </c>
      <c r="L165" s="21">
        <f>IFERROR(INDEX($B$154:$E$157, MATCH($N165, $B$153:$E$153, 0), MATCH(L$159, $B$153:$E$153, 0)), 0)</f>
        <v/>
      </c>
      <c r="M165" s="21">
        <f>IFERROR(INDEX($B$154:$E$157, MATCH($N165, $B$153:$E$153, 0), MATCH(M$159, $B$153:$E$153, 0)), 0)</f>
        <v/>
      </c>
      <c r="N165" s="16" t="inlineStr">
        <is>
          <t>U3Y</t>
        </is>
      </c>
    </row>
    <row r="166" ht="19.05" customHeight="1" s="52">
      <c r="B166" s="21">
        <f>IFERROR(INDEX($B$154:$E$157, MATCH($N166, $B$153:$E$153, 0), MATCH(B$159, $B$153:$E$153, 0)), 0)</f>
        <v/>
      </c>
      <c r="C166" s="21">
        <f>IFERROR(INDEX($B$154:$E$157, MATCH($N166, $B$153:$E$153, 0), MATCH(C$159, $B$153:$E$153, 0)), 0)</f>
        <v/>
      </c>
      <c r="D166" s="21">
        <f>IFERROR(INDEX($B$154:$E$157, MATCH($N166, $B$153:$E$153, 0), MATCH(D$159, $B$153:$E$153, 0)), 0)</f>
        <v/>
      </c>
      <c r="E166" s="21">
        <f>IFERROR(INDEX($B$154:$E$157, MATCH($N166, $B$153:$E$153, 0), MATCH(E$159, $B$153:$E$153, 0)), 0)</f>
        <v/>
      </c>
      <c r="F166" s="21">
        <f>IFERROR(INDEX($B$154:$E$157, MATCH($N166, $B$153:$E$153, 0), MATCH(F$159, $B$153:$E$153, 0)), 0)</f>
        <v/>
      </c>
      <c r="G166" s="21">
        <f>IFERROR(INDEX($B$154:$E$157, MATCH($N166, $B$153:$E$153, 0), MATCH(G$159, $B$153:$E$153, 0)), 0)</f>
        <v/>
      </c>
      <c r="H166" s="21">
        <f>IFERROR(INDEX($B$154:$E$157, MATCH($N166, $B$153:$E$153, 0), MATCH(H$159, $B$153:$E$153, 0)), 0)</f>
        <v/>
      </c>
      <c r="I166" s="21">
        <f>IFERROR(INDEX($B$154:$E$157, MATCH($N166, $B$153:$E$153, 0), MATCH(I$159, $B$153:$E$153, 0)), 0)</f>
        <v/>
      </c>
      <c r="J166" s="21">
        <f>IFERROR(INDEX($B$154:$E$157, MATCH($N166, $B$153:$E$153, 0), MATCH(J$159, $B$153:$E$153, 0)), 0)</f>
        <v/>
      </c>
      <c r="K166" s="21">
        <f>IFERROR(INDEX($B$154:$E$157, MATCH($N166, $B$153:$E$153, 0), MATCH(K$159, $B$153:$E$153, 0)), 0)</f>
        <v/>
      </c>
      <c r="L166" s="21">
        <f>IFERROR(INDEX($B$154:$E$157, MATCH($N166, $B$153:$E$153, 0), MATCH(L$159, $B$153:$E$153, 0)), 0)</f>
        <v/>
      </c>
      <c r="M166" s="21">
        <f>IFERROR(INDEX($B$154:$E$157, MATCH($N166, $B$153:$E$153, 0), MATCH(M$159, $B$153:$E$153, 0)), 0)</f>
        <v/>
      </c>
      <c r="N166" s="16" t="inlineStr">
        <is>
          <t>U4X</t>
        </is>
      </c>
    </row>
    <row r="167" ht="19.05" customHeight="1" s="52">
      <c r="B167" s="21">
        <f>IFERROR(INDEX($B$154:$E$157, MATCH($N167, $B$153:$E$153, 0), MATCH(B$159, $B$153:$E$153, 0)), 0)</f>
        <v/>
      </c>
      <c r="C167" s="21">
        <f>IFERROR(INDEX($B$154:$E$157, MATCH($N167, $B$153:$E$153, 0), MATCH(C$159, $B$153:$E$153, 0)), 0)</f>
        <v/>
      </c>
      <c r="D167" s="21">
        <f>IFERROR(INDEX($B$154:$E$157, MATCH($N167, $B$153:$E$153, 0), MATCH(D$159, $B$153:$E$153, 0)), 0)</f>
        <v/>
      </c>
      <c r="E167" s="21">
        <f>IFERROR(INDEX($B$154:$E$157, MATCH($N167, $B$153:$E$153, 0), MATCH(E$159, $B$153:$E$153, 0)), 0)</f>
        <v/>
      </c>
      <c r="F167" s="21">
        <f>IFERROR(INDEX($B$154:$E$157, MATCH($N167, $B$153:$E$153, 0), MATCH(F$159, $B$153:$E$153, 0)), 0)</f>
        <v/>
      </c>
      <c r="G167" s="21">
        <f>IFERROR(INDEX($B$154:$E$157, MATCH($N167, $B$153:$E$153, 0), MATCH(G$159, $B$153:$E$153, 0)), 0)</f>
        <v/>
      </c>
      <c r="H167" s="21">
        <f>IFERROR(INDEX($B$154:$E$157, MATCH($N167, $B$153:$E$153, 0), MATCH(H$159, $B$153:$E$153, 0)), 0)</f>
        <v/>
      </c>
      <c r="I167" s="21">
        <f>IFERROR(INDEX($B$154:$E$157, MATCH($N167, $B$153:$E$153, 0), MATCH(I$159, $B$153:$E$153, 0)), 0)</f>
        <v/>
      </c>
      <c r="J167" s="21">
        <f>IFERROR(INDEX($B$154:$E$157, MATCH($N167, $B$153:$E$153, 0), MATCH(J$159, $B$153:$E$153, 0)), 0)</f>
        <v/>
      </c>
      <c r="K167" s="21">
        <f>IFERROR(INDEX($B$154:$E$157, MATCH($N167, $B$153:$E$153, 0), MATCH(K$159, $B$153:$E$153, 0)), 0)</f>
        <v/>
      </c>
      <c r="L167" s="21">
        <f>IFERROR(INDEX($B$154:$E$157, MATCH($N167, $B$153:$E$153, 0), MATCH(L$159, $B$153:$E$153, 0)), 0)</f>
        <v/>
      </c>
      <c r="M167" s="21">
        <f>IFERROR(INDEX($B$154:$E$157, MATCH($N167, $B$153:$E$153, 0), MATCH(M$159, $B$153:$E$153, 0)), 0)</f>
        <v/>
      </c>
      <c r="N167" s="16" t="inlineStr">
        <is>
          <t>U4Y</t>
        </is>
      </c>
    </row>
    <row r="168" ht="19.05" customHeight="1" s="52">
      <c r="B168" s="21">
        <f>IFERROR(INDEX($B$154:$E$157, MATCH($N168, $B$153:$E$153, 0), MATCH(B$159, $B$153:$E$153, 0)), 0)</f>
        <v/>
      </c>
      <c r="C168" s="21">
        <f>IFERROR(INDEX($B$154:$E$157, MATCH($N168, $B$153:$E$153, 0), MATCH(C$159, $B$153:$E$153, 0)), 0)</f>
        <v/>
      </c>
      <c r="D168" s="21">
        <f>IFERROR(INDEX($B$154:$E$157, MATCH($N168, $B$153:$E$153, 0), MATCH(D$159, $B$153:$E$153, 0)), 0)</f>
        <v/>
      </c>
      <c r="E168" s="21">
        <f>IFERROR(INDEX($B$154:$E$157, MATCH($N168, $B$153:$E$153, 0), MATCH(E$159, $B$153:$E$153, 0)), 0)</f>
        <v/>
      </c>
      <c r="F168" s="21">
        <f>IFERROR(INDEX($B$154:$E$157, MATCH($N168, $B$153:$E$153, 0), MATCH(F$159, $B$153:$E$153, 0)), 0)</f>
        <v/>
      </c>
      <c r="G168" s="21">
        <f>IFERROR(INDEX($B$154:$E$157, MATCH($N168, $B$153:$E$153, 0), MATCH(G$159, $B$153:$E$153, 0)), 0)</f>
        <v/>
      </c>
      <c r="H168" s="21">
        <f>IFERROR(INDEX($B$154:$E$157, MATCH($N168, $B$153:$E$153, 0), MATCH(H$159, $B$153:$E$153, 0)), 0)</f>
        <v/>
      </c>
      <c r="I168" s="21">
        <f>IFERROR(INDEX($B$154:$E$157, MATCH($N168, $B$153:$E$153, 0), MATCH(I$159, $B$153:$E$153, 0)), 0)</f>
        <v/>
      </c>
      <c r="J168" s="21">
        <f>IFERROR(INDEX($B$154:$E$157, MATCH($N168, $B$153:$E$153, 0), MATCH(J$159, $B$153:$E$153, 0)), 0)</f>
        <v/>
      </c>
      <c r="K168" s="21">
        <f>IFERROR(INDEX($B$154:$E$157, MATCH($N168, $B$153:$E$153, 0), MATCH(K$159, $B$153:$E$153, 0)), 0)</f>
        <v/>
      </c>
      <c r="L168" s="21">
        <f>IFERROR(INDEX($B$154:$E$157, MATCH($N168, $B$153:$E$153, 0), MATCH(L$159, $B$153:$E$153, 0)), 0)</f>
        <v/>
      </c>
      <c r="M168" s="21">
        <f>IFERROR(INDEX($B$154:$E$157, MATCH($N168, $B$153:$E$153, 0), MATCH(M$159, $B$153:$E$153, 0)), 0)</f>
        <v/>
      </c>
      <c r="N168" s="16" t="inlineStr">
        <is>
          <t>U5X</t>
        </is>
      </c>
    </row>
    <row r="169" ht="19.05" customHeight="1" s="52">
      <c r="B169" s="21">
        <f>IFERROR(INDEX($B$154:$E$157, MATCH($N169, $B$153:$E$153, 0), MATCH(B$159, $B$153:$E$153, 0)), 0)</f>
        <v/>
      </c>
      <c r="C169" s="21">
        <f>IFERROR(INDEX($B$154:$E$157, MATCH($N169, $B$153:$E$153, 0), MATCH(C$159, $B$153:$E$153, 0)), 0)</f>
        <v/>
      </c>
      <c r="D169" s="21">
        <f>IFERROR(INDEX($B$154:$E$157, MATCH($N169, $B$153:$E$153, 0), MATCH(D$159, $B$153:$E$153, 0)), 0)</f>
        <v/>
      </c>
      <c r="E169" s="21">
        <f>IFERROR(INDEX($B$154:$E$157, MATCH($N169, $B$153:$E$153, 0), MATCH(E$159, $B$153:$E$153, 0)), 0)</f>
        <v/>
      </c>
      <c r="F169" s="21">
        <f>IFERROR(INDEX($B$154:$E$157, MATCH($N169, $B$153:$E$153, 0), MATCH(F$159, $B$153:$E$153, 0)), 0)</f>
        <v/>
      </c>
      <c r="G169" s="21">
        <f>IFERROR(INDEX($B$154:$E$157, MATCH($N169, $B$153:$E$153, 0), MATCH(G$159, $B$153:$E$153, 0)), 0)</f>
        <v/>
      </c>
      <c r="H169" s="21">
        <f>IFERROR(INDEX($B$154:$E$157, MATCH($N169, $B$153:$E$153, 0), MATCH(H$159, $B$153:$E$153, 0)), 0)</f>
        <v/>
      </c>
      <c r="I169" s="21">
        <f>IFERROR(INDEX($B$154:$E$157, MATCH($N169, $B$153:$E$153, 0), MATCH(I$159, $B$153:$E$153, 0)), 0)</f>
        <v/>
      </c>
      <c r="J169" s="21">
        <f>IFERROR(INDEX($B$154:$E$157, MATCH($N169, $B$153:$E$153, 0), MATCH(J$159, $B$153:$E$153, 0)), 0)</f>
        <v/>
      </c>
      <c r="K169" s="21">
        <f>IFERROR(INDEX($B$154:$E$157, MATCH($N169, $B$153:$E$153, 0), MATCH(K$159, $B$153:$E$153, 0)), 0)</f>
        <v/>
      </c>
      <c r="L169" s="21">
        <f>IFERROR(INDEX($B$154:$E$157, MATCH($N169, $B$153:$E$153, 0), MATCH(L$159, $B$153:$E$153, 0)), 0)</f>
        <v/>
      </c>
      <c r="M169" s="21">
        <f>IFERROR(INDEX($B$154:$E$157, MATCH($N169, $B$153:$E$153, 0), MATCH(M$159, $B$153:$E$153, 0)), 0)</f>
        <v/>
      </c>
      <c r="N169" s="16" t="inlineStr">
        <is>
          <t>U5Y</t>
        </is>
      </c>
    </row>
    <row r="170" ht="19.05" customHeight="1" s="52">
      <c r="B170" s="21">
        <f>IFERROR(INDEX($B$154:$E$157, MATCH($N170, $B$153:$E$153, 0), MATCH(B$159, $B$153:$E$153, 0)), 0)</f>
        <v/>
      </c>
      <c r="C170" s="21">
        <f>IFERROR(INDEX($B$154:$E$157, MATCH($N170, $B$153:$E$153, 0), MATCH(C$159, $B$153:$E$153, 0)), 0)</f>
        <v/>
      </c>
      <c r="D170" s="21">
        <f>IFERROR(INDEX($B$154:$E$157, MATCH($N170, $B$153:$E$153, 0), MATCH(D$159, $B$153:$E$153, 0)), 0)</f>
        <v/>
      </c>
      <c r="E170" s="21">
        <f>IFERROR(INDEX($B$154:$E$157, MATCH($N170, $B$153:$E$153, 0), MATCH(E$159, $B$153:$E$153, 0)), 0)</f>
        <v/>
      </c>
      <c r="F170" s="21">
        <f>IFERROR(INDEX($B$154:$E$157, MATCH($N170, $B$153:$E$153, 0), MATCH(F$159, $B$153:$E$153, 0)), 0)</f>
        <v/>
      </c>
      <c r="G170" s="21">
        <f>IFERROR(INDEX($B$154:$E$157, MATCH($N170, $B$153:$E$153, 0), MATCH(G$159, $B$153:$E$153, 0)), 0)</f>
        <v/>
      </c>
      <c r="H170" s="21">
        <f>IFERROR(INDEX($B$154:$E$157, MATCH($N170, $B$153:$E$153, 0), MATCH(H$159, $B$153:$E$153, 0)), 0)</f>
        <v/>
      </c>
      <c r="I170" s="21">
        <f>IFERROR(INDEX($B$154:$E$157, MATCH($N170, $B$153:$E$153, 0), MATCH(I$159, $B$153:$E$153, 0)), 0)</f>
        <v/>
      </c>
      <c r="J170" s="21">
        <f>IFERROR(INDEX($B$154:$E$157, MATCH($N170, $B$153:$E$153, 0), MATCH(J$159, $B$153:$E$153, 0)), 0)</f>
        <v/>
      </c>
      <c r="K170" s="21">
        <f>IFERROR(INDEX($B$154:$E$157, MATCH($N170, $B$153:$E$153, 0), MATCH(K$159, $B$153:$E$153, 0)), 0)</f>
        <v/>
      </c>
      <c r="L170" s="21">
        <f>IFERROR(INDEX($B$154:$E$157, MATCH($N170, $B$153:$E$153, 0), MATCH(L$159, $B$153:$E$153, 0)), 0)</f>
        <v/>
      </c>
      <c r="M170" s="21">
        <f>IFERROR(INDEX($B$154:$E$157, MATCH($N170, $B$153:$E$153, 0), MATCH(M$159, $B$153:$E$153, 0)), 0)</f>
        <v/>
      </c>
      <c r="N170" s="16" t="inlineStr">
        <is>
          <t>U6X</t>
        </is>
      </c>
    </row>
    <row r="171" ht="19.05" customHeight="1" s="52">
      <c r="B171" s="21">
        <f>IFERROR(INDEX($B$154:$E$157, MATCH($N171, $B$153:$E$153, 0), MATCH(B$159, $B$153:$E$153, 0)), 0)</f>
        <v/>
      </c>
      <c r="C171" s="21">
        <f>IFERROR(INDEX($B$154:$E$157, MATCH($N171, $B$153:$E$153, 0), MATCH(C$159, $B$153:$E$153, 0)), 0)</f>
        <v/>
      </c>
      <c r="D171" s="21">
        <f>IFERROR(INDEX($B$154:$E$157, MATCH($N171, $B$153:$E$153, 0), MATCH(D$159, $B$153:$E$153, 0)), 0)</f>
        <v/>
      </c>
      <c r="E171" s="21">
        <f>IFERROR(INDEX($B$154:$E$157, MATCH($N171, $B$153:$E$153, 0), MATCH(E$159, $B$153:$E$153, 0)), 0)</f>
        <v/>
      </c>
      <c r="F171" s="21">
        <f>IFERROR(INDEX($B$154:$E$157, MATCH($N171, $B$153:$E$153, 0), MATCH(F$159, $B$153:$E$153, 0)), 0)</f>
        <v/>
      </c>
      <c r="G171" s="21">
        <f>IFERROR(INDEX($B$154:$E$157, MATCH($N171, $B$153:$E$153, 0), MATCH(G$159, $B$153:$E$153, 0)), 0)</f>
        <v/>
      </c>
      <c r="H171" s="21">
        <f>IFERROR(INDEX($B$154:$E$157, MATCH($N171, $B$153:$E$153, 0), MATCH(H$159, $B$153:$E$153, 0)), 0)</f>
        <v/>
      </c>
      <c r="I171" s="21">
        <f>IFERROR(INDEX($B$154:$E$157, MATCH($N171, $B$153:$E$153, 0), MATCH(I$159, $B$153:$E$153, 0)), 0)</f>
        <v/>
      </c>
      <c r="J171" s="21">
        <f>IFERROR(INDEX($B$154:$E$157, MATCH($N171, $B$153:$E$153, 0), MATCH(J$159, $B$153:$E$153, 0)), 0)</f>
        <v/>
      </c>
      <c r="K171" s="21">
        <f>IFERROR(INDEX($B$154:$E$157, MATCH($N171, $B$153:$E$153, 0), MATCH(K$159, $B$153:$E$153, 0)), 0)</f>
        <v/>
      </c>
      <c r="L171" s="21">
        <f>IFERROR(INDEX($B$154:$E$157, MATCH($N171, $B$153:$E$153, 0), MATCH(L$159, $B$153:$E$153, 0)), 0)</f>
        <v/>
      </c>
      <c r="M171" s="21">
        <f>IFERROR(INDEX($B$154:$E$157, MATCH($N171, $B$153:$E$153, 0), MATCH(M$159, $B$153:$E$153, 0)), 0)</f>
        <v/>
      </c>
      <c r="N171" s="16" t="inlineStr">
        <is>
          <t>U6Y</t>
        </is>
      </c>
    </row>
    <row r="174" ht="19.05" customHeight="1" s="52">
      <c r="A174" s="19" t="inlineStr">
        <is>
          <t>k8=</t>
        </is>
      </c>
      <c r="B174" s="17">
        <f>IF(D24="","-",D24)</f>
        <v/>
      </c>
      <c r="C174" s="17">
        <f>IF(E24="","-",E24)</f>
        <v/>
      </c>
      <c r="D174" s="17">
        <f>IF(G24="","-",G24)</f>
        <v/>
      </c>
      <c r="E174" s="17">
        <f>IF(H24="","-",H24)</f>
        <v/>
      </c>
    </row>
    <row r="175" ht="18" customHeight="1" s="52">
      <c r="B175" s="28">
        <f>IF(N13=0, 0, N13*J13*J13)</f>
        <v/>
      </c>
      <c r="C175" s="28">
        <f>IF(N13=0, 0, N13*J13*K13)</f>
        <v/>
      </c>
      <c r="D175" s="28">
        <f>IF(N13=0, 0, -N13*J13*J13)</f>
        <v/>
      </c>
      <c r="E175" s="28">
        <f>IF(N13=0, 0, -N13*J13*K13)</f>
        <v/>
      </c>
      <c r="F175" s="17">
        <f>IF(D24="","-",D24)</f>
        <v/>
      </c>
    </row>
    <row r="176" ht="18" customHeight="1" s="52">
      <c r="B176" s="28">
        <f>IF(N13=0, 0, N13*J13*K13)</f>
        <v/>
      </c>
      <c r="C176" s="28">
        <f>IF(N13=0, 0, N13*K13*K13)</f>
        <v/>
      </c>
      <c r="D176" s="28">
        <f>IF(N13=0, 0, -N13*J13*K13)</f>
        <v/>
      </c>
      <c r="E176" s="28">
        <f>IF(N13=0, 0, -N13*K13*K13)</f>
        <v/>
      </c>
      <c r="F176" s="17">
        <f>IF(E24="","-",E24)</f>
        <v/>
      </c>
    </row>
    <row r="177" ht="18" customHeight="1" s="52">
      <c r="B177" s="28">
        <f>IF(N13=0, 0, -N13*J13*J13)</f>
        <v/>
      </c>
      <c r="C177" s="28">
        <f>IF(N13=0, 0, -N13*J13*K13)</f>
        <v/>
      </c>
      <c r="D177" s="28">
        <f>IF(N13=0, 0, N13*J13*J13)</f>
        <v/>
      </c>
      <c r="E177" s="28">
        <f>IF(N13=0, 0, N13*J13*K13)</f>
        <v/>
      </c>
      <c r="F177" s="17">
        <f>IF(G24="","-",G24)</f>
        <v/>
      </c>
    </row>
    <row r="178" ht="18" customHeight="1" s="52">
      <c r="B178" s="28">
        <f>IF(N13=0, 0, -N13*J13*K13)</f>
        <v/>
      </c>
      <c r="C178" s="28">
        <f>IF(N13=0, 0, -N13*K13*K13)</f>
        <v/>
      </c>
      <c r="D178" s="28">
        <f>IF(N13=0, 0, N13*J13*K13)</f>
        <v/>
      </c>
      <c r="E178" s="28">
        <f>IF(N13=0, 0, N13*K13*K13)</f>
        <v/>
      </c>
      <c r="F178" s="17">
        <f>IF(H24="","-",H24)</f>
        <v/>
      </c>
    </row>
    <row r="180" ht="19.05" customHeight="1" s="52">
      <c r="B180" s="54" t="inlineStr">
        <is>
          <t>U1X</t>
        </is>
      </c>
      <c r="C180" s="54" t="inlineStr">
        <is>
          <t>U1Y</t>
        </is>
      </c>
      <c r="D180" s="54" t="inlineStr">
        <is>
          <t>U2X</t>
        </is>
      </c>
      <c r="E180" s="54" t="inlineStr">
        <is>
          <t>U2Y</t>
        </is>
      </c>
      <c r="F180" s="54" t="inlineStr">
        <is>
          <t>U3X</t>
        </is>
      </c>
      <c r="G180" s="54" t="inlineStr">
        <is>
          <t>U3Y</t>
        </is>
      </c>
      <c r="H180" s="54" t="inlineStr">
        <is>
          <t>U4X</t>
        </is>
      </c>
      <c r="I180" s="54" t="inlineStr">
        <is>
          <t>U4Y</t>
        </is>
      </c>
      <c r="J180" s="54" t="inlineStr">
        <is>
          <t>U5X</t>
        </is>
      </c>
      <c r="K180" s="54" t="inlineStr">
        <is>
          <t>U5Y</t>
        </is>
      </c>
      <c r="L180" s="54" t="inlineStr">
        <is>
          <t>U6X</t>
        </is>
      </c>
      <c r="M180" s="54" t="inlineStr">
        <is>
          <t>U6Y</t>
        </is>
      </c>
    </row>
    <row r="181" ht="19.05" customHeight="1" s="52">
      <c r="B181" s="21">
        <f>IFERROR(INDEX($B$175:$E$178, MATCH($N181, $B$174:$E$174, 0), MATCH(B$180, $B$174:$E$174, 0)), 0)</f>
        <v/>
      </c>
      <c r="C181" s="21">
        <f>IFERROR(INDEX($B$175:$E$178, MATCH($N181, $B$174:$E$174, 0), MATCH(C$180, $B$174:$E$174, 0)), 0)</f>
        <v/>
      </c>
      <c r="D181" s="21">
        <f>IFERROR(INDEX($B$175:$E$178, MATCH($N181, $B$174:$E$174, 0), MATCH(D$180, $B$174:$E$174, 0)), 0)</f>
        <v/>
      </c>
      <c r="E181" s="21">
        <f>IFERROR(INDEX($B$175:$E$178, MATCH($N181, $B$174:$E$174, 0), MATCH(E$180, $B$174:$E$174, 0)), 0)</f>
        <v/>
      </c>
      <c r="F181" s="21">
        <f>IFERROR(INDEX($B$175:$E$178, MATCH($N181, $B$174:$E$174, 0), MATCH(F$180, $B$174:$E$174, 0)), 0)</f>
        <v/>
      </c>
      <c r="G181" s="21">
        <f>IFERROR(INDEX($B$175:$E$178, MATCH($N181, $B$174:$E$174, 0), MATCH(G$180, $B$174:$E$174, 0)), 0)</f>
        <v/>
      </c>
      <c r="H181" s="21">
        <f>IFERROR(INDEX($B$175:$E$178, MATCH($N181, $B$174:$E$174, 0), MATCH(H$180, $B$174:$E$174, 0)), 0)</f>
        <v/>
      </c>
      <c r="I181" s="21">
        <f>IFERROR(INDEX($B$175:$E$178, MATCH($N181, $B$174:$E$174, 0), MATCH(I$180, $B$174:$E$174, 0)), 0)</f>
        <v/>
      </c>
      <c r="J181" s="21">
        <f>IFERROR(INDEX($B$175:$E$178, MATCH($N181, $B$174:$E$174, 0), MATCH(J$180, $B$174:$E$174, 0)), 0)</f>
        <v/>
      </c>
      <c r="K181" s="21">
        <f>IFERROR(INDEX($B$175:$E$178, MATCH($N181, $B$174:$E$174, 0), MATCH(K$180, $B$174:$E$174, 0)), 0)</f>
        <v/>
      </c>
      <c r="L181" s="21">
        <f>IFERROR(INDEX($B$175:$E$178, MATCH($N181, $B$174:$E$174, 0), MATCH(L$180, $B$174:$E$174, 0)), 0)</f>
        <v/>
      </c>
      <c r="M181" s="21">
        <f>IFERROR(INDEX($B$175:$E$178, MATCH($N181, $B$174:$E$174, 0), MATCH(M$180, $B$174:$E$174, 0)), 0)</f>
        <v/>
      </c>
      <c r="N181" s="17" t="inlineStr">
        <is>
          <t>U1X</t>
        </is>
      </c>
    </row>
    <row r="182" ht="19.05" customHeight="1" s="52">
      <c r="B182" s="21">
        <f>IFERROR(INDEX($B$175:$E$178, MATCH($N182, $B$174:$E$174, 0), MATCH(B$180, $B$174:$E$174, 0)), 0)</f>
        <v/>
      </c>
      <c r="C182" s="21">
        <f>IFERROR(INDEX($B$175:$E$178, MATCH($N182, $B$174:$E$174, 0), MATCH(C$180, $B$174:$E$174, 0)), 0)</f>
        <v/>
      </c>
      <c r="D182" s="21">
        <f>IFERROR(INDEX($B$175:$E$178, MATCH($N182, $B$174:$E$174, 0), MATCH(D$180, $B$174:$E$174, 0)), 0)</f>
        <v/>
      </c>
      <c r="E182" s="21">
        <f>IFERROR(INDEX($B$175:$E$178, MATCH($N182, $B$174:$E$174, 0), MATCH(E$180, $B$174:$E$174, 0)), 0)</f>
        <v/>
      </c>
      <c r="F182" s="21">
        <f>IFERROR(INDEX($B$175:$E$178, MATCH($N182, $B$174:$E$174, 0), MATCH(F$180, $B$174:$E$174, 0)), 0)</f>
        <v/>
      </c>
      <c r="G182" s="21">
        <f>IFERROR(INDEX($B$175:$E$178, MATCH($N182, $B$174:$E$174, 0), MATCH(G$180, $B$174:$E$174, 0)), 0)</f>
        <v/>
      </c>
      <c r="H182" s="21">
        <f>IFERROR(INDEX($B$175:$E$178, MATCH($N182, $B$174:$E$174, 0), MATCH(H$180, $B$174:$E$174, 0)), 0)</f>
        <v/>
      </c>
      <c r="I182" s="21">
        <f>IFERROR(INDEX($B$175:$E$178, MATCH($N182, $B$174:$E$174, 0), MATCH(I$180, $B$174:$E$174, 0)), 0)</f>
        <v/>
      </c>
      <c r="J182" s="21">
        <f>IFERROR(INDEX($B$175:$E$178, MATCH($N182, $B$174:$E$174, 0), MATCH(J$180, $B$174:$E$174, 0)), 0)</f>
        <v/>
      </c>
      <c r="K182" s="21">
        <f>IFERROR(INDEX($B$175:$E$178, MATCH($N182, $B$174:$E$174, 0), MATCH(K$180, $B$174:$E$174, 0)), 0)</f>
        <v/>
      </c>
      <c r="L182" s="21">
        <f>IFERROR(INDEX($B$175:$E$178, MATCH($N182, $B$174:$E$174, 0), MATCH(L$180, $B$174:$E$174, 0)), 0)</f>
        <v/>
      </c>
      <c r="M182" s="21">
        <f>IFERROR(INDEX($B$175:$E$178, MATCH($N182, $B$174:$E$174, 0), MATCH(M$180, $B$174:$E$174, 0)), 0)</f>
        <v/>
      </c>
      <c r="N182" s="17" t="inlineStr">
        <is>
          <t>U1Y</t>
        </is>
      </c>
    </row>
    <row r="183" ht="19.05" customHeight="1" s="52">
      <c r="B183" s="21">
        <f>IFERROR(INDEX($B$175:$E$178, MATCH($N183, $B$174:$E$174, 0), MATCH(B$180, $B$174:$E$174, 0)), 0)</f>
        <v/>
      </c>
      <c r="C183" s="21">
        <f>IFERROR(INDEX($B$175:$E$178, MATCH($N183, $B$174:$E$174, 0), MATCH(C$180, $B$174:$E$174, 0)), 0)</f>
        <v/>
      </c>
      <c r="D183" s="21">
        <f>IFERROR(INDEX($B$175:$E$178, MATCH($N183, $B$174:$E$174, 0), MATCH(D$180, $B$174:$E$174, 0)), 0)</f>
        <v/>
      </c>
      <c r="E183" s="21">
        <f>IFERROR(INDEX($B$175:$E$178, MATCH($N183, $B$174:$E$174, 0), MATCH(E$180, $B$174:$E$174, 0)), 0)</f>
        <v/>
      </c>
      <c r="F183" s="21">
        <f>IFERROR(INDEX($B$175:$E$178, MATCH($N183, $B$174:$E$174, 0), MATCH(F$180, $B$174:$E$174, 0)), 0)</f>
        <v/>
      </c>
      <c r="G183" s="21">
        <f>IFERROR(INDEX($B$175:$E$178, MATCH($N183, $B$174:$E$174, 0), MATCH(G$180, $B$174:$E$174, 0)), 0)</f>
        <v/>
      </c>
      <c r="H183" s="21">
        <f>IFERROR(INDEX($B$175:$E$178, MATCH($N183, $B$174:$E$174, 0), MATCH(H$180, $B$174:$E$174, 0)), 0)</f>
        <v/>
      </c>
      <c r="I183" s="21">
        <f>IFERROR(INDEX($B$175:$E$178, MATCH($N183, $B$174:$E$174, 0), MATCH(I$180, $B$174:$E$174, 0)), 0)</f>
        <v/>
      </c>
      <c r="J183" s="21">
        <f>IFERROR(INDEX($B$175:$E$178, MATCH($N183, $B$174:$E$174, 0), MATCH(J$180, $B$174:$E$174, 0)), 0)</f>
        <v/>
      </c>
      <c r="K183" s="21">
        <f>IFERROR(INDEX($B$175:$E$178, MATCH($N183, $B$174:$E$174, 0), MATCH(K$180, $B$174:$E$174, 0)), 0)</f>
        <v/>
      </c>
      <c r="L183" s="21">
        <f>IFERROR(INDEX($B$175:$E$178, MATCH($N183, $B$174:$E$174, 0), MATCH(L$180, $B$174:$E$174, 0)), 0)</f>
        <v/>
      </c>
      <c r="M183" s="21">
        <f>IFERROR(INDEX($B$175:$E$178, MATCH($N183, $B$174:$E$174, 0), MATCH(M$180, $B$174:$E$174, 0)), 0)</f>
        <v/>
      </c>
      <c r="N183" s="17" t="inlineStr">
        <is>
          <t>U2X</t>
        </is>
      </c>
    </row>
    <row r="184" ht="19.05" customHeight="1" s="52">
      <c r="B184" s="21">
        <f>IFERROR(INDEX($B$175:$E$178, MATCH($N184, $B$174:$E$174, 0), MATCH(B$180, $B$174:$E$174, 0)), 0)</f>
        <v/>
      </c>
      <c r="C184" s="21">
        <f>IFERROR(INDEX($B$175:$E$178, MATCH($N184, $B$174:$E$174, 0), MATCH(C$180, $B$174:$E$174, 0)), 0)</f>
        <v/>
      </c>
      <c r="D184" s="21">
        <f>IFERROR(INDEX($B$175:$E$178, MATCH($N184, $B$174:$E$174, 0), MATCH(D$180, $B$174:$E$174, 0)), 0)</f>
        <v/>
      </c>
      <c r="E184" s="21">
        <f>IFERROR(INDEX($B$175:$E$178, MATCH($N184, $B$174:$E$174, 0), MATCH(E$180, $B$174:$E$174, 0)), 0)</f>
        <v/>
      </c>
      <c r="F184" s="21">
        <f>IFERROR(INDEX($B$175:$E$178, MATCH($N184, $B$174:$E$174, 0), MATCH(F$180, $B$174:$E$174, 0)), 0)</f>
        <v/>
      </c>
      <c r="G184" s="21">
        <f>IFERROR(INDEX($B$175:$E$178, MATCH($N184, $B$174:$E$174, 0), MATCH(G$180, $B$174:$E$174, 0)), 0)</f>
        <v/>
      </c>
      <c r="H184" s="21">
        <f>IFERROR(INDEX($B$175:$E$178, MATCH($N184, $B$174:$E$174, 0), MATCH(H$180, $B$174:$E$174, 0)), 0)</f>
        <v/>
      </c>
      <c r="I184" s="21">
        <f>IFERROR(INDEX($B$175:$E$178, MATCH($N184, $B$174:$E$174, 0), MATCH(I$180, $B$174:$E$174, 0)), 0)</f>
        <v/>
      </c>
      <c r="J184" s="21">
        <f>IFERROR(INDEX($B$175:$E$178, MATCH($N184, $B$174:$E$174, 0), MATCH(J$180, $B$174:$E$174, 0)), 0)</f>
        <v/>
      </c>
      <c r="K184" s="21">
        <f>IFERROR(INDEX($B$175:$E$178, MATCH($N184, $B$174:$E$174, 0), MATCH(K$180, $B$174:$E$174, 0)), 0)</f>
        <v/>
      </c>
      <c r="L184" s="21">
        <f>IFERROR(INDEX($B$175:$E$178, MATCH($N184, $B$174:$E$174, 0), MATCH(L$180, $B$174:$E$174, 0)), 0)</f>
        <v/>
      </c>
      <c r="M184" s="21">
        <f>IFERROR(INDEX($B$175:$E$178, MATCH($N184, $B$174:$E$174, 0), MATCH(M$180, $B$174:$E$174, 0)), 0)</f>
        <v/>
      </c>
      <c r="N184" s="17" t="inlineStr">
        <is>
          <t>U2Y</t>
        </is>
      </c>
    </row>
    <row r="185" ht="19.05" customHeight="1" s="52">
      <c r="B185" s="21">
        <f>IFERROR(INDEX($B$175:$E$178, MATCH($N185, $B$174:$E$174, 0), MATCH(B$180, $B$174:$E$174, 0)), 0)</f>
        <v/>
      </c>
      <c r="C185" s="21">
        <f>IFERROR(INDEX($B$175:$E$178, MATCH($N185, $B$174:$E$174, 0), MATCH(C$180, $B$174:$E$174, 0)), 0)</f>
        <v/>
      </c>
      <c r="D185" s="21">
        <f>IFERROR(INDEX($B$175:$E$178, MATCH($N185, $B$174:$E$174, 0), MATCH(D$180, $B$174:$E$174, 0)), 0)</f>
        <v/>
      </c>
      <c r="E185" s="21">
        <f>IFERROR(INDEX($B$175:$E$178, MATCH($N185, $B$174:$E$174, 0), MATCH(E$180, $B$174:$E$174, 0)), 0)</f>
        <v/>
      </c>
      <c r="F185" s="21">
        <f>IFERROR(INDEX($B$175:$E$178, MATCH($N185, $B$174:$E$174, 0), MATCH(F$180, $B$174:$E$174, 0)), 0)</f>
        <v/>
      </c>
      <c r="G185" s="21">
        <f>IFERROR(INDEX($B$175:$E$178, MATCH($N185, $B$174:$E$174, 0), MATCH(G$180, $B$174:$E$174, 0)), 0)</f>
        <v/>
      </c>
      <c r="H185" s="21">
        <f>IFERROR(INDEX($B$175:$E$178, MATCH($N185, $B$174:$E$174, 0), MATCH(H$180, $B$174:$E$174, 0)), 0)</f>
        <v/>
      </c>
      <c r="I185" s="21">
        <f>IFERROR(INDEX($B$175:$E$178, MATCH($N185, $B$174:$E$174, 0), MATCH(I$180, $B$174:$E$174, 0)), 0)</f>
        <v/>
      </c>
      <c r="J185" s="21">
        <f>IFERROR(INDEX($B$175:$E$178, MATCH($N185, $B$174:$E$174, 0), MATCH(J$180, $B$174:$E$174, 0)), 0)</f>
        <v/>
      </c>
      <c r="K185" s="21">
        <f>IFERROR(INDEX($B$175:$E$178, MATCH($N185, $B$174:$E$174, 0), MATCH(K$180, $B$174:$E$174, 0)), 0)</f>
        <v/>
      </c>
      <c r="L185" s="21">
        <f>IFERROR(INDEX($B$175:$E$178, MATCH($N185, $B$174:$E$174, 0), MATCH(L$180, $B$174:$E$174, 0)), 0)</f>
        <v/>
      </c>
      <c r="M185" s="21">
        <f>IFERROR(INDEX($B$175:$E$178, MATCH($N185, $B$174:$E$174, 0), MATCH(M$180, $B$174:$E$174, 0)), 0)</f>
        <v/>
      </c>
      <c r="N185" s="17" t="inlineStr">
        <is>
          <t>U3X</t>
        </is>
      </c>
    </row>
    <row r="186" ht="19.05" customHeight="1" s="52">
      <c r="A186" s="19" t="inlineStr">
        <is>
          <t>K8=</t>
        </is>
      </c>
      <c r="B186" s="21">
        <f>IFERROR(INDEX($B$175:$E$178, MATCH($N186, $B$174:$E$174, 0), MATCH(B$180, $B$174:$E$174, 0)), 0)</f>
        <v/>
      </c>
      <c r="C186" s="21">
        <f>IFERROR(INDEX($B$175:$E$178, MATCH($N186, $B$174:$E$174, 0), MATCH(C$180, $B$174:$E$174, 0)), 0)</f>
        <v/>
      </c>
      <c r="D186" s="21">
        <f>IFERROR(INDEX($B$175:$E$178, MATCH($N186, $B$174:$E$174, 0), MATCH(D$180, $B$174:$E$174, 0)), 0)</f>
        <v/>
      </c>
      <c r="E186" s="21">
        <f>IFERROR(INDEX($B$175:$E$178, MATCH($N186, $B$174:$E$174, 0), MATCH(E$180, $B$174:$E$174, 0)), 0)</f>
        <v/>
      </c>
      <c r="F186" s="21">
        <f>IFERROR(INDEX($B$175:$E$178, MATCH($N186, $B$174:$E$174, 0), MATCH(F$180, $B$174:$E$174, 0)), 0)</f>
        <v/>
      </c>
      <c r="G186" s="21">
        <f>IFERROR(INDEX($B$175:$E$178, MATCH($N186, $B$174:$E$174, 0), MATCH(G$180, $B$174:$E$174, 0)), 0)</f>
        <v/>
      </c>
      <c r="H186" s="21">
        <f>IFERROR(INDEX($B$175:$E$178, MATCH($N186, $B$174:$E$174, 0), MATCH(H$180, $B$174:$E$174, 0)), 0)</f>
        <v/>
      </c>
      <c r="I186" s="21">
        <f>IFERROR(INDEX($B$175:$E$178, MATCH($N186, $B$174:$E$174, 0), MATCH(I$180, $B$174:$E$174, 0)), 0)</f>
        <v/>
      </c>
      <c r="J186" s="21">
        <f>IFERROR(INDEX($B$175:$E$178, MATCH($N186, $B$174:$E$174, 0), MATCH(J$180, $B$174:$E$174, 0)), 0)</f>
        <v/>
      </c>
      <c r="K186" s="21">
        <f>IFERROR(INDEX($B$175:$E$178, MATCH($N186, $B$174:$E$174, 0), MATCH(K$180, $B$174:$E$174, 0)), 0)</f>
        <v/>
      </c>
      <c r="L186" s="21">
        <f>IFERROR(INDEX($B$175:$E$178, MATCH($N186, $B$174:$E$174, 0), MATCH(L$180, $B$174:$E$174, 0)), 0)</f>
        <v/>
      </c>
      <c r="M186" s="21">
        <f>IFERROR(INDEX($B$175:$E$178, MATCH($N186, $B$174:$E$174, 0), MATCH(M$180, $B$174:$E$174, 0)), 0)</f>
        <v/>
      </c>
      <c r="N186" s="17" t="inlineStr">
        <is>
          <t>U3Y</t>
        </is>
      </c>
    </row>
    <row r="187" ht="19.05" customHeight="1" s="52">
      <c r="B187" s="21">
        <f>IFERROR(INDEX($B$175:$E$178, MATCH($N187, $B$174:$E$174, 0), MATCH(B$180, $B$174:$E$174, 0)), 0)</f>
        <v/>
      </c>
      <c r="C187" s="21">
        <f>IFERROR(INDEX($B$175:$E$178, MATCH($N187, $B$174:$E$174, 0), MATCH(C$180, $B$174:$E$174, 0)), 0)</f>
        <v/>
      </c>
      <c r="D187" s="21">
        <f>IFERROR(INDEX($B$175:$E$178, MATCH($N187, $B$174:$E$174, 0), MATCH(D$180, $B$174:$E$174, 0)), 0)</f>
        <v/>
      </c>
      <c r="E187" s="21">
        <f>IFERROR(INDEX($B$175:$E$178, MATCH($N187, $B$174:$E$174, 0), MATCH(E$180, $B$174:$E$174, 0)), 0)</f>
        <v/>
      </c>
      <c r="F187" s="21">
        <f>IFERROR(INDEX($B$175:$E$178, MATCH($N187, $B$174:$E$174, 0), MATCH(F$180, $B$174:$E$174, 0)), 0)</f>
        <v/>
      </c>
      <c r="G187" s="21">
        <f>IFERROR(INDEX($B$175:$E$178, MATCH($N187, $B$174:$E$174, 0), MATCH(G$180, $B$174:$E$174, 0)), 0)</f>
        <v/>
      </c>
      <c r="H187" s="21">
        <f>IFERROR(INDEX($B$175:$E$178, MATCH($N187, $B$174:$E$174, 0), MATCH(H$180, $B$174:$E$174, 0)), 0)</f>
        <v/>
      </c>
      <c r="I187" s="21">
        <f>IFERROR(INDEX($B$175:$E$178, MATCH($N187, $B$174:$E$174, 0), MATCH(I$180, $B$174:$E$174, 0)), 0)</f>
        <v/>
      </c>
      <c r="J187" s="21">
        <f>IFERROR(INDEX($B$175:$E$178, MATCH($N187, $B$174:$E$174, 0), MATCH(J$180, $B$174:$E$174, 0)), 0)</f>
        <v/>
      </c>
      <c r="K187" s="21">
        <f>IFERROR(INDEX($B$175:$E$178, MATCH($N187, $B$174:$E$174, 0), MATCH(K$180, $B$174:$E$174, 0)), 0)</f>
        <v/>
      </c>
      <c r="L187" s="21">
        <f>IFERROR(INDEX($B$175:$E$178, MATCH($N187, $B$174:$E$174, 0), MATCH(L$180, $B$174:$E$174, 0)), 0)</f>
        <v/>
      </c>
      <c r="M187" s="21">
        <f>IFERROR(INDEX($B$175:$E$178, MATCH($N187, $B$174:$E$174, 0), MATCH(M$180, $B$174:$E$174, 0)), 0)</f>
        <v/>
      </c>
      <c r="N187" s="17" t="inlineStr">
        <is>
          <t>U4X</t>
        </is>
      </c>
    </row>
    <row r="188" ht="19.05" customHeight="1" s="52">
      <c r="B188" s="21">
        <f>IFERROR(INDEX($B$175:$E$178, MATCH($N188, $B$174:$E$174, 0), MATCH(B$180, $B$174:$E$174, 0)), 0)</f>
        <v/>
      </c>
      <c r="C188" s="21">
        <f>IFERROR(INDEX($B$175:$E$178, MATCH($N188, $B$174:$E$174, 0), MATCH(C$180, $B$174:$E$174, 0)), 0)</f>
        <v/>
      </c>
      <c r="D188" s="21">
        <f>IFERROR(INDEX($B$175:$E$178, MATCH($N188, $B$174:$E$174, 0), MATCH(D$180, $B$174:$E$174, 0)), 0)</f>
        <v/>
      </c>
      <c r="E188" s="21">
        <f>IFERROR(INDEX($B$175:$E$178, MATCH($N188, $B$174:$E$174, 0), MATCH(E$180, $B$174:$E$174, 0)), 0)</f>
        <v/>
      </c>
      <c r="F188" s="21">
        <f>IFERROR(INDEX($B$175:$E$178, MATCH($N188, $B$174:$E$174, 0), MATCH(F$180, $B$174:$E$174, 0)), 0)</f>
        <v/>
      </c>
      <c r="G188" s="21">
        <f>IFERROR(INDEX($B$175:$E$178, MATCH($N188, $B$174:$E$174, 0), MATCH(G$180, $B$174:$E$174, 0)), 0)</f>
        <v/>
      </c>
      <c r="H188" s="21">
        <f>IFERROR(INDEX($B$175:$E$178, MATCH($N188, $B$174:$E$174, 0), MATCH(H$180, $B$174:$E$174, 0)), 0)</f>
        <v/>
      </c>
      <c r="I188" s="21">
        <f>IFERROR(INDEX($B$175:$E$178, MATCH($N188, $B$174:$E$174, 0), MATCH(I$180, $B$174:$E$174, 0)), 0)</f>
        <v/>
      </c>
      <c r="J188" s="21">
        <f>IFERROR(INDEX($B$175:$E$178, MATCH($N188, $B$174:$E$174, 0), MATCH(J$180, $B$174:$E$174, 0)), 0)</f>
        <v/>
      </c>
      <c r="K188" s="21">
        <f>IFERROR(INDEX($B$175:$E$178, MATCH($N188, $B$174:$E$174, 0), MATCH(K$180, $B$174:$E$174, 0)), 0)</f>
        <v/>
      </c>
      <c r="L188" s="21">
        <f>IFERROR(INDEX($B$175:$E$178, MATCH($N188, $B$174:$E$174, 0), MATCH(L$180, $B$174:$E$174, 0)), 0)</f>
        <v/>
      </c>
      <c r="M188" s="21">
        <f>IFERROR(INDEX($B$175:$E$178, MATCH($N188, $B$174:$E$174, 0), MATCH(M$180, $B$174:$E$174, 0)), 0)</f>
        <v/>
      </c>
      <c r="N188" s="17" t="inlineStr">
        <is>
          <t>U4Y</t>
        </is>
      </c>
    </row>
    <row r="189" ht="19.05" customHeight="1" s="52">
      <c r="B189" s="21">
        <f>IFERROR(INDEX($B$175:$E$178, MATCH($N189, $B$174:$E$174, 0), MATCH(B$180, $B$174:$E$174, 0)), 0)</f>
        <v/>
      </c>
      <c r="C189" s="21">
        <f>IFERROR(INDEX($B$175:$E$178, MATCH($N189, $B$174:$E$174, 0), MATCH(C$180, $B$174:$E$174, 0)), 0)</f>
        <v/>
      </c>
      <c r="D189" s="21">
        <f>IFERROR(INDEX($B$175:$E$178, MATCH($N189, $B$174:$E$174, 0), MATCH(D$180, $B$174:$E$174, 0)), 0)</f>
        <v/>
      </c>
      <c r="E189" s="21">
        <f>IFERROR(INDEX($B$175:$E$178, MATCH($N189, $B$174:$E$174, 0), MATCH(E$180, $B$174:$E$174, 0)), 0)</f>
        <v/>
      </c>
      <c r="F189" s="21">
        <f>IFERROR(INDEX($B$175:$E$178, MATCH($N189, $B$174:$E$174, 0), MATCH(F$180, $B$174:$E$174, 0)), 0)</f>
        <v/>
      </c>
      <c r="G189" s="21">
        <f>IFERROR(INDEX($B$175:$E$178, MATCH($N189, $B$174:$E$174, 0), MATCH(G$180, $B$174:$E$174, 0)), 0)</f>
        <v/>
      </c>
      <c r="H189" s="21">
        <f>IFERROR(INDEX($B$175:$E$178, MATCH($N189, $B$174:$E$174, 0), MATCH(H$180, $B$174:$E$174, 0)), 0)</f>
        <v/>
      </c>
      <c r="I189" s="21">
        <f>IFERROR(INDEX($B$175:$E$178, MATCH($N189, $B$174:$E$174, 0), MATCH(I$180, $B$174:$E$174, 0)), 0)</f>
        <v/>
      </c>
      <c r="J189" s="21">
        <f>IFERROR(INDEX($B$175:$E$178, MATCH($N189, $B$174:$E$174, 0), MATCH(J$180, $B$174:$E$174, 0)), 0)</f>
        <v/>
      </c>
      <c r="K189" s="21">
        <f>IFERROR(INDEX($B$175:$E$178, MATCH($N189, $B$174:$E$174, 0), MATCH(K$180, $B$174:$E$174, 0)), 0)</f>
        <v/>
      </c>
      <c r="L189" s="21">
        <f>IFERROR(INDEX($B$175:$E$178, MATCH($N189, $B$174:$E$174, 0), MATCH(L$180, $B$174:$E$174, 0)), 0)</f>
        <v/>
      </c>
      <c r="M189" s="21">
        <f>IFERROR(INDEX($B$175:$E$178, MATCH($N189, $B$174:$E$174, 0), MATCH(M$180, $B$174:$E$174, 0)), 0)</f>
        <v/>
      </c>
      <c r="N189" s="17" t="inlineStr">
        <is>
          <t>U5X</t>
        </is>
      </c>
    </row>
    <row r="190" ht="19.05" customHeight="1" s="52">
      <c r="B190" s="21">
        <f>IFERROR(INDEX($B$175:$E$178, MATCH($N190, $B$174:$E$174, 0), MATCH(B$180, $B$174:$E$174, 0)), 0)</f>
        <v/>
      </c>
      <c r="C190" s="21">
        <f>IFERROR(INDEX($B$175:$E$178, MATCH($N190, $B$174:$E$174, 0), MATCH(C$180, $B$174:$E$174, 0)), 0)</f>
        <v/>
      </c>
      <c r="D190" s="21">
        <f>IFERROR(INDEX($B$175:$E$178, MATCH($N190, $B$174:$E$174, 0), MATCH(D$180, $B$174:$E$174, 0)), 0)</f>
        <v/>
      </c>
      <c r="E190" s="21">
        <f>IFERROR(INDEX($B$175:$E$178, MATCH($N190, $B$174:$E$174, 0), MATCH(E$180, $B$174:$E$174, 0)), 0)</f>
        <v/>
      </c>
      <c r="F190" s="21">
        <f>IFERROR(INDEX($B$175:$E$178, MATCH($N190, $B$174:$E$174, 0), MATCH(F$180, $B$174:$E$174, 0)), 0)</f>
        <v/>
      </c>
      <c r="G190" s="21">
        <f>IFERROR(INDEX($B$175:$E$178, MATCH($N190, $B$174:$E$174, 0), MATCH(G$180, $B$174:$E$174, 0)), 0)</f>
        <v/>
      </c>
      <c r="H190" s="21">
        <f>IFERROR(INDEX($B$175:$E$178, MATCH($N190, $B$174:$E$174, 0), MATCH(H$180, $B$174:$E$174, 0)), 0)</f>
        <v/>
      </c>
      <c r="I190" s="21">
        <f>IFERROR(INDEX($B$175:$E$178, MATCH($N190, $B$174:$E$174, 0), MATCH(I$180, $B$174:$E$174, 0)), 0)</f>
        <v/>
      </c>
      <c r="J190" s="21">
        <f>IFERROR(INDEX($B$175:$E$178, MATCH($N190, $B$174:$E$174, 0), MATCH(J$180, $B$174:$E$174, 0)), 0)</f>
        <v/>
      </c>
      <c r="K190" s="21">
        <f>IFERROR(INDEX($B$175:$E$178, MATCH($N190, $B$174:$E$174, 0), MATCH(K$180, $B$174:$E$174, 0)), 0)</f>
        <v/>
      </c>
      <c r="L190" s="21">
        <f>IFERROR(INDEX($B$175:$E$178, MATCH($N190, $B$174:$E$174, 0), MATCH(L$180, $B$174:$E$174, 0)), 0)</f>
        <v/>
      </c>
      <c r="M190" s="21">
        <f>IFERROR(INDEX($B$175:$E$178, MATCH($N190, $B$174:$E$174, 0), MATCH(M$180, $B$174:$E$174, 0)), 0)</f>
        <v/>
      </c>
      <c r="N190" s="17" t="inlineStr">
        <is>
          <t>U5Y</t>
        </is>
      </c>
    </row>
    <row r="191" ht="19.05" customHeight="1" s="52">
      <c r="B191" s="21">
        <f>IFERROR(INDEX($B$175:$E$178, MATCH($N191, $B$174:$E$174, 0), MATCH(B$180, $B$174:$E$174, 0)), 0)</f>
        <v/>
      </c>
      <c r="C191" s="21">
        <f>IFERROR(INDEX($B$175:$E$178, MATCH($N191, $B$174:$E$174, 0), MATCH(C$180, $B$174:$E$174, 0)), 0)</f>
        <v/>
      </c>
      <c r="D191" s="21">
        <f>IFERROR(INDEX($B$175:$E$178, MATCH($N191, $B$174:$E$174, 0), MATCH(D$180, $B$174:$E$174, 0)), 0)</f>
        <v/>
      </c>
      <c r="E191" s="21">
        <f>IFERROR(INDEX($B$175:$E$178, MATCH($N191, $B$174:$E$174, 0), MATCH(E$180, $B$174:$E$174, 0)), 0)</f>
        <v/>
      </c>
      <c r="F191" s="21">
        <f>IFERROR(INDEX($B$175:$E$178, MATCH($N191, $B$174:$E$174, 0), MATCH(F$180, $B$174:$E$174, 0)), 0)</f>
        <v/>
      </c>
      <c r="G191" s="21">
        <f>IFERROR(INDEX($B$175:$E$178, MATCH($N191, $B$174:$E$174, 0), MATCH(G$180, $B$174:$E$174, 0)), 0)</f>
        <v/>
      </c>
      <c r="H191" s="21">
        <f>IFERROR(INDEX($B$175:$E$178, MATCH($N191, $B$174:$E$174, 0), MATCH(H$180, $B$174:$E$174, 0)), 0)</f>
        <v/>
      </c>
      <c r="I191" s="21">
        <f>IFERROR(INDEX($B$175:$E$178, MATCH($N191, $B$174:$E$174, 0), MATCH(I$180, $B$174:$E$174, 0)), 0)</f>
        <v/>
      </c>
      <c r="J191" s="21">
        <f>IFERROR(INDEX($B$175:$E$178, MATCH($N191, $B$174:$E$174, 0), MATCH(J$180, $B$174:$E$174, 0)), 0)</f>
        <v/>
      </c>
      <c r="K191" s="21">
        <f>IFERROR(INDEX($B$175:$E$178, MATCH($N191, $B$174:$E$174, 0), MATCH(K$180, $B$174:$E$174, 0)), 0)</f>
        <v/>
      </c>
      <c r="L191" s="21">
        <f>IFERROR(INDEX($B$175:$E$178, MATCH($N191, $B$174:$E$174, 0), MATCH(L$180, $B$174:$E$174, 0)), 0)</f>
        <v/>
      </c>
      <c r="M191" s="21">
        <f>IFERROR(INDEX($B$175:$E$178, MATCH($N191, $B$174:$E$174, 0), MATCH(M$180, $B$174:$E$174, 0)), 0)</f>
        <v/>
      </c>
      <c r="N191" s="17" t="inlineStr">
        <is>
          <t>U6X</t>
        </is>
      </c>
    </row>
    <row r="192" ht="19.05" customHeight="1" s="52">
      <c r="B192" s="21">
        <f>IFERROR(INDEX($B$175:$E$178, MATCH($N192, $B$174:$E$174, 0), MATCH(B$180, $B$174:$E$174, 0)), 0)</f>
        <v/>
      </c>
      <c r="C192" s="21">
        <f>IFERROR(INDEX($B$175:$E$178, MATCH($N192, $B$174:$E$174, 0), MATCH(C$180, $B$174:$E$174, 0)), 0)</f>
        <v/>
      </c>
      <c r="D192" s="21">
        <f>IFERROR(INDEX($B$175:$E$178, MATCH($N192, $B$174:$E$174, 0), MATCH(D$180, $B$174:$E$174, 0)), 0)</f>
        <v/>
      </c>
      <c r="E192" s="21">
        <f>IFERROR(INDEX($B$175:$E$178, MATCH($N192, $B$174:$E$174, 0), MATCH(E$180, $B$174:$E$174, 0)), 0)</f>
        <v/>
      </c>
      <c r="F192" s="21">
        <f>IFERROR(INDEX($B$175:$E$178, MATCH($N192, $B$174:$E$174, 0), MATCH(F$180, $B$174:$E$174, 0)), 0)</f>
        <v/>
      </c>
      <c r="G192" s="21">
        <f>IFERROR(INDEX($B$175:$E$178, MATCH($N192, $B$174:$E$174, 0), MATCH(G$180, $B$174:$E$174, 0)), 0)</f>
        <v/>
      </c>
      <c r="H192" s="21">
        <f>IFERROR(INDEX($B$175:$E$178, MATCH($N192, $B$174:$E$174, 0), MATCH(H$180, $B$174:$E$174, 0)), 0)</f>
        <v/>
      </c>
      <c r="I192" s="21">
        <f>IFERROR(INDEX($B$175:$E$178, MATCH($N192, $B$174:$E$174, 0), MATCH(I$180, $B$174:$E$174, 0)), 0)</f>
        <v/>
      </c>
      <c r="J192" s="21">
        <f>IFERROR(INDEX($B$175:$E$178, MATCH($N192, $B$174:$E$174, 0), MATCH(J$180, $B$174:$E$174, 0)), 0)</f>
        <v/>
      </c>
      <c r="K192" s="21">
        <f>IFERROR(INDEX($B$175:$E$178, MATCH($N192, $B$174:$E$174, 0), MATCH(K$180, $B$174:$E$174, 0)), 0)</f>
        <v/>
      </c>
      <c r="L192" s="21">
        <f>IFERROR(INDEX($B$175:$E$178, MATCH($N192, $B$174:$E$174, 0), MATCH(L$180, $B$174:$E$174, 0)), 0)</f>
        <v/>
      </c>
      <c r="M192" s="21">
        <f>IFERROR(INDEX($B$175:$E$178, MATCH($N192, $B$174:$E$174, 0), MATCH(M$180, $B$174:$E$174, 0)), 0)</f>
        <v/>
      </c>
      <c r="N192" s="17" t="inlineStr">
        <is>
          <t>U6Y</t>
        </is>
      </c>
    </row>
    <row r="195" ht="19.95" customHeight="1" s="52">
      <c r="B195" s="54" t="inlineStr">
        <is>
          <t>U1X</t>
        </is>
      </c>
      <c r="C195" s="54" t="inlineStr">
        <is>
          <t>U1Y</t>
        </is>
      </c>
      <c r="D195" s="54" t="inlineStr">
        <is>
          <t>U2X</t>
        </is>
      </c>
      <c r="E195" s="54" t="inlineStr">
        <is>
          <t>U2Y</t>
        </is>
      </c>
      <c r="F195" s="54" t="inlineStr">
        <is>
          <t>U3X</t>
        </is>
      </c>
      <c r="G195" s="54" t="inlineStr">
        <is>
          <t>U3Y</t>
        </is>
      </c>
      <c r="H195" s="54" t="inlineStr">
        <is>
          <t>U4X</t>
        </is>
      </c>
      <c r="I195" s="54" t="inlineStr">
        <is>
          <t>U4Y</t>
        </is>
      </c>
      <c r="J195" s="54" t="inlineStr">
        <is>
          <t>U5X</t>
        </is>
      </c>
      <c r="K195" s="54" t="inlineStr">
        <is>
          <t>U5Y</t>
        </is>
      </c>
      <c r="L195" s="54" t="inlineStr">
        <is>
          <t>U6X</t>
        </is>
      </c>
      <c r="M195" s="54" t="inlineStr">
        <is>
          <t>U6Y</t>
        </is>
      </c>
    </row>
    <row r="196" ht="19.95" customHeight="1" s="52">
      <c r="B196" s="29">
        <f>B34+B55+B76+B97+B118+B139+B160+B181</f>
        <v/>
      </c>
      <c r="C196" s="30">
        <f>C34+C55+C76+C97+C118+C139+C160+C181</f>
        <v/>
      </c>
      <c r="D196" s="21">
        <f>D34+D55+D76+D97+D118+D139+D160+D181</f>
        <v/>
      </c>
      <c r="E196" s="21">
        <f>E34+E55+E76+E97+E118+E139+E160+E181</f>
        <v/>
      </c>
      <c r="F196" s="21">
        <f>F34+F55+F76+F97+F118+F139+F160+F181</f>
        <v/>
      </c>
      <c r="G196" s="21">
        <f>G34+G55+G76+G97+G118+G139+G160+G181</f>
        <v/>
      </c>
      <c r="H196" s="21">
        <f>H34+H55+H76+H97+H118+H139+H160+H181</f>
        <v/>
      </c>
      <c r="I196" s="21">
        <f>I34+I55+I76+I97+I118+I139+I160+I181</f>
        <v/>
      </c>
      <c r="J196" s="21">
        <f>J34+J55+J76+J97+J118+J139+J160+J181</f>
        <v/>
      </c>
      <c r="K196" s="21">
        <f>K34+K55+K76+K97+K118+K139+K160+K181</f>
        <v/>
      </c>
      <c r="L196" s="21">
        <f>L34+L55+L76+L97+L118+L139+L160+L181</f>
        <v/>
      </c>
      <c r="M196" s="21">
        <f>M34+M55+M76+M97+M118+M139+M160+M181</f>
        <v/>
      </c>
      <c r="N196" s="31" t="inlineStr">
        <is>
          <t>U1X</t>
        </is>
      </c>
    </row>
    <row r="197" ht="19.95" customHeight="1" s="52">
      <c r="B197" s="30">
        <f>B35+B56+B77+B98+B119+B140+B161+B182</f>
        <v/>
      </c>
      <c r="C197" s="29">
        <f>C35+C56+C77+C98+C119+C140+C161+C182</f>
        <v/>
      </c>
      <c r="D197" s="21">
        <f>D35+D56+D77+D98+D119+D140+D161+D182</f>
        <v/>
      </c>
      <c r="E197" s="21">
        <f>E35+E56+E77+E98+E119+E140+E161+E182</f>
        <v/>
      </c>
      <c r="F197" s="21">
        <f>F35+F56+F77+F98+F119+F140+F161+F182</f>
        <v/>
      </c>
      <c r="G197" s="21">
        <f>G35+G56+G77+G98+G119+G140+G161+G182</f>
        <v/>
      </c>
      <c r="H197" s="21">
        <f>H35+H56+H77+H98+H119+H140+H161+H182</f>
        <v/>
      </c>
      <c r="I197" s="21">
        <f>I35+I56+I77+I98+I119+I140+I161+I182</f>
        <v/>
      </c>
      <c r="J197" s="21">
        <f>J35+J56+J77+J98+J119+J140+J161+J182</f>
        <v/>
      </c>
      <c r="K197" s="21">
        <f>K35+K56+K77+K98+K119+K140+K161+K182</f>
        <v/>
      </c>
      <c r="L197" s="21">
        <f>L35+L56+L77+L98+L119+L140+L161+L182</f>
        <v/>
      </c>
      <c r="M197" s="21">
        <f>M35+M56+M77+M98+M119+M140+M161+M182</f>
        <v/>
      </c>
      <c r="N197" s="31" t="inlineStr">
        <is>
          <t>U1Y</t>
        </is>
      </c>
    </row>
    <row r="198" ht="19.95" customHeight="1" s="52">
      <c r="B198" s="21">
        <f>B36+B57+B78+B99+B120+B141+B162+B183</f>
        <v/>
      </c>
      <c r="C198" s="21">
        <f>C36+C57+C78+C99+C120+C141+C162+C183</f>
        <v/>
      </c>
      <c r="D198" s="29">
        <f>D36+D57+D78+D99+D120+D141+D162+D183</f>
        <v/>
      </c>
      <c r="E198" s="30">
        <f>E36+E57+E78+E99+E120+E141+E162+E183</f>
        <v/>
      </c>
      <c r="F198" s="21">
        <f>F36+F57+F78+F99+F120+F141+F162+F183</f>
        <v/>
      </c>
      <c r="G198" s="21">
        <f>G36+G57+G78+G99+G120+G141+G162+G183</f>
        <v/>
      </c>
      <c r="H198" s="21">
        <f>H36+H57+H78+H99+H120+H141+H162+H183</f>
        <v/>
      </c>
      <c r="I198" s="21">
        <f>I36+I57+I78+I99+I120+I141+I162+I183</f>
        <v/>
      </c>
      <c r="J198" s="21">
        <f>J36+J57+J78+J99+J120+J141+J162+J183</f>
        <v/>
      </c>
      <c r="K198" s="21">
        <f>K36+K57+K78+K99+K120+K141+K162+K183</f>
        <v/>
      </c>
      <c r="L198" s="21">
        <f>L36+L57+L78+L99+L120+L141+L162+L183</f>
        <v/>
      </c>
      <c r="M198" s="21">
        <f>M36+M57+M78+M99+M120+M141+M162+M183</f>
        <v/>
      </c>
      <c r="N198" s="31" t="inlineStr">
        <is>
          <t>U2X</t>
        </is>
      </c>
    </row>
    <row r="199" ht="19.95" customHeight="1" s="52">
      <c r="B199" s="21">
        <f>B37+B58+B79+B100+B121+B142+B163+B184</f>
        <v/>
      </c>
      <c r="C199" s="21">
        <f>C37+C58+C79+C100+C121+C142+C163+C184</f>
        <v/>
      </c>
      <c r="D199" s="30">
        <f>D37+D58+D79+D100+D121+D142+D163+D184</f>
        <v/>
      </c>
      <c r="E199" s="29">
        <f>E37+E58+E79+E100+E121+E142+E163+E184</f>
        <v/>
      </c>
      <c r="F199" s="21">
        <f>F37+F58+F79+F100+F121+F142+F163+F184</f>
        <v/>
      </c>
      <c r="G199" s="21">
        <f>G37+G58+G79+G100+G121+G142+G163+G184</f>
        <v/>
      </c>
      <c r="H199" s="21">
        <f>H37+H58+H79+H100+H121+H142+H163+H184</f>
        <v/>
      </c>
      <c r="I199" s="21">
        <f>I37+I58+I79+I100+I121+I142+I163+I184</f>
        <v/>
      </c>
      <c r="J199" s="21">
        <f>J37+J58+J79+J100+J121+J142+J163+J184</f>
        <v/>
      </c>
      <c r="K199" s="21">
        <f>K37+K58+K79+K100+K121+K142+K163+K184</f>
        <v/>
      </c>
      <c r="L199" s="21">
        <f>L37+L58+L79+L100+L121+L142+L163+L184</f>
        <v/>
      </c>
      <c r="M199" s="21">
        <f>M37+M58+M79+M100+M121+M142+M163+M184</f>
        <v/>
      </c>
      <c r="N199" s="31" t="inlineStr">
        <is>
          <t>U2Y</t>
        </is>
      </c>
    </row>
    <row r="200" ht="19.95" customHeight="1" s="52">
      <c r="B200" s="21">
        <f>B38+B59+B80+B101+B122+B143+B164+B185</f>
        <v/>
      </c>
      <c r="C200" s="21">
        <f>C38+C59+C80+C101+C122+C143+C164+C185</f>
        <v/>
      </c>
      <c r="D200" s="21">
        <f>D38+D59+D80+D101+D122+D143+D164+D185</f>
        <v/>
      </c>
      <c r="E200" s="21">
        <f>E38+E59+E80+E101+E122+E143+E164+E185</f>
        <v/>
      </c>
      <c r="F200" s="29">
        <f>F38+F59+F80+F101+F122+F143+F164+F185</f>
        <v/>
      </c>
      <c r="G200" s="30">
        <f>G38+G59+G80+G101+G122+G143+G164+G185</f>
        <v/>
      </c>
      <c r="H200" s="21">
        <f>H38+H59+H80+H101+H122+H143+H164+H185</f>
        <v/>
      </c>
      <c r="I200" s="21">
        <f>I38+I59+I80+I101+I122+I143+I164+I185</f>
        <v/>
      </c>
      <c r="J200" s="21">
        <f>J38+J59+J80+J101+J122+J143+J164+J185</f>
        <v/>
      </c>
      <c r="K200" s="21">
        <f>K38+K59+K80+K101+K122+K143+K164+K185</f>
        <v/>
      </c>
      <c r="L200" s="21">
        <f>L38+L59+L80+L101+L122+L143+L164+L185</f>
        <v/>
      </c>
      <c r="M200" s="21">
        <f>M38+M59+M80+M101+M122+M143+M164+M185</f>
        <v/>
      </c>
      <c r="N200" s="31" t="inlineStr">
        <is>
          <t>U3X</t>
        </is>
      </c>
    </row>
    <row r="201" ht="19.95" customHeight="1" s="52">
      <c r="A201" s="19" t="inlineStr">
        <is>
          <t>Karmadura=</t>
        </is>
      </c>
      <c r="B201" s="21">
        <f>B39+B60+B81+B102+B123+B144+B165+B186</f>
        <v/>
      </c>
      <c r="C201" s="21">
        <f>C39+C60+C81+C102+C123+C144+C165+C186</f>
        <v/>
      </c>
      <c r="D201" s="21">
        <f>D39+D60+D81+D102+D123+D144+D165+D186</f>
        <v/>
      </c>
      <c r="E201" s="21">
        <f>E39+E60+E81+E102+E123+E144+E165+E186</f>
        <v/>
      </c>
      <c r="F201" s="30">
        <f>F39+F60+F81+F102+F123+F144+F165+F186</f>
        <v/>
      </c>
      <c r="G201" s="29">
        <f>G39+G60+G81+G102+G123+G144+G165+G186</f>
        <v/>
      </c>
      <c r="H201" s="21">
        <f>H39+H60+H81+H102+H123+H144+H165+H186</f>
        <v/>
      </c>
      <c r="I201" s="21">
        <f>I39+I60+I81+I102+I123+I144+I165+I186</f>
        <v/>
      </c>
      <c r="J201" s="21">
        <f>J39+J60+J81+J102+J123+J144+J165+J186</f>
        <v/>
      </c>
      <c r="K201" s="21">
        <f>K39+K60+K81+K102+K123+K144+K165+K186</f>
        <v/>
      </c>
      <c r="L201" s="21">
        <f>L39+L60+L81+L102+L123+L144+L165+L186</f>
        <v/>
      </c>
      <c r="M201" s="21">
        <f>M39+M60+M81+M102+M123+M144+M165+M186</f>
        <v/>
      </c>
      <c r="N201" s="31" t="inlineStr">
        <is>
          <t>U3Y</t>
        </is>
      </c>
    </row>
    <row r="202" ht="19.95" customHeight="1" s="52">
      <c r="B202" s="21">
        <f>B40+B61+B82+B103+B124+B145+B166+B187</f>
        <v/>
      </c>
      <c r="C202" s="21">
        <f>C40+C61+C82+C103+C124+C145+C166+C187</f>
        <v/>
      </c>
      <c r="D202" s="21">
        <f>D40+D61+D82+D103+D124+D145+D166+D187</f>
        <v/>
      </c>
      <c r="E202" s="21">
        <f>E40+E61+E82+E103+E124+E145+E166+E187</f>
        <v/>
      </c>
      <c r="F202" s="21">
        <f>F40+F61+F82+F103+F124+F145+F166+F187</f>
        <v/>
      </c>
      <c r="G202" s="21">
        <f>G40+G61+G82+G103+G124+G145+G166+G187</f>
        <v/>
      </c>
      <c r="H202" s="29">
        <f>H40+H61+H82+H103+H124+H145+H166+H187</f>
        <v/>
      </c>
      <c r="I202" s="30">
        <f>I40+I61+I82+I103+I124+I145+I166+I187</f>
        <v/>
      </c>
      <c r="J202" s="21">
        <f>J40+J61+J82+J103+J124+J145+J166+J187</f>
        <v/>
      </c>
      <c r="K202" s="21">
        <f>K40+K61+K82+K103+K124+K145+K166+K187</f>
        <v/>
      </c>
      <c r="L202" s="21">
        <f>L40+L61+L82+L103+L124+L145+L166+L187</f>
        <v/>
      </c>
      <c r="M202" s="21">
        <f>M40+M61+M82+M103+M124+M145+M166+M187</f>
        <v/>
      </c>
      <c r="N202" s="31" t="inlineStr">
        <is>
          <t>U4X</t>
        </is>
      </c>
    </row>
    <row r="203" ht="19.95" customHeight="1" s="52">
      <c r="B203" s="21">
        <f>B41+B62+B83+B104+B125+B146+B167+B188</f>
        <v/>
      </c>
      <c r="C203" s="21">
        <f>C41+C62+C83+C104+C125+C146+C167+C188</f>
        <v/>
      </c>
      <c r="D203" s="21">
        <f>D41+D62+D83+D104+D125+D146+D167+D188</f>
        <v/>
      </c>
      <c r="E203" s="21">
        <f>E41+E62+E83+E104+E125+E146+E167+E188</f>
        <v/>
      </c>
      <c r="F203" s="21">
        <f>F41+F62+F83+F104+F125+F146+F167+F188</f>
        <v/>
      </c>
      <c r="G203" s="21">
        <f>G41+G62+G83+G104+G125+G146+G167+G188</f>
        <v/>
      </c>
      <c r="H203" s="30">
        <f>H41+H62+H83+H104+H125+H146+H167+H188</f>
        <v/>
      </c>
      <c r="I203" s="29">
        <f>I41+I62+I83+I104+I125+I146+I167+I188</f>
        <v/>
      </c>
      <c r="J203" s="21">
        <f>J41+J62+J83+J104+J125+J146+J167+J188</f>
        <v/>
      </c>
      <c r="K203" s="21">
        <f>K41+K62+K83+K104+K125+K146+K167+K188</f>
        <v/>
      </c>
      <c r="L203" s="21">
        <f>L41+L62+L83+L104+L125+L146+L167+L188</f>
        <v/>
      </c>
      <c r="M203" s="21">
        <f>M41+M62+M83+M104+M125+M146+M167+M188</f>
        <v/>
      </c>
      <c r="N203" s="31" t="inlineStr">
        <is>
          <t>U4Y</t>
        </is>
      </c>
    </row>
    <row r="204" ht="19.95" customHeight="1" s="52">
      <c r="B204" s="21">
        <f>B42+B63+B84+B105+B126+B147+B168+B189</f>
        <v/>
      </c>
      <c r="C204" s="21">
        <f>C42+C63+C84+C105+C126+C147+C168+C189</f>
        <v/>
      </c>
      <c r="D204" s="21">
        <f>D42+D63+D84+D105+D126+D147+D168+D189</f>
        <v/>
      </c>
      <c r="E204" s="21">
        <f>E42+E63+E84+E105+E126+E147+E168+E189</f>
        <v/>
      </c>
      <c r="F204" s="21">
        <f>F42+F63+F84+F105+F126+F147+F168+F189</f>
        <v/>
      </c>
      <c r="G204" s="21">
        <f>G42+G63+G84+G105+G126+G147+G168+G189</f>
        <v/>
      </c>
      <c r="H204" s="21">
        <f>H42+H63+H84+H105+H126+H147+H168+H189</f>
        <v/>
      </c>
      <c r="I204" s="21">
        <f>I42+I63+I84+I105+I126+I147+I168+I189</f>
        <v/>
      </c>
      <c r="J204" s="29">
        <f>J42+J63+J84+J105+J126+J147+J168+J189</f>
        <v/>
      </c>
      <c r="K204" s="30">
        <f>K42+K63+K84+K105+K126+K147+K168+K189</f>
        <v/>
      </c>
      <c r="L204" s="21">
        <f>L42+L63+L84+L105+L126+L147+L168+L189</f>
        <v/>
      </c>
      <c r="M204" s="21">
        <f>M42+M63+M84+M105+M126+M147+M168+M189</f>
        <v/>
      </c>
      <c r="N204" s="31" t="inlineStr">
        <is>
          <t>U5X</t>
        </is>
      </c>
    </row>
    <row r="205" ht="19.95" customHeight="1" s="52">
      <c r="B205" s="21">
        <f>B43+B64+B85+B106+B127+B148+B169+B190</f>
        <v/>
      </c>
      <c r="C205" s="21">
        <f>C43+C64+C85+C106+C127+C148+C169+C190</f>
        <v/>
      </c>
      <c r="D205" s="21">
        <f>D43+D64+D85+D106+D127+D148+D169+D190</f>
        <v/>
      </c>
      <c r="E205" s="21">
        <f>E43+E64+E85+E106+E127+E148+E169+E190</f>
        <v/>
      </c>
      <c r="F205" s="21">
        <f>F43+F64+F85+F106+F127+F148+F169+F190</f>
        <v/>
      </c>
      <c r="G205" s="21">
        <f>G43+G64+G85+G106+G127+G148+G169+G190</f>
        <v/>
      </c>
      <c r="H205" s="21">
        <f>H43+H64+H85+H106+H127+H148+H169+H190</f>
        <v/>
      </c>
      <c r="I205" s="21">
        <f>I43+I64+I85+I106+I127+I148+I169+I190</f>
        <v/>
      </c>
      <c r="J205" s="30">
        <f>J43+J64+J85+J106+J127+J148+J169+J190</f>
        <v/>
      </c>
      <c r="K205" s="29">
        <f>K43+K64+K85+K106+K127+K148+K169+K190</f>
        <v/>
      </c>
      <c r="L205" s="21">
        <f>L43+L64+L85+L106+L127+L148+L169+L190</f>
        <v/>
      </c>
      <c r="M205" s="21">
        <f>M43+M64+M85+M106+M127+M148+M169+M190</f>
        <v/>
      </c>
      <c r="N205" s="31" t="inlineStr">
        <is>
          <t>U5Y</t>
        </is>
      </c>
    </row>
    <row r="206" ht="19.95" customHeight="1" s="52">
      <c r="B206" s="21">
        <f>B44+B65+B86+B107+B128+B149+B170+B191</f>
        <v/>
      </c>
      <c r="C206" s="21">
        <f>C44+C65+C86+C107+C128+C149+C170+C191</f>
        <v/>
      </c>
      <c r="D206" s="21">
        <f>D44+D65+D86+D107+D128+D149+D170+D191</f>
        <v/>
      </c>
      <c r="E206" s="21">
        <f>E44+E65+E86+E107+E128+E149+E170+E191</f>
        <v/>
      </c>
      <c r="F206" s="21">
        <f>F44+F65+F86+F107+F128+F149+F170+F191</f>
        <v/>
      </c>
      <c r="G206" s="21">
        <f>G44+G65+G86+G107+G128+G149+G170+G191</f>
        <v/>
      </c>
      <c r="H206" s="21">
        <f>H44+H65+H86+H107+H128+H149+H170+H191</f>
        <v/>
      </c>
      <c r="I206" s="21">
        <f>I44+I65+I86+I107+I128+I149+I170+I191</f>
        <v/>
      </c>
      <c r="J206" s="21">
        <f>J44+J65+J86+J107+J128+J149+J170+J191</f>
        <v/>
      </c>
      <c r="K206" s="21">
        <f>K44+K65+K86+K107+K128+K149+K170+K191</f>
        <v/>
      </c>
      <c r="L206" s="29">
        <f>L44+L65+L86+L107+L128+L149+L170+L191</f>
        <v/>
      </c>
      <c r="M206" s="30">
        <f>M44+M65+M86+M107+M128+M149+M170+M191</f>
        <v/>
      </c>
      <c r="N206" s="31" t="inlineStr">
        <is>
          <t>U6X</t>
        </is>
      </c>
    </row>
    <row r="207" ht="19.95" customHeight="1" s="52">
      <c r="B207" s="21">
        <f>B45+B66+B87+B108+B129+B150+B171+B192</f>
        <v/>
      </c>
      <c r="C207" s="21">
        <f>C45+C66+C87+C108+C129+C150+C171+C192</f>
        <v/>
      </c>
      <c r="D207" s="21">
        <f>D45+D66+D87+D108+D129+D150+D171+D192</f>
        <v/>
      </c>
      <c r="E207" s="21">
        <f>E45+E66+E87+E108+E129+E150+E171+E192</f>
        <v/>
      </c>
      <c r="F207" s="21">
        <f>F45+F66+F87+F108+F129+F150+F171+F192</f>
        <v/>
      </c>
      <c r="G207" s="21">
        <f>G45+G66+G87+G108+G129+G150+G171+G192</f>
        <v/>
      </c>
      <c r="H207" s="21">
        <f>H45+H66+H87+H108+H129+H150+H171+H192</f>
        <v/>
      </c>
      <c r="I207" s="21">
        <f>I45+I66+I87+I108+I129+I150+I171+I192</f>
        <v/>
      </c>
      <c r="J207" s="21">
        <f>J45+J66+J87+J108+J129+J150+J171+J192</f>
        <v/>
      </c>
      <c r="K207" s="21">
        <f>K45+K66+K87+K108+K129+K150+K171+K192</f>
        <v/>
      </c>
      <c r="L207" s="30">
        <f>L45+L66+L87+L108+L129+L150+L171+L192</f>
        <v/>
      </c>
      <c r="M207" s="29">
        <f>M45+M66+M87+M108+M129+M150+M171+M192</f>
        <v/>
      </c>
      <c r="N207" s="31" t="inlineStr">
        <is>
          <t>U6Y</t>
        </is>
      </c>
    </row>
    <row r="210" ht="19.95" customHeight="1" s="52">
      <c r="A210" s="32" t="inlineStr">
        <is>
          <t>Matriz de cargas:</t>
        </is>
      </c>
      <c r="Z210" s="53" t="inlineStr">
        <is>
          <t>1. MATRIZ DE CARGAS Y DESPLAZAMIENTOS ({C} Y {D})</t>
        </is>
      </c>
      <c r="AA210" s="65" t="n"/>
      <c r="AB210" s="65" t="n"/>
      <c r="AC210" s="65" t="n"/>
      <c r="AD210" s="65" t="n"/>
      <c r="AE210" s="63" t="n"/>
    </row>
    <row r="211" ht="16.95" customHeight="1" s="52">
      <c r="B211" s="33" t="inlineStr">
        <is>
          <t>C1X</t>
        </is>
      </c>
      <c r="C211" s="33" t="inlineStr">
        <is>
          <t>U1X</t>
        </is>
      </c>
      <c r="E211" s="34">
        <f>IF(IFERROR(VLOOKUP(1, $P$6:$W$11, 2, FALSE), "")="", 0, IF(VLOOKUP(1, $P$6:$W$11, 5, FALSE)=1, B211, VLOOKUP(1, $P$6:$W$11, 7, FALSE)))</f>
        <v/>
      </c>
      <c r="Z211" s="50" t="inlineStr">
        <is>
          <t>• Columna B: Variable del vector (C1X, C1Y / D1X, D1Y) hasta 6 nodos (12 GDL).</t>
        </is>
      </c>
      <c r="AA211" s="65" t="n"/>
      <c r="AB211" s="65" t="n"/>
      <c r="AC211" s="65" t="n"/>
      <c r="AD211" s="65" t="n"/>
      <c r="AE211" s="63" t="n"/>
    </row>
    <row r="212" ht="16.95" customHeight="1" s="52">
      <c r="B212" s="33" t="inlineStr">
        <is>
          <t>C1Y</t>
        </is>
      </c>
      <c r="C212" s="33" t="inlineStr">
        <is>
          <t>U1Y</t>
        </is>
      </c>
      <c r="E212" s="34">
        <f>IF(IFERROR(VLOOKUP(1, $P$6:$W$11, 2, FALSE), "")="", 0, IF(VLOOKUP(1, $P$6:$W$11, 6, FALSE)=1, B212, VLOOKUP(1, $P$6:$W$11, 8, FALSE)))</f>
        <v/>
      </c>
      <c r="Z212" s="50" t="inlineStr">
        <is>
          <t>• Columna C: Grado de libertad global asociado (U1X, U1Y...).</t>
        </is>
      </c>
      <c r="AA212" s="65" t="n"/>
      <c r="AB212" s="65" t="n"/>
      <c r="AC212" s="65" t="n"/>
      <c r="AD212" s="65" t="n"/>
      <c r="AE212" s="63" t="n"/>
    </row>
    <row r="213" ht="16.95" customHeight="1" s="52">
      <c r="B213" s="33" t="inlineStr">
        <is>
          <t>C2X</t>
        </is>
      </c>
      <c r="C213" s="33" t="inlineStr">
        <is>
          <t>U2X</t>
        </is>
      </c>
      <c r="E213" s="34">
        <f>IF(IFERROR(VLOOKUP(2, $P$6:$W$11, 2, FALSE), "")="", 0, IF(VLOOKUP(2, $P$6:$W$11, 5, FALSE)=1, B213, VLOOKUP(2, $P$6:$W$11, 7, FALSE)))</f>
        <v/>
      </c>
      <c r="Z213" s="50" t="inlineStr">
        <is>
          <t>• Columna E (Cargas): Si hay apoyo, C=Cnx (reacción incógnita). Si está libre, C=Px (carga externa).</t>
        </is>
      </c>
      <c r="AA213" s="65" t="n"/>
      <c r="AB213" s="65" t="n"/>
      <c r="AC213" s="65" t="n"/>
      <c r="AD213" s="65" t="n"/>
      <c r="AE213" s="63" t="n"/>
    </row>
    <row r="214" ht="16.95" customHeight="1" s="52">
      <c r="B214" s="33" t="inlineStr">
        <is>
          <t>C2Y</t>
        </is>
      </c>
      <c r="C214" s="33" t="inlineStr">
        <is>
          <t>U2Y</t>
        </is>
      </c>
      <c r="E214" s="34">
        <f>IF(IFERROR(VLOOKUP(2, $P$6:$W$11, 2, FALSE), "")="", 0, IF(VLOOKUP(2, $P$6:$W$11, 6, FALSE)=1, B214, VLOOKUP(2, $P$6:$W$11, 8, FALSE)))</f>
        <v/>
      </c>
      <c r="Z214" s="50" t="inlineStr">
        <is>
          <t>• Columna E (Desplazamientos): Si hay apoyo, D=0 (restringido). Si está libre, D=Dnx (desplazamiento incógnita).</t>
        </is>
      </c>
      <c r="AA214" s="65" t="n"/>
      <c r="AB214" s="65" t="n"/>
      <c r="AC214" s="65" t="n"/>
      <c r="AD214" s="65" t="n"/>
      <c r="AE214" s="63" t="n"/>
    </row>
    <row r="215" ht="16.95" customHeight="1" s="52">
      <c r="B215" s="33" t="inlineStr">
        <is>
          <t>C3X</t>
        </is>
      </c>
      <c r="C215" s="33" t="inlineStr">
        <is>
          <t>U3X</t>
        </is>
      </c>
      <c r="E215" s="34">
        <f>IF(IFERROR(VLOOKUP(3, $P$6:$W$11, 2, FALSE), "")="", 0, IF(VLOOKUP(3, $P$6:$W$11, 5, FALSE)=1, B215, VLOOKUP(3, $P$6:$W$11, 7, FALSE)))</f>
        <v/>
      </c>
      <c r="Z215" s="50" t="inlineStr">
        <is>
          <t>• Columnas F y G (Auxiliares): Conteo dinámico de grados libres (D≠0) y apoyos (D=0) para extraer K11 y K21.</t>
        </is>
      </c>
      <c r="AA215" s="65" t="n"/>
      <c r="AB215" s="65" t="n"/>
      <c r="AC215" s="65" t="n"/>
      <c r="AD215" s="65" t="n"/>
      <c r="AE215" s="63" t="n"/>
    </row>
    <row r="216" ht="16.95" customHeight="1" s="52">
      <c r="A216" s="56" t="inlineStr">
        <is>
          <t>C=</t>
        </is>
      </c>
      <c r="B216" s="33" t="inlineStr">
        <is>
          <t>C3Y</t>
        </is>
      </c>
      <c r="C216" s="33" t="inlineStr">
        <is>
          <t>U3Y</t>
        </is>
      </c>
      <c r="D216" s="35" t="inlineStr">
        <is>
          <t>=</t>
        </is>
      </c>
      <c r="E216" s="34">
        <f>IF(IFERROR(VLOOKUP(3, $P$6:$W$11, 2, FALSE), "")="", 0, IF(VLOOKUP(3, $P$6:$W$11, 6, FALSE)=1, B216, VLOOKUP(3, $P$6:$W$11, 8, FALSE)))</f>
        <v/>
      </c>
      <c r="Z216" s="50" t="n"/>
      <c r="AA216" s="65" t="n"/>
      <c r="AB216" s="65" t="n"/>
      <c r="AC216" s="65" t="n"/>
      <c r="AD216" s="65" t="n"/>
      <c r="AE216" s="63" t="n"/>
    </row>
    <row r="217" ht="16.95" customHeight="1" s="52">
      <c r="B217" s="33" t="inlineStr">
        <is>
          <t>C4X</t>
        </is>
      </c>
      <c r="C217" s="33" t="inlineStr">
        <is>
          <t>U4X</t>
        </is>
      </c>
      <c r="E217" s="34">
        <f>IF(IFERROR(VLOOKUP(4, $P$6:$W$11, 2, FALSE), "")="", 0, IF(VLOOKUP(4, $P$6:$W$11, 5, FALSE)=1, B217, VLOOKUP(4, $P$6:$W$11, 7, FALSE)))</f>
        <v/>
      </c>
      <c r="Z217" s="50" t="n"/>
      <c r="AA217" s="65" t="n"/>
      <c r="AB217" s="65" t="n"/>
      <c r="AC217" s="65" t="n"/>
      <c r="AD217" s="65" t="n"/>
      <c r="AE217" s="63" t="n"/>
    </row>
    <row r="218" ht="16.95" customHeight="1" s="52">
      <c r="B218" s="33" t="inlineStr">
        <is>
          <t>C4Y</t>
        </is>
      </c>
      <c r="C218" s="33" t="inlineStr">
        <is>
          <t>U4Y</t>
        </is>
      </c>
      <c r="E218" s="34">
        <f>IF(IFERROR(VLOOKUP(4, $P$6:$W$11, 2, FALSE), "")="", 0, IF(VLOOKUP(4, $P$6:$W$11, 6, FALSE)=1, B218, VLOOKUP(4, $P$6:$W$11, 8, FALSE)))</f>
        <v/>
      </c>
      <c r="Z218" s="50" t="n"/>
      <c r="AA218" s="65" t="n"/>
      <c r="AB218" s="65" t="n"/>
      <c r="AC218" s="65" t="n"/>
      <c r="AD218" s="65" t="n"/>
      <c r="AE218" s="63" t="n"/>
    </row>
    <row r="219" ht="16.95" customHeight="1" s="52">
      <c r="B219" s="33" t="inlineStr">
        <is>
          <t>C5X</t>
        </is>
      </c>
      <c r="C219" s="33" t="inlineStr">
        <is>
          <t>U5X</t>
        </is>
      </c>
      <c r="E219" s="34">
        <f>IF(IFERROR(VLOOKUP(5, $P$6:$W$11, 2, FALSE), "")="", 0, IF(VLOOKUP(5, $P$6:$W$11, 5, FALSE)=1, B219, VLOOKUP(5, $P$6:$W$11, 7, FALSE)))</f>
        <v/>
      </c>
      <c r="Z219" s="50" t="n"/>
      <c r="AA219" s="65" t="n"/>
      <c r="AB219" s="65" t="n"/>
      <c r="AC219" s="65" t="n"/>
      <c r="AD219" s="65" t="n"/>
      <c r="AE219" s="63" t="n"/>
    </row>
    <row r="220" ht="16.95" customHeight="1" s="52">
      <c r="B220" s="33" t="inlineStr">
        <is>
          <t>C5Y</t>
        </is>
      </c>
      <c r="C220" s="33" t="inlineStr">
        <is>
          <t>U5Y</t>
        </is>
      </c>
      <c r="E220" s="34">
        <f>IF(IFERROR(VLOOKUP(5, $P$6:$W$11, 2, FALSE), "")="", 0, IF(VLOOKUP(5, $P$6:$W$11, 6, FALSE)=1, B220, VLOOKUP(5, $P$6:$W$11, 8, FALSE)))</f>
        <v/>
      </c>
      <c r="Z220" s="50" t="n"/>
      <c r="AA220" s="65" t="n"/>
      <c r="AB220" s="65" t="n"/>
      <c r="AC220" s="65" t="n"/>
      <c r="AD220" s="65" t="n"/>
      <c r="AE220" s="63" t="n"/>
    </row>
    <row r="221" ht="16.95" customHeight="1" s="52">
      <c r="B221" s="33" t="inlineStr">
        <is>
          <t>C6X</t>
        </is>
      </c>
      <c r="C221" s="33" t="inlineStr">
        <is>
          <t>U6X</t>
        </is>
      </c>
      <c r="E221" s="34">
        <f>IF(IFERROR(VLOOKUP(6, $P$6:$W$11, 2, FALSE), "")="", 0, IF(VLOOKUP(6, $P$6:$W$11, 5, FALSE)=1, B221, VLOOKUP(6, $P$6:$W$11, 7, FALSE)))</f>
        <v/>
      </c>
      <c r="Z221" s="50" t="n"/>
      <c r="AA221" s="65" t="n"/>
      <c r="AB221" s="65" t="n"/>
      <c r="AC221" s="65" t="n"/>
      <c r="AD221" s="65" t="n"/>
      <c r="AE221" s="63" t="n"/>
    </row>
    <row r="222" ht="16.95" customHeight="1" s="52">
      <c r="B222" s="33" t="inlineStr">
        <is>
          <t>C6Y</t>
        </is>
      </c>
      <c r="C222" s="33" t="inlineStr">
        <is>
          <t>U6Y</t>
        </is>
      </c>
      <c r="E222" s="34">
        <f>IF(IFERROR(VLOOKUP(6, $P$6:$W$11, 2, FALSE), "")="", 0, IF(VLOOKUP(6, $P$6:$W$11, 6, FALSE)=1, B222, VLOOKUP(6, $P$6:$W$11, 8, FALSE)))</f>
        <v/>
      </c>
      <c r="Z222" s="50" t="n"/>
      <c r="AA222" s="65" t="n"/>
      <c r="AB222" s="65" t="n"/>
      <c r="AC222" s="65" t="n"/>
      <c r="AD222" s="65" t="n"/>
      <c r="AE222" s="63" t="n"/>
    </row>
    <row r="223" ht="16.95" customHeight="1" s="52">
      <c r="Z223" s="50" t="n"/>
      <c r="AA223" s="65" t="n"/>
      <c r="AB223" s="65" t="n"/>
      <c r="AC223" s="65" t="n"/>
      <c r="AD223" s="65" t="n"/>
      <c r="AE223" s="63" t="n"/>
    </row>
    <row r="224" ht="16.95" customHeight="1" s="52">
      <c r="A224" s="32" t="inlineStr">
        <is>
          <t>Matriz de desplazamientos:</t>
        </is>
      </c>
      <c r="Z224" s="50" t="n"/>
      <c r="AA224" s="65" t="n"/>
      <c r="AB224" s="65" t="n"/>
      <c r="AC224" s="65" t="n"/>
      <c r="AD224" s="65" t="n"/>
      <c r="AE224" s="63" t="n"/>
    </row>
    <row r="225" ht="16.95" customHeight="1" s="52">
      <c r="B225" s="33" t="inlineStr">
        <is>
          <t>D1X</t>
        </is>
      </c>
      <c r="C225" s="33" t="inlineStr">
        <is>
          <t>U1X</t>
        </is>
      </c>
      <c r="E225" s="12">
        <f>IF(IFERROR(VLOOKUP(1, $P$6:$W$11, 2, FALSE), "")="", 0, IF(VLOOKUP(1, $P$6:$W$11, 5, FALSE)=1, 0, B225))</f>
        <v/>
      </c>
      <c r="F225" s="36">
        <f>IF(ISTEXT(E225), 1, "")</f>
        <v/>
      </c>
      <c r="G225" s="36">
        <f>IF(ISTEXT(E211), 1, "")</f>
        <v/>
      </c>
      <c r="Z225" s="50" t="n"/>
      <c r="AA225" s="65" t="n"/>
      <c r="AB225" s="65" t="n"/>
      <c r="AC225" s="65" t="n"/>
      <c r="AD225" s="65" t="n"/>
      <c r="AE225" s="63" t="n"/>
    </row>
    <row r="226" ht="16.95" customHeight="1" s="52">
      <c r="B226" s="33" t="inlineStr">
        <is>
          <t>D1Y</t>
        </is>
      </c>
      <c r="C226" s="33" t="inlineStr">
        <is>
          <t>U1Y</t>
        </is>
      </c>
      <c r="E226" s="12">
        <f>IF(IFERROR(VLOOKUP(1, $P$6:$W$11, 2, FALSE), "")="", 0, IF(VLOOKUP(1, $P$6:$W$11, 6, FALSE)=1, 0, B226))</f>
        <v/>
      </c>
      <c r="F226" s="36">
        <f>IF(ISTEXT(E226), MAX(F$225:F225) + 1, "")</f>
        <v/>
      </c>
      <c r="G226" s="36">
        <f>IF(ISTEXT(E212), MAX(G$225:G225) + 1, "")</f>
        <v/>
      </c>
      <c r="Z226" s="50" t="n"/>
      <c r="AA226" s="65" t="n"/>
      <c r="AB226" s="65" t="n"/>
      <c r="AC226" s="65" t="n"/>
      <c r="AD226" s="65" t="n"/>
      <c r="AE226" s="63" t="n"/>
    </row>
    <row r="227" ht="16.95" customHeight="1" s="52">
      <c r="B227" s="33" t="inlineStr">
        <is>
          <t>D2X</t>
        </is>
      </c>
      <c r="C227" s="33" t="inlineStr">
        <is>
          <t>U2X</t>
        </is>
      </c>
      <c r="E227" s="12">
        <f>IF(IFERROR(VLOOKUP(2, $P$6:$W$11, 2, FALSE), "")="", 0, IF(VLOOKUP(2, $P$6:$W$11, 5, FALSE)=1, 0, B227))</f>
        <v/>
      </c>
      <c r="F227" s="36">
        <f>IF(ISTEXT(E227), MAX(F$225:F226) + 1, "")</f>
        <v/>
      </c>
      <c r="G227" s="36">
        <f>IF(ISTEXT(E213), MAX(G$225:G226) + 1, "")</f>
        <v/>
      </c>
      <c r="Z227" s="50" t="n"/>
      <c r="AA227" s="65" t="n"/>
      <c r="AB227" s="65" t="n"/>
      <c r="AC227" s="65" t="n"/>
      <c r="AD227" s="65" t="n"/>
      <c r="AE227" s="63" t="n"/>
    </row>
    <row r="228" ht="16.95" customHeight="1" s="52">
      <c r="B228" s="33" t="inlineStr">
        <is>
          <t>D2Y</t>
        </is>
      </c>
      <c r="C228" s="33" t="inlineStr">
        <is>
          <t>U2Y</t>
        </is>
      </c>
      <c r="E228" s="12">
        <f>IF(IFERROR(VLOOKUP(2, $P$6:$W$11, 2, FALSE), "")="", 0, IF(VLOOKUP(2, $P$6:$W$11, 6, FALSE)=1, 0, B228))</f>
        <v/>
      </c>
      <c r="F228" s="36">
        <f>IF(ISTEXT(E228), MAX(F$225:F227) + 1, "")</f>
        <v/>
      </c>
      <c r="G228" s="36">
        <f>IF(ISTEXT(E214), MAX(G$225:G227) + 1, "")</f>
        <v/>
      </c>
      <c r="Z228" s="50" t="n"/>
      <c r="AA228" s="65" t="n"/>
      <c r="AB228" s="65" t="n"/>
      <c r="AC228" s="65" t="n"/>
      <c r="AD228" s="65" t="n"/>
      <c r="AE228" s="63" t="n"/>
    </row>
    <row r="229" ht="16.95" customHeight="1" s="52">
      <c r="B229" s="33" t="inlineStr">
        <is>
          <t>D3X</t>
        </is>
      </c>
      <c r="C229" s="33" t="inlineStr">
        <is>
          <t>U3X</t>
        </is>
      </c>
      <c r="E229" s="12">
        <f>IF(IFERROR(VLOOKUP(3, $P$6:$W$11, 2, FALSE), "")="", 0, IF(VLOOKUP(3, $P$6:$W$11, 5, FALSE)=1, 0, B229))</f>
        <v/>
      </c>
      <c r="F229" s="36">
        <f>IF(ISTEXT(E229), MAX(F$225:F228) + 1, "")</f>
        <v/>
      </c>
      <c r="G229" s="36">
        <f>IF(ISTEXT(E215), MAX(G$225:G228) + 1, "")</f>
        <v/>
      </c>
      <c r="Z229" s="50" t="n"/>
      <c r="AA229" s="65" t="n"/>
      <c r="AB229" s="65" t="n"/>
      <c r="AC229" s="65" t="n"/>
      <c r="AD229" s="65" t="n"/>
      <c r="AE229" s="63" t="n"/>
    </row>
    <row r="230" ht="16.95" customHeight="1" s="52">
      <c r="A230" s="56" t="inlineStr">
        <is>
          <t>D=</t>
        </is>
      </c>
      <c r="B230" s="33" t="inlineStr">
        <is>
          <t>D3Y</t>
        </is>
      </c>
      <c r="C230" s="33" t="inlineStr">
        <is>
          <t>U3Y</t>
        </is>
      </c>
      <c r="D230" s="35" t="inlineStr">
        <is>
          <t>=</t>
        </is>
      </c>
      <c r="E230" s="12">
        <f>IF(IFERROR(VLOOKUP(3, $P$6:$W$11, 2, FALSE), "")="", 0, IF(VLOOKUP(3, $P$6:$W$11, 6, FALSE)=1, 0, B230))</f>
        <v/>
      </c>
      <c r="F230" s="36">
        <f>IF(ISTEXT(E230), MAX(F$225:F229) + 1, "")</f>
        <v/>
      </c>
      <c r="G230" s="36">
        <f>IF(ISTEXT(E216), MAX(G$225:G229) + 1, "")</f>
        <v/>
      </c>
      <c r="Z230" s="50" t="n"/>
      <c r="AA230" s="65" t="n"/>
      <c r="AB230" s="65" t="n"/>
      <c r="AC230" s="65" t="n"/>
      <c r="AD230" s="65" t="n"/>
      <c r="AE230" s="63" t="n"/>
    </row>
    <row r="231" ht="16.95" customHeight="1" s="52">
      <c r="B231" s="33" t="inlineStr">
        <is>
          <t>D4X</t>
        </is>
      </c>
      <c r="C231" s="33" t="inlineStr">
        <is>
          <t>U4X</t>
        </is>
      </c>
      <c r="E231" s="12">
        <f>IF(IFERROR(VLOOKUP(4, $P$6:$W$11, 2, FALSE), "")="", 0, IF(VLOOKUP(4, $P$6:$W$11, 5, FALSE)=1, 0, B231))</f>
        <v/>
      </c>
      <c r="F231" s="36">
        <f>IF(ISTEXT(E231), MAX(F$225:F230) + 1, "")</f>
        <v/>
      </c>
      <c r="G231" s="36">
        <f>IF(ISTEXT(E217), MAX(G$225:G230) + 1, "")</f>
        <v/>
      </c>
      <c r="Z231" s="50" t="n"/>
      <c r="AA231" s="65" t="n"/>
      <c r="AB231" s="65" t="n"/>
      <c r="AC231" s="65" t="n"/>
      <c r="AD231" s="65" t="n"/>
      <c r="AE231" s="63" t="n"/>
    </row>
    <row r="232" ht="16.95" customHeight="1" s="52">
      <c r="B232" s="33" t="inlineStr">
        <is>
          <t>D4Y</t>
        </is>
      </c>
      <c r="C232" s="33" t="inlineStr">
        <is>
          <t>U4Y</t>
        </is>
      </c>
      <c r="E232" s="12">
        <f>IF(IFERROR(VLOOKUP(4, $P$6:$W$11, 2, FALSE), "")="", 0, IF(VLOOKUP(4, $P$6:$W$11, 6, FALSE)=1, 0, B232))</f>
        <v/>
      </c>
      <c r="F232" s="36">
        <f>IF(ISTEXT(E232), MAX(F$225:F231) + 1, "")</f>
        <v/>
      </c>
      <c r="G232" s="36">
        <f>IF(ISTEXT(E218), MAX(G$225:G231) + 1, "")</f>
        <v/>
      </c>
      <c r="Z232" s="50" t="n"/>
      <c r="AA232" s="65" t="n"/>
      <c r="AB232" s="65" t="n"/>
      <c r="AC232" s="65" t="n"/>
      <c r="AD232" s="65" t="n"/>
      <c r="AE232" s="63" t="n"/>
    </row>
    <row r="233" ht="16.95" customHeight="1" s="52">
      <c r="B233" s="33" t="inlineStr">
        <is>
          <t>D5X</t>
        </is>
      </c>
      <c r="C233" s="33" t="inlineStr">
        <is>
          <t>U5X</t>
        </is>
      </c>
      <c r="E233" s="12">
        <f>IF(IFERROR(VLOOKUP(5, $P$6:$W$11, 2, FALSE), "")="", 0, IF(VLOOKUP(5, $P$6:$W$11, 5, FALSE)=1, 0, B233))</f>
        <v/>
      </c>
      <c r="F233" s="36">
        <f>IF(ISTEXT(E233), MAX(F$225:F232) + 1, "")</f>
        <v/>
      </c>
      <c r="G233" s="36">
        <f>IF(ISTEXT(E219), MAX(G$225:G232) + 1, "")</f>
        <v/>
      </c>
      <c r="Z233" s="50" t="n"/>
      <c r="AA233" s="65" t="n"/>
      <c r="AB233" s="65" t="n"/>
      <c r="AC233" s="65" t="n"/>
      <c r="AD233" s="65" t="n"/>
      <c r="AE233" s="63" t="n"/>
    </row>
    <row r="234" ht="16.95" customHeight="1" s="52">
      <c r="B234" s="33" t="inlineStr">
        <is>
          <t>D5Y</t>
        </is>
      </c>
      <c r="C234" s="33" t="inlineStr">
        <is>
          <t>U5Y</t>
        </is>
      </c>
      <c r="E234" s="12">
        <f>IF(IFERROR(VLOOKUP(5, $P$6:$W$11, 2, FALSE), "")="", 0, IF(VLOOKUP(5, $P$6:$W$11, 6, FALSE)=1, 0, B234))</f>
        <v/>
      </c>
      <c r="F234" s="36">
        <f>IF(ISTEXT(E234), MAX(F$225:F233) + 1, "")</f>
        <v/>
      </c>
      <c r="G234" s="36">
        <f>IF(ISTEXT(E220), MAX(G$225:G233) + 1, "")</f>
        <v/>
      </c>
      <c r="Z234" s="50" t="n"/>
      <c r="AA234" s="65" t="n"/>
      <c r="AB234" s="65" t="n"/>
      <c r="AC234" s="65" t="n"/>
      <c r="AD234" s="65" t="n"/>
      <c r="AE234" s="63" t="n"/>
    </row>
    <row r="235" ht="16.95" customHeight="1" s="52">
      <c r="B235" s="33" t="inlineStr">
        <is>
          <t>D6X</t>
        </is>
      </c>
      <c r="C235" s="33" t="inlineStr">
        <is>
          <t>U6X</t>
        </is>
      </c>
      <c r="E235" s="12">
        <f>IF(IFERROR(VLOOKUP(6, $P$6:$W$11, 2, FALSE), "")="", 0, IF(VLOOKUP(6, $P$6:$W$11, 5, FALSE)=1, 0, B235))</f>
        <v/>
      </c>
      <c r="F235" s="36">
        <f>IF(ISTEXT(E235), MAX(F$225:F234) + 1, "")</f>
        <v/>
      </c>
      <c r="G235" s="36">
        <f>IF(ISTEXT(E221), MAX(G$225:G234) + 1, "")</f>
        <v/>
      </c>
      <c r="Z235" s="50" t="n"/>
      <c r="AA235" s="65" t="n"/>
      <c r="AB235" s="65" t="n"/>
      <c r="AC235" s="65" t="n"/>
      <c r="AD235" s="65" t="n"/>
      <c r="AE235" s="63" t="n"/>
    </row>
    <row r="236" ht="16.95" customHeight="1" s="52">
      <c r="B236" s="33" t="inlineStr">
        <is>
          <t>D6Y</t>
        </is>
      </c>
      <c r="C236" s="33" t="inlineStr">
        <is>
          <t>U6Y</t>
        </is>
      </c>
      <c r="E236" s="12">
        <f>IF(IFERROR(VLOOKUP(6, $P$6:$W$11, 2, FALSE), "")="", 0, IF(VLOOKUP(6, $P$6:$W$11, 6, FALSE)=1, 0, B236))</f>
        <v/>
      </c>
      <c r="F236" s="36">
        <f>IF(ISTEXT(E236), MAX(F$225:F235) + 1, "")</f>
        <v/>
      </c>
      <c r="G236" s="36">
        <f>IF(ISTEXT(E222), MAX(G$225:G235) + 1, "")</f>
        <v/>
      </c>
      <c r="Z236" s="50" t="n"/>
      <c r="AA236" s="65" t="n"/>
      <c r="AB236" s="65" t="n"/>
      <c r="AC236" s="65" t="n"/>
      <c r="AD236" s="65" t="n"/>
      <c r="AE236" s="63" t="n"/>
    </row>
    <row r="238" ht="19.95" customHeight="1" s="52">
      <c r="A238" s="37" t="inlineStr">
        <is>
          <t>Ecuacion matricial:</t>
        </is>
      </c>
      <c r="C238" s="61" t="inlineStr">
        <is>
          <t>C = Karmadura*D</t>
        </is>
      </c>
      <c r="D238" s="63" t="n"/>
      <c r="E238" s="38" t="inlineStr">
        <is>
          <t>ELIMINO FILA Y COLUMNA DE LOS QUE NO CORRESPONDE PARA HALLAR LOS DESPLAZAMIENTOS</t>
        </is>
      </c>
      <c r="Z238" s="53" t="inlineStr">
        <is>
          <t>2. ECUACIÓN MATRICIAL GLOBAL: {C} = [K] · {D}</t>
        </is>
      </c>
      <c r="AA238" s="65" t="n"/>
      <c r="AB238" s="65" t="n"/>
      <c r="AC238" s="65" t="n"/>
      <c r="AD238" s="65" t="n"/>
      <c r="AE238" s="63" t="n"/>
    </row>
    <row r="239" ht="16.95" customHeight="1" s="52">
      <c r="E239" s="38" t="inlineStr">
        <is>
          <t>ELIMINO COLUMNA SEGÚN LAS REACCIONES EN ORDEN SIN CONSIDERAR LAS FILAS ANULADAS</t>
        </is>
      </c>
      <c r="Z239" s="50" t="inlineStr">
        <is>
          <t>• Fundamento: Ley de Hooke generalizada para armaduras planas {C} = [K_global] · {D}.</t>
        </is>
      </c>
      <c r="AA239" s="65" t="n"/>
      <c r="AB239" s="65" t="n"/>
      <c r="AC239" s="65" t="n"/>
      <c r="AD239" s="65" t="n"/>
      <c r="AE239" s="63" t="n"/>
    </row>
    <row r="240" ht="16.95" customHeight="1" s="52">
      <c r="A240" s="60" t="inlineStr">
        <is>
          <t>C</t>
        </is>
      </c>
      <c r="C240" s="60" t="inlineStr">
        <is>
          <t>K</t>
        </is>
      </c>
      <c r="P240" s="60" t="inlineStr">
        <is>
          <t>D</t>
        </is>
      </c>
      <c r="Z240" s="50" t="inlineStr">
        <is>
          <t>• Apunte del Docente: 'ELIMINO FILA Y COLUMNA DE LOS QUE NO CORRESPONDE PARA HALLAR LOS DESPLAZAMIENTOS'.</t>
        </is>
      </c>
      <c r="AA240" s="65" t="n"/>
      <c r="AB240" s="65" t="n"/>
      <c r="AC240" s="65" t="n"/>
      <c r="AD240" s="65" t="n"/>
      <c r="AE240" s="63" t="n"/>
    </row>
    <row r="241" ht="16.95" customHeight="1" s="52">
      <c r="A241" s="40">
        <f>E211</f>
        <v/>
      </c>
      <c r="C241" s="21">
        <f>B196</f>
        <v/>
      </c>
      <c r="D241" s="21">
        <f>C196</f>
        <v/>
      </c>
      <c r="E241" s="21">
        <f>D196</f>
        <v/>
      </c>
      <c r="F241" s="21">
        <f>E196</f>
        <v/>
      </c>
      <c r="G241" s="21">
        <f>F196</f>
        <v/>
      </c>
      <c r="H241" s="21">
        <f>G196</f>
        <v/>
      </c>
      <c r="I241" s="21">
        <f>H196</f>
        <v/>
      </c>
      <c r="J241" s="21">
        <f>I196</f>
        <v/>
      </c>
      <c r="K241" s="21">
        <f>J196</f>
        <v/>
      </c>
      <c r="L241" s="21">
        <f>K196</f>
        <v/>
      </c>
      <c r="M241" s="21">
        <f>L196</f>
        <v/>
      </c>
      <c r="N241" s="21">
        <f>M196</f>
        <v/>
      </c>
      <c r="O241" s="35" t="inlineStr">
        <is>
          <t>·</t>
        </is>
      </c>
      <c r="P241" s="33">
        <f>E225</f>
        <v/>
      </c>
      <c r="Z241" s="50" t="inlineStr">
        <is>
          <t>• Partición de Rigidez:</t>
        </is>
      </c>
      <c r="AA241" s="65" t="n"/>
      <c r="AB241" s="65" t="n"/>
      <c r="AC241" s="65" t="n"/>
      <c r="AD241" s="65" t="n"/>
      <c r="AE241" s="63" t="n"/>
    </row>
    <row r="242" ht="16.95" customHeight="1" s="52">
      <c r="A242" s="40">
        <f>E212</f>
        <v/>
      </c>
      <c r="C242" s="21">
        <f>B197</f>
        <v/>
      </c>
      <c r="D242" s="21">
        <f>C197</f>
        <v/>
      </c>
      <c r="E242" s="21">
        <f>D197</f>
        <v/>
      </c>
      <c r="F242" s="21">
        <f>E197</f>
        <v/>
      </c>
      <c r="G242" s="21">
        <f>F197</f>
        <v/>
      </c>
      <c r="H242" s="21">
        <f>G197</f>
        <v/>
      </c>
      <c r="I242" s="21">
        <f>H197</f>
        <v/>
      </c>
      <c r="J242" s="21">
        <f>I197</f>
        <v/>
      </c>
      <c r="K242" s="21">
        <f>J197</f>
        <v/>
      </c>
      <c r="L242" s="21">
        <f>K197</f>
        <v/>
      </c>
      <c r="M242" s="21">
        <f>L197</f>
        <v/>
      </c>
      <c r="N242" s="21">
        <f>M197</f>
        <v/>
      </c>
      <c r="O242" s="35" t="inlineStr">
        <is>
          <t>·</t>
        </is>
      </c>
      <c r="P242" s="33">
        <f>E226</f>
        <v/>
      </c>
      <c r="Z242" s="50" t="inlineStr">
        <is>
          <t xml:space="preserve">    [ C_libres ] = [ K11   K12 ] · [ D_libres ]</t>
        </is>
      </c>
      <c r="AA242" s="65" t="n"/>
      <c r="AB242" s="65" t="n"/>
      <c r="AC242" s="65" t="n"/>
      <c r="AD242" s="65" t="n"/>
      <c r="AE242" s="63" t="n"/>
    </row>
    <row r="243" ht="16.95" customHeight="1" s="52">
      <c r="A243" s="40">
        <f>E213</f>
        <v/>
      </c>
      <c r="C243" s="21">
        <f>B198</f>
        <v/>
      </c>
      <c r="D243" s="21">
        <f>C198</f>
        <v/>
      </c>
      <c r="E243" s="21">
        <f>D198</f>
        <v/>
      </c>
      <c r="F243" s="21">
        <f>E198</f>
        <v/>
      </c>
      <c r="G243" s="21">
        <f>F198</f>
        <v/>
      </c>
      <c r="H243" s="21">
        <f>G198</f>
        <v/>
      </c>
      <c r="I243" s="21">
        <f>H198</f>
        <v/>
      </c>
      <c r="J243" s="21">
        <f>I198</f>
        <v/>
      </c>
      <c r="K243" s="21">
        <f>J198</f>
        <v/>
      </c>
      <c r="L243" s="21">
        <f>K198</f>
        <v/>
      </c>
      <c r="M243" s="21">
        <f>L198</f>
        <v/>
      </c>
      <c r="N243" s="21">
        <f>M198</f>
        <v/>
      </c>
      <c r="O243" s="35" t="inlineStr">
        <is>
          <t>·</t>
        </is>
      </c>
      <c r="P243" s="33">
        <f>E227</f>
        <v/>
      </c>
      <c r="Z243" s="50" t="inlineStr">
        <is>
          <t xml:space="preserve">    [ R_apoyos ]   [ K21   K22 ]   [    0     ]</t>
        </is>
      </c>
      <c r="AA243" s="65" t="n"/>
      <c r="AB243" s="65" t="n"/>
      <c r="AC243" s="65" t="n"/>
      <c r="AD243" s="65" t="n"/>
      <c r="AE243" s="63" t="n"/>
    </row>
    <row r="244" ht="16.95" customHeight="1" s="52">
      <c r="A244" s="40">
        <f>E214</f>
        <v/>
      </c>
      <c r="C244" s="21">
        <f>B199</f>
        <v/>
      </c>
      <c r="D244" s="21">
        <f>C199</f>
        <v/>
      </c>
      <c r="E244" s="21">
        <f>D199</f>
        <v/>
      </c>
      <c r="F244" s="21">
        <f>E199</f>
        <v/>
      </c>
      <c r="G244" s="21">
        <f>F199</f>
        <v/>
      </c>
      <c r="H244" s="21">
        <f>G199</f>
        <v/>
      </c>
      <c r="I244" s="21">
        <f>H199</f>
        <v/>
      </c>
      <c r="J244" s="21">
        <f>I199</f>
        <v/>
      </c>
      <c r="K244" s="21">
        <f>J199</f>
        <v/>
      </c>
      <c r="L244" s="21">
        <f>K199</f>
        <v/>
      </c>
      <c r="M244" s="21">
        <f>L199</f>
        <v/>
      </c>
      <c r="N244" s="21">
        <f>M199</f>
        <v/>
      </c>
      <c r="O244" s="35" t="inlineStr">
        <is>
          <t>·</t>
        </is>
      </c>
      <c r="P244" s="33">
        <f>E228</f>
        <v/>
      </c>
      <c r="Z244" s="50" t="inlineStr">
        <is>
          <t>• K11 (verde pastel): Rigideces directas para {D_libres} = [K11]⁻¹ · {C_libres}.</t>
        </is>
      </c>
      <c r="AA244" s="65" t="n"/>
      <c r="AB244" s="65" t="n"/>
      <c r="AC244" s="65" t="n"/>
      <c r="AD244" s="65" t="n"/>
      <c r="AE244" s="63" t="n"/>
    </row>
    <row r="245" ht="16.95" customHeight="1" s="52">
      <c r="A245" s="40">
        <f>E215</f>
        <v/>
      </c>
      <c r="C245" s="21">
        <f>B200</f>
        <v/>
      </c>
      <c r="D245" s="21">
        <f>C200</f>
        <v/>
      </c>
      <c r="E245" s="21">
        <f>D200</f>
        <v/>
      </c>
      <c r="F245" s="21">
        <f>E200</f>
        <v/>
      </c>
      <c r="G245" s="21">
        <f>F200</f>
        <v/>
      </c>
      <c r="H245" s="21">
        <f>G200</f>
        <v/>
      </c>
      <c r="I245" s="21">
        <f>H200</f>
        <v/>
      </c>
      <c r="J245" s="21">
        <f>I200</f>
        <v/>
      </c>
      <c r="K245" s="21">
        <f>J200</f>
        <v/>
      </c>
      <c r="L245" s="21">
        <f>K200</f>
        <v/>
      </c>
      <c r="M245" s="21">
        <f>L200</f>
        <v/>
      </c>
      <c r="N245" s="21">
        <f>M200</f>
        <v/>
      </c>
      <c r="O245" s="35" t="inlineStr">
        <is>
          <t>·</t>
        </is>
      </c>
      <c r="P245" s="33">
        <f>E229</f>
        <v/>
      </c>
      <c r="Z245" s="50" t="inlineStr">
        <is>
          <t>• K21 (lavanda pastel): Rigideces de acoplamiento para reacciones {R} = [K21] · {D_libres}.</t>
        </is>
      </c>
      <c r="AA245" s="65" t="n"/>
      <c r="AB245" s="65" t="n"/>
      <c r="AC245" s="65" t="n"/>
      <c r="AD245" s="65" t="n"/>
      <c r="AE245" s="63" t="n"/>
    </row>
    <row r="246" ht="16.95" customHeight="1" s="52">
      <c r="A246" s="40">
        <f>E216</f>
        <v/>
      </c>
      <c r="C246" s="21">
        <f>B201</f>
        <v/>
      </c>
      <c r="D246" s="21">
        <f>C201</f>
        <v/>
      </c>
      <c r="E246" s="21">
        <f>D201</f>
        <v/>
      </c>
      <c r="F246" s="21">
        <f>E201</f>
        <v/>
      </c>
      <c r="G246" s="21">
        <f>F201</f>
        <v/>
      </c>
      <c r="H246" s="21">
        <f>G201</f>
        <v/>
      </c>
      <c r="I246" s="21">
        <f>H201</f>
        <v/>
      </c>
      <c r="J246" s="21">
        <f>I201</f>
        <v/>
      </c>
      <c r="K246" s="21">
        <f>J201</f>
        <v/>
      </c>
      <c r="L246" s="21">
        <f>K201</f>
        <v/>
      </c>
      <c r="M246" s="21">
        <f>L201</f>
        <v/>
      </c>
      <c r="N246" s="21">
        <f>M201</f>
        <v/>
      </c>
      <c r="O246" s="35" t="inlineStr">
        <is>
          <t>·</t>
        </is>
      </c>
      <c r="P246" s="33">
        <f>E230</f>
        <v/>
      </c>
      <c r="Z246" s="50" t="n"/>
      <c r="AA246" s="65" t="n"/>
      <c r="AB246" s="65" t="n"/>
      <c r="AC246" s="65" t="n"/>
      <c r="AD246" s="65" t="n"/>
      <c r="AE246" s="63" t="n"/>
    </row>
    <row r="247" ht="16.95" customHeight="1" s="52">
      <c r="A247" s="40">
        <f>E217</f>
        <v/>
      </c>
      <c r="B247" s="35" t="inlineStr">
        <is>
          <t>=</t>
        </is>
      </c>
      <c r="C247" s="21">
        <f>B202</f>
        <v/>
      </c>
      <c r="D247" s="21">
        <f>C202</f>
        <v/>
      </c>
      <c r="E247" s="21">
        <f>D202</f>
        <v/>
      </c>
      <c r="F247" s="21">
        <f>E202</f>
        <v/>
      </c>
      <c r="G247" s="21">
        <f>F202</f>
        <v/>
      </c>
      <c r="H247" s="21">
        <f>G202</f>
        <v/>
      </c>
      <c r="I247" s="21">
        <f>H202</f>
        <v/>
      </c>
      <c r="J247" s="21">
        <f>I202</f>
        <v/>
      </c>
      <c r="K247" s="21">
        <f>J202</f>
        <v/>
      </c>
      <c r="L247" s="21">
        <f>K202</f>
        <v/>
      </c>
      <c r="M247" s="21">
        <f>L202</f>
        <v/>
      </c>
      <c r="N247" s="21">
        <f>M202</f>
        <v/>
      </c>
      <c r="O247" s="35" t="inlineStr">
        <is>
          <t>·</t>
        </is>
      </c>
      <c r="P247" s="33">
        <f>E231</f>
        <v/>
      </c>
      <c r="Z247" s="50" t="n"/>
      <c r="AA247" s="65" t="n"/>
      <c r="AB247" s="65" t="n"/>
      <c r="AC247" s="65" t="n"/>
      <c r="AD247" s="65" t="n"/>
      <c r="AE247" s="63" t="n"/>
    </row>
    <row r="248" ht="16.95" customHeight="1" s="52">
      <c r="A248" s="40">
        <f>E218</f>
        <v/>
      </c>
      <c r="C248" s="21">
        <f>B203</f>
        <v/>
      </c>
      <c r="D248" s="21">
        <f>C203</f>
        <v/>
      </c>
      <c r="E248" s="21">
        <f>D203</f>
        <v/>
      </c>
      <c r="F248" s="21">
        <f>E203</f>
        <v/>
      </c>
      <c r="G248" s="21">
        <f>F203</f>
        <v/>
      </c>
      <c r="H248" s="21">
        <f>G203</f>
        <v/>
      </c>
      <c r="I248" s="21">
        <f>H203</f>
        <v/>
      </c>
      <c r="J248" s="21">
        <f>I203</f>
        <v/>
      </c>
      <c r="K248" s="21">
        <f>J203</f>
        <v/>
      </c>
      <c r="L248" s="21">
        <f>K203</f>
        <v/>
      </c>
      <c r="M248" s="21">
        <f>L203</f>
        <v/>
      </c>
      <c r="N248" s="21">
        <f>M203</f>
        <v/>
      </c>
      <c r="O248" s="35" t="inlineStr">
        <is>
          <t>·</t>
        </is>
      </c>
      <c r="P248" s="33">
        <f>E232</f>
        <v/>
      </c>
      <c r="Z248" s="50" t="n"/>
      <c r="AA248" s="65" t="n"/>
      <c r="AB248" s="65" t="n"/>
      <c r="AC248" s="65" t="n"/>
      <c r="AD248" s="65" t="n"/>
      <c r="AE248" s="63" t="n"/>
    </row>
    <row r="249" ht="16.95" customHeight="1" s="52">
      <c r="A249" s="40">
        <f>E219</f>
        <v/>
      </c>
      <c r="C249" s="21">
        <f>B204</f>
        <v/>
      </c>
      <c r="D249" s="21">
        <f>C204</f>
        <v/>
      </c>
      <c r="E249" s="21">
        <f>D204</f>
        <v/>
      </c>
      <c r="F249" s="21">
        <f>E204</f>
        <v/>
      </c>
      <c r="G249" s="21">
        <f>F204</f>
        <v/>
      </c>
      <c r="H249" s="21">
        <f>G204</f>
        <v/>
      </c>
      <c r="I249" s="21">
        <f>H204</f>
        <v/>
      </c>
      <c r="J249" s="21">
        <f>I204</f>
        <v/>
      </c>
      <c r="K249" s="21">
        <f>J204</f>
        <v/>
      </c>
      <c r="L249" s="21">
        <f>K204</f>
        <v/>
      </c>
      <c r="M249" s="21">
        <f>L204</f>
        <v/>
      </c>
      <c r="N249" s="21">
        <f>M204</f>
        <v/>
      </c>
      <c r="O249" s="35" t="inlineStr">
        <is>
          <t>·</t>
        </is>
      </c>
      <c r="P249" s="33">
        <f>E233</f>
        <v/>
      </c>
      <c r="Z249" s="50" t="n"/>
      <c r="AA249" s="65" t="n"/>
      <c r="AB249" s="65" t="n"/>
      <c r="AC249" s="65" t="n"/>
      <c r="AD249" s="65" t="n"/>
      <c r="AE249" s="63" t="n"/>
    </row>
    <row r="250" ht="16.95" customHeight="1" s="52">
      <c r="A250" s="40">
        <f>E220</f>
        <v/>
      </c>
      <c r="C250" s="21">
        <f>B205</f>
        <v/>
      </c>
      <c r="D250" s="21">
        <f>C205</f>
        <v/>
      </c>
      <c r="E250" s="21">
        <f>D205</f>
        <v/>
      </c>
      <c r="F250" s="21">
        <f>E205</f>
        <v/>
      </c>
      <c r="G250" s="21">
        <f>F205</f>
        <v/>
      </c>
      <c r="H250" s="21">
        <f>G205</f>
        <v/>
      </c>
      <c r="I250" s="21">
        <f>H205</f>
        <v/>
      </c>
      <c r="J250" s="21">
        <f>I205</f>
        <v/>
      </c>
      <c r="K250" s="21">
        <f>J205</f>
        <v/>
      </c>
      <c r="L250" s="21">
        <f>K205</f>
        <v/>
      </c>
      <c r="M250" s="21">
        <f>L205</f>
        <v/>
      </c>
      <c r="N250" s="21">
        <f>M205</f>
        <v/>
      </c>
      <c r="O250" s="35" t="inlineStr">
        <is>
          <t>·</t>
        </is>
      </c>
      <c r="P250" s="33">
        <f>E234</f>
        <v/>
      </c>
      <c r="Z250" s="50" t="n"/>
      <c r="AA250" s="65" t="n"/>
      <c r="AB250" s="65" t="n"/>
      <c r="AC250" s="65" t="n"/>
      <c r="AD250" s="65" t="n"/>
      <c r="AE250" s="63" t="n"/>
    </row>
    <row r="251" ht="16.95" customHeight="1" s="52">
      <c r="A251" s="40">
        <f>E221</f>
        <v/>
      </c>
      <c r="C251" s="21">
        <f>B206</f>
        <v/>
      </c>
      <c r="D251" s="21">
        <f>C206</f>
        <v/>
      </c>
      <c r="E251" s="21">
        <f>D206</f>
        <v/>
      </c>
      <c r="F251" s="21">
        <f>E206</f>
        <v/>
      </c>
      <c r="G251" s="21">
        <f>F206</f>
        <v/>
      </c>
      <c r="H251" s="21">
        <f>G206</f>
        <v/>
      </c>
      <c r="I251" s="21">
        <f>H206</f>
        <v/>
      </c>
      <c r="J251" s="21">
        <f>I206</f>
        <v/>
      </c>
      <c r="K251" s="21">
        <f>J206</f>
        <v/>
      </c>
      <c r="L251" s="21">
        <f>K206</f>
        <v/>
      </c>
      <c r="M251" s="21">
        <f>L206</f>
        <v/>
      </c>
      <c r="N251" s="21">
        <f>M206</f>
        <v/>
      </c>
      <c r="O251" s="35" t="inlineStr">
        <is>
          <t>·</t>
        </is>
      </c>
      <c r="P251" s="33">
        <f>E235</f>
        <v/>
      </c>
      <c r="Z251" s="50" t="n"/>
      <c r="AA251" s="65" t="n"/>
      <c r="AB251" s="65" t="n"/>
      <c r="AC251" s="65" t="n"/>
      <c r="AD251" s="65" t="n"/>
      <c r="AE251" s="63" t="n"/>
    </row>
    <row r="252" ht="16.95" customHeight="1" s="52">
      <c r="A252" s="40">
        <f>E222</f>
        <v/>
      </c>
      <c r="C252" s="21">
        <f>B207</f>
        <v/>
      </c>
      <c r="D252" s="21">
        <f>C207</f>
        <v/>
      </c>
      <c r="E252" s="21">
        <f>D207</f>
        <v/>
      </c>
      <c r="F252" s="21">
        <f>E207</f>
        <v/>
      </c>
      <c r="G252" s="21">
        <f>F207</f>
        <v/>
      </c>
      <c r="H252" s="21">
        <f>G207</f>
        <v/>
      </c>
      <c r="I252" s="21">
        <f>H207</f>
        <v/>
      </c>
      <c r="J252" s="21">
        <f>I207</f>
        <v/>
      </c>
      <c r="K252" s="21">
        <f>J207</f>
        <v/>
      </c>
      <c r="L252" s="21">
        <f>K207</f>
        <v/>
      </c>
      <c r="M252" s="21">
        <f>L207</f>
        <v/>
      </c>
      <c r="N252" s="21">
        <f>M207</f>
        <v/>
      </c>
      <c r="O252" s="35" t="inlineStr">
        <is>
          <t>·</t>
        </is>
      </c>
      <c r="P252" s="33">
        <f>E236</f>
        <v/>
      </c>
      <c r="Z252" s="50" t="n"/>
      <c r="AA252" s="65" t="n"/>
      <c r="AB252" s="65" t="n"/>
      <c r="AC252" s="65" t="n"/>
      <c r="AD252" s="65" t="n"/>
      <c r="AE252" s="63" t="n"/>
    </row>
    <row r="255" ht="19.95" customHeight="1" s="52">
      <c r="A255" s="37" t="inlineStr">
        <is>
          <t>Ecuacion matricial reducida para el calculo de desplazamientos:</t>
        </is>
      </c>
      <c r="Z255" s="53" t="inlineStr">
        <is>
          <t>3. CÁLCULO DE DESPLAZAMIENTOS: {D} = [K₁₁]⁻¹ · {C}</t>
        </is>
      </c>
      <c r="AA255" s="65" t="n"/>
      <c r="AB255" s="65" t="n"/>
      <c r="AC255" s="65" t="n"/>
      <c r="AD255" s="65" t="n"/>
      <c r="AE255" s="63" t="n"/>
    </row>
    <row r="256" ht="16.95" customHeight="1" s="52">
      <c r="C256" s="56">
        <f>IFERROR(INDEX(C$225:C$236, MATCH(1, F$225:F$236, 0)), "-")</f>
        <v/>
      </c>
      <c r="D256" s="56">
        <f>IFERROR(INDEX(C$225:C$236, MATCH(2, F$225:F$236, 0)), "-")</f>
        <v/>
      </c>
      <c r="E256" s="56">
        <f>IFERROR(INDEX(C$225:C$236, MATCH(3, F$225:F$236, 0)), "-")</f>
        <v/>
      </c>
      <c r="F256" s="56">
        <f>IFERROR(INDEX(C$225:C$236, MATCH(4, F$225:F$236, 0)), "-")</f>
        <v/>
      </c>
      <c r="G256" s="56">
        <f>IFERROR(INDEX(C$225:C$236, MATCH(5, F$225:F$236, 0)), "-")</f>
        <v/>
      </c>
      <c r="H256" s="56">
        <f>IFERROR(INDEX(C$225:C$236, MATCH(6, F$225:F$236, 0)), "-")</f>
        <v/>
      </c>
      <c r="I256" s="56">
        <f>IFERROR(INDEX(C$225:C$236, MATCH(7, F$225:F$236, 0)), "-")</f>
        <v/>
      </c>
      <c r="J256" s="56">
        <f>IFERROR(INDEX(C$225:C$236, MATCH(8, F$225:F$236, 0)), "-")</f>
        <v/>
      </c>
      <c r="K256" s="56">
        <f>IFERROR(INDEX(C$225:C$236, MATCH(9, F$225:F$236, 0)), "-")</f>
        <v/>
      </c>
      <c r="Z256" s="50" t="inlineStr">
        <is>
          <t>• Submatriz [K11]: Extraída dinámicamente con INDEX/MATCH desde Karmadura usando los grados libres.</t>
        </is>
      </c>
      <c r="AA256" s="65" t="n"/>
      <c r="AB256" s="65" t="n"/>
      <c r="AC256" s="65" t="n"/>
      <c r="AD256" s="65" t="n"/>
      <c r="AE256" s="63" t="n"/>
    </row>
    <row r="257" ht="16.95" customHeight="1" s="52">
      <c r="A257" s="41">
        <f>IF($N257="-", 0, IFERROR(INDEX(E$211:E$222, MATCH($N257, C$211:C$222, 0)), 0))</f>
        <v/>
      </c>
      <c r="C257" s="41">
        <f>IF(OR($N257="-", C$256="-"), 1, IF(OR(IFERROR(INDEX($B$196:$M$207, MATCH($N257, $N$196:$N$207, 0), MATCH($N257, $B$195:$M$195, 0)), 0)=0, IFERROR(INDEX($B$196:$M$207, MATCH(C$256, $N$196:$N$207, 0), MATCH(C$256, $B$195:$M$195, 0)), 0)=0), 1, IFERROR(INDEX($B$196:$M$207, MATCH($N257, $N$196:$N$207, 0), MATCH(C$256, $B$195:$M$195, 0)), 0)))</f>
        <v/>
      </c>
      <c r="D257" s="41">
        <f>IF(OR($N257="-", D$256="-"), 0, IF(OR(IFERROR(INDEX($B$196:$M$207, MATCH($N257, $N$196:$N$207, 0), MATCH($N257, $B$195:$M$195, 0)), 0)=0, IFERROR(INDEX($B$196:$M$207, MATCH(D$256, $N$196:$N$207, 0), MATCH(D$256, $B$195:$M$195, 0)), 0)=0), 0, IFERROR(INDEX($B$196:$M$207, MATCH($N257, $N$196:$N$207, 0), MATCH(D$256, $B$195:$M$195, 0)), 0)))</f>
        <v/>
      </c>
      <c r="E257" s="41">
        <f>IF(OR($N257="-", E$256="-"), 0, IF(OR(IFERROR(INDEX($B$196:$M$207, MATCH($N257, $N$196:$N$207, 0), MATCH($N257, $B$195:$M$195, 0)), 0)=0, IFERROR(INDEX($B$196:$M$207, MATCH(E$256, $N$196:$N$207, 0), MATCH(E$256, $B$195:$M$195, 0)), 0)=0), 0, IFERROR(INDEX($B$196:$M$207, MATCH($N257, $N$196:$N$207, 0), MATCH(E$256, $B$195:$M$195, 0)), 0)))</f>
        <v/>
      </c>
      <c r="F257" s="41">
        <f>IF(OR($N257="-", F$256="-"), 0, IF(OR(IFERROR(INDEX($B$196:$M$207, MATCH($N257, $N$196:$N$207, 0), MATCH($N257, $B$195:$M$195, 0)), 0)=0, IFERROR(INDEX($B$196:$M$207, MATCH(F$256, $N$196:$N$207, 0), MATCH(F$256, $B$195:$M$195, 0)), 0)=0), 0, IFERROR(INDEX($B$196:$M$207, MATCH($N257, $N$196:$N$207, 0), MATCH(F$256, $B$195:$M$195, 0)), 0)))</f>
        <v/>
      </c>
      <c r="G257" s="41">
        <f>IF(OR($N257="-", G$256="-"), 0, IF(OR(IFERROR(INDEX($B$196:$M$207, MATCH($N257, $N$196:$N$207, 0), MATCH($N257, $B$195:$M$195, 0)), 0)=0, IFERROR(INDEX($B$196:$M$207, MATCH(G$256, $N$196:$N$207, 0), MATCH(G$256, $B$195:$M$195, 0)), 0)=0), 0, IFERROR(INDEX($B$196:$M$207, MATCH($N257, $N$196:$N$207, 0), MATCH(G$256, $B$195:$M$195, 0)), 0)))</f>
        <v/>
      </c>
      <c r="H257" s="41">
        <f>IF(OR($N257="-", H$256="-"), 0, IF(OR(IFERROR(INDEX($B$196:$M$207, MATCH($N257, $N$196:$N$207, 0), MATCH($N257, $B$195:$M$195, 0)), 0)=0, IFERROR(INDEX($B$196:$M$207, MATCH(H$256, $N$196:$N$207, 0), MATCH(H$256, $B$195:$M$195, 0)), 0)=0), 0, IFERROR(INDEX($B$196:$M$207, MATCH($N257, $N$196:$N$207, 0), MATCH(H$256, $B$195:$M$195, 0)), 0)))</f>
        <v/>
      </c>
      <c r="I257" s="41">
        <f>IF(OR($N257="-", I$256="-"), 0, IF(OR(IFERROR(INDEX($B$196:$M$207, MATCH($N257, $N$196:$N$207, 0), MATCH($N257, $B$195:$M$195, 0)), 0)=0, IFERROR(INDEX($B$196:$M$207, MATCH(I$256, $N$196:$N$207, 0), MATCH(I$256, $B$195:$M$195, 0)), 0)=0), 0, IFERROR(INDEX($B$196:$M$207, MATCH($N257, $N$196:$N$207, 0), MATCH(I$256, $B$195:$M$195, 0)), 0)))</f>
        <v/>
      </c>
      <c r="J257" s="41">
        <f>IF(OR($N257="-", J$256="-"), 0, IF(OR(IFERROR(INDEX($B$196:$M$207, MATCH($N257, $N$196:$N$207, 0), MATCH($N257, $B$195:$M$195, 0)), 0)=0, IFERROR(INDEX($B$196:$M$207, MATCH(J$256, $N$196:$N$207, 0), MATCH(J$256, $B$195:$M$195, 0)), 0)=0), 0, IFERROR(INDEX($B$196:$M$207, MATCH($N257, $N$196:$N$207, 0), MATCH(J$256, $B$195:$M$195, 0)), 0)))</f>
        <v/>
      </c>
      <c r="K257" s="41">
        <f>IF(OR($N257="-", K$256="-"), 0, IF(OR(IFERROR(INDEX($B$196:$M$207, MATCH($N257, $N$196:$N$207, 0), MATCH($N257, $B$195:$M$195, 0)), 0)=0, IFERROR(INDEX($B$196:$M$207, MATCH(K$256, $N$196:$N$207, 0), MATCH(K$256, $B$195:$M$195, 0)), 0)=0), 0, IFERROR(INDEX($B$196:$M$207, MATCH($N257, $N$196:$N$207, 0), MATCH(K$256, $B$195:$M$195, 0)), 0)))</f>
        <v/>
      </c>
      <c r="L257" s="35" t="inlineStr">
        <is>
          <t>·</t>
        </is>
      </c>
      <c r="M257" s="56">
        <f>IFERROR(INDEX(B$225:B$236, MATCH(1, F$225:F$236, 0)), "-")</f>
        <v/>
      </c>
      <c r="N257" s="36">
        <f>IFERROR(INDEX(C$225:C$236, MATCH(1, F$225:F$236, 0)), "-")</f>
        <v/>
      </c>
      <c r="Z257" s="50" t="inlineStr">
        <is>
          <t>• Vector de Cargas {C}: Fuerzas externas actuantes en los nudos libres.</t>
        </is>
      </c>
      <c r="AA257" s="65" t="n"/>
      <c r="AB257" s="65" t="n"/>
      <c r="AC257" s="65" t="n"/>
      <c r="AD257" s="65" t="n"/>
      <c r="AE257" s="63" t="n"/>
    </row>
    <row r="258" ht="16.95" customHeight="1" s="52">
      <c r="A258" s="41">
        <f>IF($N258="-", 0, IFERROR(INDEX(E$211:E$222, MATCH($N258, C$211:C$222, 0)), 0))</f>
        <v/>
      </c>
      <c r="C258" s="41">
        <f>IF(OR($N258="-", C$256="-"), 0, IF(OR(IFERROR(INDEX($B$196:$M$207, MATCH($N258, $N$196:$N$207, 0), MATCH($N258, $B$195:$M$195, 0)), 0)=0, IFERROR(INDEX($B$196:$M$207, MATCH(C$256, $N$196:$N$207, 0), MATCH(C$256, $B$195:$M$195, 0)), 0)=0), 0, IFERROR(INDEX($B$196:$M$207, MATCH($N258, $N$196:$N$207, 0), MATCH(C$256, $B$195:$M$195, 0)), 0)))</f>
        <v/>
      </c>
      <c r="D258" s="41">
        <f>IF(OR($N258="-", D$256="-"), 1, IF(OR(IFERROR(INDEX($B$196:$M$207, MATCH($N258, $N$196:$N$207, 0), MATCH($N258, $B$195:$M$195, 0)), 0)=0, IFERROR(INDEX($B$196:$M$207, MATCH(D$256, $N$196:$N$207, 0), MATCH(D$256, $B$195:$M$195, 0)), 0)=0), 1, IFERROR(INDEX($B$196:$M$207, MATCH($N258, $N$196:$N$207, 0), MATCH(D$256, $B$195:$M$195, 0)), 0)))</f>
        <v/>
      </c>
      <c r="E258" s="41">
        <f>IF(OR($N258="-", E$256="-"), 0, IF(OR(IFERROR(INDEX($B$196:$M$207, MATCH($N258, $N$196:$N$207, 0), MATCH($N258, $B$195:$M$195, 0)), 0)=0, IFERROR(INDEX($B$196:$M$207, MATCH(E$256, $N$196:$N$207, 0), MATCH(E$256, $B$195:$M$195, 0)), 0)=0), 0, IFERROR(INDEX($B$196:$M$207, MATCH($N258, $N$196:$N$207, 0), MATCH(E$256, $B$195:$M$195, 0)), 0)))</f>
        <v/>
      </c>
      <c r="F258" s="41">
        <f>IF(OR($N258="-", F$256="-"), 0, IF(OR(IFERROR(INDEX($B$196:$M$207, MATCH($N258, $N$196:$N$207, 0), MATCH($N258, $B$195:$M$195, 0)), 0)=0, IFERROR(INDEX($B$196:$M$207, MATCH(F$256, $N$196:$N$207, 0), MATCH(F$256, $B$195:$M$195, 0)), 0)=0), 0, IFERROR(INDEX($B$196:$M$207, MATCH($N258, $N$196:$N$207, 0), MATCH(F$256, $B$195:$M$195, 0)), 0)))</f>
        <v/>
      </c>
      <c r="G258" s="41">
        <f>IF(OR($N258="-", G$256="-"), 0, IF(OR(IFERROR(INDEX($B$196:$M$207, MATCH($N258, $N$196:$N$207, 0), MATCH($N258, $B$195:$M$195, 0)), 0)=0, IFERROR(INDEX($B$196:$M$207, MATCH(G$256, $N$196:$N$207, 0), MATCH(G$256, $B$195:$M$195, 0)), 0)=0), 0, IFERROR(INDEX($B$196:$M$207, MATCH($N258, $N$196:$N$207, 0), MATCH(G$256, $B$195:$M$195, 0)), 0)))</f>
        <v/>
      </c>
      <c r="H258" s="41">
        <f>IF(OR($N258="-", H$256="-"), 0, IF(OR(IFERROR(INDEX($B$196:$M$207, MATCH($N258, $N$196:$N$207, 0), MATCH($N258, $B$195:$M$195, 0)), 0)=0, IFERROR(INDEX($B$196:$M$207, MATCH(H$256, $N$196:$N$207, 0), MATCH(H$256, $B$195:$M$195, 0)), 0)=0), 0, IFERROR(INDEX($B$196:$M$207, MATCH($N258, $N$196:$N$207, 0), MATCH(H$256, $B$195:$M$195, 0)), 0)))</f>
        <v/>
      </c>
      <c r="I258" s="41">
        <f>IF(OR($N258="-", I$256="-"), 0, IF(OR(IFERROR(INDEX($B$196:$M$207, MATCH($N258, $N$196:$N$207, 0), MATCH($N258, $B$195:$M$195, 0)), 0)=0, IFERROR(INDEX($B$196:$M$207, MATCH(I$256, $N$196:$N$207, 0), MATCH(I$256, $B$195:$M$195, 0)), 0)=0), 0, IFERROR(INDEX($B$196:$M$207, MATCH($N258, $N$196:$N$207, 0), MATCH(I$256, $B$195:$M$195, 0)), 0)))</f>
        <v/>
      </c>
      <c r="J258" s="41">
        <f>IF(OR($N258="-", J$256="-"), 0, IF(OR(IFERROR(INDEX($B$196:$M$207, MATCH($N258, $N$196:$N$207, 0), MATCH($N258, $B$195:$M$195, 0)), 0)=0, IFERROR(INDEX($B$196:$M$207, MATCH(J$256, $N$196:$N$207, 0), MATCH(J$256, $B$195:$M$195, 0)), 0)=0), 0, IFERROR(INDEX($B$196:$M$207, MATCH($N258, $N$196:$N$207, 0), MATCH(J$256, $B$195:$M$195, 0)), 0)))</f>
        <v/>
      </c>
      <c r="K258" s="41">
        <f>IF(OR($N258="-", K$256="-"), 0, IF(OR(IFERROR(INDEX($B$196:$M$207, MATCH($N258, $N$196:$N$207, 0), MATCH($N258, $B$195:$M$195, 0)), 0)=0, IFERROR(INDEX($B$196:$M$207, MATCH(K$256, $N$196:$N$207, 0), MATCH(K$256, $B$195:$M$195, 0)), 0)=0), 0, IFERROR(INDEX($B$196:$M$207, MATCH($N258, $N$196:$N$207, 0), MATCH(K$256, $B$195:$M$195, 0)), 0)))</f>
        <v/>
      </c>
      <c r="L258" s="35" t="inlineStr">
        <is>
          <t>·</t>
        </is>
      </c>
      <c r="M258" s="56">
        <f>IFERROR(INDEX(B$225:B$236, MATCH(2, F$225:F$236, 0)), "-")</f>
        <v/>
      </c>
      <c r="N258" s="36">
        <f>IFERROR(INDEX(C$225:C$236, MATCH(2, F$225:F$236, 0)), "-")</f>
        <v/>
      </c>
      <c r="Z258" s="50" t="inlineStr">
        <is>
          <t>• Inversión [MINVERSA]: Matriz de flexibilidad [K11]⁻¹ en cm/Kgf.</t>
        </is>
      </c>
      <c r="AA258" s="65" t="n"/>
      <c r="AB258" s="65" t="n"/>
      <c r="AC258" s="65" t="n"/>
      <c r="AD258" s="65" t="n"/>
      <c r="AE258" s="63" t="n"/>
    </row>
    <row r="259" ht="16.95" customHeight="1" s="52">
      <c r="A259" s="41">
        <f>IF($N259="-", 0, IFERROR(INDEX(E$211:E$222, MATCH($N259, C$211:C$222, 0)), 0))</f>
        <v/>
      </c>
      <c r="C259" s="41">
        <f>IF(OR($N259="-", C$256="-"), 0, IF(OR(IFERROR(INDEX($B$196:$M$207, MATCH($N259, $N$196:$N$207, 0), MATCH($N259, $B$195:$M$195, 0)), 0)=0, IFERROR(INDEX($B$196:$M$207, MATCH(C$256, $N$196:$N$207, 0), MATCH(C$256, $B$195:$M$195, 0)), 0)=0), 0, IFERROR(INDEX($B$196:$M$207, MATCH($N259, $N$196:$N$207, 0), MATCH(C$256, $B$195:$M$195, 0)), 0)))</f>
        <v/>
      </c>
      <c r="D259" s="41">
        <f>IF(OR($N259="-", D$256="-"), 0, IF(OR(IFERROR(INDEX($B$196:$M$207, MATCH($N259, $N$196:$N$207, 0), MATCH($N259, $B$195:$M$195, 0)), 0)=0, IFERROR(INDEX($B$196:$M$207, MATCH(D$256, $N$196:$N$207, 0), MATCH(D$256, $B$195:$M$195, 0)), 0)=0), 0, IFERROR(INDEX($B$196:$M$207, MATCH($N259, $N$196:$N$207, 0), MATCH(D$256, $B$195:$M$195, 0)), 0)))</f>
        <v/>
      </c>
      <c r="E259" s="41">
        <f>IF(OR($N259="-", E$256="-"), 1, IF(OR(IFERROR(INDEX($B$196:$M$207, MATCH($N259, $N$196:$N$207, 0), MATCH($N259, $B$195:$M$195, 0)), 0)=0, IFERROR(INDEX($B$196:$M$207, MATCH(E$256, $N$196:$N$207, 0), MATCH(E$256, $B$195:$M$195, 0)), 0)=0), 1, IFERROR(INDEX($B$196:$M$207, MATCH($N259, $N$196:$N$207, 0), MATCH(E$256, $B$195:$M$195, 0)), 0)))</f>
        <v/>
      </c>
      <c r="F259" s="41">
        <f>IF(OR($N259="-", F$256="-"), 0, IF(OR(IFERROR(INDEX($B$196:$M$207, MATCH($N259, $N$196:$N$207, 0), MATCH($N259, $B$195:$M$195, 0)), 0)=0, IFERROR(INDEX($B$196:$M$207, MATCH(F$256, $N$196:$N$207, 0), MATCH(F$256, $B$195:$M$195, 0)), 0)=0), 0, IFERROR(INDEX($B$196:$M$207, MATCH($N259, $N$196:$N$207, 0), MATCH(F$256, $B$195:$M$195, 0)), 0)))</f>
        <v/>
      </c>
      <c r="G259" s="41">
        <f>IF(OR($N259="-", G$256="-"), 0, IF(OR(IFERROR(INDEX($B$196:$M$207, MATCH($N259, $N$196:$N$207, 0), MATCH($N259, $B$195:$M$195, 0)), 0)=0, IFERROR(INDEX($B$196:$M$207, MATCH(G$256, $N$196:$N$207, 0), MATCH(G$256, $B$195:$M$195, 0)), 0)=0), 0, IFERROR(INDEX($B$196:$M$207, MATCH($N259, $N$196:$N$207, 0), MATCH(G$256, $B$195:$M$195, 0)), 0)))</f>
        <v/>
      </c>
      <c r="H259" s="41">
        <f>IF(OR($N259="-", H$256="-"), 0, IF(OR(IFERROR(INDEX($B$196:$M$207, MATCH($N259, $N$196:$N$207, 0), MATCH($N259, $B$195:$M$195, 0)), 0)=0, IFERROR(INDEX($B$196:$M$207, MATCH(H$256, $N$196:$N$207, 0), MATCH(H$256, $B$195:$M$195, 0)), 0)=0), 0, IFERROR(INDEX($B$196:$M$207, MATCH($N259, $N$196:$N$207, 0), MATCH(H$256, $B$195:$M$195, 0)), 0)))</f>
        <v/>
      </c>
      <c r="I259" s="41">
        <f>IF(OR($N259="-", I$256="-"), 0, IF(OR(IFERROR(INDEX($B$196:$M$207, MATCH($N259, $N$196:$N$207, 0), MATCH($N259, $B$195:$M$195, 0)), 0)=0, IFERROR(INDEX($B$196:$M$207, MATCH(I$256, $N$196:$N$207, 0), MATCH(I$256, $B$195:$M$195, 0)), 0)=0), 0, IFERROR(INDEX($B$196:$M$207, MATCH($N259, $N$196:$N$207, 0), MATCH(I$256, $B$195:$M$195, 0)), 0)))</f>
        <v/>
      </c>
      <c r="J259" s="41">
        <f>IF(OR($N259="-", J$256="-"), 0, IF(OR(IFERROR(INDEX($B$196:$M$207, MATCH($N259, $N$196:$N$207, 0), MATCH($N259, $B$195:$M$195, 0)), 0)=0, IFERROR(INDEX($B$196:$M$207, MATCH(J$256, $N$196:$N$207, 0), MATCH(J$256, $B$195:$M$195, 0)), 0)=0), 0, IFERROR(INDEX($B$196:$M$207, MATCH($N259, $N$196:$N$207, 0), MATCH(J$256, $B$195:$M$195, 0)), 0)))</f>
        <v/>
      </c>
      <c r="K259" s="41">
        <f>IF(OR($N259="-", K$256="-"), 0, IF(OR(IFERROR(INDEX($B$196:$M$207, MATCH($N259, $N$196:$N$207, 0), MATCH($N259, $B$195:$M$195, 0)), 0)=0, IFERROR(INDEX($B$196:$M$207, MATCH(K$256, $N$196:$N$207, 0), MATCH(K$256, $B$195:$M$195, 0)), 0)=0), 0, IFERROR(INDEX($B$196:$M$207, MATCH($N259, $N$196:$N$207, 0), MATCH(K$256, $B$195:$M$195, 0)), 0)))</f>
        <v/>
      </c>
      <c r="L259" s="35" t="inlineStr">
        <is>
          <t>·</t>
        </is>
      </c>
      <c r="M259" s="56">
        <f>IFERROR(INDEX(B$225:B$236, MATCH(3, F$225:F$236, 0)), "-")</f>
        <v/>
      </c>
      <c r="N259" s="36">
        <f>IFERROR(INDEX(C$225:C$236, MATCH(3, F$225:F$236, 0)), "-")</f>
        <v/>
      </c>
      <c r="Z259" s="50" t="inlineStr">
        <is>
          <t>• Multiplicación [MMULT]: {D_libres} = [K11]⁻¹ · {C} obtiene los desplazamientos reales en cm.</t>
        </is>
      </c>
      <c r="AA259" s="65" t="n"/>
      <c r="AB259" s="65" t="n"/>
      <c r="AC259" s="65" t="n"/>
      <c r="AD259" s="65" t="n"/>
      <c r="AE259" s="63" t="n"/>
    </row>
    <row r="260" ht="16.95" customHeight="1" s="52">
      <c r="A260" s="41">
        <f>IF($N260="-", 0, IFERROR(INDEX(E$211:E$222, MATCH($N260, C$211:C$222, 0)), 0))</f>
        <v/>
      </c>
      <c r="C260" s="41">
        <f>IF(OR($N260="-", C$256="-"), 0, IF(OR(IFERROR(INDEX($B$196:$M$207, MATCH($N260, $N$196:$N$207, 0), MATCH($N260, $B$195:$M$195, 0)), 0)=0, IFERROR(INDEX($B$196:$M$207, MATCH(C$256, $N$196:$N$207, 0), MATCH(C$256, $B$195:$M$195, 0)), 0)=0), 0, IFERROR(INDEX($B$196:$M$207, MATCH($N260, $N$196:$N$207, 0), MATCH(C$256, $B$195:$M$195, 0)), 0)))</f>
        <v/>
      </c>
      <c r="D260" s="41">
        <f>IF(OR($N260="-", D$256="-"), 0, IF(OR(IFERROR(INDEX($B$196:$M$207, MATCH($N260, $N$196:$N$207, 0), MATCH($N260, $B$195:$M$195, 0)), 0)=0, IFERROR(INDEX($B$196:$M$207, MATCH(D$256, $N$196:$N$207, 0), MATCH(D$256, $B$195:$M$195, 0)), 0)=0), 0, IFERROR(INDEX($B$196:$M$207, MATCH($N260, $N$196:$N$207, 0), MATCH(D$256, $B$195:$M$195, 0)), 0)))</f>
        <v/>
      </c>
      <c r="E260" s="41">
        <f>IF(OR($N260="-", E$256="-"), 0, IF(OR(IFERROR(INDEX($B$196:$M$207, MATCH($N260, $N$196:$N$207, 0), MATCH($N260, $B$195:$M$195, 0)), 0)=0, IFERROR(INDEX($B$196:$M$207, MATCH(E$256, $N$196:$N$207, 0), MATCH(E$256, $B$195:$M$195, 0)), 0)=0), 0, IFERROR(INDEX($B$196:$M$207, MATCH($N260, $N$196:$N$207, 0), MATCH(E$256, $B$195:$M$195, 0)), 0)))</f>
        <v/>
      </c>
      <c r="F260" s="41">
        <f>IF(OR($N260="-", F$256="-"), 1, IF(OR(IFERROR(INDEX($B$196:$M$207, MATCH($N260, $N$196:$N$207, 0), MATCH($N260, $B$195:$M$195, 0)), 0)=0, IFERROR(INDEX($B$196:$M$207, MATCH(F$256, $N$196:$N$207, 0), MATCH(F$256, $B$195:$M$195, 0)), 0)=0), 1, IFERROR(INDEX($B$196:$M$207, MATCH($N260, $N$196:$N$207, 0), MATCH(F$256, $B$195:$M$195, 0)), 0)))</f>
        <v/>
      </c>
      <c r="G260" s="41">
        <f>IF(OR($N260="-", G$256="-"), 0, IF(OR(IFERROR(INDEX($B$196:$M$207, MATCH($N260, $N$196:$N$207, 0), MATCH($N260, $B$195:$M$195, 0)), 0)=0, IFERROR(INDEX($B$196:$M$207, MATCH(G$256, $N$196:$N$207, 0), MATCH(G$256, $B$195:$M$195, 0)), 0)=0), 0, IFERROR(INDEX($B$196:$M$207, MATCH($N260, $N$196:$N$207, 0), MATCH(G$256, $B$195:$M$195, 0)), 0)))</f>
        <v/>
      </c>
      <c r="H260" s="41">
        <f>IF(OR($N260="-", H$256="-"), 0, IF(OR(IFERROR(INDEX($B$196:$M$207, MATCH($N260, $N$196:$N$207, 0), MATCH($N260, $B$195:$M$195, 0)), 0)=0, IFERROR(INDEX($B$196:$M$207, MATCH(H$256, $N$196:$N$207, 0), MATCH(H$256, $B$195:$M$195, 0)), 0)=0), 0, IFERROR(INDEX($B$196:$M$207, MATCH($N260, $N$196:$N$207, 0), MATCH(H$256, $B$195:$M$195, 0)), 0)))</f>
        <v/>
      </c>
      <c r="I260" s="41">
        <f>IF(OR($N260="-", I$256="-"), 0, IF(OR(IFERROR(INDEX($B$196:$M$207, MATCH($N260, $N$196:$N$207, 0), MATCH($N260, $B$195:$M$195, 0)), 0)=0, IFERROR(INDEX($B$196:$M$207, MATCH(I$256, $N$196:$N$207, 0), MATCH(I$256, $B$195:$M$195, 0)), 0)=0), 0, IFERROR(INDEX($B$196:$M$207, MATCH($N260, $N$196:$N$207, 0), MATCH(I$256, $B$195:$M$195, 0)), 0)))</f>
        <v/>
      </c>
      <c r="J260" s="41">
        <f>IF(OR($N260="-", J$256="-"), 0, IF(OR(IFERROR(INDEX($B$196:$M$207, MATCH($N260, $N$196:$N$207, 0), MATCH($N260, $B$195:$M$195, 0)), 0)=0, IFERROR(INDEX($B$196:$M$207, MATCH(J$256, $N$196:$N$207, 0), MATCH(J$256, $B$195:$M$195, 0)), 0)=0), 0, IFERROR(INDEX($B$196:$M$207, MATCH($N260, $N$196:$N$207, 0), MATCH(J$256, $B$195:$M$195, 0)), 0)))</f>
        <v/>
      </c>
      <c r="K260" s="41">
        <f>IF(OR($N260="-", K$256="-"), 0, IF(OR(IFERROR(INDEX($B$196:$M$207, MATCH($N260, $N$196:$N$207, 0), MATCH($N260, $B$195:$M$195, 0)), 0)=0, IFERROR(INDEX($B$196:$M$207, MATCH(K$256, $N$196:$N$207, 0), MATCH(K$256, $B$195:$M$195, 0)), 0)=0), 0, IFERROR(INDEX($B$196:$M$207, MATCH($N260, $N$196:$N$207, 0), MATCH(K$256, $B$195:$M$195, 0)), 0)))</f>
        <v/>
      </c>
      <c r="L260" s="35" t="inlineStr">
        <is>
          <t>·</t>
        </is>
      </c>
      <c r="M260" s="56">
        <f>IFERROR(INDEX(B$225:B$236, MATCH(4, F$225:F$236, 0)), "-")</f>
        <v/>
      </c>
      <c r="N260" s="36">
        <f>IFERROR(INDEX(C$225:C$236, MATCH(4, F$225:F$236, 0)), "-")</f>
        <v/>
      </c>
      <c r="Z260" s="50" t="n"/>
      <c r="AA260" s="65" t="n"/>
      <c r="AB260" s="65" t="n"/>
      <c r="AC260" s="65" t="n"/>
      <c r="AD260" s="65" t="n"/>
      <c r="AE260" s="63" t="n"/>
    </row>
    <row r="261" ht="16.95" customHeight="1" s="52">
      <c r="A261" s="41">
        <f>IF($N261="-", 0, IFERROR(INDEX(E$211:E$222, MATCH($N261, C$211:C$222, 0)), 0))</f>
        <v/>
      </c>
      <c r="B261" s="35" t="inlineStr">
        <is>
          <t>=</t>
        </is>
      </c>
      <c r="C261" s="41">
        <f>IF(OR($N261="-", C$256="-"), 0, IF(OR(IFERROR(INDEX($B$196:$M$207, MATCH($N261, $N$196:$N$207, 0), MATCH($N261, $B$195:$M$195, 0)), 0)=0, IFERROR(INDEX($B$196:$M$207, MATCH(C$256, $N$196:$N$207, 0), MATCH(C$256, $B$195:$M$195, 0)), 0)=0), 0, IFERROR(INDEX($B$196:$M$207, MATCH($N261, $N$196:$N$207, 0), MATCH(C$256, $B$195:$M$195, 0)), 0)))</f>
        <v/>
      </c>
      <c r="D261" s="41">
        <f>IF(OR($N261="-", D$256="-"), 0, IF(OR(IFERROR(INDEX($B$196:$M$207, MATCH($N261, $N$196:$N$207, 0), MATCH($N261, $B$195:$M$195, 0)), 0)=0, IFERROR(INDEX($B$196:$M$207, MATCH(D$256, $N$196:$N$207, 0), MATCH(D$256, $B$195:$M$195, 0)), 0)=0), 0, IFERROR(INDEX($B$196:$M$207, MATCH($N261, $N$196:$N$207, 0), MATCH(D$256, $B$195:$M$195, 0)), 0)))</f>
        <v/>
      </c>
      <c r="E261" s="41">
        <f>IF(OR($N261="-", E$256="-"), 0, IF(OR(IFERROR(INDEX($B$196:$M$207, MATCH($N261, $N$196:$N$207, 0), MATCH($N261, $B$195:$M$195, 0)), 0)=0, IFERROR(INDEX($B$196:$M$207, MATCH(E$256, $N$196:$N$207, 0), MATCH(E$256, $B$195:$M$195, 0)), 0)=0), 0, IFERROR(INDEX($B$196:$M$207, MATCH($N261, $N$196:$N$207, 0), MATCH(E$256, $B$195:$M$195, 0)), 0)))</f>
        <v/>
      </c>
      <c r="F261" s="41">
        <f>IF(OR($N261="-", F$256="-"), 0, IF(OR(IFERROR(INDEX($B$196:$M$207, MATCH($N261, $N$196:$N$207, 0), MATCH($N261, $B$195:$M$195, 0)), 0)=0, IFERROR(INDEX($B$196:$M$207, MATCH(F$256, $N$196:$N$207, 0), MATCH(F$256, $B$195:$M$195, 0)), 0)=0), 0, IFERROR(INDEX($B$196:$M$207, MATCH($N261, $N$196:$N$207, 0), MATCH(F$256, $B$195:$M$195, 0)), 0)))</f>
        <v/>
      </c>
      <c r="G261" s="41">
        <f>IF(OR($N261="-", G$256="-"), 1, IF(OR(IFERROR(INDEX($B$196:$M$207, MATCH($N261, $N$196:$N$207, 0), MATCH($N261, $B$195:$M$195, 0)), 0)=0, IFERROR(INDEX($B$196:$M$207, MATCH(G$256, $N$196:$N$207, 0), MATCH(G$256, $B$195:$M$195, 0)), 0)=0), 1, IFERROR(INDEX($B$196:$M$207, MATCH($N261, $N$196:$N$207, 0), MATCH(G$256, $B$195:$M$195, 0)), 0)))</f>
        <v/>
      </c>
      <c r="H261" s="41">
        <f>IF(OR($N261="-", H$256="-"), 0, IF(OR(IFERROR(INDEX($B$196:$M$207, MATCH($N261, $N$196:$N$207, 0), MATCH($N261, $B$195:$M$195, 0)), 0)=0, IFERROR(INDEX($B$196:$M$207, MATCH(H$256, $N$196:$N$207, 0), MATCH(H$256, $B$195:$M$195, 0)), 0)=0), 0, IFERROR(INDEX($B$196:$M$207, MATCH($N261, $N$196:$N$207, 0), MATCH(H$256, $B$195:$M$195, 0)), 0)))</f>
        <v/>
      </c>
      <c r="I261" s="41">
        <f>IF(OR($N261="-", I$256="-"), 0, IF(OR(IFERROR(INDEX($B$196:$M$207, MATCH($N261, $N$196:$N$207, 0), MATCH($N261, $B$195:$M$195, 0)), 0)=0, IFERROR(INDEX($B$196:$M$207, MATCH(I$256, $N$196:$N$207, 0), MATCH(I$256, $B$195:$M$195, 0)), 0)=0), 0, IFERROR(INDEX($B$196:$M$207, MATCH($N261, $N$196:$N$207, 0), MATCH(I$256, $B$195:$M$195, 0)), 0)))</f>
        <v/>
      </c>
      <c r="J261" s="41">
        <f>IF(OR($N261="-", J$256="-"), 0, IF(OR(IFERROR(INDEX($B$196:$M$207, MATCH($N261, $N$196:$N$207, 0), MATCH($N261, $B$195:$M$195, 0)), 0)=0, IFERROR(INDEX($B$196:$M$207, MATCH(J$256, $N$196:$N$207, 0), MATCH(J$256, $B$195:$M$195, 0)), 0)=0), 0, IFERROR(INDEX($B$196:$M$207, MATCH($N261, $N$196:$N$207, 0), MATCH(J$256, $B$195:$M$195, 0)), 0)))</f>
        <v/>
      </c>
      <c r="K261" s="41">
        <f>IF(OR($N261="-", K$256="-"), 0, IF(OR(IFERROR(INDEX($B$196:$M$207, MATCH($N261, $N$196:$N$207, 0), MATCH($N261, $B$195:$M$195, 0)), 0)=0, IFERROR(INDEX($B$196:$M$207, MATCH(K$256, $N$196:$N$207, 0), MATCH(K$256, $B$195:$M$195, 0)), 0)=0), 0, IFERROR(INDEX($B$196:$M$207, MATCH($N261, $N$196:$N$207, 0), MATCH(K$256, $B$195:$M$195, 0)), 0)))</f>
        <v/>
      </c>
      <c r="L261" s="35" t="inlineStr">
        <is>
          <t>·</t>
        </is>
      </c>
      <c r="M261" s="56">
        <f>IFERROR(INDEX(B$225:B$236, MATCH(5, F$225:F$236, 0)), "-")</f>
        <v/>
      </c>
      <c r="N261" s="36">
        <f>IFERROR(INDEX(C$225:C$236, MATCH(5, F$225:F$236, 0)), "-")</f>
        <v/>
      </c>
      <c r="Z261" s="50" t="n"/>
      <c r="AA261" s="65" t="n"/>
      <c r="AB261" s="65" t="n"/>
      <c r="AC261" s="65" t="n"/>
      <c r="AD261" s="65" t="n"/>
      <c r="AE261" s="63" t="n"/>
    </row>
    <row r="262" ht="16.95" customHeight="1" s="52">
      <c r="A262" s="41">
        <f>IF($N262="-", 0, IFERROR(INDEX(E$211:E$222, MATCH($N262, C$211:C$222, 0)), 0))</f>
        <v/>
      </c>
      <c r="C262" s="41">
        <f>IF(OR($N262="-", C$256="-"), 0, IF(OR(IFERROR(INDEX($B$196:$M$207, MATCH($N262, $N$196:$N$207, 0), MATCH($N262, $B$195:$M$195, 0)), 0)=0, IFERROR(INDEX($B$196:$M$207, MATCH(C$256, $N$196:$N$207, 0), MATCH(C$256, $B$195:$M$195, 0)), 0)=0), 0, IFERROR(INDEX($B$196:$M$207, MATCH($N262, $N$196:$N$207, 0), MATCH(C$256, $B$195:$M$195, 0)), 0)))</f>
        <v/>
      </c>
      <c r="D262" s="41">
        <f>IF(OR($N262="-", D$256="-"), 0, IF(OR(IFERROR(INDEX($B$196:$M$207, MATCH($N262, $N$196:$N$207, 0), MATCH($N262, $B$195:$M$195, 0)), 0)=0, IFERROR(INDEX($B$196:$M$207, MATCH(D$256, $N$196:$N$207, 0), MATCH(D$256, $B$195:$M$195, 0)), 0)=0), 0, IFERROR(INDEX($B$196:$M$207, MATCH($N262, $N$196:$N$207, 0), MATCH(D$256, $B$195:$M$195, 0)), 0)))</f>
        <v/>
      </c>
      <c r="E262" s="41">
        <f>IF(OR($N262="-", E$256="-"), 0, IF(OR(IFERROR(INDEX($B$196:$M$207, MATCH($N262, $N$196:$N$207, 0), MATCH($N262, $B$195:$M$195, 0)), 0)=0, IFERROR(INDEX($B$196:$M$207, MATCH(E$256, $N$196:$N$207, 0), MATCH(E$256, $B$195:$M$195, 0)), 0)=0), 0, IFERROR(INDEX($B$196:$M$207, MATCH($N262, $N$196:$N$207, 0), MATCH(E$256, $B$195:$M$195, 0)), 0)))</f>
        <v/>
      </c>
      <c r="F262" s="41">
        <f>IF(OR($N262="-", F$256="-"), 0, IF(OR(IFERROR(INDEX($B$196:$M$207, MATCH($N262, $N$196:$N$207, 0), MATCH($N262, $B$195:$M$195, 0)), 0)=0, IFERROR(INDEX($B$196:$M$207, MATCH(F$256, $N$196:$N$207, 0), MATCH(F$256, $B$195:$M$195, 0)), 0)=0), 0, IFERROR(INDEX($B$196:$M$207, MATCH($N262, $N$196:$N$207, 0), MATCH(F$256, $B$195:$M$195, 0)), 0)))</f>
        <v/>
      </c>
      <c r="G262" s="41">
        <f>IF(OR($N262="-", G$256="-"), 0, IF(OR(IFERROR(INDEX($B$196:$M$207, MATCH($N262, $N$196:$N$207, 0), MATCH($N262, $B$195:$M$195, 0)), 0)=0, IFERROR(INDEX($B$196:$M$207, MATCH(G$256, $N$196:$N$207, 0), MATCH(G$256, $B$195:$M$195, 0)), 0)=0), 0, IFERROR(INDEX($B$196:$M$207, MATCH($N262, $N$196:$N$207, 0), MATCH(G$256, $B$195:$M$195, 0)), 0)))</f>
        <v/>
      </c>
      <c r="H262" s="41">
        <f>IF(OR($N262="-", H$256="-"), 1, IF(OR(IFERROR(INDEX($B$196:$M$207, MATCH($N262, $N$196:$N$207, 0), MATCH($N262, $B$195:$M$195, 0)), 0)=0, IFERROR(INDEX($B$196:$M$207, MATCH(H$256, $N$196:$N$207, 0), MATCH(H$256, $B$195:$M$195, 0)), 0)=0), 1, IFERROR(INDEX($B$196:$M$207, MATCH($N262, $N$196:$N$207, 0), MATCH(H$256, $B$195:$M$195, 0)), 0)))</f>
        <v/>
      </c>
      <c r="I262" s="41">
        <f>IF(OR($N262="-", I$256="-"), 0, IF(OR(IFERROR(INDEX($B$196:$M$207, MATCH($N262, $N$196:$N$207, 0), MATCH($N262, $B$195:$M$195, 0)), 0)=0, IFERROR(INDEX($B$196:$M$207, MATCH(I$256, $N$196:$N$207, 0), MATCH(I$256, $B$195:$M$195, 0)), 0)=0), 0, IFERROR(INDEX($B$196:$M$207, MATCH($N262, $N$196:$N$207, 0), MATCH(I$256, $B$195:$M$195, 0)), 0)))</f>
        <v/>
      </c>
      <c r="J262" s="41">
        <f>IF(OR($N262="-", J$256="-"), 0, IF(OR(IFERROR(INDEX($B$196:$M$207, MATCH($N262, $N$196:$N$207, 0), MATCH($N262, $B$195:$M$195, 0)), 0)=0, IFERROR(INDEX($B$196:$M$207, MATCH(J$256, $N$196:$N$207, 0), MATCH(J$256, $B$195:$M$195, 0)), 0)=0), 0, IFERROR(INDEX($B$196:$M$207, MATCH($N262, $N$196:$N$207, 0), MATCH(J$256, $B$195:$M$195, 0)), 0)))</f>
        <v/>
      </c>
      <c r="K262" s="41">
        <f>IF(OR($N262="-", K$256="-"), 0, IF(OR(IFERROR(INDEX($B$196:$M$207, MATCH($N262, $N$196:$N$207, 0), MATCH($N262, $B$195:$M$195, 0)), 0)=0, IFERROR(INDEX($B$196:$M$207, MATCH(K$256, $N$196:$N$207, 0), MATCH(K$256, $B$195:$M$195, 0)), 0)=0), 0, IFERROR(INDEX($B$196:$M$207, MATCH($N262, $N$196:$N$207, 0), MATCH(K$256, $B$195:$M$195, 0)), 0)))</f>
        <v/>
      </c>
      <c r="L262" s="35" t="inlineStr">
        <is>
          <t>·</t>
        </is>
      </c>
      <c r="M262" s="56">
        <f>IFERROR(INDEX(B$225:B$236, MATCH(6, F$225:F$236, 0)), "-")</f>
        <v/>
      </c>
      <c r="N262" s="36">
        <f>IFERROR(INDEX(C$225:C$236, MATCH(6, F$225:F$236, 0)), "-")</f>
        <v/>
      </c>
      <c r="Z262" s="50" t="n"/>
      <c r="AA262" s="65" t="n"/>
      <c r="AB262" s="65" t="n"/>
      <c r="AC262" s="65" t="n"/>
      <c r="AD262" s="65" t="n"/>
      <c r="AE262" s="63" t="n"/>
    </row>
    <row r="263" ht="16.95" customHeight="1" s="52">
      <c r="A263" s="41">
        <f>IF($N263="-", 0, IFERROR(INDEX(E$211:E$222, MATCH($N263, C$211:C$222, 0)), 0))</f>
        <v/>
      </c>
      <c r="C263" s="41">
        <f>IF(OR($N263="-", C$256="-"), 0, IF(OR(IFERROR(INDEX($B$196:$M$207, MATCH($N263, $N$196:$N$207, 0), MATCH($N263, $B$195:$M$195, 0)), 0)=0, IFERROR(INDEX($B$196:$M$207, MATCH(C$256, $N$196:$N$207, 0), MATCH(C$256, $B$195:$M$195, 0)), 0)=0), 0, IFERROR(INDEX($B$196:$M$207, MATCH($N263, $N$196:$N$207, 0), MATCH(C$256, $B$195:$M$195, 0)), 0)))</f>
        <v/>
      </c>
      <c r="D263" s="41">
        <f>IF(OR($N263="-", D$256="-"), 0, IF(OR(IFERROR(INDEX($B$196:$M$207, MATCH($N263, $N$196:$N$207, 0), MATCH($N263, $B$195:$M$195, 0)), 0)=0, IFERROR(INDEX($B$196:$M$207, MATCH(D$256, $N$196:$N$207, 0), MATCH(D$256, $B$195:$M$195, 0)), 0)=0), 0, IFERROR(INDEX($B$196:$M$207, MATCH($N263, $N$196:$N$207, 0), MATCH(D$256, $B$195:$M$195, 0)), 0)))</f>
        <v/>
      </c>
      <c r="E263" s="41">
        <f>IF(OR($N263="-", E$256="-"), 0, IF(OR(IFERROR(INDEX($B$196:$M$207, MATCH($N263, $N$196:$N$207, 0), MATCH($N263, $B$195:$M$195, 0)), 0)=0, IFERROR(INDEX($B$196:$M$207, MATCH(E$256, $N$196:$N$207, 0), MATCH(E$256, $B$195:$M$195, 0)), 0)=0), 0, IFERROR(INDEX($B$196:$M$207, MATCH($N263, $N$196:$N$207, 0), MATCH(E$256, $B$195:$M$195, 0)), 0)))</f>
        <v/>
      </c>
      <c r="F263" s="41">
        <f>IF(OR($N263="-", F$256="-"), 0, IF(OR(IFERROR(INDEX($B$196:$M$207, MATCH($N263, $N$196:$N$207, 0), MATCH($N263, $B$195:$M$195, 0)), 0)=0, IFERROR(INDEX($B$196:$M$207, MATCH(F$256, $N$196:$N$207, 0), MATCH(F$256, $B$195:$M$195, 0)), 0)=0), 0, IFERROR(INDEX($B$196:$M$207, MATCH($N263, $N$196:$N$207, 0), MATCH(F$256, $B$195:$M$195, 0)), 0)))</f>
        <v/>
      </c>
      <c r="G263" s="41">
        <f>IF(OR($N263="-", G$256="-"), 0, IF(OR(IFERROR(INDEX($B$196:$M$207, MATCH($N263, $N$196:$N$207, 0), MATCH($N263, $B$195:$M$195, 0)), 0)=0, IFERROR(INDEX($B$196:$M$207, MATCH(G$256, $N$196:$N$207, 0), MATCH(G$256, $B$195:$M$195, 0)), 0)=0), 0, IFERROR(INDEX($B$196:$M$207, MATCH($N263, $N$196:$N$207, 0), MATCH(G$256, $B$195:$M$195, 0)), 0)))</f>
        <v/>
      </c>
      <c r="H263" s="41">
        <f>IF(OR($N263="-", H$256="-"), 0, IF(OR(IFERROR(INDEX($B$196:$M$207, MATCH($N263, $N$196:$N$207, 0), MATCH($N263, $B$195:$M$195, 0)), 0)=0, IFERROR(INDEX($B$196:$M$207, MATCH(H$256, $N$196:$N$207, 0), MATCH(H$256, $B$195:$M$195, 0)), 0)=0), 0, IFERROR(INDEX($B$196:$M$207, MATCH($N263, $N$196:$N$207, 0), MATCH(H$256, $B$195:$M$195, 0)), 0)))</f>
        <v/>
      </c>
      <c r="I263" s="41">
        <f>IF(OR($N263="-", I$256="-"), 1, IF(OR(IFERROR(INDEX($B$196:$M$207, MATCH($N263, $N$196:$N$207, 0), MATCH($N263, $B$195:$M$195, 0)), 0)=0, IFERROR(INDEX($B$196:$M$207, MATCH(I$256, $N$196:$N$207, 0), MATCH(I$256, $B$195:$M$195, 0)), 0)=0), 1, IFERROR(INDEX($B$196:$M$207, MATCH($N263, $N$196:$N$207, 0), MATCH(I$256, $B$195:$M$195, 0)), 0)))</f>
        <v/>
      </c>
      <c r="J263" s="41">
        <f>IF(OR($N263="-", J$256="-"), 0, IF(OR(IFERROR(INDEX($B$196:$M$207, MATCH($N263, $N$196:$N$207, 0), MATCH($N263, $B$195:$M$195, 0)), 0)=0, IFERROR(INDEX($B$196:$M$207, MATCH(J$256, $N$196:$N$207, 0), MATCH(J$256, $B$195:$M$195, 0)), 0)=0), 0, IFERROR(INDEX($B$196:$M$207, MATCH($N263, $N$196:$N$207, 0), MATCH(J$256, $B$195:$M$195, 0)), 0)))</f>
        <v/>
      </c>
      <c r="K263" s="41">
        <f>IF(OR($N263="-", K$256="-"), 0, IF(OR(IFERROR(INDEX($B$196:$M$207, MATCH($N263, $N$196:$N$207, 0), MATCH($N263, $B$195:$M$195, 0)), 0)=0, IFERROR(INDEX($B$196:$M$207, MATCH(K$256, $N$196:$N$207, 0), MATCH(K$256, $B$195:$M$195, 0)), 0)=0), 0, IFERROR(INDEX($B$196:$M$207, MATCH($N263, $N$196:$N$207, 0), MATCH(K$256, $B$195:$M$195, 0)), 0)))</f>
        <v/>
      </c>
      <c r="L263" s="35" t="inlineStr">
        <is>
          <t>·</t>
        </is>
      </c>
      <c r="M263" s="56">
        <f>IFERROR(INDEX(B$225:B$236, MATCH(7, F$225:F$236, 0)), "-")</f>
        <v/>
      </c>
      <c r="N263" s="36">
        <f>IFERROR(INDEX(C$225:C$236, MATCH(7, F$225:F$236, 0)), "-")</f>
        <v/>
      </c>
      <c r="Z263" s="50" t="n"/>
      <c r="AA263" s="65" t="n"/>
      <c r="AB263" s="65" t="n"/>
      <c r="AC263" s="65" t="n"/>
      <c r="AD263" s="65" t="n"/>
      <c r="AE263" s="63" t="n"/>
    </row>
    <row r="264" ht="16.95" customHeight="1" s="52">
      <c r="A264" s="41">
        <f>IF($N264="-", 0, IFERROR(INDEX(E$211:E$222, MATCH($N264, C$211:C$222, 0)), 0))</f>
        <v/>
      </c>
      <c r="C264" s="41">
        <f>IF(OR($N264="-", C$256="-"), 0, IF(OR(IFERROR(INDEX($B$196:$M$207, MATCH($N264, $N$196:$N$207, 0), MATCH($N264, $B$195:$M$195, 0)), 0)=0, IFERROR(INDEX($B$196:$M$207, MATCH(C$256, $N$196:$N$207, 0), MATCH(C$256, $B$195:$M$195, 0)), 0)=0), 0, IFERROR(INDEX($B$196:$M$207, MATCH($N264, $N$196:$N$207, 0), MATCH(C$256, $B$195:$M$195, 0)), 0)))</f>
        <v/>
      </c>
      <c r="D264" s="41">
        <f>IF(OR($N264="-", D$256="-"), 0, IF(OR(IFERROR(INDEX($B$196:$M$207, MATCH($N264, $N$196:$N$207, 0), MATCH($N264, $B$195:$M$195, 0)), 0)=0, IFERROR(INDEX($B$196:$M$207, MATCH(D$256, $N$196:$N$207, 0), MATCH(D$256, $B$195:$M$195, 0)), 0)=0), 0, IFERROR(INDEX($B$196:$M$207, MATCH($N264, $N$196:$N$207, 0), MATCH(D$256, $B$195:$M$195, 0)), 0)))</f>
        <v/>
      </c>
      <c r="E264" s="41">
        <f>IF(OR($N264="-", E$256="-"), 0, IF(OR(IFERROR(INDEX($B$196:$M$207, MATCH($N264, $N$196:$N$207, 0), MATCH($N264, $B$195:$M$195, 0)), 0)=0, IFERROR(INDEX($B$196:$M$207, MATCH(E$256, $N$196:$N$207, 0), MATCH(E$256, $B$195:$M$195, 0)), 0)=0), 0, IFERROR(INDEX($B$196:$M$207, MATCH($N264, $N$196:$N$207, 0), MATCH(E$256, $B$195:$M$195, 0)), 0)))</f>
        <v/>
      </c>
      <c r="F264" s="41">
        <f>IF(OR($N264="-", F$256="-"), 0, IF(OR(IFERROR(INDEX($B$196:$M$207, MATCH($N264, $N$196:$N$207, 0), MATCH($N264, $B$195:$M$195, 0)), 0)=0, IFERROR(INDEX($B$196:$M$207, MATCH(F$256, $N$196:$N$207, 0), MATCH(F$256, $B$195:$M$195, 0)), 0)=0), 0, IFERROR(INDEX($B$196:$M$207, MATCH($N264, $N$196:$N$207, 0), MATCH(F$256, $B$195:$M$195, 0)), 0)))</f>
        <v/>
      </c>
      <c r="G264" s="41">
        <f>IF(OR($N264="-", G$256="-"), 0, IF(OR(IFERROR(INDEX($B$196:$M$207, MATCH($N264, $N$196:$N$207, 0), MATCH($N264, $B$195:$M$195, 0)), 0)=0, IFERROR(INDEX($B$196:$M$207, MATCH(G$256, $N$196:$N$207, 0), MATCH(G$256, $B$195:$M$195, 0)), 0)=0), 0, IFERROR(INDEX($B$196:$M$207, MATCH($N264, $N$196:$N$207, 0), MATCH(G$256, $B$195:$M$195, 0)), 0)))</f>
        <v/>
      </c>
      <c r="H264" s="41">
        <f>IF(OR($N264="-", H$256="-"), 0, IF(OR(IFERROR(INDEX($B$196:$M$207, MATCH($N264, $N$196:$N$207, 0), MATCH($N264, $B$195:$M$195, 0)), 0)=0, IFERROR(INDEX($B$196:$M$207, MATCH(H$256, $N$196:$N$207, 0), MATCH(H$256, $B$195:$M$195, 0)), 0)=0), 0, IFERROR(INDEX($B$196:$M$207, MATCH($N264, $N$196:$N$207, 0), MATCH(H$256, $B$195:$M$195, 0)), 0)))</f>
        <v/>
      </c>
      <c r="I264" s="41">
        <f>IF(OR($N264="-", I$256="-"), 0, IF(OR(IFERROR(INDEX($B$196:$M$207, MATCH($N264, $N$196:$N$207, 0), MATCH($N264, $B$195:$M$195, 0)), 0)=0, IFERROR(INDEX($B$196:$M$207, MATCH(I$256, $N$196:$N$207, 0), MATCH(I$256, $B$195:$M$195, 0)), 0)=0), 0, IFERROR(INDEX($B$196:$M$207, MATCH($N264, $N$196:$N$207, 0), MATCH(I$256, $B$195:$M$195, 0)), 0)))</f>
        <v/>
      </c>
      <c r="J264" s="41">
        <f>IF(OR($N264="-", J$256="-"), 1, IF(OR(IFERROR(INDEX($B$196:$M$207, MATCH($N264, $N$196:$N$207, 0), MATCH($N264, $B$195:$M$195, 0)), 0)=0, IFERROR(INDEX($B$196:$M$207, MATCH(J$256, $N$196:$N$207, 0), MATCH(J$256, $B$195:$M$195, 0)), 0)=0), 1, IFERROR(INDEX($B$196:$M$207, MATCH($N264, $N$196:$N$207, 0), MATCH(J$256, $B$195:$M$195, 0)), 0)))</f>
        <v/>
      </c>
      <c r="K264" s="41">
        <f>IF(OR($N264="-", K$256="-"), 0, IF(OR(IFERROR(INDEX($B$196:$M$207, MATCH($N264, $N$196:$N$207, 0), MATCH($N264, $B$195:$M$195, 0)), 0)=0, IFERROR(INDEX($B$196:$M$207, MATCH(K$256, $N$196:$N$207, 0), MATCH(K$256, $B$195:$M$195, 0)), 0)=0), 0, IFERROR(INDEX($B$196:$M$207, MATCH($N264, $N$196:$N$207, 0), MATCH(K$256, $B$195:$M$195, 0)), 0)))</f>
        <v/>
      </c>
      <c r="L264" s="35" t="inlineStr">
        <is>
          <t>·</t>
        </is>
      </c>
      <c r="M264" s="56">
        <f>IFERROR(INDEX(B$225:B$236, MATCH(8, F$225:F$236, 0)), "-")</f>
        <v/>
      </c>
      <c r="N264" s="36">
        <f>IFERROR(INDEX(C$225:C$236, MATCH(8, F$225:F$236, 0)), "-")</f>
        <v/>
      </c>
      <c r="Z264" s="50" t="n"/>
      <c r="AA264" s="65" t="n"/>
      <c r="AB264" s="65" t="n"/>
      <c r="AC264" s="65" t="n"/>
      <c r="AD264" s="65" t="n"/>
      <c r="AE264" s="63" t="n"/>
    </row>
    <row r="265" ht="16.95" customHeight="1" s="52">
      <c r="A265" s="41">
        <f>IF($N265="-", 0, IFERROR(INDEX(E$211:E$222, MATCH($N265, C$211:C$222, 0)), 0))</f>
        <v/>
      </c>
      <c r="C265" s="41">
        <f>IF(OR($N265="-", C$256="-"), 0, IF(OR(IFERROR(INDEX($B$196:$M$207, MATCH($N265, $N$196:$N$207, 0), MATCH($N265, $B$195:$M$195, 0)), 0)=0, IFERROR(INDEX($B$196:$M$207, MATCH(C$256, $N$196:$N$207, 0), MATCH(C$256, $B$195:$M$195, 0)), 0)=0), 0, IFERROR(INDEX($B$196:$M$207, MATCH($N265, $N$196:$N$207, 0), MATCH(C$256, $B$195:$M$195, 0)), 0)))</f>
        <v/>
      </c>
      <c r="D265" s="41">
        <f>IF(OR($N265="-", D$256="-"), 0, IF(OR(IFERROR(INDEX($B$196:$M$207, MATCH($N265, $N$196:$N$207, 0), MATCH($N265, $B$195:$M$195, 0)), 0)=0, IFERROR(INDEX($B$196:$M$207, MATCH(D$256, $N$196:$N$207, 0), MATCH(D$256, $B$195:$M$195, 0)), 0)=0), 0, IFERROR(INDEX($B$196:$M$207, MATCH($N265, $N$196:$N$207, 0), MATCH(D$256, $B$195:$M$195, 0)), 0)))</f>
        <v/>
      </c>
      <c r="E265" s="41">
        <f>IF(OR($N265="-", E$256="-"), 0, IF(OR(IFERROR(INDEX($B$196:$M$207, MATCH($N265, $N$196:$N$207, 0), MATCH($N265, $B$195:$M$195, 0)), 0)=0, IFERROR(INDEX($B$196:$M$207, MATCH(E$256, $N$196:$N$207, 0), MATCH(E$256, $B$195:$M$195, 0)), 0)=0), 0, IFERROR(INDEX($B$196:$M$207, MATCH($N265, $N$196:$N$207, 0), MATCH(E$256, $B$195:$M$195, 0)), 0)))</f>
        <v/>
      </c>
      <c r="F265" s="41">
        <f>IF(OR($N265="-", F$256="-"), 0, IF(OR(IFERROR(INDEX($B$196:$M$207, MATCH($N265, $N$196:$N$207, 0), MATCH($N265, $B$195:$M$195, 0)), 0)=0, IFERROR(INDEX($B$196:$M$207, MATCH(F$256, $N$196:$N$207, 0), MATCH(F$256, $B$195:$M$195, 0)), 0)=0), 0, IFERROR(INDEX($B$196:$M$207, MATCH($N265, $N$196:$N$207, 0), MATCH(F$256, $B$195:$M$195, 0)), 0)))</f>
        <v/>
      </c>
      <c r="G265" s="41">
        <f>IF(OR($N265="-", G$256="-"), 0, IF(OR(IFERROR(INDEX($B$196:$M$207, MATCH($N265, $N$196:$N$207, 0), MATCH($N265, $B$195:$M$195, 0)), 0)=0, IFERROR(INDEX($B$196:$M$207, MATCH(G$256, $N$196:$N$207, 0), MATCH(G$256, $B$195:$M$195, 0)), 0)=0), 0, IFERROR(INDEX($B$196:$M$207, MATCH($N265, $N$196:$N$207, 0), MATCH(G$256, $B$195:$M$195, 0)), 0)))</f>
        <v/>
      </c>
      <c r="H265" s="41">
        <f>IF(OR($N265="-", H$256="-"), 0, IF(OR(IFERROR(INDEX($B$196:$M$207, MATCH($N265, $N$196:$N$207, 0), MATCH($N265, $B$195:$M$195, 0)), 0)=0, IFERROR(INDEX($B$196:$M$207, MATCH(H$256, $N$196:$N$207, 0), MATCH(H$256, $B$195:$M$195, 0)), 0)=0), 0, IFERROR(INDEX($B$196:$M$207, MATCH($N265, $N$196:$N$207, 0), MATCH(H$256, $B$195:$M$195, 0)), 0)))</f>
        <v/>
      </c>
      <c r="I265" s="41">
        <f>IF(OR($N265="-", I$256="-"), 0, IF(OR(IFERROR(INDEX($B$196:$M$207, MATCH($N265, $N$196:$N$207, 0), MATCH($N265, $B$195:$M$195, 0)), 0)=0, IFERROR(INDEX($B$196:$M$207, MATCH(I$256, $N$196:$N$207, 0), MATCH(I$256, $B$195:$M$195, 0)), 0)=0), 0, IFERROR(INDEX($B$196:$M$207, MATCH($N265, $N$196:$N$207, 0), MATCH(I$256, $B$195:$M$195, 0)), 0)))</f>
        <v/>
      </c>
      <c r="J265" s="41">
        <f>IF(OR($N265="-", J$256="-"), 0, IF(OR(IFERROR(INDEX($B$196:$M$207, MATCH($N265, $N$196:$N$207, 0), MATCH($N265, $B$195:$M$195, 0)), 0)=0, IFERROR(INDEX($B$196:$M$207, MATCH(J$256, $N$196:$N$207, 0), MATCH(J$256, $B$195:$M$195, 0)), 0)=0), 0, IFERROR(INDEX($B$196:$M$207, MATCH($N265, $N$196:$N$207, 0), MATCH(J$256, $B$195:$M$195, 0)), 0)))</f>
        <v/>
      </c>
      <c r="K265" s="41">
        <f>IF(OR($N265="-", K$256="-"), 1, IF(OR(IFERROR(INDEX($B$196:$M$207, MATCH($N265, $N$196:$N$207, 0), MATCH($N265, $B$195:$M$195, 0)), 0)=0, IFERROR(INDEX($B$196:$M$207, MATCH(K$256, $N$196:$N$207, 0), MATCH(K$256, $B$195:$M$195, 0)), 0)=0), 1, IFERROR(INDEX($B$196:$M$207, MATCH($N265, $N$196:$N$207, 0), MATCH(K$256, $B$195:$M$195, 0)), 0)))</f>
        <v/>
      </c>
      <c r="L265" s="35" t="inlineStr">
        <is>
          <t>·</t>
        </is>
      </c>
      <c r="M265" s="56">
        <f>IFERROR(INDEX(B$225:B$236, MATCH(9, F$225:F$236, 0)), "-")</f>
        <v/>
      </c>
      <c r="N265" s="36">
        <f>IFERROR(INDEX(C$225:C$236, MATCH(9, F$225:F$236, 0)), "-")</f>
        <v/>
      </c>
      <c r="Z265" s="50" t="n"/>
      <c r="AA265" s="65" t="n"/>
      <c r="AB265" s="65" t="n"/>
      <c r="AC265" s="65" t="n"/>
      <c r="AD265" s="65" t="n"/>
      <c r="AE265" s="63" t="n"/>
    </row>
    <row r="266" ht="16.95" customHeight="1" s="52">
      <c r="Z266" s="50" t="n"/>
      <c r="AA266" s="65" t="n"/>
      <c r="AB266" s="65" t="n"/>
      <c r="AC266" s="65" t="n"/>
      <c r="AD266" s="65" t="n"/>
      <c r="AE266" s="63" t="n"/>
    </row>
    <row r="267" ht="16.95" customHeight="1" s="52">
      <c r="C267" s="61" t="inlineStr">
        <is>
          <t>D=MINVERSA(K)*C</t>
        </is>
      </c>
      <c r="D267" s="65" t="n"/>
      <c r="E267" s="65" t="n"/>
      <c r="F267" s="65" t="n"/>
      <c r="G267" s="65" t="n"/>
      <c r="H267" s="65" t="n"/>
      <c r="I267" s="65" t="n"/>
      <c r="J267" s="65" t="n"/>
      <c r="K267" s="63" t="n"/>
      <c r="Z267" s="50" t="n"/>
      <c r="AA267" s="65" t="n"/>
      <c r="AB267" s="65" t="n"/>
      <c r="AC267" s="65" t="n"/>
      <c r="AD267" s="65" t="n"/>
      <c r="AE267" s="63" t="n"/>
    </row>
    <row r="268" ht="16.95" customHeight="1" s="52">
      <c r="A268" s="60" t="inlineStr">
        <is>
          <t>D</t>
        </is>
      </c>
      <c r="C268" s="60" t="inlineStr">
        <is>
          <t>MIN</t>
        </is>
      </c>
      <c r="M268" s="60" t="inlineStr">
        <is>
          <t>C</t>
        </is>
      </c>
      <c r="Z268" s="50" t="n"/>
      <c r="AA268" s="65" t="n"/>
      <c r="AB268" s="65" t="n"/>
      <c r="AC268" s="65" t="n"/>
      <c r="AD268" s="65" t="n"/>
      <c r="AE268" s="63" t="n"/>
    </row>
    <row r="269" ht="16.95" customHeight="1" s="52">
      <c r="A269" s="33">
        <f>M257</f>
        <v/>
      </c>
      <c r="C269" s="42">
        <f t="array" ref="C269:K277">MINVERSE(C257:K265)</f>
        <v/>
      </c>
      <c r="D269" s="42" t="n">
        <v>1.904761904761904e-05</v>
      </c>
      <c r="E269" s="42" t="n">
        <v>-1.142857142857143e-05</v>
      </c>
      <c r="F269" s="42" t="n">
        <v>0</v>
      </c>
      <c r="G269" s="42" t="n">
        <v>0</v>
      </c>
      <c r="H269" s="42" t="n">
        <v>0</v>
      </c>
      <c r="I269" s="42" t="n">
        <v>0</v>
      </c>
      <c r="J269" s="42" t="n">
        <v>0</v>
      </c>
      <c r="K269" s="42" t="n">
        <v>0</v>
      </c>
      <c r="M269" s="40">
        <f>A257</f>
        <v/>
      </c>
      <c r="Z269" s="50" t="n"/>
      <c r="AA269" s="65" t="n"/>
      <c r="AB269" s="65" t="n"/>
      <c r="AC269" s="65" t="n"/>
      <c r="AD269" s="65" t="n"/>
      <c r="AE269" s="63" t="n"/>
    </row>
    <row r="270" ht="16.95" customHeight="1" s="52">
      <c r="A270" s="33">
        <f>M258</f>
        <v/>
      </c>
      <c r="C270" s="42" t="n">
        <v>1.904761904761905e-05</v>
      </c>
      <c r="D270" s="42" t="n">
        <v>5.56637957395031e-05</v>
      </c>
      <c r="E270" s="42" t="n">
        <v>-6.425166637614761e-06</v>
      </c>
      <c r="F270" s="42" t="n">
        <v>0</v>
      </c>
      <c r="G270" s="42" t="n">
        <v>0</v>
      </c>
      <c r="H270" s="42" t="n">
        <v>0</v>
      </c>
      <c r="I270" s="42" t="n">
        <v>0</v>
      </c>
      <c r="J270" s="42" t="n">
        <v>0</v>
      </c>
      <c r="K270" s="42" t="n">
        <v>0</v>
      </c>
      <c r="M270" s="40">
        <f>A258</f>
        <v/>
      </c>
      <c r="Z270" s="50" t="n"/>
      <c r="AA270" s="65" t="n"/>
      <c r="AB270" s="65" t="n"/>
      <c r="AC270" s="65" t="n"/>
      <c r="AD270" s="65" t="n"/>
      <c r="AE270" s="63" t="n"/>
    </row>
    <row r="271" ht="16.95" customHeight="1" s="52">
      <c r="A271" s="33">
        <f>M259</f>
        <v/>
      </c>
      <c r="C271" s="42" t="n">
        <v>-1.142857142857143e-05</v>
      </c>
      <c r="D271" s="42" t="n">
        <v>-6.425166637614761e-06</v>
      </c>
      <c r="E271" s="42" t="n">
        <v>2.543358862743853e-05</v>
      </c>
      <c r="F271" s="42" t="n">
        <v>0</v>
      </c>
      <c r="G271" s="42" t="n">
        <v>0</v>
      </c>
      <c r="H271" s="42" t="n">
        <v>0</v>
      </c>
      <c r="I271" s="42" t="n">
        <v>0</v>
      </c>
      <c r="J271" s="42" t="n">
        <v>0</v>
      </c>
      <c r="K271" s="42" t="n">
        <v>0</v>
      </c>
      <c r="M271" s="40">
        <f>A259</f>
        <v/>
      </c>
      <c r="Z271" s="50" t="n"/>
      <c r="AA271" s="65" t="n"/>
      <c r="AB271" s="65" t="n"/>
      <c r="AC271" s="65" t="n"/>
      <c r="AD271" s="65" t="n"/>
      <c r="AE271" s="63" t="n"/>
    </row>
    <row r="272" ht="16.95" customHeight="1" s="52">
      <c r="A272" s="33">
        <f>M260</f>
        <v/>
      </c>
      <c r="C272" s="42" t="n">
        <v>0</v>
      </c>
      <c r="D272" s="42" t="n">
        <v>0</v>
      </c>
      <c r="E272" s="42" t="n">
        <v>0</v>
      </c>
      <c r="F272" s="42" t="n">
        <v>1</v>
      </c>
      <c r="G272" s="42" t="n">
        <v>0</v>
      </c>
      <c r="H272" s="42" t="n">
        <v>0</v>
      </c>
      <c r="I272" s="42" t="n">
        <v>0</v>
      </c>
      <c r="J272" s="42" t="n">
        <v>0</v>
      </c>
      <c r="K272" s="42" t="n">
        <v>0</v>
      </c>
      <c r="M272" s="40">
        <f>A260</f>
        <v/>
      </c>
      <c r="Z272" s="50" t="n"/>
      <c r="AA272" s="65" t="n"/>
      <c r="AB272" s="65" t="n"/>
      <c r="AC272" s="65" t="n"/>
      <c r="AD272" s="65" t="n"/>
      <c r="AE272" s="63" t="n"/>
    </row>
    <row r="273" ht="16.95" customHeight="1" s="52">
      <c r="A273" s="33">
        <f>M261</f>
        <v/>
      </c>
      <c r="B273" s="35" t="inlineStr">
        <is>
          <t>=</t>
        </is>
      </c>
      <c r="C273" s="42" t="n">
        <v>0</v>
      </c>
      <c r="D273" s="42" t="n">
        <v>0</v>
      </c>
      <c r="E273" s="42" t="n">
        <v>0</v>
      </c>
      <c r="F273" s="42" t="n">
        <v>0</v>
      </c>
      <c r="G273" s="42" t="n">
        <v>1</v>
      </c>
      <c r="H273" s="42" t="n">
        <v>0</v>
      </c>
      <c r="I273" s="42" t="n">
        <v>0</v>
      </c>
      <c r="J273" s="42" t="n">
        <v>0</v>
      </c>
      <c r="K273" s="42" t="n">
        <v>0</v>
      </c>
      <c r="M273" s="40">
        <f>A261</f>
        <v/>
      </c>
      <c r="Z273" s="50" t="n"/>
      <c r="AA273" s="65" t="n"/>
      <c r="AB273" s="65" t="n"/>
      <c r="AC273" s="65" t="n"/>
      <c r="AD273" s="65" t="n"/>
      <c r="AE273" s="63" t="n"/>
    </row>
    <row r="274" ht="16.95" customHeight="1" s="52">
      <c r="A274" s="33">
        <f>M262</f>
        <v/>
      </c>
      <c r="C274" s="42" t="n">
        <v>0</v>
      </c>
      <c r="D274" s="42" t="n">
        <v>0</v>
      </c>
      <c r="E274" s="42" t="n">
        <v>0</v>
      </c>
      <c r="F274" s="42" t="n">
        <v>0</v>
      </c>
      <c r="G274" s="42" t="n">
        <v>0</v>
      </c>
      <c r="H274" s="42" t="n">
        <v>1</v>
      </c>
      <c r="I274" s="42" t="n">
        <v>0</v>
      </c>
      <c r="J274" s="42" t="n">
        <v>0</v>
      </c>
      <c r="K274" s="42" t="n">
        <v>0</v>
      </c>
      <c r="M274" s="40">
        <f>A262</f>
        <v/>
      </c>
      <c r="Z274" s="50" t="n"/>
      <c r="AA274" s="65" t="n"/>
      <c r="AB274" s="65" t="n"/>
      <c r="AC274" s="65" t="n"/>
      <c r="AD274" s="65" t="n"/>
      <c r="AE274" s="63" t="n"/>
    </row>
    <row r="275" ht="16.95" customHeight="1" s="52">
      <c r="A275" s="33">
        <f>M263</f>
        <v/>
      </c>
      <c r="C275" s="42" t="n">
        <v>0</v>
      </c>
      <c r="D275" s="42" t="n">
        <v>0</v>
      </c>
      <c r="E275" s="42" t="n">
        <v>0</v>
      </c>
      <c r="F275" s="42" t="n">
        <v>0</v>
      </c>
      <c r="G275" s="42" t="n">
        <v>0</v>
      </c>
      <c r="H275" s="42" t="n">
        <v>0</v>
      </c>
      <c r="I275" s="42" t="n">
        <v>1</v>
      </c>
      <c r="J275" s="42" t="n">
        <v>0</v>
      </c>
      <c r="K275" s="42" t="n">
        <v>0</v>
      </c>
      <c r="M275" s="40">
        <f>A263</f>
        <v/>
      </c>
      <c r="Z275" s="50" t="n"/>
      <c r="AA275" s="65" t="n"/>
      <c r="AB275" s="65" t="n"/>
      <c r="AC275" s="65" t="n"/>
      <c r="AD275" s="65" t="n"/>
      <c r="AE275" s="63" t="n"/>
    </row>
    <row r="276" ht="16.95" customHeight="1" s="52">
      <c r="A276" s="33">
        <f>M264</f>
        <v/>
      </c>
      <c r="C276" s="42" t="n">
        <v>0</v>
      </c>
      <c r="D276" s="42" t="n">
        <v>0</v>
      </c>
      <c r="E276" s="42" t="n">
        <v>0</v>
      </c>
      <c r="F276" s="42" t="n">
        <v>0</v>
      </c>
      <c r="G276" s="42" t="n">
        <v>0</v>
      </c>
      <c r="H276" s="42" t="n">
        <v>0</v>
      </c>
      <c r="I276" s="42" t="n">
        <v>0</v>
      </c>
      <c r="J276" s="42" t="n">
        <v>1</v>
      </c>
      <c r="K276" s="42" t="n">
        <v>0</v>
      </c>
      <c r="M276" s="40">
        <f>A264</f>
        <v/>
      </c>
      <c r="Z276" s="50" t="n"/>
      <c r="AA276" s="65" t="n"/>
      <c r="AB276" s="65" t="n"/>
      <c r="AC276" s="65" t="n"/>
      <c r="AD276" s="65" t="n"/>
      <c r="AE276" s="63" t="n"/>
    </row>
    <row r="277" ht="16.95" customHeight="1" s="52">
      <c r="A277" s="33">
        <f>M265</f>
        <v/>
      </c>
      <c r="C277" s="42" t="n">
        <v>0</v>
      </c>
      <c r="D277" s="42" t="n">
        <v>0</v>
      </c>
      <c r="E277" s="42" t="n">
        <v>0</v>
      </c>
      <c r="F277" s="42" t="n">
        <v>0</v>
      </c>
      <c r="G277" s="42" t="n">
        <v>0</v>
      </c>
      <c r="H277" s="42" t="n">
        <v>0</v>
      </c>
      <c r="I277" s="42" t="n">
        <v>0</v>
      </c>
      <c r="J277" s="42" t="n">
        <v>0</v>
      </c>
      <c r="K277" s="42" t="n">
        <v>1</v>
      </c>
      <c r="M277" s="40">
        <f>A265</f>
        <v/>
      </c>
      <c r="Z277" s="50" t="n"/>
      <c r="AA277" s="65" t="n"/>
      <c r="AB277" s="65" t="n"/>
      <c r="AC277" s="65" t="n"/>
      <c r="AD277" s="65" t="n"/>
      <c r="AE277" s="63" t="n"/>
    </row>
    <row r="278" ht="16.95" customHeight="1" s="52">
      <c r="Z278" s="50" t="n"/>
      <c r="AA278" s="65" t="n"/>
      <c r="AB278" s="65" t="n"/>
      <c r="AC278" s="65" t="n"/>
      <c r="AD278" s="65" t="n"/>
      <c r="AE278" s="63" t="n"/>
    </row>
    <row r="279" ht="16.95" customHeight="1" s="52">
      <c r="C279" s="61" t="inlineStr">
        <is>
          <t>D=MMULT(MIN)*C</t>
        </is>
      </c>
      <c r="D279" s="63" t="n"/>
      <c r="Z279" s="50" t="n"/>
      <c r="AA279" s="65" t="n"/>
      <c r="AB279" s="65" t="n"/>
      <c r="AC279" s="65" t="n"/>
      <c r="AD279" s="65" t="n"/>
      <c r="AE279" s="63" t="n"/>
    </row>
    <row r="280" ht="16.95" customHeight="1" s="52">
      <c r="A280" s="60" t="inlineStr">
        <is>
          <t>D</t>
        </is>
      </c>
      <c r="C280" s="60" t="inlineStr">
        <is>
          <t>MM*C</t>
        </is>
      </c>
      <c r="Z280" s="50" t="n"/>
      <c r="AA280" s="65" t="n"/>
      <c r="AB280" s="65" t="n"/>
      <c r="AC280" s="65" t="n"/>
      <c r="AD280" s="65" t="n"/>
      <c r="AE280" s="63" t="n"/>
    </row>
    <row r="281" ht="16.95" customHeight="1" s="52">
      <c r="A281" s="33">
        <f>A269</f>
        <v/>
      </c>
      <c r="C281" s="43">
        <f t="array" ref="C281:C289">MMULT(C269:K277, M269:M277)</f>
        <v/>
      </c>
      <c r="D281" s="33" t="inlineStr">
        <is>
          <t>cm</t>
        </is>
      </c>
      <c r="Z281" s="50" t="n"/>
      <c r="AA281" s="65" t="n"/>
      <c r="AB281" s="65" t="n"/>
      <c r="AC281" s="65" t="n"/>
      <c r="AD281" s="65" t="n"/>
      <c r="AE281" s="63" t="n"/>
    </row>
    <row r="282" ht="16.95" customHeight="1" s="52">
      <c r="A282" s="33">
        <f>A270</f>
        <v/>
      </c>
      <c r="C282" s="43" t="n">
        <v>0.2547810161460862</v>
      </c>
      <c r="D282" s="33" t="inlineStr">
        <is>
          <t>cm</t>
        </is>
      </c>
      <c r="Z282" s="50" t="n"/>
      <c r="AA282" s="65" t="n"/>
      <c r="AB282" s="65" t="n"/>
      <c r="AC282" s="65" t="n"/>
      <c r="AD282" s="65" t="n"/>
      <c r="AE282" s="63" t="n"/>
    </row>
    <row r="283" ht="16.95" customHeight="1" s="52">
      <c r="A283" s="33">
        <f>A271</f>
        <v/>
      </c>
      <c r="C283" s="43" t="n">
        <v>-0.1528686096876517</v>
      </c>
      <c r="D283" s="33" t="inlineStr">
        <is>
          <t>cm</t>
        </is>
      </c>
      <c r="Z283" s="50" t="n"/>
      <c r="AA283" s="65" t="n"/>
      <c r="AB283" s="65" t="n"/>
      <c r="AC283" s="65" t="n"/>
      <c r="AD283" s="65" t="n"/>
      <c r="AE283" s="63" t="n"/>
    </row>
    <row r="284" ht="16.95" customHeight="1" s="52">
      <c r="A284" s="33">
        <f>A272</f>
        <v/>
      </c>
      <c r="C284" s="43" t="n">
        <v>0</v>
      </c>
      <c r="D284" s="33" t="inlineStr">
        <is>
          <t>cm</t>
        </is>
      </c>
      <c r="Z284" s="50" t="n"/>
      <c r="AA284" s="65" t="n"/>
      <c r="AB284" s="65" t="n"/>
      <c r="AC284" s="65" t="n"/>
      <c r="AD284" s="65" t="n"/>
      <c r="AE284" s="63" t="n"/>
    </row>
    <row r="285" ht="16.95" customHeight="1" s="52">
      <c r="A285" s="33">
        <f>A273</f>
        <v/>
      </c>
      <c r="B285" s="35" t="inlineStr">
        <is>
          <t>=</t>
        </is>
      </c>
      <c r="C285" s="43" t="n">
        <v>0</v>
      </c>
      <c r="D285" s="33" t="inlineStr">
        <is>
          <t>cm</t>
        </is>
      </c>
      <c r="Z285" s="50" t="n"/>
      <c r="AA285" s="65" t="n"/>
      <c r="AB285" s="65" t="n"/>
      <c r="AC285" s="65" t="n"/>
      <c r="AD285" s="65" t="n"/>
      <c r="AE285" s="63" t="n"/>
    </row>
    <row r="286" ht="16.95" customHeight="1" s="52">
      <c r="A286" s="33">
        <f>A274</f>
        <v/>
      </c>
      <c r="C286" s="43" t="n">
        <v>0</v>
      </c>
      <c r="D286" s="33" t="inlineStr">
        <is>
          <t>cm</t>
        </is>
      </c>
      <c r="Z286" s="50" t="n"/>
      <c r="AA286" s="65" t="n"/>
      <c r="AB286" s="65" t="n"/>
      <c r="AC286" s="65" t="n"/>
      <c r="AD286" s="65" t="n"/>
      <c r="AE286" s="63" t="n"/>
    </row>
    <row r="287" ht="16.95" customHeight="1" s="52">
      <c r="A287" s="33">
        <f>A275</f>
        <v/>
      </c>
      <c r="C287" s="43" t="n">
        <v>0</v>
      </c>
      <c r="D287" s="33" t="inlineStr">
        <is>
          <t>cm</t>
        </is>
      </c>
      <c r="Z287" s="50" t="n"/>
      <c r="AA287" s="65" t="n"/>
      <c r="AB287" s="65" t="n"/>
      <c r="AC287" s="65" t="n"/>
      <c r="AD287" s="65" t="n"/>
      <c r="AE287" s="63" t="n"/>
    </row>
    <row r="288" ht="16.95" customHeight="1" s="52">
      <c r="A288" s="33">
        <f>A276</f>
        <v/>
      </c>
      <c r="C288" s="43" t="n">
        <v>0</v>
      </c>
      <c r="D288" s="33" t="inlineStr">
        <is>
          <t>cm</t>
        </is>
      </c>
      <c r="Z288" s="50" t="n"/>
      <c r="AA288" s="65" t="n"/>
      <c r="AB288" s="65" t="n"/>
      <c r="AC288" s="65" t="n"/>
      <c r="AD288" s="65" t="n"/>
      <c r="AE288" s="63" t="n"/>
    </row>
    <row r="289" ht="16.95" customHeight="1" s="52">
      <c r="A289" s="33">
        <f>A277</f>
        <v/>
      </c>
      <c r="C289" s="43" t="n">
        <v>0</v>
      </c>
      <c r="D289" s="33" t="inlineStr">
        <is>
          <t>cm</t>
        </is>
      </c>
      <c r="Z289" s="50" t="n"/>
      <c r="AA289" s="65" t="n"/>
      <c r="AB289" s="65" t="n"/>
      <c r="AC289" s="65" t="n"/>
      <c r="AD289" s="65" t="n"/>
      <c r="AE289" s="63" t="n"/>
    </row>
    <row r="292" ht="19.95" customHeight="1" s="52">
      <c r="A292" s="32" t="inlineStr">
        <is>
          <t>Ecuacion matricial reducida para el calculo de reacciones</t>
        </is>
      </c>
      <c r="Z292" s="53" t="inlineStr">
        <is>
          <t>4. CÁLCULO DE REACCIONES: {R} = [K₂₁] · {D}</t>
        </is>
      </c>
      <c r="AA292" s="65" t="n"/>
      <c r="AB292" s="65" t="n"/>
      <c r="AC292" s="65" t="n"/>
      <c r="AD292" s="65" t="n"/>
      <c r="AE292" s="63" t="n"/>
    </row>
    <row r="293" ht="16.95" customHeight="1" s="52">
      <c r="A293" s="60" t="inlineStr">
        <is>
          <t>C</t>
        </is>
      </c>
      <c r="M293" s="60" t="inlineStr">
        <is>
          <t>D</t>
        </is>
      </c>
      <c r="Z293" s="50" t="inlineStr">
        <is>
          <t>• Submatriz [K21]: Filas de apoyos (D=0) y columnas de grados libres (D≠0).</t>
        </is>
      </c>
      <c r="AA293" s="65" t="n"/>
      <c r="AB293" s="65" t="n"/>
      <c r="AC293" s="65" t="n"/>
      <c r="AD293" s="65" t="n"/>
      <c r="AE293" s="63" t="n"/>
    </row>
    <row r="294" ht="16.95" customHeight="1" s="52">
      <c r="A294" s="44">
        <f>IF($N294="-", "-", IFERROR(INDEX(B$211:B$222, MATCH($N294, C$211:C$222, 0)), "-"))</f>
        <v/>
      </c>
      <c r="C294" s="21">
        <f>IF(OR($N294="-", C$256="-"), 0, IFERROR(INDEX($B$196:$M$207, MATCH($N294, $N$196:$N$207, 0), MATCH(C$256, $B$195:$M$195, 0)), 0))</f>
        <v/>
      </c>
      <c r="D294" s="21">
        <f>IF(OR($N294="-", D$256="-"), 0, IFERROR(INDEX($B$196:$M$207, MATCH($N294, $N$196:$N$207, 0), MATCH(D$256, $B$195:$M$195, 0)), 0))</f>
        <v/>
      </c>
      <c r="E294" s="21">
        <f>IF(OR($N294="-", E$256="-"), 0, IFERROR(INDEX($B$196:$M$207, MATCH($N294, $N$196:$N$207, 0), MATCH(E$256, $B$195:$M$195, 0)), 0))</f>
        <v/>
      </c>
      <c r="F294" s="21">
        <f>IF(OR($N294="-", F$256="-"), 0, IFERROR(INDEX($B$196:$M$207, MATCH($N294, $N$196:$N$207, 0), MATCH(F$256, $B$195:$M$195, 0)), 0))</f>
        <v/>
      </c>
      <c r="G294" s="21">
        <f>IF(OR($N294="-", G$256="-"), 0, IFERROR(INDEX($B$196:$M$207, MATCH($N294, $N$196:$N$207, 0), MATCH(G$256, $B$195:$M$195, 0)), 0))</f>
        <v/>
      </c>
      <c r="H294" s="21">
        <f>IF(OR($N294="-", H$256="-"), 0, IFERROR(INDEX($B$196:$M$207, MATCH($N294, $N$196:$N$207, 0), MATCH(H$256, $B$195:$M$195, 0)), 0))</f>
        <v/>
      </c>
      <c r="I294" s="21">
        <f>IF(OR($N294="-", I$256="-"), 0, IFERROR(INDEX($B$196:$M$207, MATCH($N294, $N$196:$N$207, 0), MATCH(I$256, $B$195:$M$195, 0)), 0))</f>
        <v/>
      </c>
      <c r="J294" s="21">
        <f>IF(OR($N294="-", J$256="-"), 0, IFERROR(INDEX($B$196:$M$207, MATCH($N294, $N$196:$N$207, 0), MATCH(J$256, $B$195:$M$195, 0)), 0))</f>
        <v/>
      </c>
      <c r="K294" s="21">
        <f>IF(OR($N294="-", K$256="-"), 0, IFERROR(INDEX($B$196:$M$207, MATCH($N294, $N$196:$N$207, 0), MATCH(K$256, $B$195:$M$195, 0)), 0))</f>
        <v/>
      </c>
      <c r="M294" s="45">
        <f>C281</f>
        <v/>
      </c>
      <c r="N294" s="36">
        <f>IFERROR(INDEX(C$225:C$236, MATCH(1, G$225:G$236, 0)), "-")</f>
        <v/>
      </c>
      <c r="Z294" s="50" t="inlineStr">
        <is>
          <t>• Multiplicación [MMULT]: {R} = [K21] · {D_libres} genera las reacciones en cada apoyo en Kgf.</t>
        </is>
      </c>
      <c r="AA294" s="65" t="n"/>
      <c r="AB294" s="65" t="n"/>
      <c r="AC294" s="65" t="n"/>
      <c r="AD294" s="65" t="n"/>
      <c r="AE294" s="63" t="n"/>
    </row>
    <row r="295" ht="16.95" customHeight="1" s="52">
      <c r="A295" s="44">
        <f>IF($N295="-", "-", IFERROR(INDEX(B$211:B$222, MATCH($N295, C$211:C$222, 0)), "-"))</f>
        <v/>
      </c>
      <c r="B295" s="35" t="inlineStr">
        <is>
          <t>=</t>
        </is>
      </c>
      <c r="C295" s="21">
        <f>IF(OR($N295="-", C$256="-"), 0, IFERROR(INDEX($B$196:$M$207, MATCH($N295, $N$196:$N$207, 0), MATCH(C$256, $B$195:$M$195, 0)), 0))</f>
        <v/>
      </c>
      <c r="D295" s="21">
        <f>IF(OR($N295="-", D$256="-"), 0, IFERROR(INDEX($B$196:$M$207, MATCH($N295, $N$196:$N$207, 0), MATCH(D$256, $B$195:$M$195, 0)), 0))</f>
        <v/>
      </c>
      <c r="E295" s="21">
        <f>IF(OR($N295="-", E$256="-"), 0, IFERROR(INDEX($B$196:$M$207, MATCH($N295, $N$196:$N$207, 0), MATCH(E$256, $B$195:$M$195, 0)), 0))</f>
        <v/>
      </c>
      <c r="F295" s="21">
        <f>IF(OR($N295="-", F$256="-"), 0, IFERROR(INDEX($B$196:$M$207, MATCH($N295, $N$196:$N$207, 0), MATCH(F$256, $B$195:$M$195, 0)), 0))</f>
        <v/>
      </c>
      <c r="G295" s="21">
        <f>IF(OR($N295="-", G$256="-"), 0, IFERROR(INDEX($B$196:$M$207, MATCH($N295, $N$196:$N$207, 0), MATCH(G$256, $B$195:$M$195, 0)), 0))</f>
        <v/>
      </c>
      <c r="H295" s="21">
        <f>IF(OR($N295="-", H$256="-"), 0, IFERROR(INDEX($B$196:$M$207, MATCH($N295, $N$196:$N$207, 0), MATCH(H$256, $B$195:$M$195, 0)), 0))</f>
        <v/>
      </c>
      <c r="I295" s="21">
        <f>IF(OR($N295="-", I$256="-"), 0, IFERROR(INDEX($B$196:$M$207, MATCH($N295, $N$196:$N$207, 0), MATCH(I$256, $B$195:$M$195, 0)), 0))</f>
        <v/>
      </c>
      <c r="J295" s="21">
        <f>IF(OR($N295="-", J$256="-"), 0, IFERROR(INDEX($B$196:$M$207, MATCH($N295, $N$196:$N$207, 0), MATCH(J$256, $B$195:$M$195, 0)), 0))</f>
        <v/>
      </c>
      <c r="K295" s="21">
        <f>IF(OR($N295="-", K$256="-"), 0, IFERROR(INDEX($B$196:$M$207, MATCH($N295, $N$196:$N$207, 0), MATCH(K$256, $B$195:$M$195, 0)), 0))</f>
        <v/>
      </c>
      <c r="M295" s="45">
        <f>C282</f>
        <v/>
      </c>
      <c r="N295" s="36">
        <f>IFERROR(INDEX(C$225:C$236, MATCH(2, G$225:G$236, 0)), "-")</f>
        <v/>
      </c>
      <c r="Z295" s="50" t="inlineStr">
        <is>
          <t>• Verificación de Equilibrio Global: ∑ Fx = 0  y  ∑ Fy = 0 (Equilibrio estático exacto).</t>
        </is>
      </c>
      <c r="AA295" s="65" t="n"/>
      <c r="AB295" s="65" t="n"/>
      <c r="AC295" s="65" t="n"/>
      <c r="AD295" s="65" t="n"/>
      <c r="AE295" s="63" t="n"/>
    </row>
    <row r="296" ht="16.95" customHeight="1" s="52">
      <c r="A296" s="44">
        <f>IF($N296="-", "-", IFERROR(INDEX(B$211:B$222, MATCH($N296, C$211:C$222, 0)), "-"))</f>
        <v/>
      </c>
      <c r="C296" s="21">
        <f>IF(OR($N296="-", C$256="-"), 0, IFERROR(INDEX($B$196:$M$207, MATCH($N296, $N$196:$N$207, 0), MATCH(C$256, $B$195:$M$195, 0)), 0))</f>
        <v/>
      </c>
      <c r="D296" s="21">
        <f>IF(OR($N296="-", D$256="-"), 0, IFERROR(INDEX($B$196:$M$207, MATCH($N296, $N$196:$N$207, 0), MATCH(D$256, $B$195:$M$195, 0)), 0))</f>
        <v/>
      </c>
      <c r="E296" s="21">
        <f>IF(OR($N296="-", E$256="-"), 0, IFERROR(INDEX($B$196:$M$207, MATCH($N296, $N$196:$N$207, 0), MATCH(E$256, $B$195:$M$195, 0)), 0))</f>
        <v/>
      </c>
      <c r="F296" s="21">
        <f>IF(OR($N296="-", F$256="-"), 0, IFERROR(INDEX($B$196:$M$207, MATCH($N296, $N$196:$N$207, 0), MATCH(F$256, $B$195:$M$195, 0)), 0))</f>
        <v/>
      </c>
      <c r="G296" s="21">
        <f>IF(OR($N296="-", G$256="-"), 0, IFERROR(INDEX($B$196:$M$207, MATCH($N296, $N$196:$N$207, 0), MATCH(G$256, $B$195:$M$195, 0)), 0))</f>
        <v/>
      </c>
      <c r="H296" s="21">
        <f>IF(OR($N296="-", H$256="-"), 0, IFERROR(INDEX($B$196:$M$207, MATCH($N296, $N$196:$N$207, 0), MATCH(H$256, $B$195:$M$195, 0)), 0))</f>
        <v/>
      </c>
      <c r="I296" s="21">
        <f>IF(OR($N296="-", I$256="-"), 0, IFERROR(INDEX($B$196:$M$207, MATCH($N296, $N$196:$N$207, 0), MATCH(I$256, $B$195:$M$195, 0)), 0))</f>
        <v/>
      </c>
      <c r="J296" s="21">
        <f>IF(OR($N296="-", J$256="-"), 0, IFERROR(INDEX($B$196:$M$207, MATCH($N296, $N$196:$N$207, 0), MATCH(J$256, $B$195:$M$195, 0)), 0))</f>
        <v/>
      </c>
      <c r="K296" s="21">
        <f>IF(OR($N296="-", K$256="-"), 0, IFERROR(INDEX($B$196:$M$207, MATCH($N296, $N$196:$N$207, 0), MATCH(K$256, $B$195:$M$195, 0)), 0))</f>
        <v/>
      </c>
      <c r="M296" s="45">
        <f>C283</f>
        <v/>
      </c>
      <c r="N296" s="36">
        <f>IFERROR(INDEX(C$225:C$236, MATCH(3, G$225:G$236, 0)), "-")</f>
        <v/>
      </c>
      <c r="Z296" s="50" t="n"/>
      <c r="AA296" s="65" t="n"/>
      <c r="AB296" s="65" t="n"/>
      <c r="AC296" s="65" t="n"/>
      <c r="AD296" s="65" t="n"/>
      <c r="AE296" s="63" t="n"/>
    </row>
    <row r="297" ht="16.95" customHeight="1" s="52">
      <c r="M297" s="45">
        <f>C284</f>
        <v/>
      </c>
      <c r="Z297" s="50" t="n"/>
      <c r="AA297" s="65" t="n"/>
      <c r="AB297" s="65" t="n"/>
      <c r="AC297" s="65" t="n"/>
      <c r="AD297" s="65" t="n"/>
      <c r="AE297" s="63" t="n"/>
    </row>
    <row r="298" ht="16.95" customHeight="1" s="52">
      <c r="M298" s="45">
        <f>C285</f>
        <v/>
      </c>
      <c r="Z298" s="50" t="n"/>
      <c r="AA298" s="65" t="n"/>
      <c r="AB298" s="65" t="n"/>
      <c r="AC298" s="65" t="n"/>
      <c r="AD298" s="65" t="n"/>
      <c r="AE298" s="63" t="n"/>
    </row>
    <row r="299" ht="16.95" customHeight="1" s="52">
      <c r="M299" s="45">
        <f>C286</f>
        <v/>
      </c>
      <c r="Z299" s="50" t="n"/>
      <c r="AA299" s="65" t="n"/>
      <c r="AB299" s="65" t="n"/>
      <c r="AC299" s="65" t="n"/>
      <c r="AD299" s="65" t="n"/>
      <c r="AE299" s="63" t="n"/>
    </row>
    <row r="300" ht="16.95" customHeight="1" s="52">
      <c r="M300" s="45">
        <f>C287</f>
        <v/>
      </c>
      <c r="Z300" s="50" t="n"/>
      <c r="AA300" s="65" t="n"/>
      <c r="AB300" s="65" t="n"/>
      <c r="AC300" s="65" t="n"/>
      <c r="AD300" s="65" t="n"/>
      <c r="AE300" s="63" t="n"/>
    </row>
    <row r="301" ht="16.95" customHeight="1" s="52">
      <c r="M301" s="45">
        <f>C288</f>
        <v/>
      </c>
      <c r="Z301" s="50" t="n"/>
      <c r="AA301" s="65" t="n"/>
      <c r="AB301" s="65" t="n"/>
      <c r="AC301" s="65" t="n"/>
      <c r="AD301" s="65" t="n"/>
      <c r="AE301" s="63" t="n"/>
    </row>
    <row r="302" ht="16.95" customHeight="1" s="52">
      <c r="M302" s="45">
        <f>C289</f>
        <v/>
      </c>
      <c r="Z302" s="50" t="n"/>
      <c r="AA302" s="65" t="n"/>
      <c r="AB302" s="65" t="n"/>
      <c r="AC302" s="65" t="n"/>
      <c r="AD302" s="65" t="n"/>
      <c r="AE302" s="63" t="n"/>
    </row>
    <row r="303" ht="16.95" customHeight="1" s="52">
      <c r="Z303" s="50" t="n"/>
      <c r="AA303" s="65" t="n"/>
      <c r="AB303" s="65" t="n"/>
      <c r="AC303" s="65" t="n"/>
      <c r="AD303" s="65" t="n"/>
      <c r="AE303" s="63" t="n"/>
    </row>
    <row r="304" ht="16.95" customHeight="1" s="52">
      <c r="A304" s="33">
        <f>A294</f>
        <v/>
      </c>
      <c r="C304" s="40">
        <f t="array" ref="C304:C306">MMULT(C294:K296, M294:M302)</f>
        <v/>
      </c>
      <c r="D304" s="33" t="inlineStr">
        <is>
          <t>Kgf</t>
        </is>
      </c>
      <c r="Z304" s="50" t="n"/>
      <c r="AA304" s="65" t="n"/>
      <c r="AB304" s="65" t="n"/>
      <c r="AC304" s="65" t="n"/>
      <c r="AD304" s="65" t="n"/>
      <c r="AE304" s="63" t="n"/>
    </row>
    <row r="305" ht="16.95" customHeight="1" s="52">
      <c r="A305" s="33">
        <f>A295</f>
        <v/>
      </c>
      <c r="B305" s="35" t="inlineStr">
        <is>
          <t>=</t>
        </is>
      </c>
      <c r="C305" s="40" t="n">
        <v>-4000</v>
      </c>
      <c r="D305" s="33" t="inlineStr">
        <is>
          <t>Kgf</t>
        </is>
      </c>
      <c r="Z305" s="50" t="n"/>
      <c r="AA305" s="65" t="n"/>
      <c r="AB305" s="65" t="n"/>
      <c r="AC305" s="65" t="n"/>
      <c r="AD305" s="65" t="n"/>
      <c r="AE305" s="63" t="n"/>
    </row>
    <row r="306" ht="16.95" customHeight="1" s="52">
      <c r="A306" s="33">
        <f>A296</f>
        <v/>
      </c>
      <c r="C306" s="40" t="n">
        <v>0</v>
      </c>
      <c r="D306" s="33" t="inlineStr">
        <is>
          <t>Kgf</t>
        </is>
      </c>
      <c r="Z306" s="50" t="n"/>
      <c r="AA306" s="65" t="n"/>
      <c r="AB306" s="65" t="n"/>
      <c r="AC306" s="65" t="n"/>
      <c r="AD306" s="65" t="n"/>
      <c r="AE306" s="63" t="n"/>
    </row>
    <row r="309" ht="19.95" customHeight="1" s="52">
      <c r="A309" s="32" t="inlineStr">
        <is>
          <t>Matriz de desplazamientos total</t>
        </is>
      </c>
    </row>
    <row r="311" ht="19.05" customHeight="1" s="52">
      <c r="A311" s="33" t="inlineStr">
        <is>
          <t>D1X</t>
        </is>
      </c>
      <c r="B311" s="33" t="inlineStr">
        <is>
          <t>U1X</t>
        </is>
      </c>
      <c r="D311" s="43">
        <f>IFERROR(INDEX(C$281:C$289, MATCH(A311, A$281:A$289, 0)), 0)</f>
        <v/>
      </c>
    </row>
    <row r="312" ht="19.05" customHeight="1" s="52">
      <c r="A312" s="33" t="inlineStr">
        <is>
          <t>D1Y</t>
        </is>
      </c>
      <c r="B312" s="33" t="inlineStr">
        <is>
          <t>U1Y</t>
        </is>
      </c>
      <c r="D312" s="43">
        <f>IFERROR(INDEX(C$281:C$289, MATCH(A312, A$281:A$289, 0)), 0)</f>
        <v/>
      </c>
    </row>
    <row r="313" ht="19.05" customHeight="1" s="52">
      <c r="A313" s="33" t="inlineStr">
        <is>
          <t>D2X</t>
        </is>
      </c>
      <c r="B313" s="33" t="inlineStr">
        <is>
          <t>U2X</t>
        </is>
      </c>
      <c r="D313" s="43">
        <f>IFERROR(INDEX(C$281:C$289, MATCH(A313, A$281:A$289, 0)), 0)</f>
        <v/>
      </c>
    </row>
    <row r="314" ht="19.05" customHeight="1" s="52">
      <c r="A314" s="33" t="inlineStr">
        <is>
          <t>D2Y</t>
        </is>
      </c>
      <c r="B314" s="33" t="inlineStr">
        <is>
          <t>U2Y</t>
        </is>
      </c>
      <c r="D314" s="43">
        <f>IFERROR(INDEX(C$281:C$289, MATCH(A314, A$281:A$289, 0)), 0)</f>
        <v/>
      </c>
    </row>
    <row r="315" ht="19.05" customHeight="1" s="52">
      <c r="A315" s="33" t="inlineStr">
        <is>
          <t>D3X</t>
        </is>
      </c>
      <c r="B315" s="33" t="inlineStr">
        <is>
          <t>U3X</t>
        </is>
      </c>
      <c r="D315" s="43">
        <f>IFERROR(INDEX(C$281:C$289, MATCH(A315, A$281:A$289, 0)), 0)</f>
        <v/>
      </c>
    </row>
    <row r="316" ht="19.05" customHeight="1" s="52">
      <c r="A316" s="33" t="inlineStr">
        <is>
          <t>D3Y</t>
        </is>
      </c>
      <c r="B316" s="33" t="inlineStr">
        <is>
          <t>U3Y</t>
        </is>
      </c>
      <c r="D316" s="43">
        <f>IFERROR(INDEX(C$281:C$289, MATCH(A316, A$281:A$289, 0)), 0)</f>
        <v/>
      </c>
    </row>
    <row r="317" ht="19.05" customHeight="1" s="52">
      <c r="A317" s="33" t="inlineStr">
        <is>
          <t>D4X</t>
        </is>
      </c>
      <c r="B317" s="33" t="inlineStr">
        <is>
          <t>U4X</t>
        </is>
      </c>
      <c r="D317" s="43">
        <f>IFERROR(INDEX(C$281:C$289, MATCH(A317, A$281:A$289, 0)), 0)</f>
        <v/>
      </c>
    </row>
    <row r="318" ht="19.05" customHeight="1" s="52">
      <c r="A318" s="33" t="inlineStr">
        <is>
          <t>D4Y</t>
        </is>
      </c>
      <c r="B318" s="33" t="inlineStr">
        <is>
          <t>U4Y</t>
        </is>
      </c>
      <c r="D318" s="43">
        <f>IFERROR(INDEX(C$281:C$289, MATCH(A318, A$281:A$289, 0)), 0)</f>
        <v/>
      </c>
    </row>
    <row r="319" ht="19.05" customHeight="1" s="52">
      <c r="A319" s="33" t="inlineStr">
        <is>
          <t>D5X</t>
        </is>
      </c>
      <c r="B319" s="33" t="inlineStr">
        <is>
          <t>U5X</t>
        </is>
      </c>
      <c r="D319" s="43">
        <f>IFERROR(INDEX(C$281:C$289, MATCH(A319, A$281:A$289, 0)), 0)</f>
        <v/>
      </c>
    </row>
    <row r="320" ht="19.05" customHeight="1" s="52">
      <c r="A320" s="33" t="inlineStr">
        <is>
          <t>D5Y</t>
        </is>
      </c>
      <c r="B320" s="33" t="inlineStr">
        <is>
          <t>U5Y</t>
        </is>
      </c>
      <c r="D320" s="43">
        <f>IFERROR(INDEX(C$281:C$289, MATCH(A320, A$281:A$289, 0)), 0)</f>
        <v/>
      </c>
    </row>
    <row r="321" ht="19.05" customHeight="1" s="52">
      <c r="A321" s="33" t="inlineStr">
        <is>
          <t>D6X</t>
        </is>
      </c>
      <c r="B321" s="33" t="inlineStr">
        <is>
          <t>U6X</t>
        </is>
      </c>
      <c r="D321" s="43">
        <f>IFERROR(INDEX(C$281:C$289, MATCH(A321, A$281:A$289, 0)), 0)</f>
        <v/>
      </c>
    </row>
    <row r="322" ht="19.05" customHeight="1" s="52">
      <c r="A322" s="33" t="inlineStr">
        <is>
          <t>D6Y</t>
        </is>
      </c>
      <c r="B322" s="33" t="inlineStr">
        <is>
          <t>U6Y</t>
        </is>
      </c>
      <c r="D322" s="43">
        <f>IFERROR(INDEX(C$281:C$289, MATCH(A322, A$281:A$289, 0)), 0)</f>
        <v/>
      </c>
    </row>
    <row r="325" ht="19.95" customHeight="1" s="52">
      <c r="A325" s="32" t="inlineStr">
        <is>
          <t>Calculo de las fuerzas</t>
        </is>
      </c>
      <c r="Z325" s="53" t="inlineStr">
        <is>
          <t>5. CÁLCULO DE FUERZAS EN BARRAS: {Fₘ} = (AE/L) · [-cx, -cy, cx, cy] · {D}</t>
        </is>
      </c>
      <c r="AA325" s="65" t="n"/>
      <c r="AB325" s="65" t="n"/>
      <c r="AC325" s="65" t="n"/>
      <c r="AD325" s="65" t="n"/>
      <c r="AE325" s="63" t="n"/>
    </row>
    <row r="326" ht="16.95" customHeight="1" s="52">
      <c r="Z326" s="50" t="inlineStr">
        <is>
          <t>• Fila de Signos [-cx, -cy, +cx, +cy]: Deformación axial relativa de la barra m.</t>
        </is>
      </c>
      <c r="AA326" s="65" t="n"/>
      <c r="AB326" s="65" t="n"/>
      <c r="AC326" s="65" t="n"/>
      <c r="AD326" s="65" t="n"/>
      <c r="AE326" s="63" t="n"/>
    </row>
    <row r="327" ht="16.95" customHeight="1" s="52">
      <c r="A327" s="46" t="inlineStr">
        <is>
          <t>AE/L</t>
        </is>
      </c>
      <c r="C327" s="46" t="inlineStr">
        <is>
          <t>cx</t>
        </is>
      </c>
      <c r="D327" s="46" t="inlineStr">
        <is>
          <t>cy</t>
        </is>
      </c>
      <c r="E327" s="46" t="inlineStr">
        <is>
          <t>cx</t>
        </is>
      </c>
      <c r="F327" s="46" t="inlineStr">
        <is>
          <t>cy</t>
        </is>
      </c>
      <c r="G327" s="46" t="inlineStr">
        <is>
          <t>D</t>
        </is>
      </c>
      <c r="Z327" s="50" t="inlineStr">
        <is>
          <t>• Fuerza Axial F_m: Obtenida mediante =(MMULT(C:F, G:G)*A) vinculada a los nudos reales.</t>
        </is>
      </c>
      <c r="AA327" s="65" t="n"/>
      <c r="AB327" s="65" t="n"/>
      <c r="AC327" s="65" t="n"/>
      <c r="AD327" s="65" t="n"/>
      <c r="AE327" s="63" t="n"/>
    </row>
    <row r="328" ht="16.95" customHeight="1" s="52">
      <c r="C328" s="46" t="inlineStr">
        <is>
          <t>-</t>
        </is>
      </c>
      <c r="D328" s="46" t="inlineStr">
        <is>
          <t>-</t>
        </is>
      </c>
      <c r="E328" s="46" t="inlineStr">
        <is>
          <t>+</t>
        </is>
      </c>
      <c r="F328" s="46" t="inlineStr">
        <is>
          <t>+</t>
        </is>
      </c>
      <c r="Z328" s="50" t="inlineStr">
        <is>
          <t>• Diagnóstico de Estado: Tracción (+), Compresión (-) o Fuerza Nula.</t>
        </is>
      </c>
      <c r="AA328" s="65" t="n"/>
      <c r="AB328" s="65" t="n"/>
      <c r="AC328" s="65" t="n"/>
      <c r="AD328" s="65" t="n"/>
      <c r="AE328" s="63" t="n"/>
    </row>
    <row r="329" ht="16.95" customHeight="1" s="52">
      <c r="A329" s="40">
        <f>N6</f>
        <v/>
      </c>
      <c r="C329" s="47">
        <f>IF(J6="","", -J6)</f>
        <v/>
      </c>
      <c r="D329" s="47">
        <f>IF(K6="","", -K6)</f>
        <v/>
      </c>
      <c r="E329" s="47">
        <f>IF(J6="","", J6)</f>
        <v/>
      </c>
      <c r="F329" s="47">
        <f>IF(K6="","", K6)</f>
        <v/>
      </c>
      <c r="G329" s="48">
        <f>IF(H329="","", IFERROR(VLOOKUP(H329, A$311:D$322, 4, FALSE), 0))</f>
        <v/>
      </c>
      <c r="H329" s="33">
        <f>IF(C17="","", "D" &amp; C17 &amp; "X")</f>
        <v/>
      </c>
      <c r="Z329" s="50" t="n"/>
      <c r="AA329" s="65" t="n"/>
      <c r="AB329" s="65" t="n"/>
      <c r="AC329" s="65" t="n"/>
      <c r="AD329" s="65" t="n"/>
      <c r="AE329" s="63" t="n"/>
    </row>
    <row r="330" ht="16.95" customHeight="1" s="52">
      <c r="A330" s="60" t="inlineStr">
        <is>
          <t>F1=</t>
        </is>
      </c>
      <c r="B330" s="49">
        <f>IF(OR(A329=0, C17=""), 0, (MMULT(C329:F329, G329:G332)*A329))</f>
        <v/>
      </c>
      <c r="G330" s="48">
        <f>IF(H330="","", IFERROR(VLOOKUP(H330, A$311:D$322, 4, FALSE), 0))</f>
        <v/>
      </c>
      <c r="H330" s="33">
        <f>IF(C17="","", "D" &amp; C17 &amp; "Y")</f>
        <v/>
      </c>
      <c r="Z330" s="50" t="n"/>
      <c r="AA330" s="65" t="n"/>
      <c r="AB330" s="65" t="n"/>
      <c r="AC330" s="65" t="n"/>
      <c r="AD330" s="65" t="n"/>
      <c r="AE330" s="63" t="n"/>
    </row>
    <row r="331" ht="16.95" customHeight="1" s="52">
      <c r="G331" s="48">
        <f>IF(H331="","", IFERROR(VLOOKUP(H331, A$311:D$322, 4, FALSE), 0))</f>
        <v/>
      </c>
      <c r="H331" s="33">
        <f>IF(F17="","", "D" &amp; F17 &amp; "X")</f>
        <v/>
      </c>
      <c r="Z331" s="50" t="n"/>
      <c r="AA331" s="65" t="n"/>
      <c r="AB331" s="65" t="n"/>
      <c r="AC331" s="65" t="n"/>
      <c r="AD331" s="65" t="n"/>
      <c r="AE331" s="63" t="n"/>
    </row>
    <row r="332" ht="16.95" customHeight="1" s="52">
      <c r="G332" s="48">
        <f>IF(H332="","", IFERROR(VLOOKUP(H332, A$311:D$322, 4, FALSE), 0))</f>
        <v/>
      </c>
      <c r="H332" s="33">
        <f>IF(F17="","", "D" &amp; F17 &amp; "Y")</f>
        <v/>
      </c>
      <c r="Z332" s="50" t="n"/>
      <c r="AA332" s="65" t="n"/>
      <c r="AB332" s="65" t="n"/>
      <c r="AC332" s="65" t="n"/>
      <c r="AD332" s="65" t="n"/>
      <c r="AE332" s="63" t="n"/>
    </row>
    <row r="333" ht="16.95" customHeight="1" s="52">
      <c r="B333" s="60" t="inlineStr">
        <is>
          <t>Kgf</t>
        </is>
      </c>
      <c r="C333" s="56">
        <f>IF(C17="","", IF(B330&gt;0.001,"BARRA A TRACCIÓN (+)",IF(B330&lt;-0.001,"BARRA A COMPRESIÓN (-)","BARRA DE FUERZA NULA")))</f>
        <v/>
      </c>
      <c r="D333" s="65" t="n"/>
      <c r="E333" s="65" t="n"/>
      <c r="F333" s="63" t="n"/>
      <c r="Z333" s="50" t="n"/>
      <c r="AA333" s="65" t="n"/>
      <c r="AB333" s="65" t="n"/>
      <c r="AC333" s="65" t="n"/>
      <c r="AD333" s="65" t="n"/>
      <c r="AE333" s="63" t="n"/>
    </row>
    <row r="334" ht="16.95" customHeight="1" s="52">
      <c r="Z334" s="50" t="n"/>
      <c r="AA334" s="65" t="n"/>
      <c r="AB334" s="65" t="n"/>
      <c r="AC334" s="65" t="n"/>
      <c r="AD334" s="65" t="n"/>
      <c r="AE334" s="63" t="n"/>
    </row>
    <row r="335" ht="16.95" customHeight="1" s="52">
      <c r="A335" s="46" t="inlineStr">
        <is>
          <t>AE/L</t>
        </is>
      </c>
      <c r="C335" s="46" t="inlineStr">
        <is>
          <t>cx</t>
        </is>
      </c>
      <c r="D335" s="46" t="inlineStr">
        <is>
          <t>cy</t>
        </is>
      </c>
      <c r="E335" s="46" t="inlineStr">
        <is>
          <t>cx</t>
        </is>
      </c>
      <c r="F335" s="46" t="inlineStr">
        <is>
          <t>cy</t>
        </is>
      </c>
      <c r="G335" s="46" t="inlineStr">
        <is>
          <t>D</t>
        </is>
      </c>
      <c r="Z335" s="50" t="n"/>
      <c r="AA335" s="65" t="n"/>
      <c r="AB335" s="65" t="n"/>
      <c r="AC335" s="65" t="n"/>
      <c r="AD335" s="65" t="n"/>
      <c r="AE335" s="63" t="n"/>
    </row>
    <row r="336" ht="16.95" customHeight="1" s="52">
      <c r="C336" s="46" t="inlineStr">
        <is>
          <t>-</t>
        </is>
      </c>
      <c r="D336" s="46" t="inlineStr">
        <is>
          <t>-</t>
        </is>
      </c>
      <c r="E336" s="46" t="inlineStr">
        <is>
          <t>+</t>
        </is>
      </c>
      <c r="F336" s="46" t="inlineStr">
        <is>
          <t>+</t>
        </is>
      </c>
      <c r="Z336" s="50" t="n"/>
      <c r="AA336" s="65" t="n"/>
      <c r="AB336" s="65" t="n"/>
      <c r="AC336" s="65" t="n"/>
      <c r="AD336" s="65" t="n"/>
      <c r="AE336" s="63" t="n"/>
    </row>
    <row r="337" ht="16.95" customHeight="1" s="52">
      <c r="A337" s="40">
        <f>N7</f>
        <v/>
      </c>
      <c r="C337" s="47">
        <f>IF(J7="","", -J7)</f>
        <v/>
      </c>
      <c r="D337" s="47">
        <f>IF(K7="","", -K7)</f>
        <v/>
      </c>
      <c r="E337" s="47">
        <f>IF(J7="","", J7)</f>
        <v/>
      </c>
      <c r="F337" s="47">
        <f>IF(K7="","", K7)</f>
        <v/>
      </c>
      <c r="G337" s="48">
        <f>IF(H337="","", IFERROR(VLOOKUP(H337, A$311:D$322, 4, FALSE), 0))</f>
        <v/>
      </c>
      <c r="H337" s="33">
        <f>IF(C18="","", "D" &amp; C18 &amp; "X")</f>
        <v/>
      </c>
      <c r="Z337" s="50" t="n"/>
      <c r="AA337" s="65" t="n"/>
      <c r="AB337" s="65" t="n"/>
      <c r="AC337" s="65" t="n"/>
      <c r="AD337" s="65" t="n"/>
      <c r="AE337" s="63" t="n"/>
    </row>
    <row r="338" ht="16.95" customHeight="1" s="52">
      <c r="A338" s="60" t="inlineStr">
        <is>
          <t>F2=</t>
        </is>
      </c>
      <c r="B338" s="49">
        <f>IF(OR(A337=0, C18=""), 0, (MMULT(C337:F337, G337:G340)*A337))</f>
        <v/>
      </c>
      <c r="G338" s="48">
        <f>IF(H338="","", IFERROR(VLOOKUP(H338, A$311:D$322, 4, FALSE), 0))</f>
        <v/>
      </c>
      <c r="H338" s="33">
        <f>IF(C18="","", "D" &amp; C18 &amp; "Y")</f>
        <v/>
      </c>
      <c r="Z338" s="50" t="n"/>
      <c r="AA338" s="65" t="n"/>
      <c r="AB338" s="65" t="n"/>
      <c r="AC338" s="65" t="n"/>
      <c r="AD338" s="65" t="n"/>
      <c r="AE338" s="63" t="n"/>
    </row>
    <row r="339" ht="16.95" customHeight="1" s="52">
      <c r="G339" s="48">
        <f>IF(H339="","", IFERROR(VLOOKUP(H339, A$311:D$322, 4, FALSE), 0))</f>
        <v/>
      </c>
      <c r="H339" s="33">
        <f>IF(F18="","", "D" &amp; F18 &amp; "X")</f>
        <v/>
      </c>
      <c r="Z339" s="50" t="n"/>
      <c r="AA339" s="65" t="n"/>
      <c r="AB339" s="65" t="n"/>
      <c r="AC339" s="65" t="n"/>
      <c r="AD339" s="65" t="n"/>
      <c r="AE339" s="63" t="n"/>
    </row>
    <row r="340" ht="16.95" customHeight="1" s="52">
      <c r="G340" s="48">
        <f>IF(H340="","", IFERROR(VLOOKUP(H340, A$311:D$322, 4, FALSE), 0))</f>
        <v/>
      </c>
      <c r="H340" s="33">
        <f>IF(F18="","", "D" &amp; F18 &amp; "Y")</f>
        <v/>
      </c>
      <c r="Z340" s="50" t="n"/>
      <c r="AA340" s="65" t="n"/>
      <c r="AB340" s="65" t="n"/>
      <c r="AC340" s="65" t="n"/>
      <c r="AD340" s="65" t="n"/>
      <c r="AE340" s="63" t="n"/>
    </row>
    <row r="341" ht="16.95" customHeight="1" s="52">
      <c r="B341" s="60" t="inlineStr">
        <is>
          <t>Kgf</t>
        </is>
      </c>
      <c r="C341" s="56">
        <f>IF(C18="","", IF(B338&gt;0.001,"BARRA A TRACCIÓN (+)",IF(B338&lt;-0.001,"BARRA A COMPRESIÓN (-)","BARRA DE FUERZA NULA")))</f>
        <v/>
      </c>
      <c r="D341" s="65" t="n"/>
      <c r="E341" s="65" t="n"/>
      <c r="F341" s="63" t="n"/>
      <c r="Z341" s="50" t="n"/>
      <c r="AA341" s="65" t="n"/>
      <c r="AB341" s="65" t="n"/>
      <c r="AC341" s="65" t="n"/>
      <c r="AD341" s="65" t="n"/>
      <c r="AE341" s="63" t="n"/>
    </row>
    <row r="342" ht="16.95" customHeight="1" s="52">
      <c r="Z342" s="50" t="n"/>
      <c r="AA342" s="65" t="n"/>
      <c r="AB342" s="65" t="n"/>
      <c r="AC342" s="65" t="n"/>
      <c r="AD342" s="65" t="n"/>
      <c r="AE342" s="63" t="n"/>
    </row>
    <row r="343" ht="16.95" customHeight="1" s="52">
      <c r="A343" s="46" t="inlineStr">
        <is>
          <t>AE/L</t>
        </is>
      </c>
      <c r="C343" s="46" t="inlineStr">
        <is>
          <t>cx</t>
        </is>
      </c>
      <c r="D343" s="46" t="inlineStr">
        <is>
          <t>cy</t>
        </is>
      </c>
      <c r="E343" s="46" t="inlineStr">
        <is>
          <t>cx</t>
        </is>
      </c>
      <c r="F343" s="46" t="inlineStr">
        <is>
          <t>cy</t>
        </is>
      </c>
      <c r="G343" s="46" t="inlineStr">
        <is>
          <t>D</t>
        </is>
      </c>
      <c r="Z343" s="50" t="n"/>
      <c r="AA343" s="65" t="n"/>
      <c r="AB343" s="65" t="n"/>
      <c r="AC343" s="65" t="n"/>
      <c r="AD343" s="65" t="n"/>
      <c r="AE343" s="63" t="n"/>
    </row>
    <row r="344" ht="16.95" customHeight="1" s="52">
      <c r="C344" s="46" t="inlineStr">
        <is>
          <t>-</t>
        </is>
      </c>
      <c r="D344" s="46" t="inlineStr">
        <is>
          <t>-</t>
        </is>
      </c>
      <c r="E344" s="46" t="inlineStr">
        <is>
          <t>+</t>
        </is>
      </c>
      <c r="F344" s="46" t="inlineStr">
        <is>
          <t>+</t>
        </is>
      </c>
      <c r="Z344" s="50" t="n"/>
      <c r="AA344" s="65" t="n"/>
      <c r="AB344" s="65" t="n"/>
      <c r="AC344" s="65" t="n"/>
      <c r="AD344" s="65" t="n"/>
      <c r="AE344" s="63" t="n"/>
    </row>
    <row r="345" ht="16.95" customHeight="1" s="52">
      <c r="A345" s="40">
        <f>N8</f>
        <v/>
      </c>
      <c r="C345" s="47">
        <f>IF(J8="","", -J8)</f>
        <v/>
      </c>
      <c r="D345" s="47">
        <f>IF(K8="","", -K8)</f>
        <v/>
      </c>
      <c r="E345" s="47">
        <f>IF(J8="","", J8)</f>
        <v/>
      </c>
      <c r="F345" s="47">
        <f>IF(K8="","", K8)</f>
        <v/>
      </c>
      <c r="G345" s="48">
        <f>IF(H345="","", IFERROR(VLOOKUP(H345, A$311:D$322, 4, FALSE), 0))</f>
        <v/>
      </c>
      <c r="H345" s="33">
        <f>IF(C19="","", "D" &amp; C19 &amp; "X")</f>
        <v/>
      </c>
      <c r="Z345" s="50" t="n"/>
      <c r="AA345" s="65" t="n"/>
      <c r="AB345" s="65" t="n"/>
      <c r="AC345" s="65" t="n"/>
      <c r="AD345" s="65" t="n"/>
      <c r="AE345" s="63" t="n"/>
    </row>
    <row r="346" ht="16.95" customHeight="1" s="52">
      <c r="A346" s="60" t="inlineStr">
        <is>
          <t>F3=</t>
        </is>
      </c>
      <c r="B346" s="49">
        <f>IF(OR(A345=0, C19=""), 0, (MMULT(C345:F345, G345:G348)*A345))</f>
        <v/>
      </c>
      <c r="G346" s="48">
        <f>IF(H346="","", IFERROR(VLOOKUP(H346, A$311:D$322, 4, FALSE), 0))</f>
        <v/>
      </c>
      <c r="H346" s="33">
        <f>IF(C19="","", "D" &amp; C19 &amp; "Y")</f>
        <v/>
      </c>
      <c r="Z346" s="50" t="n"/>
      <c r="AA346" s="65" t="n"/>
      <c r="AB346" s="65" t="n"/>
      <c r="AC346" s="65" t="n"/>
      <c r="AD346" s="65" t="n"/>
      <c r="AE346" s="63" t="n"/>
    </row>
    <row r="347" ht="16.95" customHeight="1" s="52">
      <c r="G347" s="48">
        <f>IF(H347="","", IFERROR(VLOOKUP(H347, A$311:D$322, 4, FALSE), 0))</f>
        <v/>
      </c>
      <c r="H347" s="33">
        <f>IF(F19="","", "D" &amp; F19 &amp; "X")</f>
        <v/>
      </c>
      <c r="Z347" s="50" t="n"/>
      <c r="AA347" s="65" t="n"/>
      <c r="AB347" s="65" t="n"/>
      <c r="AC347" s="65" t="n"/>
      <c r="AD347" s="65" t="n"/>
      <c r="AE347" s="63" t="n"/>
    </row>
    <row r="348" ht="16.95" customHeight="1" s="52">
      <c r="G348" s="48">
        <f>IF(H348="","", IFERROR(VLOOKUP(H348, A$311:D$322, 4, FALSE), 0))</f>
        <v/>
      </c>
      <c r="H348" s="33">
        <f>IF(F19="","", "D" &amp; F19 &amp; "Y")</f>
        <v/>
      </c>
      <c r="Z348" s="50" t="n"/>
      <c r="AA348" s="65" t="n"/>
      <c r="AB348" s="65" t="n"/>
      <c r="AC348" s="65" t="n"/>
      <c r="AD348" s="65" t="n"/>
      <c r="AE348" s="63" t="n"/>
    </row>
    <row r="349" ht="16.95" customHeight="1" s="52">
      <c r="B349" s="60" t="inlineStr">
        <is>
          <t>Kgf</t>
        </is>
      </c>
      <c r="C349" s="56">
        <f>IF(C19="","", IF(B346&gt;0.001,"BARRA A TRACCIÓN (+)",IF(B346&lt;-0.001,"BARRA A COMPRESIÓN (-)","BARRA DE FUERZA NULA")))</f>
        <v/>
      </c>
      <c r="D349" s="65" t="n"/>
      <c r="E349" s="65" t="n"/>
      <c r="F349" s="63" t="n"/>
      <c r="Z349" s="50" t="n"/>
      <c r="AA349" s="65" t="n"/>
      <c r="AB349" s="65" t="n"/>
      <c r="AC349" s="65" t="n"/>
      <c r="AD349" s="65" t="n"/>
      <c r="AE349" s="63" t="n"/>
    </row>
    <row r="350" ht="16.95" customHeight="1" s="52">
      <c r="Z350" s="50" t="n"/>
      <c r="AA350" s="65" t="n"/>
      <c r="AB350" s="65" t="n"/>
      <c r="AC350" s="65" t="n"/>
      <c r="AD350" s="65" t="n"/>
      <c r="AE350" s="63" t="n"/>
    </row>
    <row r="351" ht="18" customHeight="1" s="52">
      <c r="A351" s="46" t="inlineStr">
        <is>
          <t>AE/L</t>
        </is>
      </c>
      <c r="C351" s="46" t="inlineStr">
        <is>
          <t>cx</t>
        </is>
      </c>
      <c r="D351" s="46" t="inlineStr">
        <is>
          <t>cy</t>
        </is>
      </c>
      <c r="E351" s="46" t="inlineStr">
        <is>
          <t>cx</t>
        </is>
      </c>
      <c r="F351" s="46" t="inlineStr">
        <is>
          <t>cy</t>
        </is>
      </c>
      <c r="G351" s="46" t="inlineStr">
        <is>
          <t>D</t>
        </is>
      </c>
    </row>
    <row r="352" ht="16.05" customHeight="1" s="52">
      <c r="C352" s="46" t="inlineStr">
        <is>
          <t>-</t>
        </is>
      </c>
      <c r="D352" s="46" t="inlineStr">
        <is>
          <t>-</t>
        </is>
      </c>
      <c r="E352" s="46" t="inlineStr">
        <is>
          <t>+</t>
        </is>
      </c>
      <c r="F352" s="46" t="inlineStr">
        <is>
          <t>+</t>
        </is>
      </c>
    </row>
    <row r="353" ht="19.95" customHeight="1" s="52">
      <c r="A353" s="40">
        <f>N9</f>
        <v/>
      </c>
      <c r="C353" s="47">
        <f>IF(J9="","", -J9)</f>
        <v/>
      </c>
      <c r="D353" s="47">
        <f>IF(K9="","", -K9)</f>
        <v/>
      </c>
      <c r="E353" s="47">
        <f>IF(J9="","", J9)</f>
        <v/>
      </c>
      <c r="F353" s="47">
        <f>IF(K9="","", K9)</f>
        <v/>
      </c>
      <c r="G353" s="48">
        <f>IF(H353="","", IFERROR(VLOOKUP(H353, A$311:D$322, 4, FALSE), 0))</f>
        <v/>
      </c>
      <c r="H353" s="33">
        <f>IF(C20="","", "D" &amp; C20 &amp; "X")</f>
        <v/>
      </c>
    </row>
    <row r="354" ht="19.95" customHeight="1" s="52">
      <c r="A354" s="60" t="inlineStr">
        <is>
          <t>F4=</t>
        </is>
      </c>
      <c r="B354" s="49">
        <f>IF(OR(A353=0, C20=""), 0, (MMULT(C353:F353, G353:G356)*A353))</f>
        <v/>
      </c>
      <c r="G354" s="48">
        <f>IF(H354="","", IFERROR(VLOOKUP(H354, A$311:D$322, 4, FALSE), 0))</f>
        <v/>
      </c>
      <c r="H354" s="33">
        <f>IF(C20="","", "D" &amp; C20 &amp; "Y")</f>
        <v/>
      </c>
    </row>
    <row r="355" ht="19.95" customHeight="1" s="52">
      <c r="G355" s="48">
        <f>IF(H355="","", IFERROR(VLOOKUP(H355, A$311:D$322, 4, FALSE), 0))</f>
        <v/>
      </c>
      <c r="H355" s="33">
        <f>IF(F20="","", "D" &amp; F20 &amp; "X")</f>
        <v/>
      </c>
    </row>
    <row r="356" ht="19.95" customHeight="1" s="52">
      <c r="G356" s="48">
        <f>IF(H356="","", IFERROR(VLOOKUP(H356, A$311:D$322, 4, FALSE), 0))</f>
        <v/>
      </c>
      <c r="H356" s="33">
        <f>IF(F20="","", "D" &amp; F20 &amp; "Y")</f>
        <v/>
      </c>
    </row>
    <row r="357" ht="19.95" customHeight="1" s="52">
      <c r="B357" s="60" t="inlineStr">
        <is>
          <t>Kgf</t>
        </is>
      </c>
      <c r="C357" s="56">
        <f>IF(C20="","", IF(B354&gt;0.001,"BARRA A TRACCIÓN (+)",IF(B354&lt;-0.001,"BARRA A COMPRESIÓN (-)","BARRA DE FUERZA NULA")))</f>
        <v/>
      </c>
      <c r="D357" s="65" t="n"/>
      <c r="E357" s="65" t="n"/>
      <c r="F357" s="63" t="n"/>
    </row>
    <row r="359" ht="18" customHeight="1" s="52">
      <c r="A359" s="46" t="inlineStr">
        <is>
          <t>AE/L</t>
        </is>
      </c>
      <c r="C359" s="46" t="inlineStr">
        <is>
          <t>cx</t>
        </is>
      </c>
      <c r="D359" s="46" t="inlineStr">
        <is>
          <t>cy</t>
        </is>
      </c>
      <c r="E359" s="46" t="inlineStr">
        <is>
          <t>cx</t>
        </is>
      </c>
      <c r="F359" s="46" t="inlineStr">
        <is>
          <t>cy</t>
        </is>
      </c>
      <c r="G359" s="46" t="inlineStr">
        <is>
          <t>D</t>
        </is>
      </c>
    </row>
    <row r="360" ht="16.05" customHeight="1" s="52">
      <c r="C360" s="46" t="inlineStr">
        <is>
          <t>-</t>
        </is>
      </c>
      <c r="D360" s="46" t="inlineStr">
        <is>
          <t>-</t>
        </is>
      </c>
      <c r="E360" s="46" t="inlineStr">
        <is>
          <t>+</t>
        </is>
      </c>
      <c r="F360" s="46" t="inlineStr">
        <is>
          <t>+</t>
        </is>
      </c>
    </row>
    <row r="361" ht="19.95" customHeight="1" s="52">
      <c r="A361" s="40">
        <f>N10</f>
        <v/>
      </c>
      <c r="C361" s="47">
        <f>IF(J10="","", -J10)</f>
        <v/>
      </c>
      <c r="D361" s="47">
        <f>IF(K10="","", -K10)</f>
        <v/>
      </c>
      <c r="E361" s="47">
        <f>IF(J10="","", J10)</f>
        <v/>
      </c>
      <c r="F361" s="47">
        <f>IF(K10="","", K10)</f>
        <v/>
      </c>
      <c r="G361" s="48">
        <f>IF(H361="","", IFERROR(VLOOKUP(H361, A$311:D$322, 4, FALSE), 0))</f>
        <v/>
      </c>
      <c r="H361" s="33">
        <f>IF(C21="","", "D" &amp; C21 &amp; "X")</f>
        <v/>
      </c>
    </row>
    <row r="362" ht="19.95" customHeight="1" s="52">
      <c r="A362" s="60" t="inlineStr">
        <is>
          <t>F5=</t>
        </is>
      </c>
      <c r="B362" s="49">
        <f>IF(OR(A361=0, C21=""), 0, (MMULT(C361:F361, G361:G364)*A361))</f>
        <v/>
      </c>
      <c r="G362" s="48">
        <f>IF(H362="","", IFERROR(VLOOKUP(H362, A$311:D$322, 4, FALSE), 0))</f>
        <v/>
      </c>
      <c r="H362" s="33">
        <f>IF(C21="","", "D" &amp; C21 &amp; "Y")</f>
        <v/>
      </c>
    </row>
    <row r="363" ht="19.95" customHeight="1" s="52">
      <c r="G363" s="48">
        <f>IF(H363="","", IFERROR(VLOOKUP(H363, A$311:D$322, 4, FALSE), 0))</f>
        <v/>
      </c>
      <c r="H363" s="33">
        <f>IF(F21="","", "D" &amp; F21 &amp; "X")</f>
        <v/>
      </c>
    </row>
    <row r="364" ht="19.95" customHeight="1" s="52">
      <c r="G364" s="48">
        <f>IF(H364="","", IFERROR(VLOOKUP(H364, A$311:D$322, 4, FALSE), 0))</f>
        <v/>
      </c>
      <c r="H364" s="33">
        <f>IF(F21="","", "D" &amp; F21 &amp; "Y")</f>
        <v/>
      </c>
    </row>
    <row r="365" ht="19.95" customHeight="1" s="52">
      <c r="B365" s="60" t="inlineStr">
        <is>
          <t>Kgf</t>
        </is>
      </c>
      <c r="C365" s="56">
        <f>IF(C21="","", IF(B362&gt;0.001,"BARRA A TRACCIÓN (+)",IF(B362&lt;-0.001,"BARRA A COMPRESIÓN (-)","BARRA DE FUERZA NULA")))</f>
        <v/>
      </c>
      <c r="D365" s="65" t="n"/>
      <c r="E365" s="65" t="n"/>
      <c r="F365" s="63" t="n"/>
    </row>
    <row r="367" ht="18" customHeight="1" s="52">
      <c r="A367" s="46" t="inlineStr">
        <is>
          <t>AE/L</t>
        </is>
      </c>
      <c r="C367" s="46" t="inlineStr">
        <is>
          <t>cx</t>
        </is>
      </c>
      <c r="D367" s="46" t="inlineStr">
        <is>
          <t>cy</t>
        </is>
      </c>
      <c r="E367" s="46" t="inlineStr">
        <is>
          <t>cx</t>
        </is>
      </c>
      <c r="F367" s="46" t="inlineStr">
        <is>
          <t>cy</t>
        </is>
      </c>
      <c r="G367" s="46" t="inlineStr">
        <is>
          <t>D</t>
        </is>
      </c>
    </row>
    <row r="368" ht="16.05" customHeight="1" s="52">
      <c r="C368" s="46" t="inlineStr">
        <is>
          <t>-</t>
        </is>
      </c>
      <c r="D368" s="46" t="inlineStr">
        <is>
          <t>-</t>
        </is>
      </c>
      <c r="E368" s="46" t="inlineStr">
        <is>
          <t>+</t>
        </is>
      </c>
      <c r="F368" s="46" t="inlineStr">
        <is>
          <t>+</t>
        </is>
      </c>
    </row>
    <row r="369" ht="19.95" customHeight="1" s="52">
      <c r="A369" s="40">
        <f>N11</f>
        <v/>
      </c>
      <c r="C369" s="47">
        <f>IF(J11="","", -J11)</f>
        <v/>
      </c>
      <c r="D369" s="47">
        <f>IF(K11="","", -K11)</f>
        <v/>
      </c>
      <c r="E369" s="47">
        <f>IF(J11="","", J11)</f>
        <v/>
      </c>
      <c r="F369" s="47">
        <f>IF(K11="","", K11)</f>
        <v/>
      </c>
      <c r="G369" s="48">
        <f>IF(H369="","", IFERROR(VLOOKUP(H369, A$311:D$322, 4, FALSE), 0))</f>
        <v/>
      </c>
      <c r="H369" s="33">
        <f>IF(C22="","", "D" &amp; C22 &amp; "X")</f>
        <v/>
      </c>
    </row>
    <row r="370" ht="19.95" customHeight="1" s="52">
      <c r="A370" s="60" t="inlineStr">
        <is>
          <t>F6=</t>
        </is>
      </c>
      <c r="B370" s="49">
        <f>IF(OR(A369=0, C22=""), 0, (MMULT(C369:F369, G369:G372)*A369))</f>
        <v/>
      </c>
      <c r="G370" s="48">
        <f>IF(H370="","", IFERROR(VLOOKUP(H370, A$311:D$322, 4, FALSE), 0))</f>
        <v/>
      </c>
      <c r="H370" s="33">
        <f>IF(C22="","", "D" &amp; C22 &amp; "Y")</f>
        <v/>
      </c>
    </row>
    <row r="371" ht="19.95" customHeight="1" s="52">
      <c r="G371" s="48">
        <f>IF(H371="","", IFERROR(VLOOKUP(H371, A$311:D$322, 4, FALSE), 0))</f>
        <v/>
      </c>
      <c r="H371" s="33">
        <f>IF(F22="","", "D" &amp; F22 &amp; "X")</f>
        <v/>
      </c>
    </row>
    <row r="372" ht="19.95" customHeight="1" s="52">
      <c r="G372" s="48">
        <f>IF(H372="","", IFERROR(VLOOKUP(H372, A$311:D$322, 4, FALSE), 0))</f>
        <v/>
      </c>
      <c r="H372" s="33">
        <f>IF(F22="","", "D" &amp; F22 &amp; "Y")</f>
        <v/>
      </c>
    </row>
    <row r="373" ht="19.95" customHeight="1" s="52">
      <c r="B373" s="60" t="inlineStr">
        <is>
          <t>Kgf</t>
        </is>
      </c>
      <c r="C373" s="56">
        <f>IF(C22="","", IF(B370&gt;0.001,"BARRA A TRACCIÓN (+)",IF(B370&lt;-0.001,"BARRA A COMPRESIÓN (-)","BARRA DE FUERZA NULA")))</f>
        <v/>
      </c>
      <c r="D373" s="65" t="n"/>
      <c r="E373" s="65" t="n"/>
      <c r="F373" s="63" t="n"/>
    </row>
    <row r="375" ht="18" customHeight="1" s="52">
      <c r="A375" s="46" t="inlineStr">
        <is>
          <t>AE/L</t>
        </is>
      </c>
      <c r="C375" s="46" t="inlineStr">
        <is>
          <t>cx</t>
        </is>
      </c>
      <c r="D375" s="46" t="inlineStr">
        <is>
          <t>cy</t>
        </is>
      </c>
      <c r="E375" s="46" t="inlineStr">
        <is>
          <t>cx</t>
        </is>
      </c>
      <c r="F375" s="46" t="inlineStr">
        <is>
          <t>cy</t>
        </is>
      </c>
      <c r="G375" s="46" t="inlineStr">
        <is>
          <t>D</t>
        </is>
      </c>
    </row>
    <row r="376" ht="16.05" customHeight="1" s="52">
      <c r="C376" s="46" t="inlineStr">
        <is>
          <t>-</t>
        </is>
      </c>
      <c r="D376" s="46" t="inlineStr">
        <is>
          <t>-</t>
        </is>
      </c>
      <c r="E376" s="46" t="inlineStr">
        <is>
          <t>+</t>
        </is>
      </c>
      <c r="F376" s="46" t="inlineStr">
        <is>
          <t>+</t>
        </is>
      </c>
    </row>
    <row r="377" ht="19.95" customHeight="1" s="52">
      <c r="A377" s="40">
        <f>N12</f>
        <v/>
      </c>
      <c r="C377" s="47">
        <f>IF(J12="","", -J12)</f>
        <v/>
      </c>
      <c r="D377" s="47">
        <f>IF(K12="","", -K12)</f>
        <v/>
      </c>
      <c r="E377" s="47">
        <f>IF(J12="","", J12)</f>
        <v/>
      </c>
      <c r="F377" s="47">
        <f>IF(K12="","", K12)</f>
        <v/>
      </c>
      <c r="G377" s="48">
        <f>IF(H377="","", IFERROR(VLOOKUP(H377, A$311:D$322, 4, FALSE), 0))</f>
        <v/>
      </c>
      <c r="H377" s="33">
        <f>IF(C23="","", "D" &amp; C23 &amp; "X")</f>
        <v/>
      </c>
    </row>
    <row r="378" ht="19.95" customHeight="1" s="52">
      <c r="A378" s="60" t="inlineStr">
        <is>
          <t>F7=</t>
        </is>
      </c>
      <c r="B378" s="49">
        <f>IF(OR(A377=0, C23=""), 0, (MMULT(C377:F377, G377:G380)*A377))</f>
        <v/>
      </c>
      <c r="G378" s="48">
        <f>IF(H378="","", IFERROR(VLOOKUP(H378, A$311:D$322, 4, FALSE), 0))</f>
        <v/>
      </c>
      <c r="H378" s="33">
        <f>IF(C23="","", "D" &amp; C23 &amp; "Y")</f>
        <v/>
      </c>
    </row>
    <row r="379" ht="19.95" customHeight="1" s="52">
      <c r="G379" s="48">
        <f>IF(H379="","", IFERROR(VLOOKUP(H379, A$311:D$322, 4, FALSE), 0))</f>
        <v/>
      </c>
      <c r="H379" s="33">
        <f>IF(F23="","", "D" &amp; F23 &amp; "X")</f>
        <v/>
      </c>
    </row>
    <row r="380" ht="19.95" customHeight="1" s="52">
      <c r="G380" s="48">
        <f>IF(H380="","", IFERROR(VLOOKUP(H380, A$311:D$322, 4, FALSE), 0))</f>
        <v/>
      </c>
      <c r="H380" s="33">
        <f>IF(F23="","", "D" &amp; F23 &amp; "Y")</f>
        <v/>
      </c>
    </row>
    <row r="381" ht="19.95" customHeight="1" s="52">
      <c r="B381" s="60" t="inlineStr">
        <is>
          <t>Kgf</t>
        </is>
      </c>
      <c r="C381" s="56">
        <f>IF(C23="","", IF(B378&gt;0.001,"BARRA A TRACCIÓN (+)",IF(B378&lt;-0.001,"BARRA A COMPRESIÓN (-)","BARRA DE FUERZA NULA")))</f>
        <v/>
      </c>
      <c r="D381" s="65" t="n"/>
      <c r="E381" s="65" t="n"/>
      <c r="F381" s="63" t="n"/>
    </row>
    <row r="383" ht="18" customHeight="1" s="52">
      <c r="A383" s="46" t="inlineStr">
        <is>
          <t>AE/L</t>
        </is>
      </c>
      <c r="C383" s="46" t="inlineStr">
        <is>
          <t>cx</t>
        </is>
      </c>
      <c r="D383" s="46" t="inlineStr">
        <is>
          <t>cy</t>
        </is>
      </c>
      <c r="E383" s="46" t="inlineStr">
        <is>
          <t>cx</t>
        </is>
      </c>
      <c r="F383" s="46" t="inlineStr">
        <is>
          <t>cy</t>
        </is>
      </c>
      <c r="G383" s="46" t="inlineStr">
        <is>
          <t>D</t>
        </is>
      </c>
    </row>
    <row r="384" ht="16.05" customHeight="1" s="52">
      <c r="C384" s="46" t="inlineStr">
        <is>
          <t>-</t>
        </is>
      </c>
      <c r="D384" s="46" t="inlineStr">
        <is>
          <t>-</t>
        </is>
      </c>
      <c r="E384" s="46" t="inlineStr">
        <is>
          <t>+</t>
        </is>
      </c>
      <c r="F384" s="46" t="inlineStr">
        <is>
          <t>+</t>
        </is>
      </c>
    </row>
    <row r="385" ht="19.95" customHeight="1" s="52">
      <c r="A385" s="40">
        <f>N13</f>
        <v/>
      </c>
      <c r="C385" s="47">
        <f>IF(J13="","", -J13)</f>
        <v/>
      </c>
      <c r="D385" s="47">
        <f>IF(K13="","", -K13)</f>
        <v/>
      </c>
      <c r="E385" s="47">
        <f>IF(J13="","", J13)</f>
        <v/>
      </c>
      <c r="F385" s="47">
        <f>IF(K13="","", K13)</f>
        <v/>
      </c>
      <c r="G385" s="48">
        <f>IF(H385="","", IFERROR(VLOOKUP(H385, A$311:D$322, 4, FALSE), 0))</f>
        <v/>
      </c>
      <c r="H385" s="33">
        <f>IF(C24="","", "D" &amp; C24 &amp; "X")</f>
        <v/>
      </c>
    </row>
    <row r="386" ht="19.95" customHeight="1" s="52">
      <c r="A386" s="60" t="inlineStr">
        <is>
          <t>F8=</t>
        </is>
      </c>
      <c r="B386" s="49">
        <f>IF(OR(A385=0, C24=""), 0, (MMULT(C385:F385, G385:G388)*A385))</f>
        <v/>
      </c>
      <c r="G386" s="48">
        <f>IF(H386="","", IFERROR(VLOOKUP(H386, A$311:D$322, 4, FALSE), 0))</f>
        <v/>
      </c>
      <c r="H386" s="33">
        <f>IF(C24="","", "D" &amp; C24 &amp; "Y")</f>
        <v/>
      </c>
    </row>
    <row r="387" ht="19.95" customHeight="1" s="52">
      <c r="G387" s="48">
        <f>IF(H387="","", IFERROR(VLOOKUP(H387, A$311:D$322, 4, FALSE), 0))</f>
        <v/>
      </c>
      <c r="H387" s="33">
        <f>IF(F24="","", "D" &amp; F24 &amp; "X")</f>
        <v/>
      </c>
    </row>
    <row r="388" ht="19.95" customHeight="1" s="52">
      <c r="G388" s="48">
        <f>IF(H388="","", IFERROR(VLOOKUP(H388, A$311:D$322, 4, FALSE), 0))</f>
        <v/>
      </c>
      <c r="H388" s="33">
        <f>IF(F24="","", "D" &amp; F24 &amp; "Y")</f>
        <v/>
      </c>
    </row>
    <row r="389" ht="19.95" customHeight="1" s="52">
      <c r="B389" s="60" t="inlineStr">
        <is>
          <t>Kgf</t>
        </is>
      </c>
      <c r="C389" s="56">
        <f>IF(C24="","", IF(B386&gt;0.001,"BARRA A TRACCIÓN (+)",IF(B386&lt;-0.001,"BARRA A COMPRESIÓN (-)","BARRA DE FUERZA NULA")))</f>
        <v/>
      </c>
      <c r="D389" s="65" t="n"/>
      <c r="E389" s="65" t="n"/>
      <c r="F389" s="63" t="n"/>
    </row>
    <row r="392" ht="22.05" customHeight="1" s="52">
      <c r="B392" s="57" t="inlineStr">
        <is>
          <t>RESUMEN GENERAL DE FUERZAS EN LAS BARRAS (HASTA 8 BARRAS)</t>
        </is>
      </c>
    </row>
    <row r="393" ht="24" customHeight="1" s="52">
      <c r="B393" s="54" t="inlineStr">
        <is>
          <t>BARRA
#</t>
        </is>
      </c>
      <c r="C393" s="54" t="inlineStr">
        <is>
          <t>NUDO
INI</t>
        </is>
      </c>
      <c r="D393" s="54" t="inlineStr">
        <is>
          <t>NUDO
FIN</t>
        </is>
      </c>
      <c r="E393" s="54" t="inlineStr">
        <is>
          <t>LONGITUD L
(cm)</t>
        </is>
      </c>
      <c r="F393" s="54" t="inlineStr">
        <is>
          <t>ÁREA A
(cm²)</t>
        </is>
      </c>
      <c r="G393" s="54" t="inlineStr">
        <is>
          <t>FUERZA AXIAL N
(Kgf)</t>
        </is>
      </c>
      <c r="H393" s="54" t="inlineStr">
        <is>
          <t>ESTADO ESTRUCTURAL
(TRACCIÓN / COMPRESIÓN)</t>
        </is>
      </c>
    </row>
    <row r="394" ht="19.95" customHeight="1" s="52">
      <c r="B394" s="3">
        <f>IF(C17="","", 1)</f>
        <v/>
      </c>
      <c r="C394" s="9">
        <f>IF(C17="","", C17)</f>
        <v/>
      </c>
      <c r="D394" s="9">
        <f>IF(F17="","", F17)</f>
        <v/>
      </c>
      <c r="E394" s="21">
        <f>IF(I6="","", I6)</f>
        <v/>
      </c>
      <c r="F394" s="21">
        <f>IF(C17="","", L6)</f>
        <v/>
      </c>
      <c r="G394" s="49">
        <f>IF(C17="","", B330)</f>
        <v/>
      </c>
      <c r="H394" s="56">
        <f>IF(C17="","", C333)</f>
        <v/>
      </c>
    </row>
    <row r="395" ht="19.95" customHeight="1" s="52">
      <c r="B395" s="56">
        <f>IF(C18="","", 2)</f>
        <v/>
      </c>
      <c r="C395" s="9">
        <f>IF(C18="","", C18)</f>
        <v/>
      </c>
      <c r="D395" s="9">
        <f>IF(F18="","", F18)</f>
        <v/>
      </c>
      <c r="E395" s="21">
        <f>IF(I7="","", I7)</f>
        <v/>
      </c>
      <c r="F395" s="21">
        <f>IF(C18="","", L7)</f>
        <v/>
      </c>
      <c r="G395" s="49">
        <f>IF(C18="","", B338)</f>
        <v/>
      </c>
      <c r="H395" s="56">
        <f>IF(C18="","", C341)</f>
        <v/>
      </c>
    </row>
    <row r="396" ht="19.95" customHeight="1" s="52">
      <c r="B396" s="12">
        <f>IF(C19="","", 3)</f>
        <v/>
      </c>
      <c r="C396" s="9">
        <f>IF(C19="","", C19)</f>
        <v/>
      </c>
      <c r="D396" s="9">
        <f>IF(F19="","", F19)</f>
        <v/>
      </c>
      <c r="E396" s="21">
        <f>IF(I8="","", I8)</f>
        <v/>
      </c>
      <c r="F396" s="21">
        <f>IF(C19="","", L8)</f>
        <v/>
      </c>
      <c r="G396" s="49">
        <f>IF(C19="","", B346)</f>
        <v/>
      </c>
      <c r="H396" s="56">
        <f>IF(C19="","", C349)</f>
        <v/>
      </c>
    </row>
    <row r="397" ht="19.95" customHeight="1" s="52">
      <c r="B397" s="13">
        <f>IF(C20="","", 4)</f>
        <v/>
      </c>
      <c r="C397" s="9">
        <f>IF(C20="","", C20)</f>
        <v/>
      </c>
      <c r="D397" s="9">
        <f>IF(F20="","", F20)</f>
        <v/>
      </c>
      <c r="E397" s="21">
        <f>IF(I9="","", I9)</f>
        <v/>
      </c>
      <c r="F397" s="21">
        <f>IF(C20="","", L9)</f>
        <v/>
      </c>
      <c r="G397" s="49">
        <f>IF(C20="","", B354)</f>
        <v/>
      </c>
      <c r="H397" s="56">
        <f>IF(C20="","", C357)</f>
        <v/>
      </c>
    </row>
    <row r="398" ht="19.95" customHeight="1" s="52">
      <c r="B398" s="14">
        <f>IF(C21="","", 5)</f>
        <v/>
      </c>
      <c r="C398" s="9">
        <f>IF(C21="","", C21)</f>
        <v/>
      </c>
      <c r="D398" s="9">
        <f>IF(F21="","", F21)</f>
        <v/>
      </c>
      <c r="E398" s="21">
        <f>IF(I10="","", I10)</f>
        <v/>
      </c>
      <c r="F398" s="21">
        <f>IF(C21="","", L10)</f>
        <v/>
      </c>
      <c r="G398" s="49">
        <f>IF(C21="","", B362)</f>
        <v/>
      </c>
      <c r="H398" s="56">
        <f>IF(C21="","", C365)</f>
        <v/>
      </c>
    </row>
    <row r="399" ht="19.95" customHeight="1" s="52">
      <c r="B399" s="15">
        <f>IF(C22="","", 6)</f>
        <v/>
      </c>
      <c r="C399" s="9">
        <f>IF(C22="","", C22)</f>
        <v/>
      </c>
      <c r="D399" s="9">
        <f>IF(F22="","", F22)</f>
        <v/>
      </c>
      <c r="E399" s="21">
        <f>IF(I11="","", I11)</f>
        <v/>
      </c>
      <c r="F399" s="21">
        <f>IF(C22="","", L11)</f>
        <v/>
      </c>
      <c r="G399" s="49">
        <f>IF(C22="","", B370)</f>
        <v/>
      </c>
      <c r="H399" s="56">
        <f>IF(C22="","", C373)</f>
        <v/>
      </c>
    </row>
    <row r="400" ht="19.95" customHeight="1" s="52">
      <c r="B400" s="16">
        <f>IF(C23="","", 7)</f>
        <v/>
      </c>
      <c r="C400" s="9">
        <f>IF(C23="","", C23)</f>
        <v/>
      </c>
      <c r="D400" s="9">
        <f>IF(F23="","", F23)</f>
        <v/>
      </c>
      <c r="E400" s="21">
        <f>IF(I12="","", I12)</f>
        <v/>
      </c>
      <c r="F400" s="21">
        <f>IF(C23="","", L12)</f>
        <v/>
      </c>
      <c r="G400" s="49">
        <f>IF(C23="","", B378)</f>
        <v/>
      </c>
      <c r="H400" s="56">
        <f>IF(C23="","", C381)</f>
        <v/>
      </c>
    </row>
    <row r="401" ht="19.95" customHeight="1" s="52">
      <c r="B401" s="17">
        <f>IF(C24="","", 8)</f>
        <v/>
      </c>
      <c r="C401" s="9">
        <f>IF(C24="","", C24)</f>
        <v/>
      </c>
      <c r="D401" s="9">
        <f>IF(F24="","", F24)</f>
        <v/>
      </c>
      <c r="E401" s="21">
        <f>IF(I13="","", I13)</f>
        <v/>
      </c>
      <c r="F401" s="21">
        <f>IF(C24="","", L13)</f>
        <v/>
      </c>
      <c r="G401" s="49">
        <f>IF(C24="","", B386)</f>
        <v/>
      </c>
      <c r="H401" s="56">
        <f>IF(C24="","", C389)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69"/>
  <mergeCells count="146">
    <mergeCell ref="Z305:AE305"/>
    <mergeCell ref="Z243:AE243"/>
    <mergeCell ref="Z283:AE283"/>
    <mergeCell ref="P4:W4"/>
    <mergeCell ref="Z292:AE292"/>
    <mergeCell ref="Z235:AE235"/>
    <mergeCell ref="Z348:AE348"/>
    <mergeCell ref="Z298:AE298"/>
    <mergeCell ref="Z332:AE332"/>
    <mergeCell ref="Z347:AE347"/>
    <mergeCell ref="Z285:AE285"/>
    <mergeCell ref="Z341:AE341"/>
    <mergeCell ref="Z269:AE269"/>
    <mergeCell ref="Z278:AE278"/>
    <mergeCell ref="Z349:AE349"/>
    <mergeCell ref="J4:J5"/>
    <mergeCell ref="C381:F381"/>
    <mergeCell ref="L4:L5"/>
    <mergeCell ref="Z259:AE259"/>
    <mergeCell ref="Z293:AE293"/>
    <mergeCell ref="Z333:AE333"/>
    <mergeCell ref="Z229:AE229"/>
    <mergeCell ref="Z261:AE261"/>
    <mergeCell ref="Z270:AE270"/>
    <mergeCell ref="Z335:AE335"/>
    <mergeCell ref="C349:F349"/>
    <mergeCell ref="Z245:AE245"/>
    <mergeCell ref="Z232:AE232"/>
    <mergeCell ref="Z334:AE334"/>
    <mergeCell ref="Z300:AE300"/>
    <mergeCell ref="Z256:AE256"/>
    <mergeCell ref="Z287:AE287"/>
    <mergeCell ref="Z296:AE296"/>
    <mergeCell ref="C341:F341"/>
    <mergeCell ref="Z271:AE271"/>
    <mergeCell ref="Z246:AE246"/>
    <mergeCell ref="B392:H392"/>
    <mergeCell ref="Z218:AE218"/>
    <mergeCell ref="Z233:AE233"/>
    <mergeCell ref="Z289:AE289"/>
    <mergeCell ref="Z345:AE345"/>
    <mergeCell ref="Z227:AE227"/>
    <mergeCell ref="Z273:AE273"/>
    <mergeCell ref="Z282:AE282"/>
    <mergeCell ref="B15:H15"/>
    <mergeCell ref="Z263:AE263"/>
    <mergeCell ref="Z272:AE272"/>
    <mergeCell ref="Z337:AE337"/>
    <mergeCell ref="Z219:AE219"/>
    <mergeCell ref="A1:N1"/>
    <mergeCell ref="C4:D4"/>
    <mergeCell ref="Z210:AE210"/>
    <mergeCell ref="E4:F4"/>
    <mergeCell ref="Z265:AE265"/>
    <mergeCell ref="Z234:AE234"/>
    <mergeCell ref="Z274:AE274"/>
    <mergeCell ref="C268:K268"/>
    <mergeCell ref="Z236:AE236"/>
    <mergeCell ref="Z226:AE226"/>
    <mergeCell ref="Z220:AE220"/>
    <mergeCell ref="Z260:AE260"/>
    <mergeCell ref="Z217:AE217"/>
    <mergeCell ref="Z276:AE276"/>
    <mergeCell ref="Z250:AE250"/>
    <mergeCell ref="C373:F373"/>
    <mergeCell ref="Z228:AE228"/>
    <mergeCell ref="Z284:AE284"/>
    <mergeCell ref="Z222:AE222"/>
    <mergeCell ref="Z350:AE350"/>
    <mergeCell ref="Z212:AE212"/>
    <mergeCell ref="Z325:AE325"/>
    <mergeCell ref="H4:H5"/>
    <mergeCell ref="Z221:AE221"/>
    <mergeCell ref="Z286:AE286"/>
    <mergeCell ref="Z214:AE214"/>
    <mergeCell ref="Z342:AE342"/>
    <mergeCell ref="Z327:AE327"/>
    <mergeCell ref="Z223:AE223"/>
    <mergeCell ref="Z336:AE336"/>
    <mergeCell ref="C279:D279"/>
    <mergeCell ref="Z264:AE264"/>
    <mergeCell ref="Z326:AE326"/>
    <mergeCell ref="Z301:AE301"/>
    <mergeCell ref="Z239:AE239"/>
    <mergeCell ref="Z248:AE248"/>
    <mergeCell ref="Z328:AE328"/>
    <mergeCell ref="Z262:AE262"/>
    <mergeCell ref="Z297:AE297"/>
    <mergeCell ref="Z247:AE247"/>
    <mergeCell ref="Z303:AE303"/>
    <mergeCell ref="C357:F357"/>
    <mergeCell ref="Z299:AE299"/>
    <mergeCell ref="Z249:AE249"/>
    <mergeCell ref="Z280:AE280"/>
    <mergeCell ref="A2:N2"/>
    <mergeCell ref="K4:K5"/>
    <mergeCell ref="Z211:AE211"/>
    <mergeCell ref="C389:F389"/>
    <mergeCell ref="Z225:AE225"/>
    <mergeCell ref="C267:K267"/>
    <mergeCell ref="Z338:AE338"/>
    <mergeCell ref="Z266:AE266"/>
    <mergeCell ref="Z275:AE275"/>
    <mergeCell ref="B4:B5"/>
    <mergeCell ref="Z340:AE340"/>
    <mergeCell ref="C365:F365"/>
    <mergeCell ref="N4:N5"/>
    <mergeCell ref="Z330:AE330"/>
    <mergeCell ref="Z268:AE268"/>
    <mergeCell ref="Z277:AE277"/>
    <mergeCell ref="Z252:AE252"/>
    <mergeCell ref="Z258:AE258"/>
    <mergeCell ref="Z267:AE267"/>
    <mergeCell ref="Z302:AE302"/>
    <mergeCell ref="Z251:AE251"/>
    <mergeCell ref="Z238:AE238"/>
    <mergeCell ref="Z294:AE294"/>
    <mergeCell ref="Z244:AE244"/>
    <mergeCell ref="Z213:AE213"/>
    <mergeCell ref="Z344:AE344"/>
    <mergeCell ref="Z231:AE231"/>
    <mergeCell ref="Z240:AE240"/>
    <mergeCell ref="Z215:AE215"/>
    <mergeCell ref="Z230:AE230"/>
    <mergeCell ref="Z224:AE224"/>
    <mergeCell ref="Z295:AE295"/>
    <mergeCell ref="C238:D238"/>
    <mergeCell ref="Z279:AE279"/>
    <mergeCell ref="Z339:AE339"/>
    <mergeCell ref="G4:G5"/>
    <mergeCell ref="C333:F333"/>
    <mergeCell ref="Z288:AE288"/>
    <mergeCell ref="I4:I5"/>
    <mergeCell ref="Z329:AE329"/>
    <mergeCell ref="Z216:AE216"/>
    <mergeCell ref="Z343:AE343"/>
    <mergeCell ref="Z281:AE281"/>
    <mergeCell ref="Z304:AE304"/>
    <mergeCell ref="Z257:AE257"/>
    <mergeCell ref="M4:M5"/>
    <mergeCell ref="Z331:AE331"/>
    <mergeCell ref="Z241:AE241"/>
    <mergeCell ref="Z306:AE306"/>
    <mergeCell ref="Z255:AE255"/>
    <mergeCell ref="Z346:AE346"/>
    <mergeCell ref="Z242:AE242"/>
  </mergeCells>
  <conditionalFormatting sqref="B34:M45">
    <cfRule type="cellIs" priority="1" operator="notEqual" dxfId="7">
      <formula>0</formula>
    </cfRule>
  </conditionalFormatting>
  <conditionalFormatting sqref="B55:M66">
    <cfRule type="cellIs" priority="2" operator="notEqual" dxfId="6">
      <formula>0</formula>
    </cfRule>
  </conditionalFormatting>
  <conditionalFormatting sqref="B76:M87">
    <cfRule type="cellIs" priority="3" operator="notEqual" dxfId="5">
      <formula>0</formula>
    </cfRule>
  </conditionalFormatting>
  <conditionalFormatting sqref="B97:M108">
    <cfRule type="cellIs" priority="4" operator="notEqual" dxfId="4">
      <formula>0</formula>
    </cfRule>
  </conditionalFormatting>
  <conditionalFormatting sqref="B118:M129">
    <cfRule type="cellIs" priority="5" operator="notEqual" dxfId="3">
      <formula>0</formula>
    </cfRule>
  </conditionalFormatting>
  <conditionalFormatting sqref="B139:M150">
    <cfRule type="cellIs" priority="6" operator="notEqual" dxfId="2">
      <formula>0</formula>
    </cfRule>
  </conditionalFormatting>
  <conditionalFormatting sqref="B160:M171">
    <cfRule type="cellIs" priority="7" operator="notEqual" dxfId="1">
      <formula>0</formula>
    </cfRule>
  </conditionalFormatting>
  <conditionalFormatting sqref="B181:M192">
    <cfRule type="cellIs" priority="8" operator="notEqual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98"/>
  <sheetViews>
    <sheetView workbookViewId="0">
      <selection activeCell="A1" sqref="A1"/>
    </sheetView>
  </sheetViews>
  <sheetFormatPr baseColWidth="10" defaultColWidth="8.88671875" defaultRowHeight="14.4"/>
  <cols>
    <col width="11" customWidth="1" style="52" min="1" max="1"/>
    <col width="13" customWidth="1" style="52" min="2" max="14"/>
    <col width="3" customWidth="1" style="52" min="15" max="15"/>
    <col width="7" customWidth="1" style="52" min="16" max="16"/>
    <col width="11" customWidth="1" style="52" min="17" max="18"/>
    <col width="14" customWidth="1" style="52" min="19" max="19"/>
    <col width="6" customWidth="1" style="52" min="20" max="21"/>
    <col width="12" customWidth="1" style="52" min="22" max="23"/>
    <col width="3" customWidth="1" style="52" min="24" max="25"/>
    <col width="18" customWidth="1" style="52" min="26" max="31"/>
  </cols>
  <sheetData>
    <row r="1" ht="25.95" customHeight="1" s="52">
      <c r="A1" s="59" t="inlineStr">
        <is>
          <t>PLANTILLA MANUAL - CASO HIPERESTÁTICO (HASTA 6 NODOS Y 8 BARRAS - CÁTEDRA ING. ULIANOV)</t>
        </is>
      </c>
    </row>
    <row r="2" ht="18" customHeight="1" s="52">
      <c r="A2" s="62" t="inlineStr">
        <is>
          <t>Cátedra: Análisis Estructural II | Ing. Ulianov Cuba Valencia | Plantilla 100% Automatizada con Capacidad hasta 6 Nodos y 8 Barras</t>
        </is>
      </c>
    </row>
    <row r="4" ht="18" customHeight="1" s="52">
      <c r="B4" s="54" t="inlineStr">
        <is>
          <t>BARRA</t>
        </is>
      </c>
      <c r="C4" s="54" t="inlineStr">
        <is>
          <t>INICIO (cm)</t>
        </is>
      </c>
      <c r="D4" s="63" t="n"/>
      <c r="E4" s="54" t="inlineStr">
        <is>
          <t>FIN (cm)</t>
        </is>
      </c>
      <c r="F4" s="63" t="n"/>
      <c r="G4" s="54" t="inlineStr">
        <is>
          <t>DX (cm)</t>
        </is>
      </c>
      <c r="H4" s="54" t="inlineStr">
        <is>
          <t>DY (cm)</t>
        </is>
      </c>
      <c r="I4" s="54" t="inlineStr">
        <is>
          <t>L (cm)</t>
        </is>
      </c>
      <c r="J4" s="54" t="inlineStr">
        <is>
          <t>Cx</t>
        </is>
      </c>
      <c r="K4" s="54" t="inlineStr">
        <is>
          <t>Cy</t>
        </is>
      </c>
      <c r="L4" s="54" t="inlineStr">
        <is>
          <t>A (cm²)</t>
        </is>
      </c>
      <c r="M4" s="54" t="inlineStr">
        <is>
          <t>E (Kgf/cm²)</t>
        </is>
      </c>
      <c r="N4" s="54" t="inlineStr">
        <is>
          <t>AE/L (Kgf/cm)</t>
        </is>
      </c>
      <c r="P4" s="51" t="inlineStr">
        <is>
          <t>COORDENADAS, CONDICIONES DE APOYO Y CARGAS NODALES (HASTA 6 NODOS)</t>
        </is>
      </c>
    </row>
    <row r="5" ht="18" customHeight="1" s="52">
      <c r="B5" s="64" t="n"/>
      <c r="C5" s="55" t="inlineStr">
        <is>
          <t>X</t>
        </is>
      </c>
      <c r="D5" s="55" t="inlineStr">
        <is>
          <t>Y</t>
        </is>
      </c>
      <c r="E5" s="55" t="inlineStr">
        <is>
          <t>X</t>
        </is>
      </c>
      <c r="F5" s="55" t="inlineStr">
        <is>
          <t>Y</t>
        </is>
      </c>
      <c r="G5" s="64" t="n"/>
      <c r="H5" s="64" t="n"/>
      <c r="I5" s="64" t="n"/>
      <c r="J5" s="64" t="n"/>
      <c r="K5" s="64" t="n"/>
      <c r="L5" s="64" t="n"/>
      <c r="M5" s="64" t="n"/>
      <c r="N5" s="64" t="n"/>
      <c r="P5" s="55" t="inlineStr">
        <is>
          <t>NUDO</t>
        </is>
      </c>
      <c r="Q5" s="55" t="inlineStr">
        <is>
          <t>X (cm)</t>
        </is>
      </c>
      <c r="R5" s="55" t="inlineStr">
        <is>
          <t>Y (cm)</t>
        </is>
      </c>
      <c r="S5" s="55" t="inlineStr">
        <is>
          <t>TIPO APOYO</t>
        </is>
      </c>
      <c r="T5" s="55" t="inlineStr">
        <is>
          <t>Rx</t>
        </is>
      </c>
      <c r="U5" s="55" t="inlineStr">
        <is>
          <t>Ry</t>
        </is>
      </c>
      <c r="V5" s="55" t="inlineStr">
        <is>
          <t>Px (Kgf)</t>
        </is>
      </c>
      <c r="W5" s="55" t="inlineStr">
        <is>
          <t>Py (Kgf)</t>
        </is>
      </c>
    </row>
    <row r="6" ht="19.05" customHeight="1" s="52">
      <c r="B6" s="3" t="n">
        <v>1</v>
      </c>
      <c r="C6" s="4">
        <f>IF(C17="","", IFERROR(VLOOKUP(C17, $P$6:$W$11, 2, FALSE), ""))</f>
        <v/>
      </c>
      <c r="D6" s="4">
        <f>IF(C17="","", IFERROR(VLOOKUP(C17, $P$6:$W$11, 3, FALSE), ""))</f>
        <v/>
      </c>
      <c r="E6" s="4">
        <f>IF(F17="","", IFERROR(VLOOKUP(F17, $P$6:$W$11, 2, FALSE), ""))</f>
        <v/>
      </c>
      <c r="F6" s="4">
        <f>IF(F17="","", IFERROR(VLOOKUP(F17, $P$6:$W$11, 3, FALSE), ""))</f>
        <v/>
      </c>
      <c r="G6" s="5">
        <f>IF(OR(C6="",E6=""), "", E6-C6)</f>
        <v/>
      </c>
      <c r="H6" s="5">
        <f>IF(OR(D6="",F6=""), "", F6-D6)</f>
        <v/>
      </c>
      <c r="I6" s="6">
        <f>IF(OR(G6="",H6=""), "", SQRT(G6^2+H6^2))</f>
        <v/>
      </c>
      <c r="J6" s="7">
        <f>IF(OR(I6="",I6=0), "", G6/I6)</f>
        <v/>
      </c>
      <c r="K6" s="7">
        <f>IF(OR(I6="",I6=0), "", H6/I6)</f>
        <v/>
      </c>
      <c r="L6" s="4">
        <f>IF(C17="","", 12)</f>
        <v/>
      </c>
      <c r="M6" s="8">
        <f>IF(C17="","", 2100000)</f>
        <v/>
      </c>
      <c r="N6" s="6">
        <f>IF(OR(I6="",I6=0,L6="",M6=""), 0, (L6*M6)/I6)</f>
        <v/>
      </c>
      <c r="P6" s="9" t="n">
        <v>1</v>
      </c>
      <c r="Q6" s="4" t="n">
        <v>0</v>
      </c>
      <c r="R6" s="4" t="n">
        <v>0</v>
      </c>
      <c r="S6" s="10" t="inlineStr">
        <is>
          <t>Fijo</t>
        </is>
      </c>
      <c r="T6" s="9">
        <f>IF(Q6="","", IF(LEFT(UPPER(TRIM(S6)),4)="FIJO", 1, IF(OR(UPPER(TRIM(S6))="MOVIL X", UPPER(TRIM(S6))="MÓVIL X", UPPER(TRIM(S6))="RODILLO X"), 1, 0)))</f>
        <v/>
      </c>
      <c r="U6" s="9">
        <f>IF(Q6="","", IF(LEFT(UPPER(TRIM(S6)),4)="FIJO", 1, IF(OR(UPPER(TRIM(S6))="MOVIL Y", UPPER(TRIM(S6))="MÓVIL Y", UPPER(TRIM(S6))="RODILLO Y", UPPER(TRIM(S6))="MOVIL", UPPER(TRIM(S6))="MÓVIL"), 1, 0)))</f>
        <v/>
      </c>
      <c r="V6" s="4" t="n">
        <v>0</v>
      </c>
      <c r="W6" s="4" t="n">
        <v>0</v>
      </c>
    </row>
    <row r="7" ht="19.05" customHeight="1" s="52">
      <c r="B7" s="56" t="n">
        <v>2</v>
      </c>
      <c r="C7" s="4">
        <f>IF(C18="","", IFERROR(VLOOKUP(C18, $P$6:$W$11, 2, FALSE), ""))</f>
        <v/>
      </c>
      <c r="D7" s="4">
        <f>IF(C18="","", IFERROR(VLOOKUP(C18, $P$6:$W$11, 3, FALSE), ""))</f>
        <v/>
      </c>
      <c r="E7" s="4">
        <f>IF(F18="","", IFERROR(VLOOKUP(F18, $P$6:$W$11, 2, FALSE), ""))</f>
        <v/>
      </c>
      <c r="F7" s="4">
        <f>IF(F18="","", IFERROR(VLOOKUP(F18, $P$6:$W$11, 3, FALSE), ""))</f>
        <v/>
      </c>
      <c r="G7" s="5">
        <f>IF(OR(C7="",E7=""), "", E7-C7)</f>
        <v/>
      </c>
      <c r="H7" s="5">
        <f>IF(OR(D7="",F7=""), "", F7-D7)</f>
        <v/>
      </c>
      <c r="I7" s="6">
        <f>IF(OR(G7="",H7=""), "", SQRT(G7^2+H7^2))</f>
        <v/>
      </c>
      <c r="J7" s="7">
        <f>IF(OR(I7="",I7=0), "", G7/I7)</f>
        <v/>
      </c>
      <c r="K7" s="7">
        <f>IF(OR(I7="",I7=0), "", H7/I7)</f>
        <v/>
      </c>
      <c r="L7" s="4">
        <f>IF(C18="","", 12)</f>
        <v/>
      </c>
      <c r="M7" s="8">
        <f>IF(C18="","", 2100000)</f>
        <v/>
      </c>
      <c r="N7" s="6">
        <f>IF(OR(I7="",I7=0,L7="",M7=""), 0, (L7*M7)/I7)</f>
        <v/>
      </c>
      <c r="P7" s="9" t="n">
        <v>2</v>
      </c>
      <c r="Q7" s="4" t="n">
        <v>400</v>
      </c>
      <c r="R7" s="4" t="n">
        <v>0</v>
      </c>
      <c r="S7" s="10" t="inlineStr">
        <is>
          <t>Fijo</t>
        </is>
      </c>
      <c r="T7" s="9">
        <f>IF(Q7="","", IF(LEFT(UPPER(TRIM(S7)),4)="FIJO", 1, IF(OR(UPPER(TRIM(S7))="MOVIL X", UPPER(TRIM(S7))="MÓVIL X", UPPER(TRIM(S7))="RODILLO X"), 1, 0)))</f>
        <v/>
      </c>
      <c r="U7" s="9">
        <f>IF(Q7="","", IF(LEFT(UPPER(TRIM(S7)),4)="FIJO", 1, IF(OR(UPPER(TRIM(S7))="MOVIL Y", UPPER(TRIM(S7))="MÓVIL Y", UPPER(TRIM(S7))="RODILLO Y", UPPER(TRIM(S7))="MOVIL", UPPER(TRIM(S7))="MÓVIL"), 1, 0)))</f>
        <v/>
      </c>
      <c r="V7" s="4" t="n">
        <v>0</v>
      </c>
      <c r="W7" s="4" t="n">
        <v>0</v>
      </c>
    </row>
    <row r="8" ht="19.05" customHeight="1" s="52">
      <c r="B8" s="12" t="n">
        <v>3</v>
      </c>
      <c r="C8" s="4">
        <f>IF(C19="","", IFERROR(VLOOKUP(C19, $P$6:$W$11, 2, FALSE), ""))</f>
        <v/>
      </c>
      <c r="D8" s="4">
        <f>IF(C19="","", IFERROR(VLOOKUP(C19, $P$6:$W$11, 3, FALSE), ""))</f>
        <v/>
      </c>
      <c r="E8" s="4">
        <f>IF(F19="","", IFERROR(VLOOKUP(F19, $P$6:$W$11, 2, FALSE), ""))</f>
        <v/>
      </c>
      <c r="F8" s="4">
        <f>IF(F19="","", IFERROR(VLOOKUP(F19, $P$6:$W$11, 3, FALSE), ""))</f>
        <v/>
      </c>
      <c r="G8" s="5">
        <f>IF(OR(C8="",E8=""), "", E8-C8)</f>
        <v/>
      </c>
      <c r="H8" s="5">
        <f>IF(OR(D8="",F8=""), "", F8-D8)</f>
        <v/>
      </c>
      <c r="I8" s="6">
        <f>IF(OR(G8="",H8=""), "", SQRT(G8^2+H8^2))</f>
        <v/>
      </c>
      <c r="J8" s="7">
        <f>IF(OR(I8="",I8=0), "", G8/I8)</f>
        <v/>
      </c>
      <c r="K8" s="7">
        <f>IF(OR(I8="",I8=0), "", H8/I8)</f>
        <v/>
      </c>
      <c r="L8" s="4">
        <f>IF(C19="","", 12)</f>
        <v/>
      </c>
      <c r="M8" s="8">
        <f>IF(C19="","", 2100000)</f>
        <v/>
      </c>
      <c r="N8" s="6">
        <f>IF(OR(I8="",I8=0,L8="",M8=""), 0, (L8*M8)/I8)</f>
        <v/>
      </c>
      <c r="P8" s="9" t="n">
        <v>3</v>
      </c>
      <c r="Q8" s="4" t="n">
        <v>400</v>
      </c>
      <c r="R8" s="4" t="n">
        <v>300</v>
      </c>
      <c r="S8" s="10" t="inlineStr">
        <is>
          <t>Libre</t>
        </is>
      </c>
      <c r="T8" s="9">
        <f>IF(Q8="","", IF(LEFT(UPPER(TRIM(S8)),4)="FIJO", 1, IF(OR(UPPER(TRIM(S8))="MOVIL X", UPPER(TRIM(S8))="MÓVIL X", UPPER(TRIM(S8))="RODILLO X"), 1, 0)))</f>
        <v/>
      </c>
      <c r="U8" s="9">
        <f>IF(Q8="","", IF(LEFT(UPPER(TRIM(S8)),4)="FIJO", 1, IF(OR(UPPER(TRIM(S8))="MOVIL Y", UPPER(TRIM(S8))="MÓVIL Y", UPPER(TRIM(S8))="RODILLO Y", UPPER(TRIM(S8))="MOVIL", UPPER(TRIM(S8))="MÓVIL"), 1, 0)))</f>
        <v/>
      </c>
      <c r="V8" s="4" t="n">
        <v>3500</v>
      </c>
      <c r="W8" s="4" t="n">
        <v>-5000</v>
      </c>
    </row>
    <row r="9" ht="19.05" customHeight="1" s="52">
      <c r="B9" s="13" t="n">
        <v>4</v>
      </c>
      <c r="C9" s="4">
        <f>IF(C20="","", IFERROR(VLOOKUP(C20, $P$6:$W$11, 2, FALSE), ""))</f>
        <v/>
      </c>
      <c r="D9" s="4">
        <f>IF(C20="","", IFERROR(VLOOKUP(C20, $P$6:$W$11, 3, FALSE), ""))</f>
        <v/>
      </c>
      <c r="E9" s="4">
        <f>IF(F20="","", IFERROR(VLOOKUP(F20, $P$6:$W$11, 2, FALSE), ""))</f>
        <v/>
      </c>
      <c r="F9" s="4">
        <f>IF(F20="","", IFERROR(VLOOKUP(F20, $P$6:$W$11, 3, FALSE), ""))</f>
        <v/>
      </c>
      <c r="G9" s="5">
        <f>IF(OR(C9="",E9=""), "", E9-C9)</f>
        <v/>
      </c>
      <c r="H9" s="5">
        <f>IF(OR(D9="",F9=""), "", F9-D9)</f>
        <v/>
      </c>
      <c r="I9" s="6">
        <f>IF(OR(G9="",H9=""), "", SQRT(G9^2+H9^2))</f>
        <v/>
      </c>
      <c r="J9" s="7">
        <f>IF(OR(I9="",I9=0), "", G9/I9)</f>
        <v/>
      </c>
      <c r="K9" s="7">
        <f>IF(OR(I9="",I9=0), "", H9/I9)</f>
        <v/>
      </c>
      <c r="L9" s="4">
        <f>IF(C20="","", 12)</f>
        <v/>
      </c>
      <c r="M9" s="8">
        <f>IF(C20="","", 2100000)</f>
        <v/>
      </c>
      <c r="N9" s="6">
        <f>IF(OR(I9="",I9=0,L9="",M9=""), 0, (L9*M9)/I9)</f>
        <v/>
      </c>
      <c r="P9" s="9" t="n">
        <v>4</v>
      </c>
      <c r="Q9" s="4" t="n">
        <v>0</v>
      </c>
      <c r="R9" s="4" t="n">
        <v>300</v>
      </c>
      <c r="S9" s="10" t="inlineStr">
        <is>
          <t>Libre</t>
        </is>
      </c>
      <c r="T9" s="9">
        <f>IF(Q9="","", IF(LEFT(UPPER(TRIM(S9)),4)="FIJO", 1, IF(OR(UPPER(TRIM(S9))="MOVIL X", UPPER(TRIM(S9))="MÓVIL X", UPPER(TRIM(S9))="RODILLO X"), 1, 0)))</f>
        <v/>
      </c>
      <c r="U9" s="9">
        <f>IF(Q9="","", IF(LEFT(UPPER(TRIM(S9)),4)="FIJO", 1, IF(OR(UPPER(TRIM(S9))="MOVIL Y", UPPER(TRIM(S9))="MÓVIL Y", UPPER(TRIM(S9))="RODILLO Y", UPPER(TRIM(S9))="MOVIL", UPPER(TRIM(S9))="MÓVIL"), 1, 0)))</f>
        <v/>
      </c>
      <c r="V9" s="4" t="n">
        <v>3500</v>
      </c>
      <c r="W9" s="4" t="n">
        <v>0</v>
      </c>
    </row>
    <row r="10" ht="19.05" customHeight="1" s="52">
      <c r="B10" s="14" t="n">
        <v>5</v>
      </c>
      <c r="C10" s="4">
        <f>IF(C21="","", IFERROR(VLOOKUP(C21, $P$6:$W$11, 2, FALSE), ""))</f>
        <v/>
      </c>
      <c r="D10" s="4">
        <f>IF(C21="","", IFERROR(VLOOKUP(C21, $P$6:$W$11, 3, FALSE), ""))</f>
        <v/>
      </c>
      <c r="E10" s="4">
        <f>IF(F21="","", IFERROR(VLOOKUP(F21, $P$6:$W$11, 2, FALSE), ""))</f>
        <v/>
      </c>
      <c r="F10" s="4">
        <f>IF(F21="","", IFERROR(VLOOKUP(F21, $P$6:$W$11, 3, FALSE), ""))</f>
        <v/>
      </c>
      <c r="G10" s="5">
        <f>IF(OR(C10="",E10=""), "", E10-C10)</f>
        <v/>
      </c>
      <c r="H10" s="5">
        <f>IF(OR(D10="",F10=""), "", F10-D10)</f>
        <v/>
      </c>
      <c r="I10" s="6">
        <f>IF(OR(G10="",H10=""), "", SQRT(G10^2+H10^2))</f>
        <v/>
      </c>
      <c r="J10" s="7">
        <f>IF(OR(I10="",I10=0), "", G10/I10)</f>
        <v/>
      </c>
      <c r="K10" s="7">
        <f>IF(OR(I10="",I10=0), "", H10/I10)</f>
        <v/>
      </c>
      <c r="L10" s="4">
        <f>IF(C21="","", 12)</f>
        <v/>
      </c>
      <c r="M10" s="8">
        <f>IF(C21="","", 2100000)</f>
        <v/>
      </c>
      <c r="N10" s="6">
        <f>IF(OR(I10="",I10=0,L10="",M10=""), 0, (L10*M10)/I10)</f>
        <v/>
      </c>
      <c r="P10" s="9" t="n">
        <v>5</v>
      </c>
      <c r="Q10" s="4" t="n"/>
      <c r="R10" s="4" t="n"/>
      <c r="S10" s="10" t="inlineStr">
        <is>
          <t>Libre</t>
        </is>
      </c>
      <c r="T10" s="9">
        <f>IF(Q10="","", IF(LEFT(UPPER(TRIM(S10)),4)="FIJO", 1, IF(OR(UPPER(TRIM(S10))="MOVIL X", UPPER(TRIM(S10))="MÓVIL X", UPPER(TRIM(S10))="RODILLO X"), 1, 0)))</f>
        <v/>
      </c>
      <c r="U10" s="9">
        <f>IF(Q10="","", IF(LEFT(UPPER(TRIM(S10)),4)="FIJO", 1, IF(OR(UPPER(TRIM(S10))="MOVIL Y", UPPER(TRIM(S10))="MÓVIL Y", UPPER(TRIM(S10))="RODILLO Y", UPPER(TRIM(S10))="MOVIL", UPPER(TRIM(S10))="MÓVIL"), 1, 0)))</f>
        <v/>
      </c>
      <c r="V10" s="4" t="n"/>
      <c r="W10" s="4" t="n"/>
    </row>
    <row r="11" ht="19.05" customHeight="1" s="52">
      <c r="B11" s="15" t="n">
        <v>6</v>
      </c>
      <c r="C11" s="4">
        <f>IF(C22="","", IFERROR(VLOOKUP(C22, $P$6:$W$11, 2, FALSE), ""))</f>
        <v/>
      </c>
      <c r="D11" s="4">
        <f>IF(C22="","", IFERROR(VLOOKUP(C22, $P$6:$W$11, 3, FALSE), ""))</f>
        <v/>
      </c>
      <c r="E11" s="4">
        <f>IF(F22="","", IFERROR(VLOOKUP(F22, $P$6:$W$11, 2, FALSE), ""))</f>
        <v/>
      </c>
      <c r="F11" s="4">
        <f>IF(F22="","", IFERROR(VLOOKUP(F22, $P$6:$W$11, 3, FALSE), ""))</f>
        <v/>
      </c>
      <c r="G11" s="5">
        <f>IF(OR(C11="",E11=""), "", E11-C11)</f>
        <v/>
      </c>
      <c r="H11" s="5">
        <f>IF(OR(D11="",F11=""), "", F11-D11)</f>
        <v/>
      </c>
      <c r="I11" s="6">
        <f>IF(OR(G11="",H11=""), "", SQRT(G11^2+H11^2))</f>
        <v/>
      </c>
      <c r="J11" s="7">
        <f>IF(OR(I11="",I11=0), "", G11/I11)</f>
        <v/>
      </c>
      <c r="K11" s="7">
        <f>IF(OR(I11="",I11=0), "", H11/I11)</f>
        <v/>
      </c>
      <c r="L11" s="4">
        <f>IF(C22="","", 12)</f>
        <v/>
      </c>
      <c r="M11" s="8">
        <f>IF(C22="","", 2100000)</f>
        <v/>
      </c>
      <c r="N11" s="6">
        <f>IF(OR(I11="",I11=0,L11="",M11=""), 0, (L11*M11)/I11)</f>
        <v/>
      </c>
      <c r="P11" s="9" t="n">
        <v>6</v>
      </c>
      <c r="Q11" s="4" t="n"/>
      <c r="R11" s="4" t="n"/>
      <c r="S11" s="10" t="inlineStr">
        <is>
          <t>Libre</t>
        </is>
      </c>
      <c r="T11" s="9">
        <f>IF(Q11="","", IF(LEFT(UPPER(TRIM(S11)),4)="FIJO", 1, IF(OR(UPPER(TRIM(S11))="MOVIL X", UPPER(TRIM(S11))="MÓVIL X", UPPER(TRIM(S11))="RODILLO X"), 1, 0)))</f>
        <v/>
      </c>
      <c r="U11" s="9">
        <f>IF(Q11="","", IF(LEFT(UPPER(TRIM(S11)),4)="FIJO", 1, IF(OR(UPPER(TRIM(S11))="MOVIL Y", UPPER(TRIM(S11))="MÓVIL Y", UPPER(TRIM(S11))="RODILLO Y", UPPER(TRIM(S11))="MOVIL", UPPER(TRIM(S11))="MÓVIL"), 1, 0)))</f>
        <v/>
      </c>
      <c r="V11" s="4" t="n"/>
      <c r="W11" s="4" t="n"/>
    </row>
    <row r="12" ht="19.05" customHeight="1" s="52">
      <c r="B12" s="16" t="n">
        <v>7</v>
      </c>
      <c r="C12" s="4">
        <f>IF(C23="","", IFERROR(VLOOKUP(C23, $P$6:$W$11, 2, FALSE), ""))</f>
        <v/>
      </c>
      <c r="D12" s="4">
        <f>IF(C23="","", IFERROR(VLOOKUP(C23, $P$6:$W$11, 3, FALSE), ""))</f>
        <v/>
      </c>
      <c r="E12" s="4">
        <f>IF(F23="","", IFERROR(VLOOKUP(F23, $P$6:$W$11, 2, FALSE), ""))</f>
        <v/>
      </c>
      <c r="F12" s="4">
        <f>IF(F23="","", IFERROR(VLOOKUP(F23, $P$6:$W$11, 3, FALSE), ""))</f>
        <v/>
      </c>
      <c r="G12" s="5">
        <f>IF(OR(C12="",E12=""), "", E12-C12)</f>
        <v/>
      </c>
      <c r="H12" s="5">
        <f>IF(OR(D12="",F12=""), "", F12-D12)</f>
        <v/>
      </c>
      <c r="I12" s="6">
        <f>IF(OR(G12="",H12=""), "", SQRT(G12^2+H12^2))</f>
        <v/>
      </c>
      <c r="J12" s="7">
        <f>IF(OR(I12="",I12=0), "", G12/I12)</f>
        <v/>
      </c>
      <c r="K12" s="7">
        <f>IF(OR(I12="",I12=0), "", H12/I12)</f>
        <v/>
      </c>
      <c r="L12" s="4">
        <f>IF(C23="","", 12)</f>
        <v/>
      </c>
      <c r="M12" s="8">
        <f>IF(C23="","", 2100000)</f>
        <v/>
      </c>
      <c r="N12" s="6">
        <f>IF(OR(I12="",I12=0,L12="",M12=""), 0, (L12*M12)/I12)</f>
        <v/>
      </c>
    </row>
    <row r="13" ht="19.05" customHeight="1" s="52">
      <c r="B13" s="17" t="n">
        <v>8</v>
      </c>
      <c r="C13" s="4">
        <f>IF(C24="","", IFERROR(VLOOKUP(C24, $P$6:$W$11, 2, FALSE), ""))</f>
        <v/>
      </c>
      <c r="D13" s="4">
        <f>IF(C24="","", IFERROR(VLOOKUP(C24, $P$6:$W$11, 3, FALSE), ""))</f>
        <v/>
      </c>
      <c r="E13" s="4">
        <f>IF(F24="","", IFERROR(VLOOKUP(F24, $P$6:$W$11, 2, FALSE), ""))</f>
        <v/>
      </c>
      <c r="F13" s="4">
        <f>IF(F24="","", IFERROR(VLOOKUP(F24, $P$6:$W$11, 3, FALSE), ""))</f>
        <v/>
      </c>
      <c r="G13" s="5">
        <f>IF(OR(C13="",E13=""), "", E13-C13)</f>
        <v/>
      </c>
      <c r="H13" s="5">
        <f>IF(OR(D13="",F13=""), "", F13-D13)</f>
        <v/>
      </c>
      <c r="I13" s="6">
        <f>IF(OR(G13="",H13=""), "", SQRT(G13^2+H13^2))</f>
        <v/>
      </c>
      <c r="J13" s="7">
        <f>IF(OR(I13="",I13=0), "", G13/I13)</f>
        <v/>
      </c>
      <c r="K13" s="7">
        <f>IF(OR(I13="",I13=0), "", H13/I13)</f>
        <v/>
      </c>
      <c r="L13" s="4">
        <f>IF(C24="","", 12)</f>
        <v/>
      </c>
      <c r="M13" s="8">
        <f>IF(C24="","", 2100000)</f>
        <v/>
      </c>
      <c r="N13" s="6">
        <f>IF(OR(I13="",I13=0,L13="",M13=""), 0, (L13*M13)/I13)</f>
        <v/>
      </c>
    </row>
    <row r="15" ht="19.95" customHeight="1" s="52">
      <c r="B15" s="58" t="inlineStr">
        <is>
          <t>CONECTIVIDAD DE BARRAS Y GRADOS DE LIBERTAD ASOCIADOS:</t>
        </is>
      </c>
    </row>
    <row r="16" ht="18" customHeight="1" s="52">
      <c r="B16" s="54" t="inlineStr">
        <is>
          <t>BARRA</t>
        </is>
      </c>
      <c r="C16" s="54" t="inlineStr">
        <is>
          <t>NUDO INICIO</t>
        </is>
      </c>
      <c r="D16" s="54" t="inlineStr">
        <is>
          <t>u_ini_x</t>
        </is>
      </c>
      <c r="E16" s="54" t="inlineStr">
        <is>
          <t>u_ini_y</t>
        </is>
      </c>
      <c r="F16" s="54" t="inlineStr">
        <is>
          <t>NUDO FIN</t>
        </is>
      </c>
      <c r="G16" s="54" t="inlineStr">
        <is>
          <t>u_fin_x</t>
        </is>
      </c>
      <c r="H16" s="54" t="inlineStr">
        <is>
          <t>u_fin_y</t>
        </is>
      </c>
    </row>
    <row r="17" ht="19.05" customHeight="1" s="52">
      <c r="B17" s="3" t="n">
        <v>1</v>
      </c>
      <c r="C17" s="18" t="n">
        <v>1</v>
      </c>
      <c r="D17" s="9">
        <f>IF(C17="","", "U" &amp; C17 &amp; "X")</f>
        <v/>
      </c>
      <c r="E17" s="9">
        <f>IF(C17="","", "U" &amp; C17 &amp; "Y")</f>
        <v/>
      </c>
      <c r="F17" s="18" t="n">
        <v>2</v>
      </c>
      <c r="G17" s="9">
        <f>IF(F17="","", "U" &amp; F17 &amp; "X")</f>
        <v/>
      </c>
      <c r="H17" s="9">
        <f>IF(F17="","", "U" &amp; F17 &amp; "Y")</f>
        <v/>
      </c>
    </row>
    <row r="18" ht="19.05" customHeight="1" s="52">
      <c r="B18" s="56" t="n">
        <v>2</v>
      </c>
      <c r="C18" s="18" t="n">
        <v>2</v>
      </c>
      <c r="D18" s="9">
        <f>IF(C18="","", "U" &amp; C18 &amp; "X")</f>
        <v/>
      </c>
      <c r="E18" s="9">
        <f>IF(C18="","", "U" &amp; C18 &amp; "Y")</f>
        <v/>
      </c>
      <c r="F18" s="18" t="n">
        <v>3</v>
      </c>
      <c r="G18" s="9">
        <f>IF(F18="","", "U" &amp; F18 &amp; "X")</f>
        <v/>
      </c>
      <c r="H18" s="9">
        <f>IF(F18="","", "U" &amp; F18 &amp; "Y")</f>
        <v/>
      </c>
    </row>
    <row r="19" ht="19.05" customHeight="1" s="52">
      <c r="B19" s="12" t="n">
        <v>3</v>
      </c>
      <c r="C19" s="18" t="n">
        <v>3</v>
      </c>
      <c r="D19" s="9">
        <f>IF(C19="","", "U" &amp; C19 &amp; "X")</f>
        <v/>
      </c>
      <c r="E19" s="9">
        <f>IF(C19="","", "U" &amp; C19 &amp; "Y")</f>
        <v/>
      </c>
      <c r="F19" s="18" t="n">
        <v>4</v>
      </c>
      <c r="G19" s="9">
        <f>IF(F19="","", "U" &amp; F19 &amp; "X")</f>
        <v/>
      </c>
      <c r="H19" s="9">
        <f>IF(F19="","", "U" &amp; F19 &amp; "Y")</f>
        <v/>
      </c>
    </row>
    <row r="20" ht="19.05" customHeight="1" s="52">
      <c r="B20" s="13" t="n">
        <v>4</v>
      </c>
      <c r="C20" s="18" t="n">
        <v>4</v>
      </c>
      <c r="D20" s="9">
        <f>IF(C20="","", "U" &amp; C20 &amp; "X")</f>
        <v/>
      </c>
      <c r="E20" s="9">
        <f>IF(C20="","", "U" &amp; C20 &amp; "Y")</f>
        <v/>
      </c>
      <c r="F20" s="18" t="n">
        <v>1</v>
      </c>
      <c r="G20" s="9">
        <f>IF(F20="","", "U" &amp; F20 &amp; "X")</f>
        <v/>
      </c>
      <c r="H20" s="9">
        <f>IF(F20="","", "U" &amp; F20 &amp; "Y")</f>
        <v/>
      </c>
    </row>
    <row r="21" ht="19.05" customHeight="1" s="52">
      <c r="B21" s="14" t="n">
        <v>5</v>
      </c>
      <c r="C21" s="18" t="n">
        <v>1</v>
      </c>
      <c r="D21" s="9">
        <f>IF(C21="","", "U" &amp; C21 &amp; "X")</f>
        <v/>
      </c>
      <c r="E21" s="9">
        <f>IF(C21="","", "U" &amp; C21 &amp; "Y")</f>
        <v/>
      </c>
      <c r="F21" s="18" t="n">
        <v>3</v>
      </c>
      <c r="G21" s="9">
        <f>IF(F21="","", "U" &amp; F21 &amp; "X")</f>
        <v/>
      </c>
      <c r="H21" s="9">
        <f>IF(F21="","", "U" &amp; F21 &amp; "Y")</f>
        <v/>
      </c>
    </row>
    <row r="22" ht="19.05" customHeight="1" s="52">
      <c r="B22" s="15" t="n">
        <v>6</v>
      </c>
      <c r="C22" s="18" t="n">
        <v>2</v>
      </c>
      <c r="D22" s="9">
        <f>IF(C22="","", "U" &amp; C22 &amp; "X")</f>
        <v/>
      </c>
      <c r="E22" s="9">
        <f>IF(C22="","", "U" &amp; C22 &amp; "Y")</f>
        <v/>
      </c>
      <c r="F22" s="18" t="n">
        <v>4</v>
      </c>
      <c r="G22" s="9">
        <f>IF(F22="","", "U" &amp; F22 &amp; "X")</f>
        <v/>
      </c>
      <c r="H22" s="9">
        <f>IF(F22="","", "U" &amp; F22 &amp; "Y")</f>
        <v/>
      </c>
    </row>
    <row r="23" ht="19.05" customHeight="1" s="52">
      <c r="B23" s="16" t="n">
        <v>7</v>
      </c>
      <c r="C23" s="18" t="n"/>
      <c r="D23" s="9">
        <f>IF(C23="","", "U" &amp; C23 &amp; "X")</f>
        <v/>
      </c>
      <c r="E23" s="9">
        <f>IF(C23="","", "U" &amp; C23 &amp; "Y")</f>
        <v/>
      </c>
      <c r="F23" s="18" t="n"/>
      <c r="G23" s="9">
        <f>IF(F23="","", "U" &amp; F23 &amp; "X")</f>
        <v/>
      </c>
      <c r="H23" s="9">
        <f>IF(F23="","", "U" &amp; F23 &amp; "Y")</f>
        <v/>
      </c>
    </row>
    <row r="24" ht="19.05" customHeight="1" s="52">
      <c r="B24" s="17" t="n">
        <v>8</v>
      </c>
      <c r="C24" s="18" t="n"/>
      <c r="D24" s="9">
        <f>IF(C24="","", "U" &amp; C24 &amp; "X")</f>
        <v/>
      </c>
      <c r="E24" s="9">
        <f>IF(C24="","", "U" &amp; C24 &amp; "Y")</f>
        <v/>
      </c>
      <c r="F24" s="18" t="n"/>
      <c r="G24" s="9">
        <f>IF(F24="","", "U" &amp; F24 &amp; "X")</f>
        <v/>
      </c>
      <c r="H24" s="9">
        <f>IF(F24="","", "U" &amp; F24 &amp; "Y")</f>
        <v/>
      </c>
    </row>
    <row r="27" ht="19.05" customHeight="1" s="52">
      <c r="A27" s="19" t="inlineStr">
        <is>
          <t>k1=</t>
        </is>
      </c>
      <c r="B27" s="3">
        <f>IF(D17="","-",D17)</f>
        <v/>
      </c>
      <c r="C27" s="3">
        <f>IF(E17="","-",E17)</f>
        <v/>
      </c>
      <c r="D27" s="3">
        <f>IF(G17="","-",G17)</f>
        <v/>
      </c>
      <c r="E27" s="3">
        <f>IF(H17="","-",H17)</f>
        <v/>
      </c>
    </row>
    <row r="28" ht="18" customHeight="1" s="52">
      <c r="B28" s="20">
        <f>IF(N6=0, 0, N6*J6*J6)</f>
        <v/>
      </c>
      <c r="C28" s="20">
        <f>IF(N6=0, 0, N6*J6*K6)</f>
        <v/>
      </c>
      <c r="D28" s="20">
        <f>IF(N6=0, 0, -N6*J6*J6)</f>
        <v/>
      </c>
      <c r="E28" s="20">
        <f>IF(N6=0, 0, -N6*J6*K6)</f>
        <v/>
      </c>
      <c r="F28" s="3">
        <f>IF(D17="","-",D17)</f>
        <v/>
      </c>
    </row>
    <row r="29" ht="18" customHeight="1" s="52">
      <c r="B29" s="20">
        <f>IF(N6=0, 0, N6*J6*K6)</f>
        <v/>
      </c>
      <c r="C29" s="20">
        <f>IF(N6=0, 0, N6*K6*K6)</f>
        <v/>
      </c>
      <c r="D29" s="20">
        <f>IF(N6=0, 0, -N6*J6*K6)</f>
        <v/>
      </c>
      <c r="E29" s="20">
        <f>IF(N6=0, 0, -N6*K6*K6)</f>
        <v/>
      </c>
      <c r="F29" s="3">
        <f>IF(E17="","-",E17)</f>
        <v/>
      </c>
    </row>
    <row r="30" ht="18" customHeight="1" s="52">
      <c r="B30" s="20">
        <f>IF(N6=0, 0, -N6*J6*J6)</f>
        <v/>
      </c>
      <c r="C30" s="20">
        <f>IF(N6=0, 0, -N6*J6*K6)</f>
        <v/>
      </c>
      <c r="D30" s="20">
        <f>IF(N6=0, 0, N6*J6*J6)</f>
        <v/>
      </c>
      <c r="E30" s="20">
        <f>IF(N6=0, 0, N6*J6*K6)</f>
        <v/>
      </c>
      <c r="F30" s="3">
        <f>IF(G17="","-",G17)</f>
        <v/>
      </c>
    </row>
    <row r="31" ht="18" customHeight="1" s="52">
      <c r="B31" s="20">
        <f>IF(N6=0, 0, -N6*J6*K6)</f>
        <v/>
      </c>
      <c r="C31" s="20">
        <f>IF(N6=0, 0, -N6*K6*K6)</f>
        <v/>
      </c>
      <c r="D31" s="20">
        <f>IF(N6=0, 0, N6*J6*K6)</f>
        <v/>
      </c>
      <c r="E31" s="20">
        <f>IF(N6=0, 0, N6*K6*K6)</f>
        <v/>
      </c>
      <c r="F31" s="3">
        <f>IF(H17="","-",H17)</f>
        <v/>
      </c>
    </row>
    <row r="33" ht="19.05" customHeight="1" s="52">
      <c r="B33" s="54" t="inlineStr">
        <is>
          <t>U1X</t>
        </is>
      </c>
      <c r="C33" s="54" t="inlineStr">
        <is>
          <t>U1Y</t>
        </is>
      </c>
      <c r="D33" s="54" t="inlineStr">
        <is>
          <t>U2X</t>
        </is>
      </c>
      <c r="E33" s="54" t="inlineStr">
        <is>
          <t>U2Y</t>
        </is>
      </c>
      <c r="F33" s="54" t="inlineStr">
        <is>
          <t>U3X</t>
        </is>
      </c>
      <c r="G33" s="54" t="inlineStr">
        <is>
          <t>U3Y</t>
        </is>
      </c>
      <c r="H33" s="54" t="inlineStr">
        <is>
          <t>U4X</t>
        </is>
      </c>
      <c r="I33" s="54" t="inlineStr">
        <is>
          <t>U4Y</t>
        </is>
      </c>
      <c r="J33" s="54" t="inlineStr">
        <is>
          <t>U5X</t>
        </is>
      </c>
      <c r="K33" s="54" t="inlineStr">
        <is>
          <t>U5Y</t>
        </is>
      </c>
      <c r="L33" s="54" t="inlineStr">
        <is>
          <t>U6X</t>
        </is>
      </c>
      <c r="M33" s="54" t="inlineStr">
        <is>
          <t>U6Y</t>
        </is>
      </c>
    </row>
    <row r="34" ht="19.05" customHeight="1" s="52">
      <c r="B34" s="21">
        <f>IFERROR(INDEX($B$28:$E$31, MATCH($N34, $B$27:$E$27, 0), MATCH(B$33, $B$27:$E$27, 0)), 0)</f>
        <v/>
      </c>
      <c r="C34" s="21">
        <f>IFERROR(INDEX($B$28:$E$31, MATCH($N34, $B$27:$E$27, 0), MATCH(C$33, $B$27:$E$27, 0)), 0)</f>
        <v/>
      </c>
      <c r="D34" s="21">
        <f>IFERROR(INDEX($B$28:$E$31, MATCH($N34, $B$27:$E$27, 0), MATCH(D$33, $B$27:$E$27, 0)), 0)</f>
        <v/>
      </c>
      <c r="E34" s="21">
        <f>IFERROR(INDEX($B$28:$E$31, MATCH($N34, $B$27:$E$27, 0), MATCH(E$33, $B$27:$E$27, 0)), 0)</f>
        <v/>
      </c>
      <c r="F34" s="21">
        <f>IFERROR(INDEX($B$28:$E$31, MATCH($N34, $B$27:$E$27, 0), MATCH(F$33, $B$27:$E$27, 0)), 0)</f>
        <v/>
      </c>
      <c r="G34" s="21">
        <f>IFERROR(INDEX($B$28:$E$31, MATCH($N34, $B$27:$E$27, 0), MATCH(G$33, $B$27:$E$27, 0)), 0)</f>
        <v/>
      </c>
      <c r="H34" s="21">
        <f>IFERROR(INDEX($B$28:$E$31, MATCH($N34, $B$27:$E$27, 0), MATCH(H$33, $B$27:$E$27, 0)), 0)</f>
        <v/>
      </c>
      <c r="I34" s="21">
        <f>IFERROR(INDEX($B$28:$E$31, MATCH($N34, $B$27:$E$27, 0), MATCH(I$33, $B$27:$E$27, 0)), 0)</f>
        <v/>
      </c>
      <c r="J34" s="21">
        <f>IFERROR(INDEX($B$28:$E$31, MATCH($N34, $B$27:$E$27, 0), MATCH(J$33, $B$27:$E$27, 0)), 0)</f>
        <v/>
      </c>
      <c r="K34" s="21">
        <f>IFERROR(INDEX($B$28:$E$31, MATCH($N34, $B$27:$E$27, 0), MATCH(K$33, $B$27:$E$27, 0)), 0)</f>
        <v/>
      </c>
      <c r="L34" s="21">
        <f>IFERROR(INDEX($B$28:$E$31, MATCH($N34, $B$27:$E$27, 0), MATCH(L$33, $B$27:$E$27, 0)), 0)</f>
        <v/>
      </c>
      <c r="M34" s="21">
        <f>IFERROR(INDEX($B$28:$E$31, MATCH($N34, $B$27:$E$27, 0), MATCH(M$33, $B$27:$E$27, 0)), 0)</f>
        <v/>
      </c>
      <c r="N34" s="3" t="inlineStr">
        <is>
          <t>U1X</t>
        </is>
      </c>
    </row>
    <row r="35" ht="19.05" customHeight="1" s="52">
      <c r="B35" s="21">
        <f>IFERROR(INDEX($B$28:$E$31, MATCH($N35, $B$27:$E$27, 0), MATCH(B$33, $B$27:$E$27, 0)), 0)</f>
        <v/>
      </c>
      <c r="C35" s="21">
        <f>IFERROR(INDEX($B$28:$E$31, MATCH($N35, $B$27:$E$27, 0), MATCH(C$33, $B$27:$E$27, 0)), 0)</f>
        <v/>
      </c>
      <c r="D35" s="21">
        <f>IFERROR(INDEX($B$28:$E$31, MATCH($N35, $B$27:$E$27, 0), MATCH(D$33, $B$27:$E$27, 0)), 0)</f>
        <v/>
      </c>
      <c r="E35" s="21">
        <f>IFERROR(INDEX($B$28:$E$31, MATCH($N35, $B$27:$E$27, 0), MATCH(E$33, $B$27:$E$27, 0)), 0)</f>
        <v/>
      </c>
      <c r="F35" s="21">
        <f>IFERROR(INDEX($B$28:$E$31, MATCH($N35, $B$27:$E$27, 0), MATCH(F$33, $B$27:$E$27, 0)), 0)</f>
        <v/>
      </c>
      <c r="G35" s="21">
        <f>IFERROR(INDEX($B$28:$E$31, MATCH($N35, $B$27:$E$27, 0), MATCH(G$33, $B$27:$E$27, 0)), 0)</f>
        <v/>
      </c>
      <c r="H35" s="21">
        <f>IFERROR(INDEX($B$28:$E$31, MATCH($N35, $B$27:$E$27, 0), MATCH(H$33, $B$27:$E$27, 0)), 0)</f>
        <v/>
      </c>
      <c r="I35" s="21">
        <f>IFERROR(INDEX($B$28:$E$31, MATCH($N35, $B$27:$E$27, 0), MATCH(I$33, $B$27:$E$27, 0)), 0)</f>
        <v/>
      </c>
      <c r="J35" s="21">
        <f>IFERROR(INDEX($B$28:$E$31, MATCH($N35, $B$27:$E$27, 0), MATCH(J$33, $B$27:$E$27, 0)), 0)</f>
        <v/>
      </c>
      <c r="K35" s="21">
        <f>IFERROR(INDEX($B$28:$E$31, MATCH($N35, $B$27:$E$27, 0), MATCH(K$33, $B$27:$E$27, 0)), 0)</f>
        <v/>
      </c>
      <c r="L35" s="21">
        <f>IFERROR(INDEX($B$28:$E$31, MATCH($N35, $B$27:$E$27, 0), MATCH(L$33, $B$27:$E$27, 0)), 0)</f>
        <v/>
      </c>
      <c r="M35" s="21">
        <f>IFERROR(INDEX($B$28:$E$31, MATCH($N35, $B$27:$E$27, 0), MATCH(M$33, $B$27:$E$27, 0)), 0)</f>
        <v/>
      </c>
      <c r="N35" s="3" t="inlineStr">
        <is>
          <t>U1Y</t>
        </is>
      </c>
    </row>
    <row r="36" ht="19.05" customHeight="1" s="52">
      <c r="B36" s="21">
        <f>IFERROR(INDEX($B$28:$E$31, MATCH($N36, $B$27:$E$27, 0), MATCH(B$33, $B$27:$E$27, 0)), 0)</f>
        <v/>
      </c>
      <c r="C36" s="21">
        <f>IFERROR(INDEX($B$28:$E$31, MATCH($N36, $B$27:$E$27, 0), MATCH(C$33, $B$27:$E$27, 0)), 0)</f>
        <v/>
      </c>
      <c r="D36" s="21">
        <f>IFERROR(INDEX($B$28:$E$31, MATCH($N36, $B$27:$E$27, 0), MATCH(D$33, $B$27:$E$27, 0)), 0)</f>
        <v/>
      </c>
      <c r="E36" s="21">
        <f>IFERROR(INDEX($B$28:$E$31, MATCH($N36, $B$27:$E$27, 0), MATCH(E$33, $B$27:$E$27, 0)), 0)</f>
        <v/>
      </c>
      <c r="F36" s="21">
        <f>IFERROR(INDEX($B$28:$E$31, MATCH($N36, $B$27:$E$27, 0), MATCH(F$33, $B$27:$E$27, 0)), 0)</f>
        <v/>
      </c>
      <c r="G36" s="21">
        <f>IFERROR(INDEX($B$28:$E$31, MATCH($N36, $B$27:$E$27, 0), MATCH(G$33, $B$27:$E$27, 0)), 0)</f>
        <v/>
      </c>
      <c r="H36" s="21">
        <f>IFERROR(INDEX($B$28:$E$31, MATCH($N36, $B$27:$E$27, 0), MATCH(H$33, $B$27:$E$27, 0)), 0)</f>
        <v/>
      </c>
      <c r="I36" s="21">
        <f>IFERROR(INDEX($B$28:$E$31, MATCH($N36, $B$27:$E$27, 0), MATCH(I$33, $B$27:$E$27, 0)), 0)</f>
        <v/>
      </c>
      <c r="J36" s="21">
        <f>IFERROR(INDEX($B$28:$E$31, MATCH($N36, $B$27:$E$27, 0), MATCH(J$33, $B$27:$E$27, 0)), 0)</f>
        <v/>
      </c>
      <c r="K36" s="21">
        <f>IFERROR(INDEX($B$28:$E$31, MATCH($N36, $B$27:$E$27, 0), MATCH(K$33, $B$27:$E$27, 0)), 0)</f>
        <v/>
      </c>
      <c r="L36" s="21">
        <f>IFERROR(INDEX($B$28:$E$31, MATCH($N36, $B$27:$E$27, 0), MATCH(L$33, $B$27:$E$27, 0)), 0)</f>
        <v/>
      </c>
      <c r="M36" s="21">
        <f>IFERROR(INDEX($B$28:$E$31, MATCH($N36, $B$27:$E$27, 0), MATCH(M$33, $B$27:$E$27, 0)), 0)</f>
        <v/>
      </c>
      <c r="N36" s="3" t="inlineStr">
        <is>
          <t>U2X</t>
        </is>
      </c>
    </row>
    <row r="37" ht="19.05" customHeight="1" s="52">
      <c r="B37" s="21">
        <f>IFERROR(INDEX($B$28:$E$31, MATCH($N37, $B$27:$E$27, 0), MATCH(B$33, $B$27:$E$27, 0)), 0)</f>
        <v/>
      </c>
      <c r="C37" s="21">
        <f>IFERROR(INDEX($B$28:$E$31, MATCH($N37, $B$27:$E$27, 0), MATCH(C$33, $B$27:$E$27, 0)), 0)</f>
        <v/>
      </c>
      <c r="D37" s="21">
        <f>IFERROR(INDEX($B$28:$E$31, MATCH($N37, $B$27:$E$27, 0), MATCH(D$33, $B$27:$E$27, 0)), 0)</f>
        <v/>
      </c>
      <c r="E37" s="21">
        <f>IFERROR(INDEX($B$28:$E$31, MATCH($N37, $B$27:$E$27, 0), MATCH(E$33, $B$27:$E$27, 0)), 0)</f>
        <v/>
      </c>
      <c r="F37" s="21">
        <f>IFERROR(INDEX($B$28:$E$31, MATCH($N37, $B$27:$E$27, 0), MATCH(F$33, $B$27:$E$27, 0)), 0)</f>
        <v/>
      </c>
      <c r="G37" s="21">
        <f>IFERROR(INDEX($B$28:$E$31, MATCH($N37, $B$27:$E$27, 0), MATCH(G$33, $B$27:$E$27, 0)), 0)</f>
        <v/>
      </c>
      <c r="H37" s="21">
        <f>IFERROR(INDEX($B$28:$E$31, MATCH($N37, $B$27:$E$27, 0), MATCH(H$33, $B$27:$E$27, 0)), 0)</f>
        <v/>
      </c>
      <c r="I37" s="21">
        <f>IFERROR(INDEX($B$28:$E$31, MATCH($N37, $B$27:$E$27, 0), MATCH(I$33, $B$27:$E$27, 0)), 0)</f>
        <v/>
      </c>
      <c r="J37" s="21">
        <f>IFERROR(INDEX($B$28:$E$31, MATCH($N37, $B$27:$E$27, 0), MATCH(J$33, $B$27:$E$27, 0)), 0)</f>
        <v/>
      </c>
      <c r="K37" s="21">
        <f>IFERROR(INDEX($B$28:$E$31, MATCH($N37, $B$27:$E$27, 0), MATCH(K$33, $B$27:$E$27, 0)), 0)</f>
        <v/>
      </c>
      <c r="L37" s="21">
        <f>IFERROR(INDEX($B$28:$E$31, MATCH($N37, $B$27:$E$27, 0), MATCH(L$33, $B$27:$E$27, 0)), 0)</f>
        <v/>
      </c>
      <c r="M37" s="21">
        <f>IFERROR(INDEX($B$28:$E$31, MATCH($N37, $B$27:$E$27, 0), MATCH(M$33, $B$27:$E$27, 0)), 0)</f>
        <v/>
      </c>
      <c r="N37" s="3" t="inlineStr">
        <is>
          <t>U2Y</t>
        </is>
      </c>
    </row>
    <row r="38" ht="19.05" customHeight="1" s="52">
      <c r="B38" s="21">
        <f>IFERROR(INDEX($B$28:$E$31, MATCH($N38, $B$27:$E$27, 0), MATCH(B$33, $B$27:$E$27, 0)), 0)</f>
        <v/>
      </c>
      <c r="C38" s="21">
        <f>IFERROR(INDEX($B$28:$E$31, MATCH($N38, $B$27:$E$27, 0), MATCH(C$33, $B$27:$E$27, 0)), 0)</f>
        <v/>
      </c>
      <c r="D38" s="21">
        <f>IFERROR(INDEX($B$28:$E$31, MATCH($N38, $B$27:$E$27, 0), MATCH(D$33, $B$27:$E$27, 0)), 0)</f>
        <v/>
      </c>
      <c r="E38" s="21">
        <f>IFERROR(INDEX($B$28:$E$31, MATCH($N38, $B$27:$E$27, 0), MATCH(E$33, $B$27:$E$27, 0)), 0)</f>
        <v/>
      </c>
      <c r="F38" s="21">
        <f>IFERROR(INDEX($B$28:$E$31, MATCH($N38, $B$27:$E$27, 0), MATCH(F$33, $B$27:$E$27, 0)), 0)</f>
        <v/>
      </c>
      <c r="G38" s="21">
        <f>IFERROR(INDEX($B$28:$E$31, MATCH($N38, $B$27:$E$27, 0), MATCH(G$33, $B$27:$E$27, 0)), 0)</f>
        <v/>
      </c>
      <c r="H38" s="21">
        <f>IFERROR(INDEX($B$28:$E$31, MATCH($N38, $B$27:$E$27, 0), MATCH(H$33, $B$27:$E$27, 0)), 0)</f>
        <v/>
      </c>
      <c r="I38" s="21">
        <f>IFERROR(INDEX($B$28:$E$31, MATCH($N38, $B$27:$E$27, 0), MATCH(I$33, $B$27:$E$27, 0)), 0)</f>
        <v/>
      </c>
      <c r="J38" s="21">
        <f>IFERROR(INDEX($B$28:$E$31, MATCH($N38, $B$27:$E$27, 0), MATCH(J$33, $B$27:$E$27, 0)), 0)</f>
        <v/>
      </c>
      <c r="K38" s="21">
        <f>IFERROR(INDEX($B$28:$E$31, MATCH($N38, $B$27:$E$27, 0), MATCH(K$33, $B$27:$E$27, 0)), 0)</f>
        <v/>
      </c>
      <c r="L38" s="21">
        <f>IFERROR(INDEX($B$28:$E$31, MATCH($N38, $B$27:$E$27, 0), MATCH(L$33, $B$27:$E$27, 0)), 0)</f>
        <v/>
      </c>
      <c r="M38" s="21">
        <f>IFERROR(INDEX($B$28:$E$31, MATCH($N38, $B$27:$E$27, 0), MATCH(M$33, $B$27:$E$27, 0)), 0)</f>
        <v/>
      </c>
      <c r="N38" s="3" t="inlineStr">
        <is>
          <t>U3X</t>
        </is>
      </c>
    </row>
    <row r="39" ht="19.05" customHeight="1" s="52">
      <c r="A39" s="19" t="inlineStr">
        <is>
          <t>K1=</t>
        </is>
      </c>
      <c r="B39" s="21">
        <f>IFERROR(INDEX($B$28:$E$31, MATCH($N39, $B$27:$E$27, 0), MATCH(B$33, $B$27:$E$27, 0)), 0)</f>
        <v/>
      </c>
      <c r="C39" s="21">
        <f>IFERROR(INDEX($B$28:$E$31, MATCH($N39, $B$27:$E$27, 0), MATCH(C$33, $B$27:$E$27, 0)), 0)</f>
        <v/>
      </c>
      <c r="D39" s="21">
        <f>IFERROR(INDEX($B$28:$E$31, MATCH($N39, $B$27:$E$27, 0), MATCH(D$33, $B$27:$E$27, 0)), 0)</f>
        <v/>
      </c>
      <c r="E39" s="21">
        <f>IFERROR(INDEX($B$28:$E$31, MATCH($N39, $B$27:$E$27, 0), MATCH(E$33, $B$27:$E$27, 0)), 0)</f>
        <v/>
      </c>
      <c r="F39" s="21">
        <f>IFERROR(INDEX($B$28:$E$31, MATCH($N39, $B$27:$E$27, 0), MATCH(F$33, $B$27:$E$27, 0)), 0)</f>
        <v/>
      </c>
      <c r="G39" s="21">
        <f>IFERROR(INDEX($B$28:$E$31, MATCH($N39, $B$27:$E$27, 0), MATCH(G$33, $B$27:$E$27, 0)), 0)</f>
        <v/>
      </c>
      <c r="H39" s="21">
        <f>IFERROR(INDEX($B$28:$E$31, MATCH($N39, $B$27:$E$27, 0), MATCH(H$33, $B$27:$E$27, 0)), 0)</f>
        <v/>
      </c>
      <c r="I39" s="21">
        <f>IFERROR(INDEX($B$28:$E$31, MATCH($N39, $B$27:$E$27, 0), MATCH(I$33, $B$27:$E$27, 0)), 0)</f>
        <v/>
      </c>
      <c r="J39" s="21">
        <f>IFERROR(INDEX($B$28:$E$31, MATCH($N39, $B$27:$E$27, 0), MATCH(J$33, $B$27:$E$27, 0)), 0)</f>
        <v/>
      </c>
      <c r="K39" s="21">
        <f>IFERROR(INDEX($B$28:$E$31, MATCH($N39, $B$27:$E$27, 0), MATCH(K$33, $B$27:$E$27, 0)), 0)</f>
        <v/>
      </c>
      <c r="L39" s="21">
        <f>IFERROR(INDEX($B$28:$E$31, MATCH($N39, $B$27:$E$27, 0), MATCH(L$33, $B$27:$E$27, 0)), 0)</f>
        <v/>
      </c>
      <c r="M39" s="21">
        <f>IFERROR(INDEX($B$28:$E$31, MATCH($N39, $B$27:$E$27, 0), MATCH(M$33, $B$27:$E$27, 0)), 0)</f>
        <v/>
      </c>
      <c r="N39" s="3" t="inlineStr">
        <is>
          <t>U3Y</t>
        </is>
      </c>
    </row>
    <row r="40" ht="19.05" customHeight="1" s="52">
      <c r="B40" s="21">
        <f>IFERROR(INDEX($B$28:$E$31, MATCH($N40, $B$27:$E$27, 0), MATCH(B$33, $B$27:$E$27, 0)), 0)</f>
        <v/>
      </c>
      <c r="C40" s="21">
        <f>IFERROR(INDEX($B$28:$E$31, MATCH($N40, $B$27:$E$27, 0), MATCH(C$33, $B$27:$E$27, 0)), 0)</f>
        <v/>
      </c>
      <c r="D40" s="21">
        <f>IFERROR(INDEX($B$28:$E$31, MATCH($N40, $B$27:$E$27, 0), MATCH(D$33, $B$27:$E$27, 0)), 0)</f>
        <v/>
      </c>
      <c r="E40" s="21">
        <f>IFERROR(INDEX($B$28:$E$31, MATCH($N40, $B$27:$E$27, 0), MATCH(E$33, $B$27:$E$27, 0)), 0)</f>
        <v/>
      </c>
      <c r="F40" s="21">
        <f>IFERROR(INDEX($B$28:$E$31, MATCH($N40, $B$27:$E$27, 0), MATCH(F$33, $B$27:$E$27, 0)), 0)</f>
        <v/>
      </c>
      <c r="G40" s="21">
        <f>IFERROR(INDEX($B$28:$E$31, MATCH($N40, $B$27:$E$27, 0), MATCH(G$33, $B$27:$E$27, 0)), 0)</f>
        <v/>
      </c>
      <c r="H40" s="21">
        <f>IFERROR(INDEX($B$28:$E$31, MATCH($N40, $B$27:$E$27, 0), MATCH(H$33, $B$27:$E$27, 0)), 0)</f>
        <v/>
      </c>
      <c r="I40" s="21">
        <f>IFERROR(INDEX($B$28:$E$31, MATCH($N40, $B$27:$E$27, 0), MATCH(I$33, $B$27:$E$27, 0)), 0)</f>
        <v/>
      </c>
      <c r="J40" s="21">
        <f>IFERROR(INDEX($B$28:$E$31, MATCH($N40, $B$27:$E$27, 0), MATCH(J$33, $B$27:$E$27, 0)), 0)</f>
        <v/>
      </c>
      <c r="K40" s="21">
        <f>IFERROR(INDEX($B$28:$E$31, MATCH($N40, $B$27:$E$27, 0), MATCH(K$33, $B$27:$E$27, 0)), 0)</f>
        <v/>
      </c>
      <c r="L40" s="21">
        <f>IFERROR(INDEX($B$28:$E$31, MATCH($N40, $B$27:$E$27, 0), MATCH(L$33, $B$27:$E$27, 0)), 0)</f>
        <v/>
      </c>
      <c r="M40" s="21">
        <f>IFERROR(INDEX($B$28:$E$31, MATCH($N40, $B$27:$E$27, 0), MATCH(M$33, $B$27:$E$27, 0)), 0)</f>
        <v/>
      </c>
      <c r="N40" s="3" t="inlineStr">
        <is>
          <t>U4X</t>
        </is>
      </c>
    </row>
    <row r="41" ht="19.05" customHeight="1" s="52">
      <c r="B41" s="21">
        <f>IFERROR(INDEX($B$28:$E$31, MATCH($N41, $B$27:$E$27, 0), MATCH(B$33, $B$27:$E$27, 0)), 0)</f>
        <v/>
      </c>
      <c r="C41" s="21">
        <f>IFERROR(INDEX($B$28:$E$31, MATCH($N41, $B$27:$E$27, 0), MATCH(C$33, $B$27:$E$27, 0)), 0)</f>
        <v/>
      </c>
      <c r="D41" s="21">
        <f>IFERROR(INDEX($B$28:$E$31, MATCH($N41, $B$27:$E$27, 0), MATCH(D$33, $B$27:$E$27, 0)), 0)</f>
        <v/>
      </c>
      <c r="E41" s="21">
        <f>IFERROR(INDEX($B$28:$E$31, MATCH($N41, $B$27:$E$27, 0), MATCH(E$33, $B$27:$E$27, 0)), 0)</f>
        <v/>
      </c>
      <c r="F41" s="21">
        <f>IFERROR(INDEX($B$28:$E$31, MATCH($N41, $B$27:$E$27, 0), MATCH(F$33, $B$27:$E$27, 0)), 0)</f>
        <v/>
      </c>
      <c r="G41" s="21">
        <f>IFERROR(INDEX($B$28:$E$31, MATCH($N41, $B$27:$E$27, 0), MATCH(G$33, $B$27:$E$27, 0)), 0)</f>
        <v/>
      </c>
      <c r="H41" s="21">
        <f>IFERROR(INDEX($B$28:$E$31, MATCH($N41, $B$27:$E$27, 0), MATCH(H$33, $B$27:$E$27, 0)), 0)</f>
        <v/>
      </c>
      <c r="I41" s="21">
        <f>IFERROR(INDEX($B$28:$E$31, MATCH($N41, $B$27:$E$27, 0), MATCH(I$33, $B$27:$E$27, 0)), 0)</f>
        <v/>
      </c>
      <c r="J41" s="21">
        <f>IFERROR(INDEX($B$28:$E$31, MATCH($N41, $B$27:$E$27, 0), MATCH(J$33, $B$27:$E$27, 0)), 0)</f>
        <v/>
      </c>
      <c r="K41" s="21">
        <f>IFERROR(INDEX($B$28:$E$31, MATCH($N41, $B$27:$E$27, 0), MATCH(K$33, $B$27:$E$27, 0)), 0)</f>
        <v/>
      </c>
      <c r="L41" s="21">
        <f>IFERROR(INDEX($B$28:$E$31, MATCH($N41, $B$27:$E$27, 0), MATCH(L$33, $B$27:$E$27, 0)), 0)</f>
        <v/>
      </c>
      <c r="M41" s="21">
        <f>IFERROR(INDEX($B$28:$E$31, MATCH($N41, $B$27:$E$27, 0), MATCH(M$33, $B$27:$E$27, 0)), 0)</f>
        <v/>
      </c>
      <c r="N41" s="3" t="inlineStr">
        <is>
          <t>U4Y</t>
        </is>
      </c>
    </row>
    <row r="42" ht="19.05" customHeight="1" s="52">
      <c r="B42" s="21">
        <f>IFERROR(INDEX($B$28:$E$31, MATCH($N42, $B$27:$E$27, 0), MATCH(B$33, $B$27:$E$27, 0)), 0)</f>
        <v/>
      </c>
      <c r="C42" s="21">
        <f>IFERROR(INDEX($B$28:$E$31, MATCH($N42, $B$27:$E$27, 0), MATCH(C$33, $B$27:$E$27, 0)), 0)</f>
        <v/>
      </c>
      <c r="D42" s="21">
        <f>IFERROR(INDEX($B$28:$E$31, MATCH($N42, $B$27:$E$27, 0), MATCH(D$33, $B$27:$E$27, 0)), 0)</f>
        <v/>
      </c>
      <c r="E42" s="21">
        <f>IFERROR(INDEX($B$28:$E$31, MATCH($N42, $B$27:$E$27, 0), MATCH(E$33, $B$27:$E$27, 0)), 0)</f>
        <v/>
      </c>
      <c r="F42" s="21">
        <f>IFERROR(INDEX($B$28:$E$31, MATCH($N42, $B$27:$E$27, 0), MATCH(F$33, $B$27:$E$27, 0)), 0)</f>
        <v/>
      </c>
      <c r="G42" s="21">
        <f>IFERROR(INDEX($B$28:$E$31, MATCH($N42, $B$27:$E$27, 0), MATCH(G$33, $B$27:$E$27, 0)), 0)</f>
        <v/>
      </c>
      <c r="H42" s="21">
        <f>IFERROR(INDEX($B$28:$E$31, MATCH($N42, $B$27:$E$27, 0), MATCH(H$33, $B$27:$E$27, 0)), 0)</f>
        <v/>
      </c>
      <c r="I42" s="21">
        <f>IFERROR(INDEX($B$28:$E$31, MATCH($N42, $B$27:$E$27, 0), MATCH(I$33, $B$27:$E$27, 0)), 0)</f>
        <v/>
      </c>
      <c r="J42" s="21">
        <f>IFERROR(INDEX($B$28:$E$31, MATCH($N42, $B$27:$E$27, 0), MATCH(J$33, $B$27:$E$27, 0)), 0)</f>
        <v/>
      </c>
      <c r="K42" s="21">
        <f>IFERROR(INDEX($B$28:$E$31, MATCH($N42, $B$27:$E$27, 0), MATCH(K$33, $B$27:$E$27, 0)), 0)</f>
        <v/>
      </c>
      <c r="L42" s="21">
        <f>IFERROR(INDEX($B$28:$E$31, MATCH($N42, $B$27:$E$27, 0), MATCH(L$33, $B$27:$E$27, 0)), 0)</f>
        <v/>
      </c>
      <c r="M42" s="21">
        <f>IFERROR(INDEX($B$28:$E$31, MATCH($N42, $B$27:$E$27, 0), MATCH(M$33, $B$27:$E$27, 0)), 0)</f>
        <v/>
      </c>
      <c r="N42" s="3" t="inlineStr">
        <is>
          <t>U5X</t>
        </is>
      </c>
    </row>
    <row r="43" ht="19.05" customHeight="1" s="52">
      <c r="B43" s="21">
        <f>IFERROR(INDEX($B$28:$E$31, MATCH($N43, $B$27:$E$27, 0), MATCH(B$33, $B$27:$E$27, 0)), 0)</f>
        <v/>
      </c>
      <c r="C43" s="21">
        <f>IFERROR(INDEX($B$28:$E$31, MATCH($N43, $B$27:$E$27, 0), MATCH(C$33, $B$27:$E$27, 0)), 0)</f>
        <v/>
      </c>
      <c r="D43" s="21">
        <f>IFERROR(INDEX($B$28:$E$31, MATCH($N43, $B$27:$E$27, 0), MATCH(D$33, $B$27:$E$27, 0)), 0)</f>
        <v/>
      </c>
      <c r="E43" s="21">
        <f>IFERROR(INDEX($B$28:$E$31, MATCH($N43, $B$27:$E$27, 0), MATCH(E$33, $B$27:$E$27, 0)), 0)</f>
        <v/>
      </c>
      <c r="F43" s="21">
        <f>IFERROR(INDEX($B$28:$E$31, MATCH($N43, $B$27:$E$27, 0), MATCH(F$33, $B$27:$E$27, 0)), 0)</f>
        <v/>
      </c>
      <c r="G43" s="21">
        <f>IFERROR(INDEX($B$28:$E$31, MATCH($N43, $B$27:$E$27, 0), MATCH(G$33, $B$27:$E$27, 0)), 0)</f>
        <v/>
      </c>
      <c r="H43" s="21">
        <f>IFERROR(INDEX($B$28:$E$31, MATCH($N43, $B$27:$E$27, 0), MATCH(H$33, $B$27:$E$27, 0)), 0)</f>
        <v/>
      </c>
      <c r="I43" s="21">
        <f>IFERROR(INDEX($B$28:$E$31, MATCH($N43, $B$27:$E$27, 0), MATCH(I$33, $B$27:$E$27, 0)), 0)</f>
        <v/>
      </c>
      <c r="J43" s="21">
        <f>IFERROR(INDEX($B$28:$E$31, MATCH($N43, $B$27:$E$27, 0), MATCH(J$33, $B$27:$E$27, 0)), 0)</f>
        <v/>
      </c>
      <c r="K43" s="21">
        <f>IFERROR(INDEX($B$28:$E$31, MATCH($N43, $B$27:$E$27, 0), MATCH(K$33, $B$27:$E$27, 0)), 0)</f>
        <v/>
      </c>
      <c r="L43" s="21">
        <f>IFERROR(INDEX($B$28:$E$31, MATCH($N43, $B$27:$E$27, 0), MATCH(L$33, $B$27:$E$27, 0)), 0)</f>
        <v/>
      </c>
      <c r="M43" s="21">
        <f>IFERROR(INDEX($B$28:$E$31, MATCH($N43, $B$27:$E$27, 0), MATCH(M$33, $B$27:$E$27, 0)), 0)</f>
        <v/>
      </c>
      <c r="N43" s="3" t="inlineStr">
        <is>
          <t>U5Y</t>
        </is>
      </c>
    </row>
    <row r="44" ht="19.05" customHeight="1" s="52">
      <c r="B44" s="21">
        <f>IFERROR(INDEX($B$28:$E$31, MATCH($N44, $B$27:$E$27, 0), MATCH(B$33, $B$27:$E$27, 0)), 0)</f>
        <v/>
      </c>
      <c r="C44" s="21">
        <f>IFERROR(INDEX($B$28:$E$31, MATCH($N44, $B$27:$E$27, 0), MATCH(C$33, $B$27:$E$27, 0)), 0)</f>
        <v/>
      </c>
      <c r="D44" s="21">
        <f>IFERROR(INDEX($B$28:$E$31, MATCH($N44, $B$27:$E$27, 0), MATCH(D$33, $B$27:$E$27, 0)), 0)</f>
        <v/>
      </c>
      <c r="E44" s="21">
        <f>IFERROR(INDEX($B$28:$E$31, MATCH($N44, $B$27:$E$27, 0), MATCH(E$33, $B$27:$E$27, 0)), 0)</f>
        <v/>
      </c>
      <c r="F44" s="21">
        <f>IFERROR(INDEX($B$28:$E$31, MATCH($N44, $B$27:$E$27, 0), MATCH(F$33, $B$27:$E$27, 0)), 0)</f>
        <v/>
      </c>
      <c r="G44" s="21">
        <f>IFERROR(INDEX($B$28:$E$31, MATCH($N44, $B$27:$E$27, 0), MATCH(G$33, $B$27:$E$27, 0)), 0)</f>
        <v/>
      </c>
      <c r="H44" s="21">
        <f>IFERROR(INDEX($B$28:$E$31, MATCH($N44, $B$27:$E$27, 0), MATCH(H$33, $B$27:$E$27, 0)), 0)</f>
        <v/>
      </c>
      <c r="I44" s="21">
        <f>IFERROR(INDEX($B$28:$E$31, MATCH($N44, $B$27:$E$27, 0), MATCH(I$33, $B$27:$E$27, 0)), 0)</f>
        <v/>
      </c>
      <c r="J44" s="21">
        <f>IFERROR(INDEX($B$28:$E$31, MATCH($N44, $B$27:$E$27, 0), MATCH(J$33, $B$27:$E$27, 0)), 0)</f>
        <v/>
      </c>
      <c r="K44" s="21">
        <f>IFERROR(INDEX($B$28:$E$31, MATCH($N44, $B$27:$E$27, 0), MATCH(K$33, $B$27:$E$27, 0)), 0)</f>
        <v/>
      </c>
      <c r="L44" s="21">
        <f>IFERROR(INDEX($B$28:$E$31, MATCH($N44, $B$27:$E$27, 0), MATCH(L$33, $B$27:$E$27, 0)), 0)</f>
        <v/>
      </c>
      <c r="M44" s="21">
        <f>IFERROR(INDEX($B$28:$E$31, MATCH($N44, $B$27:$E$27, 0), MATCH(M$33, $B$27:$E$27, 0)), 0)</f>
        <v/>
      </c>
      <c r="N44" s="3" t="inlineStr">
        <is>
          <t>U6X</t>
        </is>
      </c>
    </row>
    <row r="45" ht="19.05" customHeight="1" s="52">
      <c r="B45" s="21">
        <f>IFERROR(INDEX($B$28:$E$31, MATCH($N45, $B$27:$E$27, 0), MATCH(B$33, $B$27:$E$27, 0)), 0)</f>
        <v/>
      </c>
      <c r="C45" s="21">
        <f>IFERROR(INDEX($B$28:$E$31, MATCH($N45, $B$27:$E$27, 0), MATCH(C$33, $B$27:$E$27, 0)), 0)</f>
        <v/>
      </c>
      <c r="D45" s="21">
        <f>IFERROR(INDEX($B$28:$E$31, MATCH($N45, $B$27:$E$27, 0), MATCH(D$33, $B$27:$E$27, 0)), 0)</f>
        <v/>
      </c>
      <c r="E45" s="21">
        <f>IFERROR(INDEX($B$28:$E$31, MATCH($N45, $B$27:$E$27, 0), MATCH(E$33, $B$27:$E$27, 0)), 0)</f>
        <v/>
      </c>
      <c r="F45" s="21">
        <f>IFERROR(INDEX($B$28:$E$31, MATCH($N45, $B$27:$E$27, 0), MATCH(F$33, $B$27:$E$27, 0)), 0)</f>
        <v/>
      </c>
      <c r="G45" s="21">
        <f>IFERROR(INDEX($B$28:$E$31, MATCH($N45, $B$27:$E$27, 0), MATCH(G$33, $B$27:$E$27, 0)), 0)</f>
        <v/>
      </c>
      <c r="H45" s="21">
        <f>IFERROR(INDEX($B$28:$E$31, MATCH($N45, $B$27:$E$27, 0), MATCH(H$33, $B$27:$E$27, 0)), 0)</f>
        <v/>
      </c>
      <c r="I45" s="21">
        <f>IFERROR(INDEX($B$28:$E$31, MATCH($N45, $B$27:$E$27, 0), MATCH(I$33, $B$27:$E$27, 0)), 0)</f>
        <v/>
      </c>
      <c r="J45" s="21">
        <f>IFERROR(INDEX($B$28:$E$31, MATCH($N45, $B$27:$E$27, 0), MATCH(J$33, $B$27:$E$27, 0)), 0)</f>
        <v/>
      </c>
      <c r="K45" s="21">
        <f>IFERROR(INDEX($B$28:$E$31, MATCH($N45, $B$27:$E$27, 0), MATCH(K$33, $B$27:$E$27, 0)), 0)</f>
        <v/>
      </c>
      <c r="L45" s="21">
        <f>IFERROR(INDEX($B$28:$E$31, MATCH($N45, $B$27:$E$27, 0), MATCH(L$33, $B$27:$E$27, 0)), 0)</f>
        <v/>
      </c>
      <c r="M45" s="21">
        <f>IFERROR(INDEX($B$28:$E$31, MATCH($N45, $B$27:$E$27, 0), MATCH(M$33, $B$27:$E$27, 0)), 0)</f>
        <v/>
      </c>
      <c r="N45" s="3" t="inlineStr">
        <is>
          <t>U6Y</t>
        </is>
      </c>
    </row>
    <row r="48" ht="19.05" customHeight="1" s="52">
      <c r="A48" s="19" t="inlineStr">
        <is>
          <t>k2=</t>
        </is>
      </c>
      <c r="B48" s="56">
        <f>IF(D18="","-",D18)</f>
        <v/>
      </c>
      <c r="C48" s="56">
        <f>IF(E18="","-",E18)</f>
        <v/>
      </c>
      <c r="D48" s="56">
        <f>IF(G18="","-",G18)</f>
        <v/>
      </c>
      <c r="E48" s="56">
        <f>IF(H18="","-",H18)</f>
        <v/>
      </c>
    </row>
    <row r="49" ht="18" customHeight="1" s="52">
      <c r="B49" s="22">
        <f>IF(N7=0, 0, N7*J7*J7)</f>
        <v/>
      </c>
      <c r="C49" s="22">
        <f>IF(N7=0, 0, N7*J7*K7)</f>
        <v/>
      </c>
      <c r="D49" s="22">
        <f>IF(N7=0, 0, -N7*J7*J7)</f>
        <v/>
      </c>
      <c r="E49" s="22">
        <f>IF(N7=0, 0, -N7*J7*K7)</f>
        <v/>
      </c>
      <c r="F49" s="56">
        <f>IF(D18="","-",D18)</f>
        <v/>
      </c>
    </row>
    <row r="50" ht="18" customHeight="1" s="52">
      <c r="B50" s="22">
        <f>IF(N7=0, 0, N7*J7*K7)</f>
        <v/>
      </c>
      <c r="C50" s="22">
        <f>IF(N7=0, 0, N7*K7*K7)</f>
        <v/>
      </c>
      <c r="D50" s="22">
        <f>IF(N7=0, 0, -N7*J7*K7)</f>
        <v/>
      </c>
      <c r="E50" s="22">
        <f>IF(N7=0, 0, -N7*K7*K7)</f>
        <v/>
      </c>
      <c r="F50" s="56">
        <f>IF(E18="","-",E18)</f>
        <v/>
      </c>
    </row>
    <row r="51" ht="18" customHeight="1" s="52">
      <c r="B51" s="22">
        <f>IF(N7=0, 0, -N7*J7*J7)</f>
        <v/>
      </c>
      <c r="C51" s="22">
        <f>IF(N7=0, 0, -N7*J7*K7)</f>
        <v/>
      </c>
      <c r="D51" s="22">
        <f>IF(N7=0, 0, N7*J7*J7)</f>
        <v/>
      </c>
      <c r="E51" s="22">
        <f>IF(N7=0, 0, N7*J7*K7)</f>
        <v/>
      </c>
      <c r="F51" s="56">
        <f>IF(G18="","-",G18)</f>
        <v/>
      </c>
    </row>
    <row r="52" ht="18" customHeight="1" s="52">
      <c r="B52" s="22">
        <f>IF(N7=0, 0, -N7*J7*K7)</f>
        <v/>
      </c>
      <c r="C52" s="22">
        <f>IF(N7=0, 0, -N7*K7*K7)</f>
        <v/>
      </c>
      <c r="D52" s="22">
        <f>IF(N7=0, 0, N7*J7*K7)</f>
        <v/>
      </c>
      <c r="E52" s="22">
        <f>IF(N7=0, 0, N7*K7*K7)</f>
        <v/>
      </c>
      <c r="F52" s="56">
        <f>IF(H18="","-",H18)</f>
        <v/>
      </c>
    </row>
    <row r="54" ht="19.05" customHeight="1" s="52">
      <c r="B54" s="54" t="inlineStr">
        <is>
          <t>U1X</t>
        </is>
      </c>
      <c r="C54" s="54" t="inlineStr">
        <is>
          <t>U1Y</t>
        </is>
      </c>
      <c r="D54" s="54" t="inlineStr">
        <is>
          <t>U2X</t>
        </is>
      </c>
      <c r="E54" s="54" t="inlineStr">
        <is>
          <t>U2Y</t>
        </is>
      </c>
      <c r="F54" s="54" t="inlineStr">
        <is>
          <t>U3X</t>
        </is>
      </c>
      <c r="G54" s="54" t="inlineStr">
        <is>
          <t>U3Y</t>
        </is>
      </c>
      <c r="H54" s="54" t="inlineStr">
        <is>
          <t>U4X</t>
        </is>
      </c>
      <c r="I54" s="54" t="inlineStr">
        <is>
          <t>U4Y</t>
        </is>
      </c>
      <c r="J54" s="54" t="inlineStr">
        <is>
          <t>U5X</t>
        </is>
      </c>
      <c r="K54" s="54" t="inlineStr">
        <is>
          <t>U5Y</t>
        </is>
      </c>
      <c r="L54" s="54" t="inlineStr">
        <is>
          <t>U6X</t>
        </is>
      </c>
      <c r="M54" s="54" t="inlineStr">
        <is>
          <t>U6Y</t>
        </is>
      </c>
    </row>
    <row r="55" ht="19.05" customHeight="1" s="52">
      <c r="B55" s="21">
        <f>IFERROR(INDEX($B$49:$E$52, MATCH($N55, $B$48:$E$48, 0), MATCH(B$54, $B$48:$E$48, 0)), 0)</f>
        <v/>
      </c>
      <c r="C55" s="21">
        <f>IFERROR(INDEX($B$49:$E$52, MATCH($N55, $B$48:$E$48, 0), MATCH(C$54, $B$48:$E$48, 0)), 0)</f>
        <v/>
      </c>
      <c r="D55" s="21">
        <f>IFERROR(INDEX($B$49:$E$52, MATCH($N55, $B$48:$E$48, 0), MATCH(D$54, $B$48:$E$48, 0)), 0)</f>
        <v/>
      </c>
      <c r="E55" s="21">
        <f>IFERROR(INDEX($B$49:$E$52, MATCH($N55, $B$48:$E$48, 0), MATCH(E$54, $B$48:$E$48, 0)), 0)</f>
        <v/>
      </c>
      <c r="F55" s="21">
        <f>IFERROR(INDEX($B$49:$E$52, MATCH($N55, $B$48:$E$48, 0), MATCH(F$54, $B$48:$E$48, 0)), 0)</f>
        <v/>
      </c>
      <c r="G55" s="21">
        <f>IFERROR(INDEX($B$49:$E$52, MATCH($N55, $B$48:$E$48, 0), MATCH(G$54, $B$48:$E$48, 0)), 0)</f>
        <v/>
      </c>
      <c r="H55" s="21">
        <f>IFERROR(INDEX($B$49:$E$52, MATCH($N55, $B$48:$E$48, 0), MATCH(H$54, $B$48:$E$48, 0)), 0)</f>
        <v/>
      </c>
      <c r="I55" s="21">
        <f>IFERROR(INDEX($B$49:$E$52, MATCH($N55, $B$48:$E$48, 0), MATCH(I$54, $B$48:$E$48, 0)), 0)</f>
        <v/>
      </c>
      <c r="J55" s="21">
        <f>IFERROR(INDEX($B$49:$E$52, MATCH($N55, $B$48:$E$48, 0), MATCH(J$54, $B$48:$E$48, 0)), 0)</f>
        <v/>
      </c>
      <c r="K55" s="21">
        <f>IFERROR(INDEX($B$49:$E$52, MATCH($N55, $B$48:$E$48, 0), MATCH(K$54, $B$48:$E$48, 0)), 0)</f>
        <v/>
      </c>
      <c r="L55" s="21">
        <f>IFERROR(INDEX($B$49:$E$52, MATCH($N55, $B$48:$E$48, 0), MATCH(L$54, $B$48:$E$48, 0)), 0)</f>
        <v/>
      </c>
      <c r="M55" s="21">
        <f>IFERROR(INDEX($B$49:$E$52, MATCH($N55, $B$48:$E$48, 0), MATCH(M$54, $B$48:$E$48, 0)), 0)</f>
        <v/>
      </c>
      <c r="N55" s="56" t="inlineStr">
        <is>
          <t>U1X</t>
        </is>
      </c>
    </row>
    <row r="56" ht="19.05" customHeight="1" s="52">
      <c r="B56" s="21">
        <f>IFERROR(INDEX($B$49:$E$52, MATCH($N56, $B$48:$E$48, 0), MATCH(B$54, $B$48:$E$48, 0)), 0)</f>
        <v/>
      </c>
      <c r="C56" s="21">
        <f>IFERROR(INDEX($B$49:$E$52, MATCH($N56, $B$48:$E$48, 0), MATCH(C$54, $B$48:$E$48, 0)), 0)</f>
        <v/>
      </c>
      <c r="D56" s="21">
        <f>IFERROR(INDEX($B$49:$E$52, MATCH($N56, $B$48:$E$48, 0), MATCH(D$54, $B$48:$E$48, 0)), 0)</f>
        <v/>
      </c>
      <c r="E56" s="21">
        <f>IFERROR(INDEX($B$49:$E$52, MATCH($N56, $B$48:$E$48, 0), MATCH(E$54, $B$48:$E$48, 0)), 0)</f>
        <v/>
      </c>
      <c r="F56" s="21">
        <f>IFERROR(INDEX($B$49:$E$52, MATCH($N56, $B$48:$E$48, 0), MATCH(F$54, $B$48:$E$48, 0)), 0)</f>
        <v/>
      </c>
      <c r="G56" s="21">
        <f>IFERROR(INDEX($B$49:$E$52, MATCH($N56, $B$48:$E$48, 0), MATCH(G$54, $B$48:$E$48, 0)), 0)</f>
        <v/>
      </c>
      <c r="H56" s="21">
        <f>IFERROR(INDEX($B$49:$E$52, MATCH($N56, $B$48:$E$48, 0), MATCH(H$54, $B$48:$E$48, 0)), 0)</f>
        <v/>
      </c>
      <c r="I56" s="21">
        <f>IFERROR(INDEX($B$49:$E$52, MATCH($N56, $B$48:$E$48, 0), MATCH(I$54, $B$48:$E$48, 0)), 0)</f>
        <v/>
      </c>
      <c r="J56" s="21">
        <f>IFERROR(INDEX($B$49:$E$52, MATCH($N56, $B$48:$E$48, 0), MATCH(J$54, $B$48:$E$48, 0)), 0)</f>
        <v/>
      </c>
      <c r="K56" s="21">
        <f>IFERROR(INDEX($B$49:$E$52, MATCH($N56, $B$48:$E$48, 0), MATCH(K$54, $B$48:$E$48, 0)), 0)</f>
        <v/>
      </c>
      <c r="L56" s="21">
        <f>IFERROR(INDEX($B$49:$E$52, MATCH($N56, $B$48:$E$48, 0), MATCH(L$54, $B$48:$E$48, 0)), 0)</f>
        <v/>
      </c>
      <c r="M56" s="21">
        <f>IFERROR(INDEX($B$49:$E$52, MATCH($N56, $B$48:$E$48, 0), MATCH(M$54, $B$48:$E$48, 0)), 0)</f>
        <v/>
      </c>
      <c r="N56" s="56" t="inlineStr">
        <is>
          <t>U1Y</t>
        </is>
      </c>
    </row>
    <row r="57" ht="19.05" customHeight="1" s="52">
      <c r="B57" s="21">
        <f>IFERROR(INDEX($B$49:$E$52, MATCH($N57, $B$48:$E$48, 0), MATCH(B$54, $B$48:$E$48, 0)), 0)</f>
        <v/>
      </c>
      <c r="C57" s="21">
        <f>IFERROR(INDEX($B$49:$E$52, MATCH($N57, $B$48:$E$48, 0), MATCH(C$54, $B$48:$E$48, 0)), 0)</f>
        <v/>
      </c>
      <c r="D57" s="21">
        <f>IFERROR(INDEX($B$49:$E$52, MATCH($N57, $B$48:$E$48, 0), MATCH(D$54, $B$48:$E$48, 0)), 0)</f>
        <v/>
      </c>
      <c r="E57" s="21">
        <f>IFERROR(INDEX($B$49:$E$52, MATCH($N57, $B$48:$E$48, 0), MATCH(E$54, $B$48:$E$48, 0)), 0)</f>
        <v/>
      </c>
      <c r="F57" s="21">
        <f>IFERROR(INDEX($B$49:$E$52, MATCH($N57, $B$48:$E$48, 0), MATCH(F$54, $B$48:$E$48, 0)), 0)</f>
        <v/>
      </c>
      <c r="G57" s="21">
        <f>IFERROR(INDEX($B$49:$E$52, MATCH($N57, $B$48:$E$48, 0), MATCH(G$54, $B$48:$E$48, 0)), 0)</f>
        <v/>
      </c>
      <c r="H57" s="21">
        <f>IFERROR(INDEX($B$49:$E$52, MATCH($N57, $B$48:$E$48, 0), MATCH(H$54, $B$48:$E$48, 0)), 0)</f>
        <v/>
      </c>
      <c r="I57" s="21">
        <f>IFERROR(INDEX($B$49:$E$52, MATCH($N57, $B$48:$E$48, 0), MATCH(I$54, $B$48:$E$48, 0)), 0)</f>
        <v/>
      </c>
      <c r="J57" s="21">
        <f>IFERROR(INDEX($B$49:$E$52, MATCH($N57, $B$48:$E$48, 0), MATCH(J$54, $B$48:$E$48, 0)), 0)</f>
        <v/>
      </c>
      <c r="K57" s="21">
        <f>IFERROR(INDEX($B$49:$E$52, MATCH($N57, $B$48:$E$48, 0), MATCH(K$54, $B$48:$E$48, 0)), 0)</f>
        <v/>
      </c>
      <c r="L57" s="21">
        <f>IFERROR(INDEX($B$49:$E$52, MATCH($N57, $B$48:$E$48, 0), MATCH(L$54, $B$48:$E$48, 0)), 0)</f>
        <v/>
      </c>
      <c r="M57" s="21">
        <f>IFERROR(INDEX($B$49:$E$52, MATCH($N57, $B$48:$E$48, 0), MATCH(M$54, $B$48:$E$48, 0)), 0)</f>
        <v/>
      </c>
      <c r="N57" s="56" t="inlineStr">
        <is>
          <t>U2X</t>
        </is>
      </c>
    </row>
    <row r="58" ht="19.05" customHeight="1" s="52">
      <c r="B58" s="21">
        <f>IFERROR(INDEX($B$49:$E$52, MATCH($N58, $B$48:$E$48, 0), MATCH(B$54, $B$48:$E$48, 0)), 0)</f>
        <v/>
      </c>
      <c r="C58" s="21">
        <f>IFERROR(INDEX($B$49:$E$52, MATCH($N58, $B$48:$E$48, 0), MATCH(C$54, $B$48:$E$48, 0)), 0)</f>
        <v/>
      </c>
      <c r="D58" s="21">
        <f>IFERROR(INDEX($B$49:$E$52, MATCH($N58, $B$48:$E$48, 0), MATCH(D$54, $B$48:$E$48, 0)), 0)</f>
        <v/>
      </c>
      <c r="E58" s="21">
        <f>IFERROR(INDEX($B$49:$E$52, MATCH($N58, $B$48:$E$48, 0), MATCH(E$54, $B$48:$E$48, 0)), 0)</f>
        <v/>
      </c>
      <c r="F58" s="21">
        <f>IFERROR(INDEX($B$49:$E$52, MATCH($N58, $B$48:$E$48, 0), MATCH(F$54, $B$48:$E$48, 0)), 0)</f>
        <v/>
      </c>
      <c r="G58" s="21">
        <f>IFERROR(INDEX($B$49:$E$52, MATCH($N58, $B$48:$E$48, 0), MATCH(G$54, $B$48:$E$48, 0)), 0)</f>
        <v/>
      </c>
      <c r="H58" s="21">
        <f>IFERROR(INDEX($B$49:$E$52, MATCH($N58, $B$48:$E$48, 0), MATCH(H$54, $B$48:$E$48, 0)), 0)</f>
        <v/>
      </c>
      <c r="I58" s="21">
        <f>IFERROR(INDEX($B$49:$E$52, MATCH($N58, $B$48:$E$48, 0), MATCH(I$54, $B$48:$E$48, 0)), 0)</f>
        <v/>
      </c>
      <c r="J58" s="21">
        <f>IFERROR(INDEX($B$49:$E$52, MATCH($N58, $B$48:$E$48, 0), MATCH(J$54, $B$48:$E$48, 0)), 0)</f>
        <v/>
      </c>
      <c r="K58" s="21">
        <f>IFERROR(INDEX($B$49:$E$52, MATCH($N58, $B$48:$E$48, 0), MATCH(K$54, $B$48:$E$48, 0)), 0)</f>
        <v/>
      </c>
      <c r="L58" s="21">
        <f>IFERROR(INDEX($B$49:$E$52, MATCH($N58, $B$48:$E$48, 0), MATCH(L$54, $B$48:$E$48, 0)), 0)</f>
        <v/>
      </c>
      <c r="M58" s="21">
        <f>IFERROR(INDEX($B$49:$E$52, MATCH($N58, $B$48:$E$48, 0), MATCH(M$54, $B$48:$E$48, 0)), 0)</f>
        <v/>
      </c>
      <c r="N58" s="56" t="inlineStr">
        <is>
          <t>U2Y</t>
        </is>
      </c>
    </row>
    <row r="59" ht="19.05" customHeight="1" s="52">
      <c r="B59" s="21">
        <f>IFERROR(INDEX($B$49:$E$52, MATCH($N59, $B$48:$E$48, 0), MATCH(B$54, $B$48:$E$48, 0)), 0)</f>
        <v/>
      </c>
      <c r="C59" s="21">
        <f>IFERROR(INDEX($B$49:$E$52, MATCH($N59, $B$48:$E$48, 0), MATCH(C$54, $B$48:$E$48, 0)), 0)</f>
        <v/>
      </c>
      <c r="D59" s="21">
        <f>IFERROR(INDEX($B$49:$E$52, MATCH($N59, $B$48:$E$48, 0), MATCH(D$54, $B$48:$E$48, 0)), 0)</f>
        <v/>
      </c>
      <c r="E59" s="21">
        <f>IFERROR(INDEX($B$49:$E$52, MATCH($N59, $B$48:$E$48, 0), MATCH(E$54, $B$48:$E$48, 0)), 0)</f>
        <v/>
      </c>
      <c r="F59" s="21">
        <f>IFERROR(INDEX($B$49:$E$52, MATCH($N59, $B$48:$E$48, 0), MATCH(F$54, $B$48:$E$48, 0)), 0)</f>
        <v/>
      </c>
      <c r="G59" s="21">
        <f>IFERROR(INDEX($B$49:$E$52, MATCH($N59, $B$48:$E$48, 0), MATCH(G$54, $B$48:$E$48, 0)), 0)</f>
        <v/>
      </c>
      <c r="H59" s="21">
        <f>IFERROR(INDEX($B$49:$E$52, MATCH($N59, $B$48:$E$48, 0), MATCH(H$54, $B$48:$E$48, 0)), 0)</f>
        <v/>
      </c>
      <c r="I59" s="21">
        <f>IFERROR(INDEX($B$49:$E$52, MATCH($N59, $B$48:$E$48, 0), MATCH(I$54, $B$48:$E$48, 0)), 0)</f>
        <v/>
      </c>
      <c r="J59" s="21">
        <f>IFERROR(INDEX($B$49:$E$52, MATCH($N59, $B$48:$E$48, 0), MATCH(J$54, $B$48:$E$48, 0)), 0)</f>
        <v/>
      </c>
      <c r="K59" s="21">
        <f>IFERROR(INDEX($B$49:$E$52, MATCH($N59, $B$48:$E$48, 0), MATCH(K$54, $B$48:$E$48, 0)), 0)</f>
        <v/>
      </c>
      <c r="L59" s="21">
        <f>IFERROR(INDEX($B$49:$E$52, MATCH($N59, $B$48:$E$48, 0), MATCH(L$54, $B$48:$E$48, 0)), 0)</f>
        <v/>
      </c>
      <c r="M59" s="21">
        <f>IFERROR(INDEX($B$49:$E$52, MATCH($N59, $B$48:$E$48, 0), MATCH(M$54, $B$48:$E$48, 0)), 0)</f>
        <v/>
      </c>
      <c r="N59" s="56" t="inlineStr">
        <is>
          <t>U3X</t>
        </is>
      </c>
    </row>
    <row r="60" ht="19.05" customHeight="1" s="52">
      <c r="A60" s="19" t="inlineStr">
        <is>
          <t>K2=</t>
        </is>
      </c>
      <c r="B60" s="21">
        <f>IFERROR(INDEX($B$49:$E$52, MATCH($N60, $B$48:$E$48, 0), MATCH(B$54, $B$48:$E$48, 0)), 0)</f>
        <v/>
      </c>
      <c r="C60" s="21">
        <f>IFERROR(INDEX($B$49:$E$52, MATCH($N60, $B$48:$E$48, 0), MATCH(C$54, $B$48:$E$48, 0)), 0)</f>
        <v/>
      </c>
      <c r="D60" s="21">
        <f>IFERROR(INDEX($B$49:$E$52, MATCH($N60, $B$48:$E$48, 0), MATCH(D$54, $B$48:$E$48, 0)), 0)</f>
        <v/>
      </c>
      <c r="E60" s="21">
        <f>IFERROR(INDEX($B$49:$E$52, MATCH($N60, $B$48:$E$48, 0), MATCH(E$54, $B$48:$E$48, 0)), 0)</f>
        <v/>
      </c>
      <c r="F60" s="21">
        <f>IFERROR(INDEX($B$49:$E$52, MATCH($N60, $B$48:$E$48, 0), MATCH(F$54, $B$48:$E$48, 0)), 0)</f>
        <v/>
      </c>
      <c r="G60" s="21">
        <f>IFERROR(INDEX($B$49:$E$52, MATCH($N60, $B$48:$E$48, 0), MATCH(G$54, $B$48:$E$48, 0)), 0)</f>
        <v/>
      </c>
      <c r="H60" s="21">
        <f>IFERROR(INDEX($B$49:$E$52, MATCH($N60, $B$48:$E$48, 0), MATCH(H$54, $B$48:$E$48, 0)), 0)</f>
        <v/>
      </c>
      <c r="I60" s="21">
        <f>IFERROR(INDEX($B$49:$E$52, MATCH($N60, $B$48:$E$48, 0), MATCH(I$54, $B$48:$E$48, 0)), 0)</f>
        <v/>
      </c>
      <c r="J60" s="21">
        <f>IFERROR(INDEX($B$49:$E$52, MATCH($N60, $B$48:$E$48, 0), MATCH(J$54, $B$48:$E$48, 0)), 0)</f>
        <v/>
      </c>
      <c r="K60" s="21">
        <f>IFERROR(INDEX($B$49:$E$52, MATCH($N60, $B$48:$E$48, 0), MATCH(K$54, $B$48:$E$48, 0)), 0)</f>
        <v/>
      </c>
      <c r="L60" s="21">
        <f>IFERROR(INDEX($B$49:$E$52, MATCH($N60, $B$48:$E$48, 0), MATCH(L$54, $B$48:$E$48, 0)), 0)</f>
        <v/>
      </c>
      <c r="M60" s="21">
        <f>IFERROR(INDEX($B$49:$E$52, MATCH($N60, $B$48:$E$48, 0), MATCH(M$54, $B$48:$E$48, 0)), 0)</f>
        <v/>
      </c>
      <c r="N60" s="56" t="inlineStr">
        <is>
          <t>U3Y</t>
        </is>
      </c>
    </row>
    <row r="61" ht="19.05" customHeight="1" s="52">
      <c r="B61" s="21">
        <f>IFERROR(INDEX($B$49:$E$52, MATCH($N61, $B$48:$E$48, 0), MATCH(B$54, $B$48:$E$48, 0)), 0)</f>
        <v/>
      </c>
      <c r="C61" s="21">
        <f>IFERROR(INDEX($B$49:$E$52, MATCH($N61, $B$48:$E$48, 0), MATCH(C$54, $B$48:$E$48, 0)), 0)</f>
        <v/>
      </c>
      <c r="D61" s="21">
        <f>IFERROR(INDEX($B$49:$E$52, MATCH($N61, $B$48:$E$48, 0), MATCH(D$54, $B$48:$E$48, 0)), 0)</f>
        <v/>
      </c>
      <c r="E61" s="21">
        <f>IFERROR(INDEX($B$49:$E$52, MATCH($N61, $B$48:$E$48, 0), MATCH(E$54, $B$48:$E$48, 0)), 0)</f>
        <v/>
      </c>
      <c r="F61" s="21">
        <f>IFERROR(INDEX($B$49:$E$52, MATCH($N61, $B$48:$E$48, 0), MATCH(F$54, $B$48:$E$48, 0)), 0)</f>
        <v/>
      </c>
      <c r="G61" s="21">
        <f>IFERROR(INDEX($B$49:$E$52, MATCH($N61, $B$48:$E$48, 0), MATCH(G$54, $B$48:$E$48, 0)), 0)</f>
        <v/>
      </c>
      <c r="H61" s="21">
        <f>IFERROR(INDEX($B$49:$E$52, MATCH($N61, $B$48:$E$48, 0), MATCH(H$54, $B$48:$E$48, 0)), 0)</f>
        <v/>
      </c>
      <c r="I61" s="21">
        <f>IFERROR(INDEX($B$49:$E$52, MATCH($N61, $B$48:$E$48, 0), MATCH(I$54, $B$48:$E$48, 0)), 0)</f>
        <v/>
      </c>
      <c r="J61" s="21">
        <f>IFERROR(INDEX($B$49:$E$52, MATCH($N61, $B$48:$E$48, 0), MATCH(J$54, $B$48:$E$48, 0)), 0)</f>
        <v/>
      </c>
      <c r="K61" s="21">
        <f>IFERROR(INDEX($B$49:$E$52, MATCH($N61, $B$48:$E$48, 0), MATCH(K$54, $B$48:$E$48, 0)), 0)</f>
        <v/>
      </c>
      <c r="L61" s="21">
        <f>IFERROR(INDEX($B$49:$E$52, MATCH($N61, $B$48:$E$48, 0), MATCH(L$54, $B$48:$E$48, 0)), 0)</f>
        <v/>
      </c>
      <c r="M61" s="21">
        <f>IFERROR(INDEX($B$49:$E$52, MATCH($N61, $B$48:$E$48, 0), MATCH(M$54, $B$48:$E$48, 0)), 0)</f>
        <v/>
      </c>
      <c r="N61" s="56" t="inlineStr">
        <is>
          <t>U4X</t>
        </is>
      </c>
    </row>
    <row r="62" ht="19.05" customHeight="1" s="52">
      <c r="B62" s="21">
        <f>IFERROR(INDEX($B$49:$E$52, MATCH($N62, $B$48:$E$48, 0), MATCH(B$54, $B$48:$E$48, 0)), 0)</f>
        <v/>
      </c>
      <c r="C62" s="21">
        <f>IFERROR(INDEX($B$49:$E$52, MATCH($N62, $B$48:$E$48, 0), MATCH(C$54, $B$48:$E$48, 0)), 0)</f>
        <v/>
      </c>
      <c r="D62" s="21">
        <f>IFERROR(INDEX($B$49:$E$52, MATCH($N62, $B$48:$E$48, 0), MATCH(D$54, $B$48:$E$48, 0)), 0)</f>
        <v/>
      </c>
      <c r="E62" s="21">
        <f>IFERROR(INDEX($B$49:$E$52, MATCH($N62, $B$48:$E$48, 0), MATCH(E$54, $B$48:$E$48, 0)), 0)</f>
        <v/>
      </c>
      <c r="F62" s="21">
        <f>IFERROR(INDEX($B$49:$E$52, MATCH($N62, $B$48:$E$48, 0), MATCH(F$54, $B$48:$E$48, 0)), 0)</f>
        <v/>
      </c>
      <c r="G62" s="21">
        <f>IFERROR(INDEX($B$49:$E$52, MATCH($N62, $B$48:$E$48, 0), MATCH(G$54, $B$48:$E$48, 0)), 0)</f>
        <v/>
      </c>
      <c r="H62" s="21">
        <f>IFERROR(INDEX($B$49:$E$52, MATCH($N62, $B$48:$E$48, 0), MATCH(H$54, $B$48:$E$48, 0)), 0)</f>
        <v/>
      </c>
      <c r="I62" s="21">
        <f>IFERROR(INDEX($B$49:$E$52, MATCH($N62, $B$48:$E$48, 0), MATCH(I$54, $B$48:$E$48, 0)), 0)</f>
        <v/>
      </c>
      <c r="J62" s="21">
        <f>IFERROR(INDEX($B$49:$E$52, MATCH($N62, $B$48:$E$48, 0), MATCH(J$54, $B$48:$E$48, 0)), 0)</f>
        <v/>
      </c>
      <c r="K62" s="21">
        <f>IFERROR(INDEX($B$49:$E$52, MATCH($N62, $B$48:$E$48, 0), MATCH(K$54, $B$48:$E$48, 0)), 0)</f>
        <v/>
      </c>
      <c r="L62" s="21">
        <f>IFERROR(INDEX($B$49:$E$52, MATCH($N62, $B$48:$E$48, 0), MATCH(L$54, $B$48:$E$48, 0)), 0)</f>
        <v/>
      </c>
      <c r="M62" s="21">
        <f>IFERROR(INDEX($B$49:$E$52, MATCH($N62, $B$48:$E$48, 0), MATCH(M$54, $B$48:$E$48, 0)), 0)</f>
        <v/>
      </c>
      <c r="N62" s="56" t="inlineStr">
        <is>
          <t>U4Y</t>
        </is>
      </c>
    </row>
    <row r="63" ht="19.05" customHeight="1" s="52">
      <c r="B63" s="21">
        <f>IFERROR(INDEX($B$49:$E$52, MATCH($N63, $B$48:$E$48, 0), MATCH(B$54, $B$48:$E$48, 0)), 0)</f>
        <v/>
      </c>
      <c r="C63" s="21">
        <f>IFERROR(INDEX($B$49:$E$52, MATCH($N63, $B$48:$E$48, 0), MATCH(C$54, $B$48:$E$48, 0)), 0)</f>
        <v/>
      </c>
      <c r="D63" s="21">
        <f>IFERROR(INDEX($B$49:$E$52, MATCH($N63, $B$48:$E$48, 0), MATCH(D$54, $B$48:$E$48, 0)), 0)</f>
        <v/>
      </c>
      <c r="E63" s="21">
        <f>IFERROR(INDEX($B$49:$E$52, MATCH($N63, $B$48:$E$48, 0), MATCH(E$54, $B$48:$E$48, 0)), 0)</f>
        <v/>
      </c>
      <c r="F63" s="21">
        <f>IFERROR(INDEX($B$49:$E$52, MATCH($N63, $B$48:$E$48, 0), MATCH(F$54, $B$48:$E$48, 0)), 0)</f>
        <v/>
      </c>
      <c r="G63" s="21">
        <f>IFERROR(INDEX($B$49:$E$52, MATCH($N63, $B$48:$E$48, 0), MATCH(G$54, $B$48:$E$48, 0)), 0)</f>
        <v/>
      </c>
      <c r="H63" s="21">
        <f>IFERROR(INDEX($B$49:$E$52, MATCH($N63, $B$48:$E$48, 0), MATCH(H$54, $B$48:$E$48, 0)), 0)</f>
        <v/>
      </c>
      <c r="I63" s="21">
        <f>IFERROR(INDEX($B$49:$E$52, MATCH($N63, $B$48:$E$48, 0), MATCH(I$54, $B$48:$E$48, 0)), 0)</f>
        <v/>
      </c>
      <c r="J63" s="21">
        <f>IFERROR(INDEX($B$49:$E$52, MATCH($N63, $B$48:$E$48, 0), MATCH(J$54, $B$48:$E$48, 0)), 0)</f>
        <v/>
      </c>
      <c r="K63" s="21">
        <f>IFERROR(INDEX($B$49:$E$52, MATCH($N63, $B$48:$E$48, 0), MATCH(K$54, $B$48:$E$48, 0)), 0)</f>
        <v/>
      </c>
      <c r="L63" s="21">
        <f>IFERROR(INDEX($B$49:$E$52, MATCH($N63, $B$48:$E$48, 0), MATCH(L$54, $B$48:$E$48, 0)), 0)</f>
        <v/>
      </c>
      <c r="M63" s="21">
        <f>IFERROR(INDEX($B$49:$E$52, MATCH($N63, $B$48:$E$48, 0), MATCH(M$54, $B$48:$E$48, 0)), 0)</f>
        <v/>
      </c>
      <c r="N63" s="56" t="inlineStr">
        <is>
          <t>U5X</t>
        </is>
      </c>
    </row>
    <row r="64" ht="19.05" customHeight="1" s="52">
      <c r="B64" s="21">
        <f>IFERROR(INDEX($B$49:$E$52, MATCH($N64, $B$48:$E$48, 0), MATCH(B$54, $B$48:$E$48, 0)), 0)</f>
        <v/>
      </c>
      <c r="C64" s="21">
        <f>IFERROR(INDEX($B$49:$E$52, MATCH($N64, $B$48:$E$48, 0), MATCH(C$54, $B$48:$E$48, 0)), 0)</f>
        <v/>
      </c>
      <c r="D64" s="21">
        <f>IFERROR(INDEX($B$49:$E$52, MATCH($N64, $B$48:$E$48, 0), MATCH(D$54, $B$48:$E$48, 0)), 0)</f>
        <v/>
      </c>
      <c r="E64" s="21">
        <f>IFERROR(INDEX($B$49:$E$52, MATCH($N64, $B$48:$E$48, 0), MATCH(E$54, $B$48:$E$48, 0)), 0)</f>
        <v/>
      </c>
      <c r="F64" s="21">
        <f>IFERROR(INDEX($B$49:$E$52, MATCH($N64, $B$48:$E$48, 0), MATCH(F$54, $B$48:$E$48, 0)), 0)</f>
        <v/>
      </c>
      <c r="G64" s="21">
        <f>IFERROR(INDEX($B$49:$E$52, MATCH($N64, $B$48:$E$48, 0), MATCH(G$54, $B$48:$E$48, 0)), 0)</f>
        <v/>
      </c>
      <c r="H64" s="21">
        <f>IFERROR(INDEX($B$49:$E$52, MATCH($N64, $B$48:$E$48, 0), MATCH(H$54, $B$48:$E$48, 0)), 0)</f>
        <v/>
      </c>
      <c r="I64" s="21">
        <f>IFERROR(INDEX($B$49:$E$52, MATCH($N64, $B$48:$E$48, 0), MATCH(I$54, $B$48:$E$48, 0)), 0)</f>
        <v/>
      </c>
      <c r="J64" s="21">
        <f>IFERROR(INDEX($B$49:$E$52, MATCH($N64, $B$48:$E$48, 0), MATCH(J$54, $B$48:$E$48, 0)), 0)</f>
        <v/>
      </c>
      <c r="K64" s="21">
        <f>IFERROR(INDEX($B$49:$E$52, MATCH($N64, $B$48:$E$48, 0), MATCH(K$54, $B$48:$E$48, 0)), 0)</f>
        <v/>
      </c>
      <c r="L64" s="21">
        <f>IFERROR(INDEX($B$49:$E$52, MATCH($N64, $B$48:$E$48, 0), MATCH(L$54, $B$48:$E$48, 0)), 0)</f>
        <v/>
      </c>
      <c r="M64" s="21">
        <f>IFERROR(INDEX($B$49:$E$52, MATCH($N64, $B$48:$E$48, 0), MATCH(M$54, $B$48:$E$48, 0)), 0)</f>
        <v/>
      </c>
      <c r="N64" s="56" t="inlineStr">
        <is>
          <t>U5Y</t>
        </is>
      </c>
    </row>
    <row r="65" ht="19.05" customHeight="1" s="52">
      <c r="B65" s="21">
        <f>IFERROR(INDEX($B$49:$E$52, MATCH($N65, $B$48:$E$48, 0), MATCH(B$54, $B$48:$E$48, 0)), 0)</f>
        <v/>
      </c>
      <c r="C65" s="21">
        <f>IFERROR(INDEX($B$49:$E$52, MATCH($N65, $B$48:$E$48, 0), MATCH(C$54, $B$48:$E$48, 0)), 0)</f>
        <v/>
      </c>
      <c r="D65" s="21">
        <f>IFERROR(INDEX($B$49:$E$52, MATCH($N65, $B$48:$E$48, 0), MATCH(D$54, $B$48:$E$48, 0)), 0)</f>
        <v/>
      </c>
      <c r="E65" s="21">
        <f>IFERROR(INDEX($B$49:$E$52, MATCH($N65, $B$48:$E$48, 0), MATCH(E$54, $B$48:$E$48, 0)), 0)</f>
        <v/>
      </c>
      <c r="F65" s="21">
        <f>IFERROR(INDEX($B$49:$E$52, MATCH($N65, $B$48:$E$48, 0), MATCH(F$54, $B$48:$E$48, 0)), 0)</f>
        <v/>
      </c>
      <c r="G65" s="21">
        <f>IFERROR(INDEX($B$49:$E$52, MATCH($N65, $B$48:$E$48, 0), MATCH(G$54, $B$48:$E$48, 0)), 0)</f>
        <v/>
      </c>
      <c r="H65" s="21">
        <f>IFERROR(INDEX($B$49:$E$52, MATCH($N65, $B$48:$E$48, 0), MATCH(H$54, $B$48:$E$48, 0)), 0)</f>
        <v/>
      </c>
      <c r="I65" s="21">
        <f>IFERROR(INDEX($B$49:$E$52, MATCH($N65, $B$48:$E$48, 0), MATCH(I$54, $B$48:$E$48, 0)), 0)</f>
        <v/>
      </c>
      <c r="J65" s="21">
        <f>IFERROR(INDEX($B$49:$E$52, MATCH($N65, $B$48:$E$48, 0), MATCH(J$54, $B$48:$E$48, 0)), 0)</f>
        <v/>
      </c>
      <c r="K65" s="21">
        <f>IFERROR(INDEX($B$49:$E$52, MATCH($N65, $B$48:$E$48, 0), MATCH(K$54, $B$48:$E$48, 0)), 0)</f>
        <v/>
      </c>
      <c r="L65" s="21">
        <f>IFERROR(INDEX($B$49:$E$52, MATCH($N65, $B$48:$E$48, 0), MATCH(L$54, $B$48:$E$48, 0)), 0)</f>
        <v/>
      </c>
      <c r="M65" s="21">
        <f>IFERROR(INDEX($B$49:$E$52, MATCH($N65, $B$48:$E$48, 0), MATCH(M$54, $B$48:$E$48, 0)), 0)</f>
        <v/>
      </c>
      <c r="N65" s="56" t="inlineStr">
        <is>
          <t>U6X</t>
        </is>
      </c>
    </row>
    <row r="66" ht="19.05" customHeight="1" s="52">
      <c r="B66" s="21">
        <f>IFERROR(INDEX($B$49:$E$52, MATCH($N66, $B$48:$E$48, 0), MATCH(B$54, $B$48:$E$48, 0)), 0)</f>
        <v/>
      </c>
      <c r="C66" s="21">
        <f>IFERROR(INDEX($B$49:$E$52, MATCH($N66, $B$48:$E$48, 0), MATCH(C$54, $B$48:$E$48, 0)), 0)</f>
        <v/>
      </c>
      <c r="D66" s="21">
        <f>IFERROR(INDEX($B$49:$E$52, MATCH($N66, $B$48:$E$48, 0), MATCH(D$54, $B$48:$E$48, 0)), 0)</f>
        <v/>
      </c>
      <c r="E66" s="21">
        <f>IFERROR(INDEX($B$49:$E$52, MATCH($N66, $B$48:$E$48, 0), MATCH(E$54, $B$48:$E$48, 0)), 0)</f>
        <v/>
      </c>
      <c r="F66" s="21">
        <f>IFERROR(INDEX($B$49:$E$52, MATCH($N66, $B$48:$E$48, 0), MATCH(F$54, $B$48:$E$48, 0)), 0)</f>
        <v/>
      </c>
      <c r="G66" s="21">
        <f>IFERROR(INDEX($B$49:$E$52, MATCH($N66, $B$48:$E$48, 0), MATCH(G$54, $B$48:$E$48, 0)), 0)</f>
        <v/>
      </c>
      <c r="H66" s="21">
        <f>IFERROR(INDEX($B$49:$E$52, MATCH($N66, $B$48:$E$48, 0), MATCH(H$54, $B$48:$E$48, 0)), 0)</f>
        <v/>
      </c>
      <c r="I66" s="21">
        <f>IFERROR(INDEX($B$49:$E$52, MATCH($N66, $B$48:$E$48, 0), MATCH(I$54, $B$48:$E$48, 0)), 0)</f>
        <v/>
      </c>
      <c r="J66" s="21">
        <f>IFERROR(INDEX($B$49:$E$52, MATCH($N66, $B$48:$E$48, 0), MATCH(J$54, $B$48:$E$48, 0)), 0)</f>
        <v/>
      </c>
      <c r="K66" s="21">
        <f>IFERROR(INDEX($B$49:$E$52, MATCH($N66, $B$48:$E$48, 0), MATCH(K$54, $B$48:$E$48, 0)), 0)</f>
        <v/>
      </c>
      <c r="L66" s="21">
        <f>IFERROR(INDEX($B$49:$E$52, MATCH($N66, $B$48:$E$48, 0), MATCH(L$54, $B$48:$E$48, 0)), 0)</f>
        <v/>
      </c>
      <c r="M66" s="21">
        <f>IFERROR(INDEX($B$49:$E$52, MATCH($N66, $B$48:$E$48, 0), MATCH(M$54, $B$48:$E$48, 0)), 0)</f>
        <v/>
      </c>
      <c r="N66" s="56" t="inlineStr">
        <is>
          <t>U6Y</t>
        </is>
      </c>
    </row>
    <row r="69" ht="19.05" customHeight="1" s="52">
      <c r="A69" s="19" t="inlineStr">
        <is>
          <t>k3=</t>
        </is>
      </c>
      <c r="B69" s="12">
        <f>IF(D19="","-",D19)</f>
        <v/>
      </c>
      <c r="C69" s="12">
        <f>IF(E19="","-",E19)</f>
        <v/>
      </c>
      <c r="D69" s="12">
        <f>IF(G19="","-",G19)</f>
        <v/>
      </c>
      <c r="E69" s="12">
        <f>IF(H19="","-",H19)</f>
        <v/>
      </c>
    </row>
    <row r="70" ht="18" customHeight="1" s="52">
      <c r="B70" s="23">
        <f>IF(N8=0, 0, N8*J8*J8)</f>
        <v/>
      </c>
      <c r="C70" s="23">
        <f>IF(N8=0, 0, N8*J8*K8)</f>
        <v/>
      </c>
      <c r="D70" s="23">
        <f>IF(N8=0, 0, -N8*J8*J8)</f>
        <v/>
      </c>
      <c r="E70" s="23">
        <f>IF(N8=0, 0, -N8*J8*K8)</f>
        <v/>
      </c>
      <c r="F70" s="12">
        <f>IF(D19="","-",D19)</f>
        <v/>
      </c>
    </row>
    <row r="71" ht="18" customHeight="1" s="52">
      <c r="B71" s="23">
        <f>IF(N8=0, 0, N8*J8*K8)</f>
        <v/>
      </c>
      <c r="C71" s="23">
        <f>IF(N8=0, 0, N8*K8*K8)</f>
        <v/>
      </c>
      <c r="D71" s="23">
        <f>IF(N8=0, 0, -N8*J8*K8)</f>
        <v/>
      </c>
      <c r="E71" s="23">
        <f>IF(N8=0, 0, -N8*K8*K8)</f>
        <v/>
      </c>
      <c r="F71" s="12">
        <f>IF(E19="","-",E19)</f>
        <v/>
      </c>
    </row>
    <row r="72" ht="18" customHeight="1" s="52">
      <c r="B72" s="23">
        <f>IF(N8=0, 0, -N8*J8*J8)</f>
        <v/>
      </c>
      <c r="C72" s="23">
        <f>IF(N8=0, 0, -N8*J8*K8)</f>
        <v/>
      </c>
      <c r="D72" s="23">
        <f>IF(N8=0, 0, N8*J8*J8)</f>
        <v/>
      </c>
      <c r="E72" s="23">
        <f>IF(N8=0, 0, N8*J8*K8)</f>
        <v/>
      </c>
      <c r="F72" s="12">
        <f>IF(G19="","-",G19)</f>
        <v/>
      </c>
    </row>
    <row r="73" ht="18" customHeight="1" s="52">
      <c r="B73" s="23">
        <f>IF(N8=0, 0, -N8*J8*K8)</f>
        <v/>
      </c>
      <c r="C73" s="23">
        <f>IF(N8=0, 0, -N8*K8*K8)</f>
        <v/>
      </c>
      <c r="D73" s="23">
        <f>IF(N8=0, 0, N8*J8*K8)</f>
        <v/>
      </c>
      <c r="E73" s="23">
        <f>IF(N8=0, 0, N8*K8*K8)</f>
        <v/>
      </c>
      <c r="F73" s="12">
        <f>IF(H19="","-",H19)</f>
        <v/>
      </c>
    </row>
    <row r="75" ht="19.05" customHeight="1" s="52">
      <c r="B75" s="54" t="inlineStr">
        <is>
          <t>U1X</t>
        </is>
      </c>
      <c r="C75" s="54" t="inlineStr">
        <is>
          <t>U1Y</t>
        </is>
      </c>
      <c r="D75" s="54" t="inlineStr">
        <is>
          <t>U2X</t>
        </is>
      </c>
      <c r="E75" s="54" t="inlineStr">
        <is>
          <t>U2Y</t>
        </is>
      </c>
      <c r="F75" s="54" t="inlineStr">
        <is>
          <t>U3X</t>
        </is>
      </c>
      <c r="G75" s="54" t="inlineStr">
        <is>
          <t>U3Y</t>
        </is>
      </c>
      <c r="H75" s="54" t="inlineStr">
        <is>
          <t>U4X</t>
        </is>
      </c>
      <c r="I75" s="54" t="inlineStr">
        <is>
          <t>U4Y</t>
        </is>
      </c>
      <c r="J75" s="54" t="inlineStr">
        <is>
          <t>U5X</t>
        </is>
      </c>
      <c r="K75" s="54" t="inlineStr">
        <is>
          <t>U5Y</t>
        </is>
      </c>
      <c r="L75" s="54" t="inlineStr">
        <is>
          <t>U6X</t>
        </is>
      </c>
      <c r="M75" s="54" t="inlineStr">
        <is>
          <t>U6Y</t>
        </is>
      </c>
    </row>
    <row r="76" ht="19.05" customHeight="1" s="52">
      <c r="B76" s="21">
        <f>IFERROR(INDEX($B$70:$E$73, MATCH($N76, $B$69:$E$69, 0), MATCH(B$75, $B$69:$E$69, 0)), 0)</f>
        <v/>
      </c>
      <c r="C76" s="21">
        <f>IFERROR(INDEX($B$70:$E$73, MATCH($N76, $B$69:$E$69, 0), MATCH(C$75, $B$69:$E$69, 0)), 0)</f>
        <v/>
      </c>
      <c r="D76" s="21">
        <f>IFERROR(INDEX($B$70:$E$73, MATCH($N76, $B$69:$E$69, 0), MATCH(D$75, $B$69:$E$69, 0)), 0)</f>
        <v/>
      </c>
      <c r="E76" s="21">
        <f>IFERROR(INDEX($B$70:$E$73, MATCH($N76, $B$69:$E$69, 0), MATCH(E$75, $B$69:$E$69, 0)), 0)</f>
        <v/>
      </c>
      <c r="F76" s="21">
        <f>IFERROR(INDEX($B$70:$E$73, MATCH($N76, $B$69:$E$69, 0), MATCH(F$75, $B$69:$E$69, 0)), 0)</f>
        <v/>
      </c>
      <c r="G76" s="21">
        <f>IFERROR(INDEX($B$70:$E$73, MATCH($N76, $B$69:$E$69, 0), MATCH(G$75, $B$69:$E$69, 0)), 0)</f>
        <v/>
      </c>
      <c r="H76" s="21">
        <f>IFERROR(INDEX($B$70:$E$73, MATCH($N76, $B$69:$E$69, 0), MATCH(H$75, $B$69:$E$69, 0)), 0)</f>
        <v/>
      </c>
      <c r="I76" s="21">
        <f>IFERROR(INDEX($B$70:$E$73, MATCH($N76, $B$69:$E$69, 0), MATCH(I$75, $B$69:$E$69, 0)), 0)</f>
        <v/>
      </c>
      <c r="J76" s="21">
        <f>IFERROR(INDEX($B$70:$E$73, MATCH($N76, $B$69:$E$69, 0), MATCH(J$75, $B$69:$E$69, 0)), 0)</f>
        <v/>
      </c>
      <c r="K76" s="21">
        <f>IFERROR(INDEX($B$70:$E$73, MATCH($N76, $B$69:$E$69, 0), MATCH(K$75, $B$69:$E$69, 0)), 0)</f>
        <v/>
      </c>
      <c r="L76" s="21">
        <f>IFERROR(INDEX($B$70:$E$73, MATCH($N76, $B$69:$E$69, 0), MATCH(L$75, $B$69:$E$69, 0)), 0)</f>
        <v/>
      </c>
      <c r="M76" s="21">
        <f>IFERROR(INDEX($B$70:$E$73, MATCH($N76, $B$69:$E$69, 0), MATCH(M$75, $B$69:$E$69, 0)), 0)</f>
        <v/>
      </c>
      <c r="N76" s="12" t="inlineStr">
        <is>
          <t>U1X</t>
        </is>
      </c>
    </row>
    <row r="77" ht="19.05" customHeight="1" s="52">
      <c r="B77" s="21">
        <f>IFERROR(INDEX($B$70:$E$73, MATCH($N77, $B$69:$E$69, 0), MATCH(B$75, $B$69:$E$69, 0)), 0)</f>
        <v/>
      </c>
      <c r="C77" s="21">
        <f>IFERROR(INDEX($B$70:$E$73, MATCH($N77, $B$69:$E$69, 0), MATCH(C$75, $B$69:$E$69, 0)), 0)</f>
        <v/>
      </c>
      <c r="D77" s="21">
        <f>IFERROR(INDEX($B$70:$E$73, MATCH($N77, $B$69:$E$69, 0), MATCH(D$75, $B$69:$E$69, 0)), 0)</f>
        <v/>
      </c>
      <c r="E77" s="21">
        <f>IFERROR(INDEX($B$70:$E$73, MATCH($N77, $B$69:$E$69, 0), MATCH(E$75, $B$69:$E$69, 0)), 0)</f>
        <v/>
      </c>
      <c r="F77" s="21">
        <f>IFERROR(INDEX($B$70:$E$73, MATCH($N77, $B$69:$E$69, 0), MATCH(F$75, $B$69:$E$69, 0)), 0)</f>
        <v/>
      </c>
      <c r="G77" s="21">
        <f>IFERROR(INDEX($B$70:$E$73, MATCH($N77, $B$69:$E$69, 0), MATCH(G$75, $B$69:$E$69, 0)), 0)</f>
        <v/>
      </c>
      <c r="H77" s="21">
        <f>IFERROR(INDEX($B$70:$E$73, MATCH($N77, $B$69:$E$69, 0), MATCH(H$75, $B$69:$E$69, 0)), 0)</f>
        <v/>
      </c>
      <c r="I77" s="21">
        <f>IFERROR(INDEX($B$70:$E$73, MATCH($N77, $B$69:$E$69, 0), MATCH(I$75, $B$69:$E$69, 0)), 0)</f>
        <v/>
      </c>
      <c r="J77" s="21">
        <f>IFERROR(INDEX($B$70:$E$73, MATCH($N77, $B$69:$E$69, 0), MATCH(J$75, $B$69:$E$69, 0)), 0)</f>
        <v/>
      </c>
      <c r="K77" s="21">
        <f>IFERROR(INDEX($B$70:$E$73, MATCH($N77, $B$69:$E$69, 0), MATCH(K$75, $B$69:$E$69, 0)), 0)</f>
        <v/>
      </c>
      <c r="L77" s="21">
        <f>IFERROR(INDEX($B$70:$E$73, MATCH($N77, $B$69:$E$69, 0), MATCH(L$75, $B$69:$E$69, 0)), 0)</f>
        <v/>
      </c>
      <c r="M77" s="21">
        <f>IFERROR(INDEX($B$70:$E$73, MATCH($N77, $B$69:$E$69, 0), MATCH(M$75, $B$69:$E$69, 0)), 0)</f>
        <v/>
      </c>
      <c r="N77" s="12" t="inlineStr">
        <is>
          <t>U1Y</t>
        </is>
      </c>
    </row>
    <row r="78" ht="19.05" customHeight="1" s="52">
      <c r="B78" s="21">
        <f>IFERROR(INDEX($B$70:$E$73, MATCH($N78, $B$69:$E$69, 0), MATCH(B$75, $B$69:$E$69, 0)), 0)</f>
        <v/>
      </c>
      <c r="C78" s="21">
        <f>IFERROR(INDEX($B$70:$E$73, MATCH($N78, $B$69:$E$69, 0), MATCH(C$75, $B$69:$E$69, 0)), 0)</f>
        <v/>
      </c>
      <c r="D78" s="21">
        <f>IFERROR(INDEX($B$70:$E$73, MATCH($N78, $B$69:$E$69, 0), MATCH(D$75, $B$69:$E$69, 0)), 0)</f>
        <v/>
      </c>
      <c r="E78" s="21">
        <f>IFERROR(INDEX($B$70:$E$73, MATCH($N78, $B$69:$E$69, 0), MATCH(E$75, $B$69:$E$69, 0)), 0)</f>
        <v/>
      </c>
      <c r="F78" s="21">
        <f>IFERROR(INDEX($B$70:$E$73, MATCH($N78, $B$69:$E$69, 0), MATCH(F$75, $B$69:$E$69, 0)), 0)</f>
        <v/>
      </c>
      <c r="G78" s="21">
        <f>IFERROR(INDEX($B$70:$E$73, MATCH($N78, $B$69:$E$69, 0), MATCH(G$75, $B$69:$E$69, 0)), 0)</f>
        <v/>
      </c>
      <c r="H78" s="21">
        <f>IFERROR(INDEX($B$70:$E$73, MATCH($N78, $B$69:$E$69, 0), MATCH(H$75, $B$69:$E$69, 0)), 0)</f>
        <v/>
      </c>
      <c r="I78" s="21">
        <f>IFERROR(INDEX($B$70:$E$73, MATCH($N78, $B$69:$E$69, 0), MATCH(I$75, $B$69:$E$69, 0)), 0)</f>
        <v/>
      </c>
      <c r="J78" s="21">
        <f>IFERROR(INDEX($B$70:$E$73, MATCH($N78, $B$69:$E$69, 0), MATCH(J$75, $B$69:$E$69, 0)), 0)</f>
        <v/>
      </c>
      <c r="K78" s="21">
        <f>IFERROR(INDEX($B$70:$E$73, MATCH($N78, $B$69:$E$69, 0), MATCH(K$75, $B$69:$E$69, 0)), 0)</f>
        <v/>
      </c>
      <c r="L78" s="21">
        <f>IFERROR(INDEX($B$70:$E$73, MATCH($N78, $B$69:$E$69, 0), MATCH(L$75, $B$69:$E$69, 0)), 0)</f>
        <v/>
      </c>
      <c r="M78" s="21">
        <f>IFERROR(INDEX($B$70:$E$73, MATCH($N78, $B$69:$E$69, 0), MATCH(M$75, $B$69:$E$69, 0)), 0)</f>
        <v/>
      </c>
      <c r="N78" s="12" t="inlineStr">
        <is>
          <t>U2X</t>
        </is>
      </c>
    </row>
    <row r="79" ht="19.05" customHeight="1" s="52">
      <c r="B79" s="21">
        <f>IFERROR(INDEX($B$70:$E$73, MATCH($N79, $B$69:$E$69, 0), MATCH(B$75, $B$69:$E$69, 0)), 0)</f>
        <v/>
      </c>
      <c r="C79" s="21">
        <f>IFERROR(INDEX($B$70:$E$73, MATCH($N79, $B$69:$E$69, 0), MATCH(C$75, $B$69:$E$69, 0)), 0)</f>
        <v/>
      </c>
      <c r="D79" s="21">
        <f>IFERROR(INDEX($B$70:$E$73, MATCH($N79, $B$69:$E$69, 0), MATCH(D$75, $B$69:$E$69, 0)), 0)</f>
        <v/>
      </c>
      <c r="E79" s="21">
        <f>IFERROR(INDEX($B$70:$E$73, MATCH($N79, $B$69:$E$69, 0), MATCH(E$75, $B$69:$E$69, 0)), 0)</f>
        <v/>
      </c>
      <c r="F79" s="21">
        <f>IFERROR(INDEX($B$70:$E$73, MATCH($N79, $B$69:$E$69, 0), MATCH(F$75, $B$69:$E$69, 0)), 0)</f>
        <v/>
      </c>
      <c r="G79" s="21">
        <f>IFERROR(INDEX($B$70:$E$73, MATCH($N79, $B$69:$E$69, 0), MATCH(G$75, $B$69:$E$69, 0)), 0)</f>
        <v/>
      </c>
      <c r="H79" s="21">
        <f>IFERROR(INDEX($B$70:$E$73, MATCH($N79, $B$69:$E$69, 0), MATCH(H$75, $B$69:$E$69, 0)), 0)</f>
        <v/>
      </c>
      <c r="I79" s="21">
        <f>IFERROR(INDEX($B$70:$E$73, MATCH($N79, $B$69:$E$69, 0), MATCH(I$75, $B$69:$E$69, 0)), 0)</f>
        <v/>
      </c>
      <c r="J79" s="21">
        <f>IFERROR(INDEX($B$70:$E$73, MATCH($N79, $B$69:$E$69, 0), MATCH(J$75, $B$69:$E$69, 0)), 0)</f>
        <v/>
      </c>
      <c r="K79" s="21">
        <f>IFERROR(INDEX($B$70:$E$73, MATCH($N79, $B$69:$E$69, 0), MATCH(K$75, $B$69:$E$69, 0)), 0)</f>
        <v/>
      </c>
      <c r="L79" s="21">
        <f>IFERROR(INDEX($B$70:$E$73, MATCH($N79, $B$69:$E$69, 0), MATCH(L$75, $B$69:$E$69, 0)), 0)</f>
        <v/>
      </c>
      <c r="M79" s="21">
        <f>IFERROR(INDEX($B$70:$E$73, MATCH($N79, $B$69:$E$69, 0), MATCH(M$75, $B$69:$E$69, 0)), 0)</f>
        <v/>
      </c>
      <c r="N79" s="12" t="inlineStr">
        <is>
          <t>U2Y</t>
        </is>
      </c>
    </row>
    <row r="80" ht="19.05" customHeight="1" s="52">
      <c r="B80" s="21">
        <f>IFERROR(INDEX($B$70:$E$73, MATCH($N80, $B$69:$E$69, 0), MATCH(B$75, $B$69:$E$69, 0)), 0)</f>
        <v/>
      </c>
      <c r="C80" s="21">
        <f>IFERROR(INDEX($B$70:$E$73, MATCH($N80, $B$69:$E$69, 0), MATCH(C$75, $B$69:$E$69, 0)), 0)</f>
        <v/>
      </c>
      <c r="D80" s="21">
        <f>IFERROR(INDEX($B$70:$E$73, MATCH($N80, $B$69:$E$69, 0), MATCH(D$75, $B$69:$E$69, 0)), 0)</f>
        <v/>
      </c>
      <c r="E80" s="21">
        <f>IFERROR(INDEX($B$70:$E$73, MATCH($N80, $B$69:$E$69, 0), MATCH(E$75, $B$69:$E$69, 0)), 0)</f>
        <v/>
      </c>
      <c r="F80" s="21">
        <f>IFERROR(INDEX($B$70:$E$73, MATCH($N80, $B$69:$E$69, 0), MATCH(F$75, $B$69:$E$69, 0)), 0)</f>
        <v/>
      </c>
      <c r="G80" s="21">
        <f>IFERROR(INDEX($B$70:$E$73, MATCH($N80, $B$69:$E$69, 0), MATCH(G$75, $B$69:$E$69, 0)), 0)</f>
        <v/>
      </c>
      <c r="H80" s="21">
        <f>IFERROR(INDEX($B$70:$E$73, MATCH($N80, $B$69:$E$69, 0), MATCH(H$75, $B$69:$E$69, 0)), 0)</f>
        <v/>
      </c>
      <c r="I80" s="21">
        <f>IFERROR(INDEX($B$70:$E$73, MATCH($N80, $B$69:$E$69, 0), MATCH(I$75, $B$69:$E$69, 0)), 0)</f>
        <v/>
      </c>
      <c r="J80" s="21">
        <f>IFERROR(INDEX($B$70:$E$73, MATCH($N80, $B$69:$E$69, 0), MATCH(J$75, $B$69:$E$69, 0)), 0)</f>
        <v/>
      </c>
      <c r="K80" s="21">
        <f>IFERROR(INDEX($B$70:$E$73, MATCH($N80, $B$69:$E$69, 0), MATCH(K$75, $B$69:$E$69, 0)), 0)</f>
        <v/>
      </c>
      <c r="L80" s="21">
        <f>IFERROR(INDEX($B$70:$E$73, MATCH($N80, $B$69:$E$69, 0), MATCH(L$75, $B$69:$E$69, 0)), 0)</f>
        <v/>
      </c>
      <c r="M80" s="21">
        <f>IFERROR(INDEX($B$70:$E$73, MATCH($N80, $B$69:$E$69, 0), MATCH(M$75, $B$69:$E$69, 0)), 0)</f>
        <v/>
      </c>
      <c r="N80" s="12" t="inlineStr">
        <is>
          <t>U3X</t>
        </is>
      </c>
    </row>
    <row r="81" ht="19.05" customHeight="1" s="52">
      <c r="A81" s="19" t="inlineStr">
        <is>
          <t>K3=</t>
        </is>
      </c>
      <c r="B81" s="21">
        <f>IFERROR(INDEX($B$70:$E$73, MATCH($N81, $B$69:$E$69, 0), MATCH(B$75, $B$69:$E$69, 0)), 0)</f>
        <v/>
      </c>
      <c r="C81" s="21">
        <f>IFERROR(INDEX($B$70:$E$73, MATCH($N81, $B$69:$E$69, 0), MATCH(C$75, $B$69:$E$69, 0)), 0)</f>
        <v/>
      </c>
      <c r="D81" s="21">
        <f>IFERROR(INDEX($B$70:$E$73, MATCH($N81, $B$69:$E$69, 0), MATCH(D$75, $B$69:$E$69, 0)), 0)</f>
        <v/>
      </c>
      <c r="E81" s="21">
        <f>IFERROR(INDEX($B$70:$E$73, MATCH($N81, $B$69:$E$69, 0), MATCH(E$75, $B$69:$E$69, 0)), 0)</f>
        <v/>
      </c>
      <c r="F81" s="21">
        <f>IFERROR(INDEX($B$70:$E$73, MATCH($N81, $B$69:$E$69, 0), MATCH(F$75, $B$69:$E$69, 0)), 0)</f>
        <v/>
      </c>
      <c r="G81" s="21">
        <f>IFERROR(INDEX($B$70:$E$73, MATCH($N81, $B$69:$E$69, 0), MATCH(G$75, $B$69:$E$69, 0)), 0)</f>
        <v/>
      </c>
      <c r="H81" s="21">
        <f>IFERROR(INDEX($B$70:$E$73, MATCH($N81, $B$69:$E$69, 0), MATCH(H$75, $B$69:$E$69, 0)), 0)</f>
        <v/>
      </c>
      <c r="I81" s="21">
        <f>IFERROR(INDEX($B$70:$E$73, MATCH($N81, $B$69:$E$69, 0), MATCH(I$75, $B$69:$E$69, 0)), 0)</f>
        <v/>
      </c>
      <c r="J81" s="21">
        <f>IFERROR(INDEX($B$70:$E$73, MATCH($N81, $B$69:$E$69, 0), MATCH(J$75, $B$69:$E$69, 0)), 0)</f>
        <v/>
      </c>
      <c r="K81" s="21">
        <f>IFERROR(INDEX($B$70:$E$73, MATCH($N81, $B$69:$E$69, 0), MATCH(K$75, $B$69:$E$69, 0)), 0)</f>
        <v/>
      </c>
      <c r="L81" s="21">
        <f>IFERROR(INDEX($B$70:$E$73, MATCH($N81, $B$69:$E$69, 0), MATCH(L$75, $B$69:$E$69, 0)), 0)</f>
        <v/>
      </c>
      <c r="M81" s="21">
        <f>IFERROR(INDEX($B$70:$E$73, MATCH($N81, $B$69:$E$69, 0), MATCH(M$75, $B$69:$E$69, 0)), 0)</f>
        <v/>
      </c>
      <c r="N81" s="12" t="inlineStr">
        <is>
          <t>U3Y</t>
        </is>
      </c>
    </row>
    <row r="82" ht="19.05" customHeight="1" s="52">
      <c r="B82" s="21">
        <f>IFERROR(INDEX($B$70:$E$73, MATCH($N82, $B$69:$E$69, 0), MATCH(B$75, $B$69:$E$69, 0)), 0)</f>
        <v/>
      </c>
      <c r="C82" s="21">
        <f>IFERROR(INDEX($B$70:$E$73, MATCH($N82, $B$69:$E$69, 0), MATCH(C$75, $B$69:$E$69, 0)), 0)</f>
        <v/>
      </c>
      <c r="D82" s="21">
        <f>IFERROR(INDEX($B$70:$E$73, MATCH($N82, $B$69:$E$69, 0), MATCH(D$75, $B$69:$E$69, 0)), 0)</f>
        <v/>
      </c>
      <c r="E82" s="21">
        <f>IFERROR(INDEX($B$70:$E$73, MATCH($N82, $B$69:$E$69, 0), MATCH(E$75, $B$69:$E$69, 0)), 0)</f>
        <v/>
      </c>
      <c r="F82" s="21">
        <f>IFERROR(INDEX($B$70:$E$73, MATCH($N82, $B$69:$E$69, 0), MATCH(F$75, $B$69:$E$69, 0)), 0)</f>
        <v/>
      </c>
      <c r="G82" s="21">
        <f>IFERROR(INDEX($B$70:$E$73, MATCH($N82, $B$69:$E$69, 0), MATCH(G$75, $B$69:$E$69, 0)), 0)</f>
        <v/>
      </c>
      <c r="H82" s="21">
        <f>IFERROR(INDEX($B$70:$E$73, MATCH($N82, $B$69:$E$69, 0), MATCH(H$75, $B$69:$E$69, 0)), 0)</f>
        <v/>
      </c>
      <c r="I82" s="21">
        <f>IFERROR(INDEX($B$70:$E$73, MATCH($N82, $B$69:$E$69, 0), MATCH(I$75, $B$69:$E$69, 0)), 0)</f>
        <v/>
      </c>
      <c r="J82" s="21">
        <f>IFERROR(INDEX($B$70:$E$73, MATCH($N82, $B$69:$E$69, 0), MATCH(J$75, $B$69:$E$69, 0)), 0)</f>
        <v/>
      </c>
      <c r="K82" s="21">
        <f>IFERROR(INDEX($B$70:$E$73, MATCH($N82, $B$69:$E$69, 0), MATCH(K$75, $B$69:$E$69, 0)), 0)</f>
        <v/>
      </c>
      <c r="L82" s="21">
        <f>IFERROR(INDEX($B$70:$E$73, MATCH($N82, $B$69:$E$69, 0), MATCH(L$75, $B$69:$E$69, 0)), 0)</f>
        <v/>
      </c>
      <c r="M82" s="21">
        <f>IFERROR(INDEX($B$70:$E$73, MATCH($N82, $B$69:$E$69, 0), MATCH(M$75, $B$69:$E$69, 0)), 0)</f>
        <v/>
      </c>
      <c r="N82" s="12" t="inlineStr">
        <is>
          <t>U4X</t>
        </is>
      </c>
    </row>
    <row r="83" ht="19.05" customHeight="1" s="52">
      <c r="B83" s="21">
        <f>IFERROR(INDEX($B$70:$E$73, MATCH($N83, $B$69:$E$69, 0), MATCH(B$75, $B$69:$E$69, 0)), 0)</f>
        <v/>
      </c>
      <c r="C83" s="21">
        <f>IFERROR(INDEX($B$70:$E$73, MATCH($N83, $B$69:$E$69, 0), MATCH(C$75, $B$69:$E$69, 0)), 0)</f>
        <v/>
      </c>
      <c r="D83" s="21">
        <f>IFERROR(INDEX($B$70:$E$73, MATCH($N83, $B$69:$E$69, 0), MATCH(D$75, $B$69:$E$69, 0)), 0)</f>
        <v/>
      </c>
      <c r="E83" s="21">
        <f>IFERROR(INDEX($B$70:$E$73, MATCH($N83, $B$69:$E$69, 0), MATCH(E$75, $B$69:$E$69, 0)), 0)</f>
        <v/>
      </c>
      <c r="F83" s="21">
        <f>IFERROR(INDEX($B$70:$E$73, MATCH($N83, $B$69:$E$69, 0), MATCH(F$75, $B$69:$E$69, 0)), 0)</f>
        <v/>
      </c>
      <c r="G83" s="21">
        <f>IFERROR(INDEX($B$70:$E$73, MATCH($N83, $B$69:$E$69, 0), MATCH(G$75, $B$69:$E$69, 0)), 0)</f>
        <v/>
      </c>
      <c r="H83" s="21">
        <f>IFERROR(INDEX($B$70:$E$73, MATCH($N83, $B$69:$E$69, 0), MATCH(H$75, $B$69:$E$69, 0)), 0)</f>
        <v/>
      </c>
      <c r="I83" s="21">
        <f>IFERROR(INDEX($B$70:$E$73, MATCH($N83, $B$69:$E$69, 0), MATCH(I$75, $B$69:$E$69, 0)), 0)</f>
        <v/>
      </c>
      <c r="J83" s="21">
        <f>IFERROR(INDEX($B$70:$E$73, MATCH($N83, $B$69:$E$69, 0), MATCH(J$75, $B$69:$E$69, 0)), 0)</f>
        <v/>
      </c>
      <c r="K83" s="21">
        <f>IFERROR(INDEX($B$70:$E$73, MATCH($N83, $B$69:$E$69, 0), MATCH(K$75, $B$69:$E$69, 0)), 0)</f>
        <v/>
      </c>
      <c r="L83" s="21">
        <f>IFERROR(INDEX($B$70:$E$73, MATCH($N83, $B$69:$E$69, 0), MATCH(L$75, $B$69:$E$69, 0)), 0)</f>
        <v/>
      </c>
      <c r="M83" s="21">
        <f>IFERROR(INDEX($B$70:$E$73, MATCH($N83, $B$69:$E$69, 0), MATCH(M$75, $B$69:$E$69, 0)), 0)</f>
        <v/>
      </c>
      <c r="N83" s="12" t="inlineStr">
        <is>
          <t>U4Y</t>
        </is>
      </c>
    </row>
    <row r="84" ht="19.05" customHeight="1" s="52">
      <c r="B84" s="21">
        <f>IFERROR(INDEX($B$70:$E$73, MATCH($N84, $B$69:$E$69, 0), MATCH(B$75, $B$69:$E$69, 0)), 0)</f>
        <v/>
      </c>
      <c r="C84" s="21">
        <f>IFERROR(INDEX($B$70:$E$73, MATCH($N84, $B$69:$E$69, 0), MATCH(C$75, $B$69:$E$69, 0)), 0)</f>
        <v/>
      </c>
      <c r="D84" s="21">
        <f>IFERROR(INDEX($B$70:$E$73, MATCH($N84, $B$69:$E$69, 0), MATCH(D$75, $B$69:$E$69, 0)), 0)</f>
        <v/>
      </c>
      <c r="E84" s="21">
        <f>IFERROR(INDEX($B$70:$E$73, MATCH($N84, $B$69:$E$69, 0), MATCH(E$75, $B$69:$E$69, 0)), 0)</f>
        <v/>
      </c>
      <c r="F84" s="21">
        <f>IFERROR(INDEX($B$70:$E$73, MATCH($N84, $B$69:$E$69, 0), MATCH(F$75, $B$69:$E$69, 0)), 0)</f>
        <v/>
      </c>
      <c r="G84" s="21">
        <f>IFERROR(INDEX($B$70:$E$73, MATCH($N84, $B$69:$E$69, 0), MATCH(G$75, $B$69:$E$69, 0)), 0)</f>
        <v/>
      </c>
      <c r="H84" s="21">
        <f>IFERROR(INDEX($B$70:$E$73, MATCH($N84, $B$69:$E$69, 0), MATCH(H$75, $B$69:$E$69, 0)), 0)</f>
        <v/>
      </c>
      <c r="I84" s="21">
        <f>IFERROR(INDEX($B$70:$E$73, MATCH($N84, $B$69:$E$69, 0), MATCH(I$75, $B$69:$E$69, 0)), 0)</f>
        <v/>
      </c>
      <c r="J84" s="21">
        <f>IFERROR(INDEX($B$70:$E$73, MATCH($N84, $B$69:$E$69, 0), MATCH(J$75, $B$69:$E$69, 0)), 0)</f>
        <v/>
      </c>
      <c r="K84" s="21">
        <f>IFERROR(INDEX($B$70:$E$73, MATCH($N84, $B$69:$E$69, 0), MATCH(K$75, $B$69:$E$69, 0)), 0)</f>
        <v/>
      </c>
      <c r="L84" s="21">
        <f>IFERROR(INDEX($B$70:$E$73, MATCH($N84, $B$69:$E$69, 0), MATCH(L$75, $B$69:$E$69, 0)), 0)</f>
        <v/>
      </c>
      <c r="M84" s="21">
        <f>IFERROR(INDEX($B$70:$E$73, MATCH($N84, $B$69:$E$69, 0), MATCH(M$75, $B$69:$E$69, 0)), 0)</f>
        <v/>
      </c>
      <c r="N84" s="12" t="inlineStr">
        <is>
          <t>U5X</t>
        </is>
      </c>
    </row>
    <row r="85" ht="19.05" customHeight="1" s="52">
      <c r="B85" s="21">
        <f>IFERROR(INDEX($B$70:$E$73, MATCH($N85, $B$69:$E$69, 0), MATCH(B$75, $B$69:$E$69, 0)), 0)</f>
        <v/>
      </c>
      <c r="C85" s="21">
        <f>IFERROR(INDEX($B$70:$E$73, MATCH($N85, $B$69:$E$69, 0), MATCH(C$75, $B$69:$E$69, 0)), 0)</f>
        <v/>
      </c>
      <c r="D85" s="21">
        <f>IFERROR(INDEX($B$70:$E$73, MATCH($N85, $B$69:$E$69, 0), MATCH(D$75, $B$69:$E$69, 0)), 0)</f>
        <v/>
      </c>
      <c r="E85" s="21">
        <f>IFERROR(INDEX($B$70:$E$73, MATCH($N85, $B$69:$E$69, 0), MATCH(E$75, $B$69:$E$69, 0)), 0)</f>
        <v/>
      </c>
      <c r="F85" s="21">
        <f>IFERROR(INDEX($B$70:$E$73, MATCH($N85, $B$69:$E$69, 0), MATCH(F$75, $B$69:$E$69, 0)), 0)</f>
        <v/>
      </c>
      <c r="G85" s="21">
        <f>IFERROR(INDEX($B$70:$E$73, MATCH($N85, $B$69:$E$69, 0), MATCH(G$75, $B$69:$E$69, 0)), 0)</f>
        <v/>
      </c>
      <c r="H85" s="21">
        <f>IFERROR(INDEX($B$70:$E$73, MATCH($N85, $B$69:$E$69, 0), MATCH(H$75, $B$69:$E$69, 0)), 0)</f>
        <v/>
      </c>
      <c r="I85" s="21">
        <f>IFERROR(INDEX($B$70:$E$73, MATCH($N85, $B$69:$E$69, 0), MATCH(I$75, $B$69:$E$69, 0)), 0)</f>
        <v/>
      </c>
      <c r="J85" s="21">
        <f>IFERROR(INDEX($B$70:$E$73, MATCH($N85, $B$69:$E$69, 0), MATCH(J$75, $B$69:$E$69, 0)), 0)</f>
        <v/>
      </c>
      <c r="K85" s="21">
        <f>IFERROR(INDEX($B$70:$E$73, MATCH($N85, $B$69:$E$69, 0), MATCH(K$75, $B$69:$E$69, 0)), 0)</f>
        <v/>
      </c>
      <c r="L85" s="21">
        <f>IFERROR(INDEX($B$70:$E$73, MATCH($N85, $B$69:$E$69, 0), MATCH(L$75, $B$69:$E$69, 0)), 0)</f>
        <v/>
      </c>
      <c r="M85" s="21">
        <f>IFERROR(INDEX($B$70:$E$73, MATCH($N85, $B$69:$E$69, 0), MATCH(M$75, $B$69:$E$69, 0)), 0)</f>
        <v/>
      </c>
      <c r="N85" s="12" t="inlineStr">
        <is>
          <t>U5Y</t>
        </is>
      </c>
    </row>
    <row r="86" ht="19.05" customHeight="1" s="52">
      <c r="B86" s="21">
        <f>IFERROR(INDEX($B$70:$E$73, MATCH($N86, $B$69:$E$69, 0), MATCH(B$75, $B$69:$E$69, 0)), 0)</f>
        <v/>
      </c>
      <c r="C86" s="21">
        <f>IFERROR(INDEX($B$70:$E$73, MATCH($N86, $B$69:$E$69, 0), MATCH(C$75, $B$69:$E$69, 0)), 0)</f>
        <v/>
      </c>
      <c r="D86" s="21">
        <f>IFERROR(INDEX($B$70:$E$73, MATCH($N86, $B$69:$E$69, 0), MATCH(D$75, $B$69:$E$69, 0)), 0)</f>
        <v/>
      </c>
      <c r="E86" s="21">
        <f>IFERROR(INDEX($B$70:$E$73, MATCH($N86, $B$69:$E$69, 0), MATCH(E$75, $B$69:$E$69, 0)), 0)</f>
        <v/>
      </c>
      <c r="F86" s="21">
        <f>IFERROR(INDEX($B$70:$E$73, MATCH($N86, $B$69:$E$69, 0), MATCH(F$75, $B$69:$E$69, 0)), 0)</f>
        <v/>
      </c>
      <c r="G86" s="21">
        <f>IFERROR(INDEX($B$70:$E$73, MATCH($N86, $B$69:$E$69, 0), MATCH(G$75, $B$69:$E$69, 0)), 0)</f>
        <v/>
      </c>
      <c r="H86" s="21">
        <f>IFERROR(INDEX($B$70:$E$73, MATCH($N86, $B$69:$E$69, 0), MATCH(H$75, $B$69:$E$69, 0)), 0)</f>
        <v/>
      </c>
      <c r="I86" s="21">
        <f>IFERROR(INDEX($B$70:$E$73, MATCH($N86, $B$69:$E$69, 0), MATCH(I$75, $B$69:$E$69, 0)), 0)</f>
        <v/>
      </c>
      <c r="J86" s="21">
        <f>IFERROR(INDEX($B$70:$E$73, MATCH($N86, $B$69:$E$69, 0), MATCH(J$75, $B$69:$E$69, 0)), 0)</f>
        <v/>
      </c>
      <c r="K86" s="21">
        <f>IFERROR(INDEX($B$70:$E$73, MATCH($N86, $B$69:$E$69, 0), MATCH(K$75, $B$69:$E$69, 0)), 0)</f>
        <v/>
      </c>
      <c r="L86" s="21">
        <f>IFERROR(INDEX($B$70:$E$73, MATCH($N86, $B$69:$E$69, 0), MATCH(L$75, $B$69:$E$69, 0)), 0)</f>
        <v/>
      </c>
      <c r="M86" s="21">
        <f>IFERROR(INDEX($B$70:$E$73, MATCH($N86, $B$69:$E$69, 0), MATCH(M$75, $B$69:$E$69, 0)), 0)</f>
        <v/>
      </c>
      <c r="N86" s="12" t="inlineStr">
        <is>
          <t>U6X</t>
        </is>
      </c>
    </row>
    <row r="87" ht="19.05" customHeight="1" s="52">
      <c r="B87" s="21">
        <f>IFERROR(INDEX($B$70:$E$73, MATCH($N87, $B$69:$E$69, 0), MATCH(B$75, $B$69:$E$69, 0)), 0)</f>
        <v/>
      </c>
      <c r="C87" s="21">
        <f>IFERROR(INDEX($B$70:$E$73, MATCH($N87, $B$69:$E$69, 0), MATCH(C$75, $B$69:$E$69, 0)), 0)</f>
        <v/>
      </c>
      <c r="D87" s="21">
        <f>IFERROR(INDEX($B$70:$E$73, MATCH($N87, $B$69:$E$69, 0), MATCH(D$75, $B$69:$E$69, 0)), 0)</f>
        <v/>
      </c>
      <c r="E87" s="21">
        <f>IFERROR(INDEX($B$70:$E$73, MATCH($N87, $B$69:$E$69, 0), MATCH(E$75, $B$69:$E$69, 0)), 0)</f>
        <v/>
      </c>
      <c r="F87" s="21">
        <f>IFERROR(INDEX($B$70:$E$73, MATCH($N87, $B$69:$E$69, 0), MATCH(F$75, $B$69:$E$69, 0)), 0)</f>
        <v/>
      </c>
      <c r="G87" s="21">
        <f>IFERROR(INDEX($B$70:$E$73, MATCH($N87, $B$69:$E$69, 0), MATCH(G$75, $B$69:$E$69, 0)), 0)</f>
        <v/>
      </c>
      <c r="H87" s="21">
        <f>IFERROR(INDEX($B$70:$E$73, MATCH($N87, $B$69:$E$69, 0), MATCH(H$75, $B$69:$E$69, 0)), 0)</f>
        <v/>
      </c>
      <c r="I87" s="21">
        <f>IFERROR(INDEX($B$70:$E$73, MATCH($N87, $B$69:$E$69, 0), MATCH(I$75, $B$69:$E$69, 0)), 0)</f>
        <v/>
      </c>
      <c r="J87" s="21">
        <f>IFERROR(INDEX($B$70:$E$73, MATCH($N87, $B$69:$E$69, 0), MATCH(J$75, $B$69:$E$69, 0)), 0)</f>
        <v/>
      </c>
      <c r="K87" s="21">
        <f>IFERROR(INDEX($B$70:$E$73, MATCH($N87, $B$69:$E$69, 0), MATCH(K$75, $B$69:$E$69, 0)), 0)</f>
        <v/>
      </c>
      <c r="L87" s="21">
        <f>IFERROR(INDEX($B$70:$E$73, MATCH($N87, $B$69:$E$69, 0), MATCH(L$75, $B$69:$E$69, 0)), 0)</f>
        <v/>
      </c>
      <c r="M87" s="21">
        <f>IFERROR(INDEX($B$70:$E$73, MATCH($N87, $B$69:$E$69, 0), MATCH(M$75, $B$69:$E$69, 0)), 0)</f>
        <v/>
      </c>
      <c r="N87" s="12" t="inlineStr">
        <is>
          <t>U6Y</t>
        </is>
      </c>
    </row>
    <row r="90" ht="19.05" customHeight="1" s="52">
      <c r="A90" s="19" t="inlineStr">
        <is>
          <t>k4=</t>
        </is>
      </c>
      <c r="B90" s="13">
        <f>IF(D20="","-",D20)</f>
        <v/>
      </c>
      <c r="C90" s="13">
        <f>IF(E20="","-",E20)</f>
        <v/>
      </c>
      <c r="D90" s="13">
        <f>IF(G20="","-",G20)</f>
        <v/>
      </c>
      <c r="E90" s="13">
        <f>IF(H20="","-",H20)</f>
        <v/>
      </c>
    </row>
    <row r="91" ht="18" customHeight="1" s="52">
      <c r="B91" s="24">
        <f>IF(N9=0, 0, N9*J9*J9)</f>
        <v/>
      </c>
      <c r="C91" s="24">
        <f>IF(N9=0, 0, N9*J9*K9)</f>
        <v/>
      </c>
      <c r="D91" s="24">
        <f>IF(N9=0, 0, -N9*J9*J9)</f>
        <v/>
      </c>
      <c r="E91" s="24">
        <f>IF(N9=0, 0, -N9*J9*K9)</f>
        <v/>
      </c>
      <c r="F91" s="13">
        <f>IF(D20="","-",D20)</f>
        <v/>
      </c>
    </row>
    <row r="92" ht="18" customHeight="1" s="52">
      <c r="B92" s="24">
        <f>IF(N9=0, 0, N9*J9*K9)</f>
        <v/>
      </c>
      <c r="C92" s="24">
        <f>IF(N9=0, 0, N9*K9*K9)</f>
        <v/>
      </c>
      <c r="D92" s="24">
        <f>IF(N9=0, 0, -N9*J9*K9)</f>
        <v/>
      </c>
      <c r="E92" s="24">
        <f>IF(N9=0, 0, -N9*K9*K9)</f>
        <v/>
      </c>
      <c r="F92" s="13">
        <f>IF(E20="","-",E20)</f>
        <v/>
      </c>
    </row>
    <row r="93" ht="18" customHeight="1" s="52">
      <c r="B93" s="24">
        <f>IF(N9=0, 0, -N9*J9*J9)</f>
        <v/>
      </c>
      <c r="C93" s="24">
        <f>IF(N9=0, 0, -N9*J9*K9)</f>
        <v/>
      </c>
      <c r="D93" s="24">
        <f>IF(N9=0, 0, N9*J9*J9)</f>
        <v/>
      </c>
      <c r="E93" s="24">
        <f>IF(N9=0, 0, N9*J9*K9)</f>
        <v/>
      </c>
      <c r="F93" s="13">
        <f>IF(G20="","-",G20)</f>
        <v/>
      </c>
    </row>
    <row r="94" ht="18" customHeight="1" s="52">
      <c r="B94" s="24">
        <f>IF(N9=0, 0, -N9*J9*K9)</f>
        <v/>
      </c>
      <c r="C94" s="24">
        <f>IF(N9=0, 0, -N9*K9*K9)</f>
        <v/>
      </c>
      <c r="D94" s="24">
        <f>IF(N9=0, 0, N9*J9*K9)</f>
        <v/>
      </c>
      <c r="E94" s="24">
        <f>IF(N9=0, 0, N9*K9*K9)</f>
        <v/>
      </c>
      <c r="F94" s="13">
        <f>IF(H20="","-",H20)</f>
        <v/>
      </c>
    </row>
    <row r="96" ht="19.05" customHeight="1" s="52">
      <c r="B96" s="54" t="inlineStr">
        <is>
          <t>U1X</t>
        </is>
      </c>
      <c r="C96" s="54" t="inlineStr">
        <is>
          <t>U1Y</t>
        </is>
      </c>
      <c r="D96" s="54" t="inlineStr">
        <is>
          <t>U2X</t>
        </is>
      </c>
      <c r="E96" s="54" t="inlineStr">
        <is>
          <t>U2Y</t>
        </is>
      </c>
      <c r="F96" s="54" t="inlineStr">
        <is>
          <t>U3X</t>
        </is>
      </c>
      <c r="G96" s="54" t="inlineStr">
        <is>
          <t>U3Y</t>
        </is>
      </c>
      <c r="H96" s="54" t="inlineStr">
        <is>
          <t>U4X</t>
        </is>
      </c>
      <c r="I96" s="54" t="inlineStr">
        <is>
          <t>U4Y</t>
        </is>
      </c>
      <c r="J96" s="54" t="inlineStr">
        <is>
          <t>U5X</t>
        </is>
      </c>
      <c r="K96" s="54" t="inlineStr">
        <is>
          <t>U5Y</t>
        </is>
      </c>
      <c r="L96" s="54" t="inlineStr">
        <is>
          <t>U6X</t>
        </is>
      </c>
      <c r="M96" s="54" t="inlineStr">
        <is>
          <t>U6Y</t>
        </is>
      </c>
    </row>
    <row r="97" ht="19.05" customHeight="1" s="52">
      <c r="B97" s="21">
        <f>IFERROR(INDEX($B$91:$E$94, MATCH($N97, $B$90:$E$90, 0), MATCH(B$96, $B$90:$E$90, 0)), 0)</f>
        <v/>
      </c>
      <c r="C97" s="21">
        <f>IFERROR(INDEX($B$91:$E$94, MATCH($N97, $B$90:$E$90, 0), MATCH(C$96, $B$90:$E$90, 0)), 0)</f>
        <v/>
      </c>
      <c r="D97" s="21">
        <f>IFERROR(INDEX($B$91:$E$94, MATCH($N97, $B$90:$E$90, 0), MATCH(D$96, $B$90:$E$90, 0)), 0)</f>
        <v/>
      </c>
      <c r="E97" s="21">
        <f>IFERROR(INDEX($B$91:$E$94, MATCH($N97, $B$90:$E$90, 0), MATCH(E$96, $B$90:$E$90, 0)), 0)</f>
        <v/>
      </c>
      <c r="F97" s="21">
        <f>IFERROR(INDEX($B$91:$E$94, MATCH($N97, $B$90:$E$90, 0), MATCH(F$96, $B$90:$E$90, 0)), 0)</f>
        <v/>
      </c>
      <c r="G97" s="21">
        <f>IFERROR(INDEX($B$91:$E$94, MATCH($N97, $B$90:$E$90, 0), MATCH(G$96, $B$90:$E$90, 0)), 0)</f>
        <v/>
      </c>
      <c r="H97" s="21">
        <f>IFERROR(INDEX($B$91:$E$94, MATCH($N97, $B$90:$E$90, 0), MATCH(H$96, $B$90:$E$90, 0)), 0)</f>
        <v/>
      </c>
      <c r="I97" s="21">
        <f>IFERROR(INDEX($B$91:$E$94, MATCH($N97, $B$90:$E$90, 0), MATCH(I$96, $B$90:$E$90, 0)), 0)</f>
        <v/>
      </c>
      <c r="J97" s="21">
        <f>IFERROR(INDEX($B$91:$E$94, MATCH($N97, $B$90:$E$90, 0), MATCH(J$96, $B$90:$E$90, 0)), 0)</f>
        <v/>
      </c>
      <c r="K97" s="21">
        <f>IFERROR(INDEX($B$91:$E$94, MATCH($N97, $B$90:$E$90, 0), MATCH(K$96, $B$90:$E$90, 0)), 0)</f>
        <v/>
      </c>
      <c r="L97" s="21">
        <f>IFERROR(INDEX($B$91:$E$94, MATCH($N97, $B$90:$E$90, 0), MATCH(L$96, $B$90:$E$90, 0)), 0)</f>
        <v/>
      </c>
      <c r="M97" s="21">
        <f>IFERROR(INDEX($B$91:$E$94, MATCH($N97, $B$90:$E$90, 0), MATCH(M$96, $B$90:$E$90, 0)), 0)</f>
        <v/>
      </c>
      <c r="N97" s="13" t="inlineStr">
        <is>
          <t>U1X</t>
        </is>
      </c>
    </row>
    <row r="98" ht="19.05" customHeight="1" s="52">
      <c r="B98" s="21">
        <f>IFERROR(INDEX($B$91:$E$94, MATCH($N98, $B$90:$E$90, 0), MATCH(B$96, $B$90:$E$90, 0)), 0)</f>
        <v/>
      </c>
      <c r="C98" s="21">
        <f>IFERROR(INDEX($B$91:$E$94, MATCH($N98, $B$90:$E$90, 0), MATCH(C$96, $B$90:$E$90, 0)), 0)</f>
        <v/>
      </c>
      <c r="D98" s="21">
        <f>IFERROR(INDEX($B$91:$E$94, MATCH($N98, $B$90:$E$90, 0), MATCH(D$96, $B$90:$E$90, 0)), 0)</f>
        <v/>
      </c>
      <c r="E98" s="21">
        <f>IFERROR(INDEX($B$91:$E$94, MATCH($N98, $B$90:$E$90, 0), MATCH(E$96, $B$90:$E$90, 0)), 0)</f>
        <v/>
      </c>
      <c r="F98" s="21">
        <f>IFERROR(INDEX($B$91:$E$94, MATCH($N98, $B$90:$E$90, 0), MATCH(F$96, $B$90:$E$90, 0)), 0)</f>
        <v/>
      </c>
      <c r="G98" s="21">
        <f>IFERROR(INDEX($B$91:$E$94, MATCH($N98, $B$90:$E$90, 0), MATCH(G$96, $B$90:$E$90, 0)), 0)</f>
        <v/>
      </c>
      <c r="H98" s="21">
        <f>IFERROR(INDEX($B$91:$E$94, MATCH($N98, $B$90:$E$90, 0), MATCH(H$96, $B$90:$E$90, 0)), 0)</f>
        <v/>
      </c>
      <c r="I98" s="21">
        <f>IFERROR(INDEX($B$91:$E$94, MATCH($N98, $B$90:$E$90, 0), MATCH(I$96, $B$90:$E$90, 0)), 0)</f>
        <v/>
      </c>
      <c r="J98" s="21">
        <f>IFERROR(INDEX($B$91:$E$94, MATCH($N98, $B$90:$E$90, 0), MATCH(J$96, $B$90:$E$90, 0)), 0)</f>
        <v/>
      </c>
      <c r="K98" s="21">
        <f>IFERROR(INDEX($B$91:$E$94, MATCH($N98, $B$90:$E$90, 0), MATCH(K$96, $B$90:$E$90, 0)), 0)</f>
        <v/>
      </c>
      <c r="L98" s="21">
        <f>IFERROR(INDEX($B$91:$E$94, MATCH($N98, $B$90:$E$90, 0), MATCH(L$96, $B$90:$E$90, 0)), 0)</f>
        <v/>
      </c>
      <c r="M98" s="21">
        <f>IFERROR(INDEX($B$91:$E$94, MATCH($N98, $B$90:$E$90, 0), MATCH(M$96, $B$90:$E$90, 0)), 0)</f>
        <v/>
      </c>
      <c r="N98" s="13" t="inlineStr">
        <is>
          <t>U1Y</t>
        </is>
      </c>
    </row>
    <row r="99" ht="19.05" customHeight="1" s="52">
      <c r="B99" s="21">
        <f>IFERROR(INDEX($B$91:$E$94, MATCH($N99, $B$90:$E$90, 0), MATCH(B$96, $B$90:$E$90, 0)), 0)</f>
        <v/>
      </c>
      <c r="C99" s="21">
        <f>IFERROR(INDEX($B$91:$E$94, MATCH($N99, $B$90:$E$90, 0), MATCH(C$96, $B$90:$E$90, 0)), 0)</f>
        <v/>
      </c>
      <c r="D99" s="21">
        <f>IFERROR(INDEX($B$91:$E$94, MATCH($N99, $B$90:$E$90, 0), MATCH(D$96, $B$90:$E$90, 0)), 0)</f>
        <v/>
      </c>
      <c r="E99" s="21">
        <f>IFERROR(INDEX($B$91:$E$94, MATCH($N99, $B$90:$E$90, 0), MATCH(E$96, $B$90:$E$90, 0)), 0)</f>
        <v/>
      </c>
      <c r="F99" s="21">
        <f>IFERROR(INDEX($B$91:$E$94, MATCH($N99, $B$90:$E$90, 0), MATCH(F$96, $B$90:$E$90, 0)), 0)</f>
        <v/>
      </c>
      <c r="G99" s="21">
        <f>IFERROR(INDEX($B$91:$E$94, MATCH($N99, $B$90:$E$90, 0), MATCH(G$96, $B$90:$E$90, 0)), 0)</f>
        <v/>
      </c>
      <c r="H99" s="21">
        <f>IFERROR(INDEX($B$91:$E$94, MATCH($N99, $B$90:$E$90, 0), MATCH(H$96, $B$90:$E$90, 0)), 0)</f>
        <v/>
      </c>
      <c r="I99" s="21">
        <f>IFERROR(INDEX($B$91:$E$94, MATCH($N99, $B$90:$E$90, 0), MATCH(I$96, $B$90:$E$90, 0)), 0)</f>
        <v/>
      </c>
      <c r="J99" s="21">
        <f>IFERROR(INDEX($B$91:$E$94, MATCH($N99, $B$90:$E$90, 0), MATCH(J$96, $B$90:$E$90, 0)), 0)</f>
        <v/>
      </c>
      <c r="K99" s="21">
        <f>IFERROR(INDEX($B$91:$E$94, MATCH($N99, $B$90:$E$90, 0), MATCH(K$96, $B$90:$E$90, 0)), 0)</f>
        <v/>
      </c>
      <c r="L99" s="21">
        <f>IFERROR(INDEX($B$91:$E$94, MATCH($N99, $B$90:$E$90, 0), MATCH(L$96, $B$90:$E$90, 0)), 0)</f>
        <v/>
      </c>
      <c r="M99" s="21">
        <f>IFERROR(INDEX($B$91:$E$94, MATCH($N99, $B$90:$E$90, 0), MATCH(M$96, $B$90:$E$90, 0)), 0)</f>
        <v/>
      </c>
      <c r="N99" s="13" t="inlineStr">
        <is>
          <t>U2X</t>
        </is>
      </c>
    </row>
    <row r="100" ht="19.05" customHeight="1" s="52">
      <c r="B100" s="21">
        <f>IFERROR(INDEX($B$91:$E$94, MATCH($N100, $B$90:$E$90, 0), MATCH(B$96, $B$90:$E$90, 0)), 0)</f>
        <v/>
      </c>
      <c r="C100" s="21">
        <f>IFERROR(INDEX($B$91:$E$94, MATCH($N100, $B$90:$E$90, 0), MATCH(C$96, $B$90:$E$90, 0)), 0)</f>
        <v/>
      </c>
      <c r="D100" s="21">
        <f>IFERROR(INDEX($B$91:$E$94, MATCH($N100, $B$90:$E$90, 0), MATCH(D$96, $B$90:$E$90, 0)), 0)</f>
        <v/>
      </c>
      <c r="E100" s="21">
        <f>IFERROR(INDEX($B$91:$E$94, MATCH($N100, $B$90:$E$90, 0), MATCH(E$96, $B$90:$E$90, 0)), 0)</f>
        <v/>
      </c>
      <c r="F100" s="21">
        <f>IFERROR(INDEX($B$91:$E$94, MATCH($N100, $B$90:$E$90, 0), MATCH(F$96, $B$90:$E$90, 0)), 0)</f>
        <v/>
      </c>
      <c r="G100" s="21">
        <f>IFERROR(INDEX($B$91:$E$94, MATCH($N100, $B$90:$E$90, 0), MATCH(G$96, $B$90:$E$90, 0)), 0)</f>
        <v/>
      </c>
      <c r="H100" s="21">
        <f>IFERROR(INDEX($B$91:$E$94, MATCH($N100, $B$90:$E$90, 0), MATCH(H$96, $B$90:$E$90, 0)), 0)</f>
        <v/>
      </c>
      <c r="I100" s="21">
        <f>IFERROR(INDEX($B$91:$E$94, MATCH($N100, $B$90:$E$90, 0), MATCH(I$96, $B$90:$E$90, 0)), 0)</f>
        <v/>
      </c>
      <c r="J100" s="21">
        <f>IFERROR(INDEX($B$91:$E$94, MATCH($N100, $B$90:$E$90, 0), MATCH(J$96, $B$90:$E$90, 0)), 0)</f>
        <v/>
      </c>
      <c r="K100" s="21">
        <f>IFERROR(INDEX($B$91:$E$94, MATCH($N100, $B$90:$E$90, 0), MATCH(K$96, $B$90:$E$90, 0)), 0)</f>
        <v/>
      </c>
      <c r="L100" s="21">
        <f>IFERROR(INDEX($B$91:$E$94, MATCH($N100, $B$90:$E$90, 0), MATCH(L$96, $B$90:$E$90, 0)), 0)</f>
        <v/>
      </c>
      <c r="M100" s="21">
        <f>IFERROR(INDEX($B$91:$E$94, MATCH($N100, $B$90:$E$90, 0), MATCH(M$96, $B$90:$E$90, 0)), 0)</f>
        <v/>
      </c>
      <c r="N100" s="13" t="inlineStr">
        <is>
          <t>U2Y</t>
        </is>
      </c>
    </row>
    <row r="101" ht="19.05" customHeight="1" s="52">
      <c r="B101" s="21">
        <f>IFERROR(INDEX($B$91:$E$94, MATCH($N101, $B$90:$E$90, 0), MATCH(B$96, $B$90:$E$90, 0)), 0)</f>
        <v/>
      </c>
      <c r="C101" s="21">
        <f>IFERROR(INDEX($B$91:$E$94, MATCH($N101, $B$90:$E$90, 0), MATCH(C$96, $B$90:$E$90, 0)), 0)</f>
        <v/>
      </c>
      <c r="D101" s="21">
        <f>IFERROR(INDEX($B$91:$E$94, MATCH($N101, $B$90:$E$90, 0), MATCH(D$96, $B$90:$E$90, 0)), 0)</f>
        <v/>
      </c>
      <c r="E101" s="21">
        <f>IFERROR(INDEX($B$91:$E$94, MATCH($N101, $B$90:$E$90, 0), MATCH(E$96, $B$90:$E$90, 0)), 0)</f>
        <v/>
      </c>
      <c r="F101" s="21">
        <f>IFERROR(INDEX($B$91:$E$94, MATCH($N101, $B$90:$E$90, 0), MATCH(F$96, $B$90:$E$90, 0)), 0)</f>
        <v/>
      </c>
      <c r="G101" s="21">
        <f>IFERROR(INDEX($B$91:$E$94, MATCH($N101, $B$90:$E$90, 0), MATCH(G$96, $B$90:$E$90, 0)), 0)</f>
        <v/>
      </c>
      <c r="H101" s="21">
        <f>IFERROR(INDEX($B$91:$E$94, MATCH($N101, $B$90:$E$90, 0), MATCH(H$96, $B$90:$E$90, 0)), 0)</f>
        <v/>
      </c>
      <c r="I101" s="21">
        <f>IFERROR(INDEX($B$91:$E$94, MATCH($N101, $B$90:$E$90, 0), MATCH(I$96, $B$90:$E$90, 0)), 0)</f>
        <v/>
      </c>
      <c r="J101" s="21">
        <f>IFERROR(INDEX($B$91:$E$94, MATCH($N101, $B$90:$E$90, 0), MATCH(J$96, $B$90:$E$90, 0)), 0)</f>
        <v/>
      </c>
      <c r="K101" s="21">
        <f>IFERROR(INDEX($B$91:$E$94, MATCH($N101, $B$90:$E$90, 0), MATCH(K$96, $B$90:$E$90, 0)), 0)</f>
        <v/>
      </c>
      <c r="L101" s="21">
        <f>IFERROR(INDEX($B$91:$E$94, MATCH($N101, $B$90:$E$90, 0), MATCH(L$96, $B$90:$E$90, 0)), 0)</f>
        <v/>
      </c>
      <c r="M101" s="21">
        <f>IFERROR(INDEX($B$91:$E$94, MATCH($N101, $B$90:$E$90, 0), MATCH(M$96, $B$90:$E$90, 0)), 0)</f>
        <v/>
      </c>
      <c r="N101" s="13" t="inlineStr">
        <is>
          <t>U3X</t>
        </is>
      </c>
    </row>
    <row r="102" ht="19.05" customHeight="1" s="52">
      <c r="A102" s="19" t="inlineStr">
        <is>
          <t>K4=</t>
        </is>
      </c>
      <c r="B102" s="21">
        <f>IFERROR(INDEX($B$91:$E$94, MATCH($N102, $B$90:$E$90, 0), MATCH(B$96, $B$90:$E$90, 0)), 0)</f>
        <v/>
      </c>
      <c r="C102" s="21">
        <f>IFERROR(INDEX($B$91:$E$94, MATCH($N102, $B$90:$E$90, 0), MATCH(C$96, $B$90:$E$90, 0)), 0)</f>
        <v/>
      </c>
      <c r="D102" s="21">
        <f>IFERROR(INDEX($B$91:$E$94, MATCH($N102, $B$90:$E$90, 0), MATCH(D$96, $B$90:$E$90, 0)), 0)</f>
        <v/>
      </c>
      <c r="E102" s="21">
        <f>IFERROR(INDEX($B$91:$E$94, MATCH($N102, $B$90:$E$90, 0), MATCH(E$96, $B$90:$E$90, 0)), 0)</f>
        <v/>
      </c>
      <c r="F102" s="21">
        <f>IFERROR(INDEX($B$91:$E$94, MATCH($N102, $B$90:$E$90, 0), MATCH(F$96, $B$90:$E$90, 0)), 0)</f>
        <v/>
      </c>
      <c r="G102" s="21">
        <f>IFERROR(INDEX($B$91:$E$94, MATCH($N102, $B$90:$E$90, 0), MATCH(G$96, $B$90:$E$90, 0)), 0)</f>
        <v/>
      </c>
      <c r="H102" s="21">
        <f>IFERROR(INDEX($B$91:$E$94, MATCH($N102, $B$90:$E$90, 0), MATCH(H$96, $B$90:$E$90, 0)), 0)</f>
        <v/>
      </c>
      <c r="I102" s="21">
        <f>IFERROR(INDEX($B$91:$E$94, MATCH($N102, $B$90:$E$90, 0), MATCH(I$96, $B$90:$E$90, 0)), 0)</f>
        <v/>
      </c>
      <c r="J102" s="21">
        <f>IFERROR(INDEX($B$91:$E$94, MATCH($N102, $B$90:$E$90, 0), MATCH(J$96, $B$90:$E$90, 0)), 0)</f>
        <v/>
      </c>
      <c r="K102" s="21">
        <f>IFERROR(INDEX($B$91:$E$94, MATCH($N102, $B$90:$E$90, 0), MATCH(K$96, $B$90:$E$90, 0)), 0)</f>
        <v/>
      </c>
      <c r="L102" s="21">
        <f>IFERROR(INDEX($B$91:$E$94, MATCH($N102, $B$90:$E$90, 0), MATCH(L$96, $B$90:$E$90, 0)), 0)</f>
        <v/>
      </c>
      <c r="M102" s="21">
        <f>IFERROR(INDEX($B$91:$E$94, MATCH($N102, $B$90:$E$90, 0), MATCH(M$96, $B$90:$E$90, 0)), 0)</f>
        <v/>
      </c>
      <c r="N102" s="13" t="inlineStr">
        <is>
          <t>U3Y</t>
        </is>
      </c>
    </row>
    <row r="103" ht="19.05" customHeight="1" s="52">
      <c r="B103" s="21">
        <f>IFERROR(INDEX($B$91:$E$94, MATCH($N103, $B$90:$E$90, 0), MATCH(B$96, $B$90:$E$90, 0)), 0)</f>
        <v/>
      </c>
      <c r="C103" s="21">
        <f>IFERROR(INDEX($B$91:$E$94, MATCH($N103, $B$90:$E$90, 0), MATCH(C$96, $B$90:$E$90, 0)), 0)</f>
        <v/>
      </c>
      <c r="D103" s="21">
        <f>IFERROR(INDEX($B$91:$E$94, MATCH($N103, $B$90:$E$90, 0), MATCH(D$96, $B$90:$E$90, 0)), 0)</f>
        <v/>
      </c>
      <c r="E103" s="21">
        <f>IFERROR(INDEX($B$91:$E$94, MATCH($N103, $B$90:$E$90, 0), MATCH(E$96, $B$90:$E$90, 0)), 0)</f>
        <v/>
      </c>
      <c r="F103" s="21">
        <f>IFERROR(INDEX($B$91:$E$94, MATCH($N103, $B$90:$E$90, 0), MATCH(F$96, $B$90:$E$90, 0)), 0)</f>
        <v/>
      </c>
      <c r="G103" s="21">
        <f>IFERROR(INDEX($B$91:$E$94, MATCH($N103, $B$90:$E$90, 0), MATCH(G$96, $B$90:$E$90, 0)), 0)</f>
        <v/>
      </c>
      <c r="H103" s="21">
        <f>IFERROR(INDEX($B$91:$E$94, MATCH($N103, $B$90:$E$90, 0), MATCH(H$96, $B$90:$E$90, 0)), 0)</f>
        <v/>
      </c>
      <c r="I103" s="21">
        <f>IFERROR(INDEX($B$91:$E$94, MATCH($N103, $B$90:$E$90, 0), MATCH(I$96, $B$90:$E$90, 0)), 0)</f>
        <v/>
      </c>
      <c r="J103" s="21">
        <f>IFERROR(INDEX($B$91:$E$94, MATCH($N103, $B$90:$E$90, 0), MATCH(J$96, $B$90:$E$90, 0)), 0)</f>
        <v/>
      </c>
      <c r="K103" s="21">
        <f>IFERROR(INDEX($B$91:$E$94, MATCH($N103, $B$90:$E$90, 0), MATCH(K$96, $B$90:$E$90, 0)), 0)</f>
        <v/>
      </c>
      <c r="L103" s="21">
        <f>IFERROR(INDEX($B$91:$E$94, MATCH($N103, $B$90:$E$90, 0), MATCH(L$96, $B$90:$E$90, 0)), 0)</f>
        <v/>
      </c>
      <c r="M103" s="21">
        <f>IFERROR(INDEX($B$91:$E$94, MATCH($N103, $B$90:$E$90, 0), MATCH(M$96, $B$90:$E$90, 0)), 0)</f>
        <v/>
      </c>
      <c r="N103" s="13" t="inlineStr">
        <is>
          <t>U4X</t>
        </is>
      </c>
    </row>
    <row r="104" ht="19.05" customHeight="1" s="52">
      <c r="B104" s="21">
        <f>IFERROR(INDEX($B$91:$E$94, MATCH($N104, $B$90:$E$90, 0), MATCH(B$96, $B$90:$E$90, 0)), 0)</f>
        <v/>
      </c>
      <c r="C104" s="21">
        <f>IFERROR(INDEX($B$91:$E$94, MATCH($N104, $B$90:$E$90, 0), MATCH(C$96, $B$90:$E$90, 0)), 0)</f>
        <v/>
      </c>
      <c r="D104" s="21">
        <f>IFERROR(INDEX($B$91:$E$94, MATCH($N104, $B$90:$E$90, 0), MATCH(D$96, $B$90:$E$90, 0)), 0)</f>
        <v/>
      </c>
      <c r="E104" s="21">
        <f>IFERROR(INDEX($B$91:$E$94, MATCH($N104, $B$90:$E$90, 0), MATCH(E$96, $B$90:$E$90, 0)), 0)</f>
        <v/>
      </c>
      <c r="F104" s="21">
        <f>IFERROR(INDEX($B$91:$E$94, MATCH($N104, $B$90:$E$90, 0), MATCH(F$96, $B$90:$E$90, 0)), 0)</f>
        <v/>
      </c>
      <c r="G104" s="21">
        <f>IFERROR(INDEX($B$91:$E$94, MATCH($N104, $B$90:$E$90, 0), MATCH(G$96, $B$90:$E$90, 0)), 0)</f>
        <v/>
      </c>
      <c r="H104" s="21">
        <f>IFERROR(INDEX($B$91:$E$94, MATCH($N104, $B$90:$E$90, 0), MATCH(H$96, $B$90:$E$90, 0)), 0)</f>
        <v/>
      </c>
      <c r="I104" s="21">
        <f>IFERROR(INDEX($B$91:$E$94, MATCH($N104, $B$90:$E$90, 0), MATCH(I$96, $B$90:$E$90, 0)), 0)</f>
        <v/>
      </c>
      <c r="J104" s="21">
        <f>IFERROR(INDEX($B$91:$E$94, MATCH($N104, $B$90:$E$90, 0), MATCH(J$96, $B$90:$E$90, 0)), 0)</f>
        <v/>
      </c>
      <c r="K104" s="21">
        <f>IFERROR(INDEX($B$91:$E$94, MATCH($N104, $B$90:$E$90, 0), MATCH(K$96, $B$90:$E$90, 0)), 0)</f>
        <v/>
      </c>
      <c r="L104" s="21">
        <f>IFERROR(INDEX($B$91:$E$94, MATCH($N104, $B$90:$E$90, 0), MATCH(L$96, $B$90:$E$90, 0)), 0)</f>
        <v/>
      </c>
      <c r="M104" s="21">
        <f>IFERROR(INDEX($B$91:$E$94, MATCH($N104, $B$90:$E$90, 0), MATCH(M$96, $B$90:$E$90, 0)), 0)</f>
        <v/>
      </c>
      <c r="N104" s="13" t="inlineStr">
        <is>
          <t>U4Y</t>
        </is>
      </c>
    </row>
    <row r="105" ht="19.05" customHeight="1" s="52">
      <c r="B105" s="21">
        <f>IFERROR(INDEX($B$91:$E$94, MATCH($N105, $B$90:$E$90, 0), MATCH(B$96, $B$90:$E$90, 0)), 0)</f>
        <v/>
      </c>
      <c r="C105" s="21">
        <f>IFERROR(INDEX($B$91:$E$94, MATCH($N105, $B$90:$E$90, 0), MATCH(C$96, $B$90:$E$90, 0)), 0)</f>
        <v/>
      </c>
      <c r="D105" s="21">
        <f>IFERROR(INDEX($B$91:$E$94, MATCH($N105, $B$90:$E$90, 0), MATCH(D$96, $B$90:$E$90, 0)), 0)</f>
        <v/>
      </c>
      <c r="E105" s="21">
        <f>IFERROR(INDEX($B$91:$E$94, MATCH($N105, $B$90:$E$90, 0), MATCH(E$96, $B$90:$E$90, 0)), 0)</f>
        <v/>
      </c>
      <c r="F105" s="21">
        <f>IFERROR(INDEX($B$91:$E$94, MATCH($N105, $B$90:$E$90, 0), MATCH(F$96, $B$90:$E$90, 0)), 0)</f>
        <v/>
      </c>
      <c r="G105" s="21">
        <f>IFERROR(INDEX($B$91:$E$94, MATCH($N105, $B$90:$E$90, 0), MATCH(G$96, $B$90:$E$90, 0)), 0)</f>
        <v/>
      </c>
      <c r="H105" s="21">
        <f>IFERROR(INDEX($B$91:$E$94, MATCH($N105, $B$90:$E$90, 0), MATCH(H$96, $B$90:$E$90, 0)), 0)</f>
        <v/>
      </c>
      <c r="I105" s="21">
        <f>IFERROR(INDEX($B$91:$E$94, MATCH($N105, $B$90:$E$90, 0), MATCH(I$96, $B$90:$E$90, 0)), 0)</f>
        <v/>
      </c>
      <c r="J105" s="21">
        <f>IFERROR(INDEX($B$91:$E$94, MATCH($N105, $B$90:$E$90, 0), MATCH(J$96, $B$90:$E$90, 0)), 0)</f>
        <v/>
      </c>
      <c r="K105" s="21">
        <f>IFERROR(INDEX($B$91:$E$94, MATCH($N105, $B$90:$E$90, 0), MATCH(K$96, $B$90:$E$90, 0)), 0)</f>
        <v/>
      </c>
      <c r="L105" s="21">
        <f>IFERROR(INDEX($B$91:$E$94, MATCH($N105, $B$90:$E$90, 0), MATCH(L$96, $B$90:$E$90, 0)), 0)</f>
        <v/>
      </c>
      <c r="M105" s="21">
        <f>IFERROR(INDEX($B$91:$E$94, MATCH($N105, $B$90:$E$90, 0), MATCH(M$96, $B$90:$E$90, 0)), 0)</f>
        <v/>
      </c>
      <c r="N105" s="13" t="inlineStr">
        <is>
          <t>U5X</t>
        </is>
      </c>
    </row>
    <row r="106" ht="19.05" customHeight="1" s="52">
      <c r="B106" s="21">
        <f>IFERROR(INDEX($B$91:$E$94, MATCH($N106, $B$90:$E$90, 0), MATCH(B$96, $B$90:$E$90, 0)), 0)</f>
        <v/>
      </c>
      <c r="C106" s="21">
        <f>IFERROR(INDEX($B$91:$E$94, MATCH($N106, $B$90:$E$90, 0), MATCH(C$96, $B$90:$E$90, 0)), 0)</f>
        <v/>
      </c>
      <c r="D106" s="21">
        <f>IFERROR(INDEX($B$91:$E$94, MATCH($N106, $B$90:$E$90, 0), MATCH(D$96, $B$90:$E$90, 0)), 0)</f>
        <v/>
      </c>
      <c r="E106" s="21">
        <f>IFERROR(INDEX($B$91:$E$94, MATCH($N106, $B$90:$E$90, 0), MATCH(E$96, $B$90:$E$90, 0)), 0)</f>
        <v/>
      </c>
      <c r="F106" s="21">
        <f>IFERROR(INDEX($B$91:$E$94, MATCH($N106, $B$90:$E$90, 0), MATCH(F$96, $B$90:$E$90, 0)), 0)</f>
        <v/>
      </c>
      <c r="G106" s="21">
        <f>IFERROR(INDEX($B$91:$E$94, MATCH($N106, $B$90:$E$90, 0), MATCH(G$96, $B$90:$E$90, 0)), 0)</f>
        <v/>
      </c>
      <c r="H106" s="21">
        <f>IFERROR(INDEX($B$91:$E$94, MATCH($N106, $B$90:$E$90, 0), MATCH(H$96, $B$90:$E$90, 0)), 0)</f>
        <v/>
      </c>
      <c r="I106" s="21">
        <f>IFERROR(INDEX($B$91:$E$94, MATCH($N106, $B$90:$E$90, 0), MATCH(I$96, $B$90:$E$90, 0)), 0)</f>
        <v/>
      </c>
      <c r="J106" s="21">
        <f>IFERROR(INDEX($B$91:$E$94, MATCH($N106, $B$90:$E$90, 0), MATCH(J$96, $B$90:$E$90, 0)), 0)</f>
        <v/>
      </c>
      <c r="K106" s="21">
        <f>IFERROR(INDEX($B$91:$E$94, MATCH($N106, $B$90:$E$90, 0), MATCH(K$96, $B$90:$E$90, 0)), 0)</f>
        <v/>
      </c>
      <c r="L106" s="21">
        <f>IFERROR(INDEX($B$91:$E$94, MATCH($N106, $B$90:$E$90, 0), MATCH(L$96, $B$90:$E$90, 0)), 0)</f>
        <v/>
      </c>
      <c r="M106" s="21">
        <f>IFERROR(INDEX($B$91:$E$94, MATCH($N106, $B$90:$E$90, 0), MATCH(M$96, $B$90:$E$90, 0)), 0)</f>
        <v/>
      </c>
      <c r="N106" s="13" t="inlineStr">
        <is>
          <t>U5Y</t>
        </is>
      </c>
    </row>
    <row r="107" ht="19.05" customHeight="1" s="52">
      <c r="B107" s="21">
        <f>IFERROR(INDEX($B$91:$E$94, MATCH($N107, $B$90:$E$90, 0), MATCH(B$96, $B$90:$E$90, 0)), 0)</f>
        <v/>
      </c>
      <c r="C107" s="21">
        <f>IFERROR(INDEX($B$91:$E$94, MATCH($N107, $B$90:$E$90, 0), MATCH(C$96, $B$90:$E$90, 0)), 0)</f>
        <v/>
      </c>
      <c r="D107" s="21">
        <f>IFERROR(INDEX($B$91:$E$94, MATCH($N107, $B$90:$E$90, 0), MATCH(D$96, $B$90:$E$90, 0)), 0)</f>
        <v/>
      </c>
      <c r="E107" s="21">
        <f>IFERROR(INDEX($B$91:$E$94, MATCH($N107, $B$90:$E$90, 0), MATCH(E$96, $B$90:$E$90, 0)), 0)</f>
        <v/>
      </c>
      <c r="F107" s="21">
        <f>IFERROR(INDEX($B$91:$E$94, MATCH($N107, $B$90:$E$90, 0), MATCH(F$96, $B$90:$E$90, 0)), 0)</f>
        <v/>
      </c>
      <c r="G107" s="21">
        <f>IFERROR(INDEX($B$91:$E$94, MATCH($N107, $B$90:$E$90, 0), MATCH(G$96, $B$90:$E$90, 0)), 0)</f>
        <v/>
      </c>
      <c r="H107" s="21">
        <f>IFERROR(INDEX($B$91:$E$94, MATCH($N107, $B$90:$E$90, 0), MATCH(H$96, $B$90:$E$90, 0)), 0)</f>
        <v/>
      </c>
      <c r="I107" s="21">
        <f>IFERROR(INDEX($B$91:$E$94, MATCH($N107, $B$90:$E$90, 0), MATCH(I$96, $B$90:$E$90, 0)), 0)</f>
        <v/>
      </c>
      <c r="J107" s="21">
        <f>IFERROR(INDEX($B$91:$E$94, MATCH($N107, $B$90:$E$90, 0), MATCH(J$96, $B$90:$E$90, 0)), 0)</f>
        <v/>
      </c>
      <c r="K107" s="21">
        <f>IFERROR(INDEX($B$91:$E$94, MATCH($N107, $B$90:$E$90, 0), MATCH(K$96, $B$90:$E$90, 0)), 0)</f>
        <v/>
      </c>
      <c r="L107" s="21">
        <f>IFERROR(INDEX($B$91:$E$94, MATCH($N107, $B$90:$E$90, 0), MATCH(L$96, $B$90:$E$90, 0)), 0)</f>
        <v/>
      </c>
      <c r="M107" s="21">
        <f>IFERROR(INDEX($B$91:$E$94, MATCH($N107, $B$90:$E$90, 0), MATCH(M$96, $B$90:$E$90, 0)), 0)</f>
        <v/>
      </c>
      <c r="N107" s="13" t="inlineStr">
        <is>
          <t>U6X</t>
        </is>
      </c>
    </row>
    <row r="108" ht="19.05" customHeight="1" s="52">
      <c r="B108" s="21">
        <f>IFERROR(INDEX($B$91:$E$94, MATCH($N108, $B$90:$E$90, 0), MATCH(B$96, $B$90:$E$90, 0)), 0)</f>
        <v/>
      </c>
      <c r="C108" s="21">
        <f>IFERROR(INDEX($B$91:$E$94, MATCH($N108, $B$90:$E$90, 0), MATCH(C$96, $B$90:$E$90, 0)), 0)</f>
        <v/>
      </c>
      <c r="D108" s="21">
        <f>IFERROR(INDEX($B$91:$E$94, MATCH($N108, $B$90:$E$90, 0), MATCH(D$96, $B$90:$E$90, 0)), 0)</f>
        <v/>
      </c>
      <c r="E108" s="21">
        <f>IFERROR(INDEX($B$91:$E$94, MATCH($N108, $B$90:$E$90, 0), MATCH(E$96, $B$90:$E$90, 0)), 0)</f>
        <v/>
      </c>
      <c r="F108" s="21">
        <f>IFERROR(INDEX($B$91:$E$94, MATCH($N108, $B$90:$E$90, 0), MATCH(F$96, $B$90:$E$90, 0)), 0)</f>
        <v/>
      </c>
      <c r="G108" s="21">
        <f>IFERROR(INDEX($B$91:$E$94, MATCH($N108, $B$90:$E$90, 0), MATCH(G$96, $B$90:$E$90, 0)), 0)</f>
        <v/>
      </c>
      <c r="H108" s="21">
        <f>IFERROR(INDEX($B$91:$E$94, MATCH($N108, $B$90:$E$90, 0), MATCH(H$96, $B$90:$E$90, 0)), 0)</f>
        <v/>
      </c>
      <c r="I108" s="21">
        <f>IFERROR(INDEX($B$91:$E$94, MATCH($N108, $B$90:$E$90, 0), MATCH(I$96, $B$90:$E$90, 0)), 0)</f>
        <v/>
      </c>
      <c r="J108" s="21">
        <f>IFERROR(INDEX($B$91:$E$94, MATCH($N108, $B$90:$E$90, 0), MATCH(J$96, $B$90:$E$90, 0)), 0)</f>
        <v/>
      </c>
      <c r="K108" s="21">
        <f>IFERROR(INDEX($B$91:$E$94, MATCH($N108, $B$90:$E$90, 0), MATCH(K$96, $B$90:$E$90, 0)), 0)</f>
        <v/>
      </c>
      <c r="L108" s="21">
        <f>IFERROR(INDEX($B$91:$E$94, MATCH($N108, $B$90:$E$90, 0), MATCH(L$96, $B$90:$E$90, 0)), 0)</f>
        <v/>
      </c>
      <c r="M108" s="21">
        <f>IFERROR(INDEX($B$91:$E$94, MATCH($N108, $B$90:$E$90, 0), MATCH(M$96, $B$90:$E$90, 0)), 0)</f>
        <v/>
      </c>
      <c r="N108" s="13" t="inlineStr">
        <is>
          <t>U6Y</t>
        </is>
      </c>
    </row>
    <row r="111" ht="19.05" customHeight="1" s="52">
      <c r="A111" s="19" t="inlineStr">
        <is>
          <t>k5=</t>
        </is>
      </c>
      <c r="B111" s="14">
        <f>IF(D21="","-",D21)</f>
        <v/>
      </c>
      <c r="C111" s="14">
        <f>IF(E21="","-",E21)</f>
        <v/>
      </c>
      <c r="D111" s="14">
        <f>IF(G21="","-",G21)</f>
        <v/>
      </c>
      <c r="E111" s="14">
        <f>IF(H21="","-",H21)</f>
        <v/>
      </c>
    </row>
    <row r="112" ht="18" customHeight="1" s="52">
      <c r="B112" s="25">
        <f>IF(N10=0, 0, N10*J10*J10)</f>
        <v/>
      </c>
      <c r="C112" s="25">
        <f>IF(N10=0, 0, N10*J10*K10)</f>
        <v/>
      </c>
      <c r="D112" s="25">
        <f>IF(N10=0, 0, -N10*J10*J10)</f>
        <v/>
      </c>
      <c r="E112" s="25">
        <f>IF(N10=0, 0, -N10*J10*K10)</f>
        <v/>
      </c>
      <c r="F112" s="14">
        <f>IF(D21="","-",D21)</f>
        <v/>
      </c>
    </row>
    <row r="113" ht="18" customHeight="1" s="52">
      <c r="B113" s="25">
        <f>IF(N10=0, 0, N10*J10*K10)</f>
        <v/>
      </c>
      <c r="C113" s="25">
        <f>IF(N10=0, 0, N10*K10*K10)</f>
        <v/>
      </c>
      <c r="D113" s="25">
        <f>IF(N10=0, 0, -N10*J10*K10)</f>
        <v/>
      </c>
      <c r="E113" s="25">
        <f>IF(N10=0, 0, -N10*K10*K10)</f>
        <v/>
      </c>
      <c r="F113" s="14">
        <f>IF(E21="","-",E21)</f>
        <v/>
      </c>
    </row>
    <row r="114" ht="18" customHeight="1" s="52">
      <c r="B114" s="25">
        <f>IF(N10=0, 0, -N10*J10*J10)</f>
        <v/>
      </c>
      <c r="C114" s="25">
        <f>IF(N10=0, 0, -N10*J10*K10)</f>
        <v/>
      </c>
      <c r="D114" s="25">
        <f>IF(N10=0, 0, N10*J10*J10)</f>
        <v/>
      </c>
      <c r="E114" s="25">
        <f>IF(N10=0, 0, N10*J10*K10)</f>
        <v/>
      </c>
      <c r="F114" s="14">
        <f>IF(G21="","-",G21)</f>
        <v/>
      </c>
    </row>
    <row r="115" ht="18" customHeight="1" s="52">
      <c r="B115" s="25">
        <f>IF(N10=0, 0, -N10*J10*K10)</f>
        <v/>
      </c>
      <c r="C115" s="25">
        <f>IF(N10=0, 0, -N10*K10*K10)</f>
        <v/>
      </c>
      <c r="D115" s="25">
        <f>IF(N10=0, 0, N10*J10*K10)</f>
        <v/>
      </c>
      <c r="E115" s="25">
        <f>IF(N10=0, 0, N10*K10*K10)</f>
        <v/>
      </c>
      <c r="F115" s="14">
        <f>IF(H21="","-",H21)</f>
        <v/>
      </c>
    </row>
    <row r="117" ht="19.05" customHeight="1" s="52">
      <c r="B117" s="54" t="inlineStr">
        <is>
          <t>U1X</t>
        </is>
      </c>
      <c r="C117" s="54" t="inlineStr">
        <is>
          <t>U1Y</t>
        </is>
      </c>
      <c r="D117" s="54" t="inlineStr">
        <is>
          <t>U2X</t>
        </is>
      </c>
      <c r="E117" s="54" t="inlineStr">
        <is>
          <t>U2Y</t>
        </is>
      </c>
      <c r="F117" s="54" t="inlineStr">
        <is>
          <t>U3X</t>
        </is>
      </c>
      <c r="G117" s="54" t="inlineStr">
        <is>
          <t>U3Y</t>
        </is>
      </c>
      <c r="H117" s="54" t="inlineStr">
        <is>
          <t>U4X</t>
        </is>
      </c>
      <c r="I117" s="54" t="inlineStr">
        <is>
          <t>U4Y</t>
        </is>
      </c>
      <c r="J117" s="54" t="inlineStr">
        <is>
          <t>U5X</t>
        </is>
      </c>
      <c r="K117" s="54" t="inlineStr">
        <is>
          <t>U5Y</t>
        </is>
      </c>
      <c r="L117" s="54" t="inlineStr">
        <is>
          <t>U6X</t>
        </is>
      </c>
      <c r="M117" s="54" t="inlineStr">
        <is>
          <t>U6Y</t>
        </is>
      </c>
    </row>
    <row r="118" ht="19.05" customHeight="1" s="52">
      <c r="B118" s="21">
        <f>IFERROR(INDEX($B$112:$E$115, MATCH($N118, $B$111:$E$111, 0), MATCH(B$117, $B$111:$E$111, 0)), 0)</f>
        <v/>
      </c>
      <c r="C118" s="21">
        <f>IFERROR(INDEX($B$112:$E$115, MATCH($N118, $B$111:$E$111, 0), MATCH(C$117, $B$111:$E$111, 0)), 0)</f>
        <v/>
      </c>
      <c r="D118" s="21">
        <f>IFERROR(INDEX($B$112:$E$115, MATCH($N118, $B$111:$E$111, 0), MATCH(D$117, $B$111:$E$111, 0)), 0)</f>
        <v/>
      </c>
      <c r="E118" s="21">
        <f>IFERROR(INDEX($B$112:$E$115, MATCH($N118, $B$111:$E$111, 0), MATCH(E$117, $B$111:$E$111, 0)), 0)</f>
        <v/>
      </c>
      <c r="F118" s="21">
        <f>IFERROR(INDEX($B$112:$E$115, MATCH($N118, $B$111:$E$111, 0), MATCH(F$117, $B$111:$E$111, 0)), 0)</f>
        <v/>
      </c>
      <c r="G118" s="21">
        <f>IFERROR(INDEX($B$112:$E$115, MATCH($N118, $B$111:$E$111, 0), MATCH(G$117, $B$111:$E$111, 0)), 0)</f>
        <v/>
      </c>
      <c r="H118" s="21">
        <f>IFERROR(INDEX($B$112:$E$115, MATCH($N118, $B$111:$E$111, 0), MATCH(H$117, $B$111:$E$111, 0)), 0)</f>
        <v/>
      </c>
      <c r="I118" s="21">
        <f>IFERROR(INDEX($B$112:$E$115, MATCH($N118, $B$111:$E$111, 0), MATCH(I$117, $B$111:$E$111, 0)), 0)</f>
        <v/>
      </c>
      <c r="J118" s="21">
        <f>IFERROR(INDEX($B$112:$E$115, MATCH($N118, $B$111:$E$111, 0), MATCH(J$117, $B$111:$E$111, 0)), 0)</f>
        <v/>
      </c>
      <c r="K118" s="21">
        <f>IFERROR(INDEX($B$112:$E$115, MATCH($N118, $B$111:$E$111, 0), MATCH(K$117, $B$111:$E$111, 0)), 0)</f>
        <v/>
      </c>
      <c r="L118" s="21">
        <f>IFERROR(INDEX($B$112:$E$115, MATCH($N118, $B$111:$E$111, 0), MATCH(L$117, $B$111:$E$111, 0)), 0)</f>
        <v/>
      </c>
      <c r="M118" s="21">
        <f>IFERROR(INDEX($B$112:$E$115, MATCH($N118, $B$111:$E$111, 0), MATCH(M$117, $B$111:$E$111, 0)), 0)</f>
        <v/>
      </c>
      <c r="N118" s="14" t="inlineStr">
        <is>
          <t>U1X</t>
        </is>
      </c>
    </row>
    <row r="119" ht="19.05" customHeight="1" s="52">
      <c r="B119" s="21">
        <f>IFERROR(INDEX($B$112:$E$115, MATCH($N119, $B$111:$E$111, 0), MATCH(B$117, $B$111:$E$111, 0)), 0)</f>
        <v/>
      </c>
      <c r="C119" s="21">
        <f>IFERROR(INDEX($B$112:$E$115, MATCH($N119, $B$111:$E$111, 0), MATCH(C$117, $B$111:$E$111, 0)), 0)</f>
        <v/>
      </c>
      <c r="D119" s="21">
        <f>IFERROR(INDEX($B$112:$E$115, MATCH($N119, $B$111:$E$111, 0), MATCH(D$117, $B$111:$E$111, 0)), 0)</f>
        <v/>
      </c>
      <c r="E119" s="21">
        <f>IFERROR(INDEX($B$112:$E$115, MATCH($N119, $B$111:$E$111, 0), MATCH(E$117, $B$111:$E$111, 0)), 0)</f>
        <v/>
      </c>
      <c r="F119" s="21">
        <f>IFERROR(INDEX($B$112:$E$115, MATCH($N119, $B$111:$E$111, 0), MATCH(F$117, $B$111:$E$111, 0)), 0)</f>
        <v/>
      </c>
      <c r="G119" s="21">
        <f>IFERROR(INDEX($B$112:$E$115, MATCH($N119, $B$111:$E$111, 0), MATCH(G$117, $B$111:$E$111, 0)), 0)</f>
        <v/>
      </c>
      <c r="H119" s="21">
        <f>IFERROR(INDEX($B$112:$E$115, MATCH($N119, $B$111:$E$111, 0), MATCH(H$117, $B$111:$E$111, 0)), 0)</f>
        <v/>
      </c>
      <c r="I119" s="21">
        <f>IFERROR(INDEX($B$112:$E$115, MATCH($N119, $B$111:$E$111, 0), MATCH(I$117, $B$111:$E$111, 0)), 0)</f>
        <v/>
      </c>
      <c r="J119" s="21">
        <f>IFERROR(INDEX($B$112:$E$115, MATCH($N119, $B$111:$E$111, 0), MATCH(J$117, $B$111:$E$111, 0)), 0)</f>
        <v/>
      </c>
      <c r="K119" s="21">
        <f>IFERROR(INDEX($B$112:$E$115, MATCH($N119, $B$111:$E$111, 0), MATCH(K$117, $B$111:$E$111, 0)), 0)</f>
        <v/>
      </c>
      <c r="L119" s="21">
        <f>IFERROR(INDEX($B$112:$E$115, MATCH($N119, $B$111:$E$111, 0), MATCH(L$117, $B$111:$E$111, 0)), 0)</f>
        <v/>
      </c>
      <c r="M119" s="21">
        <f>IFERROR(INDEX($B$112:$E$115, MATCH($N119, $B$111:$E$111, 0), MATCH(M$117, $B$111:$E$111, 0)), 0)</f>
        <v/>
      </c>
      <c r="N119" s="14" t="inlineStr">
        <is>
          <t>U1Y</t>
        </is>
      </c>
    </row>
    <row r="120" ht="19.05" customHeight="1" s="52">
      <c r="B120" s="21">
        <f>IFERROR(INDEX($B$112:$E$115, MATCH($N120, $B$111:$E$111, 0), MATCH(B$117, $B$111:$E$111, 0)), 0)</f>
        <v/>
      </c>
      <c r="C120" s="21">
        <f>IFERROR(INDEX($B$112:$E$115, MATCH($N120, $B$111:$E$111, 0), MATCH(C$117, $B$111:$E$111, 0)), 0)</f>
        <v/>
      </c>
      <c r="D120" s="21">
        <f>IFERROR(INDEX($B$112:$E$115, MATCH($N120, $B$111:$E$111, 0), MATCH(D$117, $B$111:$E$111, 0)), 0)</f>
        <v/>
      </c>
      <c r="E120" s="21">
        <f>IFERROR(INDEX($B$112:$E$115, MATCH($N120, $B$111:$E$111, 0), MATCH(E$117, $B$111:$E$111, 0)), 0)</f>
        <v/>
      </c>
      <c r="F120" s="21">
        <f>IFERROR(INDEX($B$112:$E$115, MATCH($N120, $B$111:$E$111, 0), MATCH(F$117, $B$111:$E$111, 0)), 0)</f>
        <v/>
      </c>
      <c r="G120" s="21">
        <f>IFERROR(INDEX($B$112:$E$115, MATCH($N120, $B$111:$E$111, 0), MATCH(G$117, $B$111:$E$111, 0)), 0)</f>
        <v/>
      </c>
      <c r="H120" s="21">
        <f>IFERROR(INDEX($B$112:$E$115, MATCH($N120, $B$111:$E$111, 0), MATCH(H$117, $B$111:$E$111, 0)), 0)</f>
        <v/>
      </c>
      <c r="I120" s="21">
        <f>IFERROR(INDEX($B$112:$E$115, MATCH($N120, $B$111:$E$111, 0), MATCH(I$117, $B$111:$E$111, 0)), 0)</f>
        <v/>
      </c>
      <c r="J120" s="21">
        <f>IFERROR(INDEX($B$112:$E$115, MATCH($N120, $B$111:$E$111, 0), MATCH(J$117, $B$111:$E$111, 0)), 0)</f>
        <v/>
      </c>
      <c r="K120" s="21">
        <f>IFERROR(INDEX($B$112:$E$115, MATCH($N120, $B$111:$E$111, 0), MATCH(K$117, $B$111:$E$111, 0)), 0)</f>
        <v/>
      </c>
      <c r="L120" s="21">
        <f>IFERROR(INDEX($B$112:$E$115, MATCH($N120, $B$111:$E$111, 0), MATCH(L$117, $B$111:$E$111, 0)), 0)</f>
        <v/>
      </c>
      <c r="M120" s="21">
        <f>IFERROR(INDEX($B$112:$E$115, MATCH($N120, $B$111:$E$111, 0), MATCH(M$117, $B$111:$E$111, 0)), 0)</f>
        <v/>
      </c>
      <c r="N120" s="14" t="inlineStr">
        <is>
          <t>U2X</t>
        </is>
      </c>
    </row>
    <row r="121" ht="19.05" customHeight="1" s="52">
      <c r="B121" s="21">
        <f>IFERROR(INDEX($B$112:$E$115, MATCH($N121, $B$111:$E$111, 0), MATCH(B$117, $B$111:$E$111, 0)), 0)</f>
        <v/>
      </c>
      <c r="C121" s="21">
        <f>IFERROR(INDEX($B$112:$E$115, MATCH($N121, $B$111:$E$111, 0), MATCH(C$117, $B$111:$E$111, 0)), 0)</f>
        <v/>
      </c>
      <c r="D121" s="21">
        <f>IFERROR(INDEX($B$112:$E$115, MATCH($N121, $B$111:$E$111, 0), MATCH(D$117, $B$111:$E$111, 0)), 0)</f>
        <v/>
      </c>
      <c r="E121" s="21">
        <f>IFERROR(INDEX($B$112:$E$115, MATCH($N121, $B$111:$E$111, 0), MATCH(E$117, $B$111:$E$111, 0)), 0)</f>
        <v/>
      </c>
      <c r="F121" s="21">
        <f>IFERROR(INDEX($B$112:$E$115, MATCH($N121, $B$111:$E$111, 0), MATCH(F$117, $B$111:$E$111, 0)), 0)</f>
        <v/>
      </c>
      <c r="G121" s="21">
        <f>IFERROR(INDEX($B$112:$E$115, MATCH($N121, $B$111:$E$111, 0), MATCH(G$117, $B$111:$E$111, 0)), 0)</f>
        <v/>
      </c>
      <c r="H121" s="21">
        <f>IFERROR(INDEX($B$112:$E$115, MATCH($N121, $B$111:$E$111, 0), MATCH(H$117, $B$111:$E$111, 0)), 0)</f>
        <v/>
      </c>
      <c r="I121" s="21">
        <f>IFERROR(INDEX($B$112:$E$115, MATCH($N121, $B$111:$E$111, 0), MATCH(I$117, $B$111:$E$111, 0)), 0)</f>
        <v/>
      </c>
      <c r="J121" s="21">
        <f>IFERROR(INDEX($B$112:$E$115, MATCH($N121, $B$111:$E$111, 0), MATCH(J$117, $B$111:$E$111, 0)), 0)</f>
        <v/>
      </c>
      <c r="K121" s="21">
        <f>IFERROR(INDEX($B$112:$E$115, MATCH($N121, $B$111:$E$111, 0), MATCH(K$117, $B$111:$E$111, 0)), 0)</f>
        <v/>
      </c>
      <c r="L121" s="21">
        <f>IFERROR(INDEX($B$112:$E$115, MATCH($N121, $B$111:$E$111, 0), MATCH(L$117, $B$111:$E$111, 0)), 0)</f>
        <v/>
      </c>
      <c r="M121" s="21">
        <f>IFERROR(INDEX($B$112:$E$115, MATCH($N121, $B$111:$E$111, 0), MATCH(M$117, $B$111:$E$111, 0)), 0)</f>
        <v/>
      </c>
      <c r="N121" s="14" t="inlineStr">
        <is>
          <t>U2Y</t>
        </is>
      </c>
    </row>
    <row r="122" ht="19.05" customHeight="1" s="52">
      <c r="B122" s="21">
        <f>IFERROR(INDEX($B$112:$E$115, MATCH($N122, $B$111:$E$111, 0), MATCH(B$117, $B$111:$E$111, 0)), 0)</f>
        <v/>
      </c>
      <c r="C122" s="21">
        <f>IFERROR(INDEX($B$112:$E$115, MATCH($N122, $B$111:$E$111, 0), MATCH(C$117, $B$111:$E$111, 0)), 0)</f>
        <v/>
      </c>
      <c r="D122" s="21">
        <f>IFERROR(INDEX($B$112:$E$115, MATCH($N122, $B$111:$E$111, 0), MATCH(D$117, $B$111:$E$111, 0)), 0)</f>
        <v/>
      </c>
      <c r="E122" s="21">
        <f>IFERROR(INDEX($B$112:$E$115, MATCH($N122, $B$111:$E$111, 0), MATCH(E$117, $B$111:$E$111, 0)), 0)</f>
        <v/>
      </c>
      <c r="F122" s="21">
        <f>IFERROR(INDEX($B$112:$E$115, MATCH($N122, $B$111:$E$111, 0), MATCH(F$117, $B$111:$E$111, 0)), 0)</f>
        <v/>
      </c>
      <c r="G122" s="21">
        <f>IFERROR(INDEX($B$112:$E$115, MATCH($N122, $B$111:$E$111, 0), MATCH(G$117, $B$111:$E$111, 0)), 0)</f>
        <v/>
      </c>
      <c r="H122" s="21">
        <f>IFERROR(INDEX($B$112:$E$115, MATCH($N122, $B$111:$E$111, 0), MATCH(H$117, $B$111:$E$111, 0)), 0)</f>
        <v/>
      </c>
      <c r="I122" s="21">
        <f>IFERROR(INDEX($B$112:$E$115, MATCH($N122, $B$111:$E$111, 0), MATCH(I$117, $B$111:$E$111, 0)), 0)</f>
        <v/>
      </c>
      <c r="J122" s="21">
        <f>IFERROR(INDEX($B$112:$E$115, MATCH($N122, $B$111:$E$111, 0), MATCH(J$117, $B$111:$E$111, 0)), 0)</f>
        <v/>
      </c>
      <c r="K122" s="21">
        <f>IFERROR(INDEX($B$112:$E$115, MATCH($N122, $B$111:$E$111, 0), MATCH(K$117, $B$111:$E$111, 0)), 0)</f>
        <v/>
      </c>
      <c r="L122" s="21">
        <f>IFERROR(INDEX($B$112:$E$115, MATCH($N122, $B$111:$E$111, 0), MATCH(L$117, $B$111:$E$111, 0)), 0)</f>
        <v/>
      </c>
      <c r="M122" s="21">
        <f>IFERROR(INDEX($B$112:$E$115, MATCH($N122, $B$111:$E$111, 0), MATCH(M$117, $B$111:$E$111, 0)), 0)</f>
        <v/>
      </c>
      <c r="N122" s="14" t="inlineStr">
        <is>
          <t>U3X</t>
        </is>
      </c>
    </row>
    <row r="123" ht="19.05" customHeight="1" s="52">
      <c r="A123" s="19" t="inlineStr">
        <is>
          <t>K5=</t>
        </is>
      </c>
      <c r="B123" s="21">
        <f>IFERROR(INDEX($B$112:$E$115, MATCH($N123, $B$111:$E$111, 0), MATCH(B$117, $B$111:$E$111, 0)), 0)</f>
        <v/>
      </c>
      <c r="C123" s="21">
        <f>IFERROR(INDEX($B$112:$E$115, MATCH($N123, $B$111:$E$111, 0), MATCH(C$117, $B$111:$E$111, 0)), 0)</f>
        <v/>
      </c>
      <c r="D123" s="21">
        <f>IFERROR(INDEX($B$112:$E$115, MATCH($N123, $B$111:$E$111, 0), MATCH(D$117, $B$111:$E$111, 0)), 0)</f>
        <v/>
      </c>
      <c r="E123" s="21">
        <f>IFERROR(INDEX($B$112:$E$115, MATCH($N123, $B$111:$E$111, 0), MATCH(E$117, $B$111:$E$111, 0)), 0)</f>
        <v/>
      </c>
      <c r="F123" s="21">
        <f>IFERROR(INDEX($B$112:$E$115, MATCH($N123, $B$111:$E$111, 0), MATCH(F$117, $B$111:$E$111, 0)), 0)</f>
        <v/>
      </c>
      <c r="G123" s="21">
        <f>IFERROR(INDEX($B$112:$E$115, MATCH($N123, $B$111:$E$111, 0), MATCH(G$117, $B$111:$E$111, 0)), 0)</f>
        <v/>
      </c>
      <c r="H123" s="21">
        <f>IFERROR(INDEX($B$112:$E$115, MATCH($N123, $B$111:$E$111, 0), MATCH(H$117, $B$111:$E$111, 0)), 0)</f>
        <v/>
      </c>
      <c r="I123" s="21">
        <f>IFERROR(INDEX($B$112:$E$115, MATCH($N123, $B$111:$E$111, 0), MATCH(I$117, $B$111:$E$111, 0)), 0)</f>
        <v/>
      </c>
      <c r="J123" s="21">
        <f>IFERROR(INDEX($B$112:$E$115, MATCH($N123, $B$111:$E$111, 0), MATCH(J$117, $B$111:$E$111, 0)), 0)</f>
        <v/>
      </c>
      <c r="K123" s="21">
        <f>IFERROR(INDEX($B$112:$E$115, MATCH($N123, $B$111:$E$111, 0), MATCH(K$117, $B$111:$E$111, 0)), 0)</f>
        <v/>
      </c>
      <c r="L123" s="21">
        <f>IFERROR(INDEX($B$112:$E$115, MATCH($N123, $B$111:$E$111, 0), MATCH(L$117, $B$111:$E$111, 0)), 0)</f>
        <v/>
      </c>
      <c r="M123" s="21">
        <f>IFERROR(INDEX($B$112:$E$115, MATCH($N123, $B$111:$E$111, 0), MATCH(M$117, $B$111:$E$111, 0)), 0)</f>
        <v/>
      </c>
      <c r="N123" s="14" t="inlineStr">
        <is>
          <t>U3Y</t>
        </is>
      </c>
    </row>
    <row r="124" ht="19.05" customHeight="1" s="52">
      <c r="B124" s="21">
        <f>IFERROR(INDEX($B$112:$E$115, MATCH($N124, $B$111:$E$111, 0), MATCH(B$117, $B$111:$E$111, 0)), 0)</f>
        <v/>
      </c>
      <c r="C124" s="21">
        <f>IFERROR(INDEX($B$112:$E$115, MATCH($N124, $B$111:$E$111, 0), MATCH(C$117, $B$111:$E$111, 0)), 0)</f>
        <v/>
      </c>
      <c r="D124" s="21">
        <f>IFERROR(INDEX($B$112:$E$115, MATCH($N124, $B$111:$E$111, 0), MATCH(D$117, $B$111:$E$111, 0)), 0)</f>
        <v/>
      </c>
      <c r="E124" s="21">
        <f>IFERROR(INDEX($B$112:$E$115, MATCH($N124, $B$111:$E$111, 0), MATCH(E$117, $B$111:$E$111, 0)), 0)</f>
        <v/>
      </c>
      <c r="F124" s="21">
        <f>IFERROR(INDEX($B$112:$E$115, MATCH($N124, $B$111:$E$111, 0), MATCH(F$117, $B$111:$E$111, 0)), 0)</f>
        <v/>
      </c>
      <c r="G124" s="21">
        <f>IFERROR(INDEX($B$112:$E$115, MATCH($N124, $B$111:$E$111, 0), MATCH(G$117, $B$111:$E$111, 0)), 0)</f>
        <v/>
      </c>
      <c r="H124" s="21">
        <f>IFERROR(INDEX($B$112:$E$115, MATCH($N124, $B$111:$E$111, 0), MATCH(H$117, $B$111:$E$111, 0)), 0)</f>
        <v/>
      </c>
      <c r="I124" s="21">
        <f>IFERROR(INDEX($B$112:$E$115, MATCH($N124, $B$111:$E$111, 0), MATCH(I$117, $B$111:$E$111, 0)), 0)</f>
        <v/>
      </c>
      <c r="J124" s="21">
        <f>IFERROR(INDEX($B$112:$E$115, MATCH($N124, $B$111:$E$111, 0), MATCH(J$117, $B$111:$E$111, 0)), 0)</f>
        <v/>
      </c>
      <c r="K124" s="21">
        <f>IFERROR(INDEX($B$112:$E$115, MATCH($N124, $B$111:$E$111, 0), MATCH(K$117, $B$111:$E$111, 0)), 0)</f>
        <v/>
      </c>
      <c r="L124" s="21">
        <f>IFERROR(INDEX($B$112:$E$115, MATCH($N124, $B$111:$E$111, 0), MATCH(L$117, $B$111:$E$111, 0)), 0)</f>
        <v/>
      </c>
      <c r="M124" s="21">
        <f>IFERROR(INDEX($B$112:$E$115, MATCH($N124, $B$111:$E$111, 0), MATCH(M$117, $B$111:$E$111, 0)), 0)</f>
        <v/>
      </c>
      <c r="N124" s="14" t="inlineStr">
        <is>
          <t>U4X</t>
        </is>
      </c>
    </row>
    <row r="125" ht="19.05" customHeight="1" s="52">
      <c r="B125" s="21">
        <f>IFERROR(INDEX($B$112:$E$115, MATCH($N125, $B$111:$E$111, 0), MATCH(B$117, $B$111:$E$111, 0)), 0)</f>
        <v/>
      </c>
      <c r="C125" s="21">
        <f>IFERROR(INDEX($B$112:$E$115, MATCH($N125, $B$111:$E$111, 0), MATCH(C$117, $B$111:$E$111, 0)), 0)</f>
        <v/>
      </c>
      <c r="D125" s="21">
        <f>IFERROR(INDEX($B$112:$E$115, MATCH($N125, $B$111:$E$111, 0), MATCH(D$117, $B$111:$E$111, 0)), 0)</f>
        <v/>
      </c>
      <c r="E125" s="21">
        <f>IFERROR(INDEX($B$112:$E$115, MATCH($N125, $B$111:$E$111, 0), MATCH(E$117, $B$111:$E$111, 0)), 0)</f>
        <v/>
      </c>
      <c r="F125" s="21">
        <f>IFERROR(INDEX($B$112:$E$115, MATCH($N125, $B$111:$E$111, 0), MATCH(F$117, $B$111:$E$111, 0)), 0)</f>
        <v/>
      </c>
      <c r="G125" s="21">
        <f>IFERROR(INDEX($B$112:$E$115, MATCH($N125, $B$111:$E$111, 0), MATCH(G$117, $B$111:$E$111, 0)), 0)</f>
        <v/>
      </c>
      <c r="H125" s="21">
        <f>IFERROR(INDEX($B$112:$E$115, MATCH($N125, $B$111:$E$111, 0), MATCH(H$117, $B$111:$E$111, 0)), 0)</f>
        <v/>
      </c>
      <c r="I125" s="21">
        <f>IFERROR(INDEX($B$112:$E$115, MATCH($N125, $B$111:$E$111, 0), MATCH(I$117, $B$111:$E$111, 0)), 0)</f>
        <v/>
      </c>
      <c r="J125" s="21">
        <f>IFERROR(INDEX($B$112:$E$115, MATCH($N125, $B$111:$E$111, 0), MATCH(J$117, $B$111:$E$111, 0)), 0)</f>
        <v/>
      </c>
      <c r="K125" s="21">
        <f>IFERROR(INDEX($B$112:$E$115, MATCH($N125, $B$111:$E$111, 0), MATCH(K$117, $B$111:$E$111, 0)), 0)</f>
        <v/>
      </c>
      <c r="L125" s="21">
        <f>IFERROR(INDEX($B$112:$E$115, MATCH($N125, $B$111:$E$111, 0), MATCH(L$117, $B$111:$E$111, 0)), 0)</f>
        <v/>
      </c>
      <c r="M125" s="21">
        <f>IFERROR(INDEX($B$112:$E$115, MATCH($N125, $B$111:$E$111, 0), MATCH(M$117, $B$111:$E$111, 0)), 0)</f>
        <v/>
      </c>
      <c r="N125" s="14" t="inlineStr">
        <is>
          <t>U4Y</t>
        </is>
      </c>
    </row>
    <row r="126" ht="19.05" customHeight="1" s="52">
      <c r="B126" s="21">
        <f>IFERROR(INDEX($B$112:$E$115, MATCH($N126, $B$111:$E$111, 0), MATCH(B$117, $B$111:$E$111, 0)), 0)</f>
        <v/>
      </c>
      <c r="C126" s="21">
        <f>IFERROR(INDEX($B$112:$E$115, MATCH($N126, $B$111:$E$111, 0), MATCH(C$117, $B$111:$E$111, 0)), 0)</f>
        <v/>
      </c>
      <c r="D126" s="21">
        <f>IFERROR(INDEX($B$112:$E$115, MATCH($N126, $B$111:$E$111, 0), MATCH(D$117, $B$111:$E$111, 0)), 0)</f>
        <v/>
      </c>
      <c r="E126" s="21">
        <f>IFERROR(INDEX($B$112:$E$115, MATCH($N126, $B$111:$E$111, 0), MATCH(E$117, $B$111:$E$111, 0)), 0)</f>
        <v/>
      </c>
      <c r="F126" s="21">
        <f>IFERROR(INDEX($B$112:$E$115, MATCH($N126, $B$111:$E$111, 0), MATCH(F$117, $B$111:$E$111, 0)), 0)</f>
        <v/>
      </c>
      <c r="G126" s="21">
        <f>IFERROR(INDEX($B$112:$E$115, MATCH($N126, $B$111:$E$111, 0), MATCH(G$117, $B$111:$E$111, 0)), 0)</f>
        <v/>
      </c>
      <c r="H126" s="21">
        <f>IFERROR(INDEX($B$112:$E$115, MATCH($N126, $B$111:$E$111, 0), MATCH(H$117, $B$111:$E$111, 0)), 0)</f>
        <v/>
      </c>
      <c r="I126" s="21">
        <f>IFERROR(INDEX($B$112:$E$115, MATCH($N126, $B$111:$E$111, 0), MATCH(I$117, $B$111:$E$111, 0)), 0)</f>
        <v/>
      </c>
      <c r="J126" s="21">
        <f>IFERROR(INDEX($B$112:$E$115, MATCH($N126, $B$111:$E$111, 0), MATCH(J$117, $B$111:$E$111, 0)), 0)</f>
        <v/>
      </c>
      <c r="K126" s="21">
        <f>IFERROR(INDEX($B$112:$E$115, MATCH($N126, $B$111:$E$111, 0), MATCH(K$117, $B$111:$E$111, 0)), 0)</f>
        <v/>
      </c>
      <c r="L126" s="21">
        <f>IFERROR(INDEX($B$112:$E$115, MATCH($N126, $B$111:$E$111, 0), MATCH(L$117, $B$111:$E$111, 0)), 0)</f>
        <v/>
      </c>
      <c r="M126" s="21">
        <f>IFERROR(INDEX($B$112:$E$115, MATCH($N126, $B$111:$E$111, 0), MATCH(M$117, $B$111:$E$111, 0)), 0)</f>
        <v/>
      </c>
      <c r="N126" s="14" t="inlineStr">
        <is>
          <t>U5X</t>
        </is>
      </c>
    </row>
    <row r="127" ht="19.05" customHeight="1" s="52">
      <c r="B127" s="21">
        <f>IFERROR(INDEX($B$112:$E$115, MATCH($N127, $B$111:$E$111, 0), MATCH(B$117, $B$111:$E$111, 0)), 0)</f>
        <v/>
      </c>
      <c r="C127" s="21">
        <f>IFERROR(INDEX($B$112:$E$115, MATCH($N127, $B$111:$E$111, 0), MATCH(C$117, $B$111:$E$111, 0)), 0)</f>
        <v/>
      </c>
      <c r="D127" s="21">
        <f>IFERROR(INDEX($B$112:$E$115, MATCH($N127, $B$111:$E$111, 0), MATCH(D$117, $B$111:$E$111, 0)), 0)</f>
        <v/>
      </c>
      <c r="E127" s="21">
        <f>IFERROR(INDEX($B$112:$E$115, MATCH($N127, $B$111:$E$111, 0), MATCH(E$117, $B$111:$E$111, 0)), 0)</f>
        <v/>
      </c>
      <c r="F127" s="21">
        <f>IFERROR(INDEX($B$112:$E$115, MATCH($N127, $B$111:$E$111, 0), MATCH(F$117, $B$111:$E$111, 0)), 0)</f>
        <v/>
      </c>
      <c r="G127" s="21">
        <f>IFERROR(INDEX($B$112:$E$115, MATCH($N127, $B$111:$E$111, 0), MATCH(G$117, $B$111:$E$111, 0)), 0)</f>
        <v/>
      </c>
      <c r="H127" s="21">
        <f>IFERROR(INDEX($B$112:$E$115, MATCH($N127, $B$111:$E$111, 0), MATCH(H$117, $B$111:$E$111, 0)), 0)</f>
        <v/>
      </c>
      <c r="I127" s="21">
        <f>IFERROR(INDEX($B$112:$E$115, MATCH($N127, $B$111:$E$111, 0), MATCH(I$117, $B$111:$E$111, 0)), 0)</f>
        <v/>
      </c>
      <c r="J127" s="21">
        <f>IFERROR(INDEX($B$112:$E$115, MATCH($N127, $B$111:$E$111, 0), MATCH(J$117, $B$111:$E$111, 0)), 0)</f>
        <v/>
      </c>
      <c r="K127" s="21">
        <f>IFERROR(INDEX($B$112:$E$115, MATCH($N127, $B$111:$E$111, 0), MATCH(K$117, $B$111:$E$111, 0)), 0)</f>
        <v/>
      </c>
      <c r="L127" s="21">
        <f>IFERROR(INDEX($B$112:$E$115, MATCH($N127, $B$111:$E$111, 0), MATCH(L$117, $B$111:$E$111, 0)), 0)</f>
        <v/>
      </c>
      <c r="M127" s="21">
        <f>IFERROR(INDEX($B$112:$E$115, MATCH($N127, $B$111:$E$111, 0), MATCH(M$117, $B$111:$E$111, 0)), 0)</f>
        <v/>
      </c>
      <c r="N127" s="14" t="inlineStr">
        <is>
          <t>U5Y</t>
        </is>
      </c>
    </row>
    <row r="128" ht="19.05" customHeight="1" s="52">
      <c r="B128" s="21">
        <f>IFERROR(INDEX($B$112:$E$115, MATCH($N128, $B$111:$E$111, 0), MATCH(B$117, $B$111:$E$111, 0)), 0)</f>
        <v/>
      </c>
      <c r="C128" s="21">
        <f>IFERROR(INDEX($B$112:$E$115, MATCH($N128, $B$111:$E$111, 0), MATCH(C$117, $B$111:$E$111, 0)), 0)</f>
        <v/>
      </c>
      <c r="D128" s="21">
        <f>IFERROR(INDEX($B$112:$E$115, MATCH($N128, $B$111:$E$111, 0), MATCH(D$117, $B$111:$E$111, 0)), 0)</f>
        <v/>
      </c>
      <c r="E128" s="21">
        <f>IFERROR(INDEX($B$112:$E$115, MATCH($N128, $B$111:$E$111, 0), MATCH(E$117, $B$111:$E$111, 0)), 0)</f>
        <v/>
      </c>
      <c r="F128" s="21">
        <f>IFERROR(INDEX($B$112:$E$115, MATCH($N128, $B$111:$E$111, 0), MATCH(F$117, $B$111:$E$111, 0)), 0)</f>
        <v/>
      </c>
      <c r="G128" s="21">
        <f>IFERROR(INDEX($B$112:$E$115, MATCH($N128, $B$111:$E$111, 0), MATCH(G$117, $B$111:$E$111, 0)), 0)</f>
        <v/>
      </c>
      <c r="H128" s="21">
        <f>IFERROR(INDEX($B$112:$E$115, MATCH($N128, $B$111:$E$111, 0), MATCH(H$117, $B$111:$E$111, 0)), 0)</f>
        <v/>
      </c>
      <c r="I128" s="21">
        <f>IFERROR(INDEX($B$112:$E$115, MATCH($N128, $B$111:$E$111, 0), MATCH(I$117, $B$111:$E$111, 0)), 0)</f>
        <v/>
      </c>
      <c r="J128" s="21">
        <f>IFERROR(INDEX($B$112:$E$115, MATCH($N128, $B$111:$E$111, 0), MATCH(J$117, $B$111:$E$111, 0)), 0)</f>
        <v/>
      </c>
      <c r="K128" s="21">
        <f>IFERROR(INDEX($B$112:$E$115, MATCH($N128, $B$111:$E$111, 0), MATCH(K$117, $B$111:$E$111, 0)), 0)</f>
        <v/>
      </c>
      <c r="L128" s="21">
        <f>IFERROR(INDEX($B$112:$E$115, MATCH($N128, $B$111:$E$111, 0), MATCH(L$117, $B$111:$E$111, 0)), 0)</f>
        <v/>
      </c>
      <c r="M128" s="21">
        <f>IFERROR(INDEX($B$112:$E$115, MATCH($N128, $B$111:$E$111, 0), MATCH(M$117, $B$111:$E$111, 0)), 0)</f>
        <v/>
      </c>
      <c r="N128" s="14" t="inlineStr">
        <is>
          <t>U6X</t>
        </is>
      </c>
    </row>
    <row r="129" ht="19.05" customHeight="1" s="52">
      <c r="B129" s="21">
        <f>IFERROR(INDEX($B$112:$E$115, MATCH($N129, $B$111:$E$111, 0), MATCH(B$117, $B$111:$E$111, 0)), 0)</f>
        <v/>
      </c>
      <c r="C129" s="21">
        <f>IFERROR(INDEX($B$112:$E$115, MATCH($N129, $B$111:$E$111, 0), MATCH(C$117, $B$111:$E$111, 0)), 0)</f>
        <v/>
      </c>
      <c r="D129" s="21">
        <f>IFERROR(INDEX($B$112:$E$115, MATCH($N129, $B$111:$E$111, 0), MATCH(D$117, $B$111:$E$111, 0)), 0)</f>
        <v/>
      </c>
      <c r="E129" s="21">
        <f>IFERROR(INDEX($B$112:$E$115, MATCH($N129, $B$111:$E$111, 0), MATCH(E$117, $B$111:$E$111, 0)), 0)</f>
        <v/>
      </c>
      <c r="F129" s="21">
        <f>IFERROR(INDEX($B$112:$E$115, MATCH($N129, $B$111:$E$111, 0), MATCH(F$117, $B$111:$E$111, 0)), 0)</f>
        <v/>
      </c>
      <c r="G129" s="21">
        <f>IFERROR(INDEX($B$112:$E$115, MATCH($N129, $B$111:$E$111, 0), MATCH(G$117, $B$111:$E$111, 0)), 0)</f>
        <v/>
      </c>
      <c r="H129" s="21">
        <f>IFERROR(INDEX($B$112:$E$115, MATCH($N129, $B$111:$E$111, 0), MATCH(H$117, $B$111:$E$111, 0)), 0)</f>
        <v/>
      </c>
      <c r="I129" s="21">
        <f>IFERROR(INDEX($B$112:$E$115, MATCH($N129, $B$111:$E$111, 0), MATCH(I$117, $B$111:$E$111, 0)), 0)</f>
        <v/>
      </c>
      <c r="J129" s="21">
        <f>IFERROR(INDEX($B$112:$E$115, MATCH($N129, $B$111:$E$111, 0), MATCH(J$117, $B$111:$E$111, 0)), 0)</f>
        <v/>
      </c>
      <c r="K129" s="21">
        <f>IFERROR(INDEX($B$112:$E$115, MATCH($N129, $B$111:$E$111, 0), MATCH(K$117, $B$111:$E$111, 0)), 0)</f>
        <v/>
      </c>
      <c r="L129" s="21">
        <f>IFERROR(INDEX($B$112:$E$115, MATCH($N129, $B$111:$E$111, 0), MATCH(L$117, $B$111:$E$111, 0)), 0)</f>
        <v/>
      </c>
      <c r="M129" s="21">
        <f>IFERROR(INDEX($B$112:$E$115, MATCH($N129, $B$111:$E$111, 0), MATCH(M$117, $B$111:$E$111, 0)), 0)</f>
        <v/>
      </c>
      <c r="N129" s="14" t="inlineStr">
        <is>
          <t>U6Y</t>
        </is>
      </c>
    </row>
    <row r="132" ht="19.05" customHeight="1" s="52">
      <c r="A132" s="19" t="inlineStr">
        <is>
          <t>k6=</t>
        </is>
      </c>
      <c r="B132" s="15">
        <f>IF(D22="","-",D22)</f>
        <v/>
      </c>
      <c r="C132" s="15">
        <f>IF(E22="","-",E22)</f>
        <v/>
      </c>
      <c r="D132" s="15">
        <f>IF(G22="","-",G22)</f>
        <v/>
      </c>
      <c r="E132" s="15">
        <f>IF(H22="","-",H22)</f>
        <v/>
      </c>
    </row>
    <row r="133" ht="18" customHeight="1" s="52">
      <c r="B133" s="26">
        <f>IF(N11=0, 0, N11*J11*J11)</f>
        <v/>
      </c>
      <c r="C133" s="26">
        <f>IF(N11=0, 0, N11*J11*K11)</f>
        <v/>
      </c>
      <c r="D133" s="26">
        <f>IF(N11=0, 0, -N11*J11*J11)</f>
        <v/>
      </c>
      <c r="E133" s="26">
        <f>IF(N11=0, 0, -N11*J11*K11)</f>
        <v/>
      </c>
      <c r="F133" s="15">
        <f>IF(D22="","-",D22)</f>
        <v/>
      </c>
    </row>
    <row r="134" ht="18" customHeight="1" s="52">
      <c r="B134" s="26">
        <f>IF(N11=0, 0, N11*J11*K11)</f>
        <v/>
      </c>
      <c r="C134" s="26">
        <f>IF(N11=0, 0, N11*K11*K11)</f>
        <v/>
      </c>
      <c r="D134" s="26">
        <f>IF(N11=0, 0, -N11*J11*K11)</f>
        <v/>
      </c>
      <c r="E134" s="26">
        <f>IF(N11=0, 0, -N11*K11*K11)</f>
        <v/>
      </c>
      <c r="F134" s="15">
        <f>IF(E22="","-",E22)</f>
        <v/>
      </c>
    </row>
    <row r="135" ht="18" customHeight="1" s="52">
      <c r="B135" s="26">
        <f>IF(N11=0, 0, -N11*J11*J11)</f>
        <v/>
      </c>
      <c r="C135" s="26">
        <f>IF(N11=0, 0, -N11*J11*K11)</f>
        <v/>
      </c>
      <c r="D135" s="26">
        <f>IF(N11=0, 0, N11*J11*J11)</f>
        <v/>
      </c>
      <c r="E135" s="26">
        <f>IF(N11=0, 0, N11*J11*K11)</f>
        <v/>
      </c>
      <c r="F135" s="15">
        <f>IF(G22="","-",G22)</f>
        <v/>
      </c>
    </row>
    <row r="136" ht="18" customHeight="1" s="52">
      <c r="B136" s="26">
        <f>IF(N11=0, 0, -N11*J11*K11)</f>
        <v/>
      </c>
      <c r="C136" s="26">
        <f>IF(N11=0, 0, -N11*K11*K11)</f>
        <v/>
      </c>
      <c r="D136" s="26">
        <f>IF(N11=0, 0, N11*J11*K11)</f>
        <v/>
      </c>
      <c r="E136" s="26">
        <f>IF(N11=0, 0, N11*K11*K11)</f>
        <v/>
      </c>
      <c r="F136" s="15">
        <f>IF(H22="","-",H22)</f>
        <v/>
      </c>
    </row>
    <row r="138" ht="19.05" customHeight="1" s="52">
      <c r="B138" s="54" t="inlineStr">
        <is>
          <t>U1X</t>
        </is>
      </c>
      <c r="C138" s="54" t="inlineStr">
        <is>
          <t>U1Y</t>
        </is>
      </c>
      <c r="D138" s="54" t="inlineStr">
        <is>
          <t>U2X</t>
        </is>
      </c>
      <c r="E138" s="54" t="inlineStr">
        <is>
          <t>U2Y</t>
        </is>
      </c>
      <c r="F138" s="54" t="inlineStr">
        <is>
          <t>U3X</t>
        </is>
      </c>
      <c r="G138" s="54" t="inlineStr">
        <is>
          <t>U3Y</t>
        </is>
      </c>
      <c r="H138" s="54" t="inlineStr">
        <is>
          <t>U4X</t>
        </is>
      </c>
      <c r="I138" s="54" t="inlineStr">
        <is>
          <t>U4Y</t>
        </is>
      </c>
      <c r="J138" s="54" t="inlineStr">
        <is>
          <t>U5X</t>
        </is>
      </c>
      <c r="K138" s="54" t="inlineStr">
        <is>
          <t>U5Y</t>
        </is>
      </c>
      <c r="L138" s="54" t="inlineStr">
        <is>
          <t>U6X</t>
        </is>
      </c>
      <c r="M138" s="54" t="inlineStr">
        <is>
          <t>U6Y</t>
        </is>
      </c>
    </row>
    <row r="139" ht="19.05" customHeight="1" s="52">
      <c r="B139" s="21">
        <f>IFERROR(INDEX($B$133:$E$136, MATCH($N139, $B$132:$E$132, 0), MATCH(B$138, $B$132:$E$132, 0)), 0)</f>
        <v/>
      </c>
      <c r="C139" s="21">
        <f>IFERROR(INDEX($B$133:$E$136, MATCH($N139, $B$132:$E$132, 0), MATCH(C$138, $B$132:$E$132, 0)), 0)</f>
        <v/>
      </c>
      <c r="D139" s="21">
        <f>IFERROR(INDEX($B$133:$E$136, MATCH($N139, $B$132:$E$132, 0), MATCH(D$138, $B$132:$E$132, 0)), 0)</f>
        <v/>
      </c>
      <c r="E139" s="21">
        <f>IFERROR(INDEX($B$133:$E$136, MATCH($N139, $B$132:$E$132, 0), MATCH(E$138, $B$132:$E$132, 0)), 0)</f>
        <v/>
      </c>
      <c r="F139" s="21">
        <f>IFERROR(INDEX($B$133:$E$136, MATCH($N139, $B$132:$E$132, 0), MATCH(F$138, $B$132:$E$132, 0)), 0)</f>
        <v/>
      </c>
      <c r="G139" s="21">
        <f>IFERROR(INDEX($B$133:$E$136, MATCH($N139, $B$132:$E$132, 0), MATCH(G$138, $B$132:$E$132, 0)), 0)</f>
        <v/>
      </c>
      <c r="H139" s="21">
        <f>IFERROR(INDEX($B$133:$E$136, MATCH($N139, $B$132:$E$132, 0), MATCH(H$138, $B$132:$E$132, 0)), 0)</f>
        <v/>
      </c>
      <c r="I139" s="21">
        <f>IFERROR(INDEX($B$133:$E$136, MATCH($N139, $B$132:$E$132, 0), MATCH(I$138, $B$132:$E$132, 0)), 0)</f>
        <v/>
      </c>
      <c r="J139" s="21">
        <f>IFERROR(INDEX($B$133:$E$136, MATCH($N139, $B$132:$E$132, 0), MATCH(J$138, $B$132:$E$132, 0)), 0)</f>
        <v/>
      </c>
      <c r="K139" s="21">
        <f>IFERROR(INDEX($B$133:$E$136, MATCH($N139, $B$132:$E$132, 0), MATCH(K$138, $B$132:$E$132, 0)), 0)</f>
        <v/>
      </c>
      <c r="L139" s="21">
        <f>IFERROR(INDEX($B$133:$E$136, MATCH($N139, $B$132:$E$132, 0), MATCH(L$138, $B$132:$E$132, 0)), 0)</f>
        <v/>
      </c>
      <c r="M139" s="21">
        <f>IFERROR(INDEX($B$133:$E$136, MATCH($N139, $B$132:$E$132, 0), MATCH(M$138, $B$132:$E$132, 0)), 0)</f>
        <v/>
      </c>
      <c r="N139" s="15" t="inlineStr">
        <is>
          <t>U1X</t>
        </is>
      </c>
    </row>
    <row r="140" ht="19.05" customHeight="1" s="52">
      <c r="B140" s="21">
        <f>IFERROR(INDEX($B$133:$E$136, MATCH($N140, $B$132:$E$132, 0), MATCH(B$138, $B$132:$E$132, 0)), 0)</f>
        <v/>
      </c>
      <c r="C140" s="21">
        <f>IFERROR(INDEX($B$133:$E$136, MATCH($N140, $B$132:$E$132, 0), MATCH(C$138, $B$132:$E$132, 0)), 0)</f>
        <v/>
      </c>
      <c r="D140" s="21">
        <f>IFERROR(INDEX($B$133:$E$136, MATCH($N140, $B$132:$E$132, 0), MATCH(D$138, $B$132:$E$132, 0)), 0)</f>
        <v/>
      </c>
      <c r="E140" s="21">
        <f>IFERROR(INDEX($B$133:$E$136, MATCH($N140, $B$132:$E$132, 0), MATCH(E$138, $B$132:$E$132, 0)), 0)</f>
        <v/>
      </c>
      <c r="F140" s="21">
        <f>IFERROR(INDEX($B$133:$E$136, MATCH($N140, $B$132:$E$132, 0), MATCH(F$138, $B$132:$E$132, 0)), 0)</f>
        <v/>
      </c>
      <c r="G140" s="21">
        <f>IFERROR(INDEX($B$133:$E$136, MATCH($N140, $B$132:$E$132, 0), MATCH(G$138, $B$132:$E$132, 0)), 0)</f>
        <v/>
      </c>
      <c r="H140" s="21">
        <f>IFERROR(INDEX($B$133:$E$136, MATCH($N140, $B$132:$E$132, 0), MATCH(H$138, $B$132:$E$132, 0)), 0)</f>
        <v/>
      </c>
      <c r="I140" s="21">
        <f>IFERROR(INDEX($B$133:$E$136, MATCH($N140, $B$132:$E$132, 0), MATCH(I$138, $B$132:$E$132, 0)), 0)</f>
        <v/>
      </c>
      <c r="J140" s="21">
        <f>IFERROR(INDEX($B$133:$E$136, MATCH($N140, $B$132:$E$132, 0), MATCH(J$138, $B$132:$E$132, 0)), 0)</f>
        <v/>
      </c>
      <c r="K140" s="21">
        <f>IFERROR(INDEX($B$133:$E$136, MATCH($N140, $B$132:$E$132, 0), MATCH(K$138, $B$132:$E$132, 0)), 0)</f>
        <v/>
      </c>
      <c r="L140" s="21">
        <f>IFERROR(INDEX($B$133:$E$136, MATCH($N140, $B$132:$E$132, 0), MATCH(L$138, $B$132:$E$132, 0)), 0)</f>
        <v/>
      </c>
      <c r="M140" s="21">
        <f>IFERROR(INDEX($B$133:$E$136, MATCH($N140, $B$132:$E$132, 0), MATCH(M$138, $B$132:$E$132, 0)), 0)</f>
        <v/>
      </c>
      <c r="N140" s="15" t="inlineStr">
        <is>
          <t>U1Y</t>
        </is>
      </c>
    </row>
    <row r="141" ht="19.05" customHeight="1" s="52">
      <c r="B141" s="21">
        <f>IFERROR(INDEX($B$133:$E$136, MATCH($N141, $B$132:$E$132, 0), MATCH(B$138, $B$132:$E$132, 0)), 0)</f>
        <v/>
      </c>
      <c r="C141" s="21">
        <f>IFERROR(INDEX($B$133:$E$136, MATCH($N141, $B$132:$E$132, 0), MATCH(C$138, $B$132:$E$132, 0)), 0)</f>
        <v/>
      </c>
      <c r="D141" s="21">
        <f>IFERROR(INDEX($B$133:$E$136, MATCH($N141, $B$132:$E$132, 0), MATCH(D$138, $B$132:$E$132, 0)), 0)</f>
        <v/>
      </c>
      <c r="E141" s="21">
        <f>IFERROR(INDEX($B$133:$E$136, MATCH($N141, $B$132:$E$132, 0), MATCH(E$138, $B$132:$E$132, 0)), 0)</f>
        <v/>
      </c>
      <c r="F141" s="21">
        <f>IFERROR(INDEX($B$133:$E$136, MATCH($N141, $B$132:$E$132, 0), MATCH(F$138, $B$132:$E$132, 0)), 0)</f>
        <v/>
      </c>
      <c r="G141" s="21">
        <f>IFERROR(INDEX($B$133:$E$136, MATCH($N141, $B$132:$E$132, 0), MATCH(G$138, $B$132:$E$132, 0)), 0)</f>
        <v/>
      </c>
      <c r="H141" s="21">
        <f>IFERROR(INDEX($B$133:$E$136, MATCH($N141, $B$132:$E$132, 0), MATCH(H$138, $B$132:$E$132, 0)), 0)</f>
        <v/>
      </c>
      <c r="I141" s="21">
        <f>IFERROR(INDEX($B$133:$E$136, MATCH($N141, $B$132:$E$132, 0), MATCH(I$138, $B$132:$E$132, 0)), 0)</f>
        <v/>
      </c>
      <c r="J141" s="21">
        <f>IFERROR(INDEX($B$133:$E$136, MATCH($N141, $B$132:$E$132, 0), MATCH(J$138, $B$132:$E$132, 0)), 0)</f>
        <v/>
      </c>
      <c r="K141" s="21">
        <f>IFERROR(INDEX($B$133:$E$136, MATCH($N141, $B$132:$E$132, 0), MATCH(K$138, $B$132:$E$132, 0)), 0)</f>
        <v/>
      </c>
      <c r="L141" s="21">
        <f>IFERROR(INDEX($B$133:$E$136, MATCH($N141, $B$132:$E$132, 0), MATCH(L$138, $B$132:$E$132, 0)), 0)</f>
        <v/>
      </c>
      <c r="M141" s="21">
        <f>IFERROR(INDEX($B$133:$E$136, MATCH($N141, $B$132:$E$132, 0), MATCH(M$138, $B$132:$E$132, 0)), 0)</f>
        <v/>
      </c>
      <c r="N141" s="15" t="inlineStr">
        <is>
          <t>U2X</t>
        </is>
      </c>
    </row>
    <row r="142" ht="19.05" customHeight="1" s="52">
      <c r="B142" s="21">
        <f>IFERROR(INDEX($B$133:$E$136, MATCH($N142, $B$132:$E$132, 0), MATCH(B$138, $B$132:$E$132, 0)), 0)</f>
        <v/>
      </c>
      <c r="C142" s="21">
        <f>IFERROR(INDEX($B$133:$E$136, MATCH($N142, $B$132:$E$132, 0), MATCH(C$138, $B$132:$E$132, 0)), 0)</f>
        <v/>
      </c>
      <c r="D142" s="21">
        <f>IFERROR(INDEX($B$133:$E$136, MATCH($N142, $B$132:$E$132, 0), MATCH(D$138, $B$132:$E$132, 0)), 0)</f>
        <v/>
      </c>
      <c r="E142" s="21">
        <f>IFERROR(INDEX($B$133:$E$136, MATCH($N142, $B$132:$E$132, 0), MATCH(E$138, $B$132:$E$132, 0)), 0)</f>
        <v/>
      </c>
      <c r="F142" s="21">
        <f>IFERROR(INDEX($B$133:$E$136, MATCH($N142, $B$132:$E$132, 0), MATCH(F$138, $B$132:$E$132, 0)), 0)</f>
        <v/>
      </c>
      <c r="G142" s="21">
        <f>IFERROR(INDEX($B$133:$E$136, MATCH($N142, $B$132:$E$132, 0), MATCH(G$138, $B$132:$E$132, 0)), 0)</f>
        <v/>
      </c>
      <c r="H142" s="21">
        <f>IFERROR(INDEX($B$133:$E$136, MATCH($N142, $B$132:$E$132, 0), MATCH(H$138, $B$132:$E$132, 0)), 0)</f>
        <v/>
      </c>
      <c r="I142" s="21">
        <f>IFERROR(INDEX($B$133:$E$136, MATCH($N142, $B$132:$E$132, 0), MATCH(I$138, $B$132:$E$132, 0)), 0)</f>
        <v/>
      </c>
      <c r="J142" s="21">
        <f>IFERROR(INDEX($B$133:$E$136, MATCH($N142, $B$132:$E$132, 0), MATCH(J$138, $B$132:$E$132, 0)), 0)</f>
        <v/>
      </c>
      <c r="K142" s="21">
        <f>IFERROR(INDEX($B$133:$E$136, MATCH($N142, $B$132:$E$132, 0), MATCH(K$138, $B$132:$E$132, 0)), 0)</f>
        <v/>
      </c>
      <c r="L142" s="21">
        <f>IFERROR(INDEX($B$133:$E$136, MATCH($N142, $B$132:$E$132, 0), MATCH(L$138, $B$132:$E$132, 0)), 0)</f>
        <v/>
      </c>
      <c r="M142" s="21">
        <f>IFERROR(INDEX($B$133:$E$136, MATCH($N142, $B$132:$E$132, 0), MATCH(M$138, $B$132:$E$132, 0)), 0)</f>
        <v/>
      </c>
      <c r="N142" s="15" t="inlineStr">
        <is>
          <t>U2Y</t>
        </is>
      </c>
    </row>
    <row r="143" ht="19.05" customHeight="1" s="52">
      <c r="B143" s="21">
        <f>IFERROR(INDEX($B$133:$E$136, MATCH($N143, $B$132:$E$132, 0), MATCH(B$138, $B$132:$E$132, 0)), 0)</f>
        <v/>
      </c>
      <c r="C143" s="21">
        <f>IFERROR(INDEX($B$133:$E$136, MATCH($N143, $B$132:$E$132, 0), MATCH(C$138, $B$132:$E$132, 0)), 0)</f>
        <v/>
      </c>
      <c r="D143" s="21">
        <f>IFERROR(INDEX($B$133:$E$136, MATCH($N143, $B$132:$E$132, 0), MATCH(D$138, $B$132:$E$132, 0)), 0)</f>
        <v/>
      </c>
      <c r="E143" s="21">
        <f>IFERROR(INDEX($B$133:$E$136, MATCH($N143, $B$132:$E$132, 0), MATCH(E$138, $B$132:$E$132, 0)), 0)</f>
        <v/>
      </c>
      <c r="F143" s="21">
        <f>IFERROR(INDEX($B$133:$E$136, MATCH($N143, $B$132:$E$132, 0), MATCH(F$138, $B$132:$E$132, 0)), 0)</f>
        <v/>
      </c>
      <c r="G143" s="21">
        <f>IFERROR(INDEX($B$133:$E$136, MATCH($N143, $B$132:$E$132, 0), MATCH(G$138, $B$132:$E$132, 0)), 0)</f>
        <v/>
      </c>
      <c r="H143" s="21">
        <f>IFERROR(INDEX($B$133:$E$136, MATCH($N143, $B$132:$E$132, 0), MATCH(H$138, $B$132:$E$132, 0)), 0)</f>
        <v/>
      </c>
      <c r="I143" s="21">
        <f>IFERROR(INDEX($B$133:$E$136, MATCH($N143, $B$132:$E$132, 0), MATCH(I$138, $B$132:$E$132, 0)), 0)</f>
        <v/>
      </c>
      <c r="J143" s="21">
        <f>IFERROR(INDEX($B$133:$E$136, MATCH($N143, $B$132:$E$132, 0), MATCH(J$138, $B$132:$E$132, 0)), 0)</f>
        <v/>
      </c>
      <c r="K143" s="21">
        <f>IFERROR(INDEX($B$133:$E$136, MATCH($N143, $B$132:$E$132, 0), MATCH(K$138, $B$132:$E$132, 0)), 0)</f>
        <v/>
      </c>
      <c r="L143" s="21">
        <f>IFERROR(INDEX($B$133:$E$136, MATCH($N143, $B$132:$E$132, 0), MATCH(L$138, $B$132:$E$132, 0)), 0)</f>
        <v/>
      </c>
      <c r="M143" s="21">
        <f>IFERROR(INDEX($B$133:$E$136, MATCH($N143, $B$132:$E$132, 0), MATCH(M$138, $B$132:$E$132, 0)), 0)</f>
        <v/>
      </c>
      <c r="N143" s="15" t="inlineStr">
        <is>
          <t>U3X</t>
        </is>
      </c>
    </row>
    <row r="144" ht="19.05" customHeight="1" s="52">
      <c r="A144" s="19" t="inlineStr">
        <is>
          <t>K6=</t>
        </is>
      </c>
      <c r="B144" s="21">
        <f>IFERROR(INDEX($B$133:$E$136, MATCH($N144, $B$132:$E$132, 0), MATCH(B$138, $B$132:$E$132, 0)), 0)</f>
        <v/>
      </c>
      <c r="C144" s="21">
        <f>IFERROR(INDEX($B$133:$E$136, MATCH($N144, $B$132:$E$132, 0), MATCH(C$138, $B$132:$E$132, 0)), 0)</f>
        <v/>
      </c>
      <c r="D144" s="21">
        <f>IFERROR(INDEX($B$133:$E$136, MATCH($N144, $B$132:$E$132, 0), MATCH(D$138, $B$132:$E$132, 0)), 0)</f>
        <v/>
      </c>
      <c r="E144" s="21">
        <f>IFERROR(INDEX($B$133:$E$136, MATCH($N144, $B$132:$E$132, 0), MATCH(E$138, $B$132:$E$132, 0)), 0)</f>
        <v/>
      </c>
      <c r="F144" s="21">
        <f>IFERROR(INDEX($B$133:$E$136, MATCH($N144, $B$132:$E$132, 0), MATCH(F$138, $B$132:$E$132, 0)), 0)</f>
        <v/>
      </c>
      <c r="G144" s="21">
        <f>IFERROR(INDEX($B$133:$E$136, MATCH($N144, $B$132:$E$132, 0), MATCH(G$138, $B$132:$E$132, 0)), 0)</f>
        <v/>
      </c>
      <c r="H144" s="21">
        <f>IFERROR(INDEX($B$133:$E$136, MATCH($N144, $B$132:$E$132, 0), MATCH(H$138, $B$132:$E$132, 0)), 0)</f>
        <v/>
      </c>
      <c r="I144" s="21">
        <f>IFERROR(INDEX($B$133:$E$136, MATCH($N144, $B$132:$E$132, 0), MATCH(I$138, $B$132:$E$132, 0)), 0)</f>
        <v/>
      </c>
      <c r="J144" s="21">
        <f>IFERROR(INDEX($B$133:$E$136, MATCH($N144, $B$132:$E$132, 0), MATCH(J$138, $B$132:$E$132, 0)), 0)</f>
        <v/>
      </c>
      <c r="K144" s="21">
        <f>IFERROR(INDEX($B$133:$E$136, MATCH($N144, $B$132:$E$132, 0), MATCH(K$138, $B$132:$E$132, 0)), 0)</f>
        <v/>
      </c>
      <c r="L144" s="21">
        <f>IFERROR(INDEX($B$133:$E$136, MATCH($N144, $B$132:$E$132, 0), MATCH(L$138, $B$132:$E$132, 0)), 0)</f>
        <v/>
      </c>
      <c r="M144" s="21">
        <f>IFERROR(INDEX($B$133:$E$136, MATCH($N144, $B$132:$E$132, 0), MATCH(M$138, $B$132:$E$132, 0)), 0)</f>
        <v/>
      </c>
      <c r="N144" s="15" t="inlineStr">
        <is>
          <t>U3Y</t>
        </is>
      </c>
    </row>
    <row r="145" ht="19.05" customHeight="1" s="52">
      <c r="B145" s="21">
        <f>IFERROR(INDEX($B$133:$E$136, MATCH($N145, $B$132:$E$132, 0), MATCH(B$138, $B$132:$E$132, 0)), 0)</f>
        <v/>
      </c>
      <c r="C145" s="21">
        <f>IFERROR(INDEX($B$133:$E$136, MATCH($N145, $B$132:$E$132, 0), MATCH(C$138, $B$132:$E$132, 0)), 0)</f>
        <v/>
      </c>
      <c r="D145" s="21">
        <f>IFERROR(INDEX($B$133:$E$136, MATCH($N145, $B$132:$E$132, 0), MATCH(D$138, $B$132:$E$132, 0)), 0)</f>
        <v/>
      </c>
      <c r="E145" s="21">
        <f>IFERROR(INDEX($B$133:$E$136, MATCH($N145, $B$132:$E$132, 0), MATCH(E$138, $B$132:$E$132, 0)), 0)</f>
        <v/>
      </c>
      <c r="F145" s="21">
        <f>IFERROR(INDEX($B$133:$E$136, MATCH($N145, $B$132:$E$132, 0), MATCH(F$138, $B$132:$E$132, 0)), 0)</f>
        <v/>
      </c>
      <c r="G145" s="21">
        <f>IFERROR(INDEX($B$133:$E$136, MATCH($N145, $B$132:$E$132, 0), MATCH(G$138, $B$132:$E$132, 0)), 0)</f>
        <v/>
      </c>
      <c r="H145" s="21">
        <f>IFERROR(INDEX($B$133:$E$136, MATCH($N145, $B$132:$E$132, 0), MATCH(H$138, $B$132:$E$132, 0)), 0)</f>
        <v/>
      </c>
      <c r="I145" s="21">
        <f>IFERROR(INDEX($B$133:$E$136, MATCH($N145, $B$132:$E$132, 0), MATCH(I$138, $B$132:$E$132, 0)), 0)</f>
        <v/>
      </c>
      <c r="J145" s="21">
        <f>IFERROR(INDEX($B$133:$E$136, MATCH($N145, $B$132:$E$132, 0), MATCH(J$138, $B$132:$E$132, 0)), 0)</f>
        <v/>
      </c>
      <c r="K145" s="21">
        <f>IFERROR(INDEX($B$133:$E$136, MATCH($N145, $B$132:$E$132, 0), MATCH(K$138, $B$132:$E$132, 0)), 0)</f>
        <v/>
      </c>
      <c r="L145" s="21">
        <f>IFERROR(INDEX($B$133:$E$136, MATCH($N145, $B$132:$E$132, 0), MATCH(L$138, $B$132:$E$132, 0)), 0)</f>
        <v/>
      </c>
      <c r="M145" s="21">
        <f>IFERROR(INDEX($B$133:$E$136, MATCH($N145, $B$132:$E$132, 0), MATCH(M$138, $B$132:$E$132, 0)), 0)</f>
        <v/>
      </c>
      <c r="N145" s="15" t="inlineStr">
        <is>
          <t>U4X</t>
        </is>
      </c>
    </row>
    <row r="146" ht="19.05" customHeight="1" s="52">
      <c r="B146" s="21">
        <f>IFERROR(INDEX($B$133:$E$136, MATCH($N146, $B$132:$E$132, 0), MATCH(B$138, $B$132:$E$132, 0)), 0)</f>
        <v/>
      </c>
      <c r="C146" s="21">
        <f>IFERROR(INDEX($B$133:$E$136, MATCH($N146, $B$132:$E$132, 0), MATCH(C$138, $B$132:$E$132, 0)), 0)</f>
        <v/>
      </c>
      <c r="D146" s="21">
        <f>IFERROR(INDEX($B$133:$E$136, MATCH($N146, $B$132:$E$132, 0), MATCH(D$138, $B$132:$E$132, 0)), 0)</f>
        <v/>
      </c>
      <c r="E146" s="21">
        <f>IFERROR(INDEX($B$133:$E$136, MATCH($N146, $B$132:$E$132, 0), MATCH(E$138, $B$132:$E$132, 0)), 0)</f>
        <v/>
      </c>
      <c r="F146" s="21">
        <f>IFERROR(INDEX($B$133:$E$136, MATCH($N146, $B$132:$E$132, 0), MATCH(F$138, $B$132:$E$132, 0)), 0)</f>
        <v/>
      </c>
      <c r="G146" s="21">
        <f>IFERROR(INDEX($B$133:$E$136, MATCH($N146, $B$132:$E$132, 0), MATCH(G$138, $B$132:$E$132, 0)), 0)</f>
        <v/>
      </c>
      <c r="H146" s="21">
        <f>IFERROR(INDEX($B$133:$E$136, MATCH($N146, $B$132:$E$132, 0), MATCH(H$138, $B$132:$E$132, 0)), 0)</f>
        <v/>
      </c>
      <c r="I146" s="21">
        <f>IFERROR(INDEX($B$133:$E$136, MATCH($N146, $B$132:$E$132, 0), MATCH(I$138, $B$132:$E$132, 0)), 0)</f>
        <v/>
      </c>
      <c r="J146" s="21">
        <f>IFERROR(INDEX($B$133:$E$136, MATCH($N146, $B$132:$E$132, 0), MATCH(J$138, $B$132:$E$132, 0)), 0)</f>
        <v/>
      </c>
      <c r="K146" s="21">
        <f>IFERROR(INDEX($B$133:$E$136, MATCH($N146, $B$132:$E$132, 0), MATCH(K$138, $B$132:$E$132, 0)), 0)</f>
        <v/>
      </c>
      <c r="L146" s="21">
        <f>IFERROR(INDEX($B$133:$E$136, MATCH($N146, $B$132:$E$132, 0), MATCH(L$138, $B$132:$E$132, 0)), 0)</f>
        <v/>
      </c>
      <c r="M146" s="21">
        <f>IFERROR(INDEX($B$133:$E$136, MATCH($N146, $B$132:$E$132, 0), MATCH(M$138, $B$132:$E$132, 0)), 0)</f>
        <v/>
      </c>
      <c r="N146" s="15" t="inlineStr">
        <is>
          <t>U4Y</t>
        </is>
      </c>
    </row>
    <row r="147" ht="19.05" customHeight="1" s="52">
      <c r="B147" s="21">
        <f>IFERROR(INDEX($B$133:$E$136, MATCH($N147, $B$132:$E$132, 0), MATCH(B$138, $B$132:$E$132, 0)), 0)</f>
        <v/>
      </c>
      <c r="C147" s="21">
        <f>IFERROR(INDEX($B$133:$E$136, MATCH($N147, $B$132:$E$132, 0), MATCH(C$138, $B$132:$E$132, 0)), 0)</f>
        <v/>
      </c>
      <c r="D147" s="21">
        <f>IFERROR(INDEX($B$133:$E$136, MATCH($N147, $B$132:$E$132, 0), MATCH(D$138, $B$132:$E$132, 0)), 0)</f>
        <v/>
      </c>
      <c r="E147" s="21">
        <f>IFERROR(INDEX($B$133:$E$136, MATCH($N147, $B$132:$E$132, 0), MATCH(E$138, $B$132:$E$132, 0)), 0)</f>
        <v/>
      </c>
      <c r="F147" s="21">
        <f>IFERROR(INDEX($B$133:$E$136, MATCH($N147, $B$132:$E$132, 0), MATCH(F$138, $B$132:$E$132, 0)), 0)</f>
        <v/>
      </c>
      <c r="G147" s="21">
        <f>IFERROR(INDEX($B$133:$E$136, MATCH($N147, $B$132:$E$132, 0), MATCH(G$138, $B$132:$E$132, 0)), 0)</f>
        <v/>
      </c>
      <c r="H147" s="21">
        <f>IFERROR(INDEX($B$133:$E$136, MATCH($N147, $B$132:$E$132, 0), MATCH(H$138, $B$132:$E$132, 0)), 0)</f>
        <v/>
      </c>
      <c r="I147" s="21">
        <f>IFERROR(INDEX($B$133:$E$136, MATCH($N147, $B$132:$E$132, 0), MATCH(I$138, $B$132:$E$132, 0)), 0)</f>
        <v/>
      </c>
      <c r="J147" s="21">
        <f>IFERROR(INDEX($B$133:$E$136, MATCH($N147, $B$132:$E$132, 0), MATCH(J$138, $B$132:$E$132, 0)), 0)</f>
        <v/>
      </c>
      <c r="K147" s="21">
        <f>IFERROR(INDEX($B$133:$E$136, MATCH($N147, $B$132:$E$132, 0), MATCH(K$138, $B$132:$E$132, 0)), 0)</f>
        <v/>
      </c>
      <c r="L147" s="21">
        <f>IFERROR(INDEX($B$133:$E$136, MATCH($N147, $B$132:$E$132, 0), MATCH(L$138, $B$132:$E$132, 0)), 0)</f>
        <v/>
      </c>
      <c r="M147" s="21">
        <f>IFERROR(INDEX($B$133:$E$136, MATCH($N147, $B$132:$E$132, 0), MATCH(M$138, $B$132:$E$132, 0)), 0)</f>
        <v/>
      </c>
      <c r="N147" s="15" t="inlineStr">
        <is>
          <t>U5X</t>
        </is>
      </c>
    </row>
    <row r="148" ht="19.05" customHeight="1" s="52">
      <c r="B148" s="21">
        <f>IFERROR(INDEX($B$133:$E$136, MATCH($N148, $B$132:$E$132, 0), MATCH(B$138, $B$132:$E$132, 0)), 0)</f>
        <v/>
      </c>
      <c r="C148" s="21">
        <f>IFERROR(INDEX($B$133:$E$136, MATCH($N148, $B$132:$E$132, 0), MATCH(C$138, $B$132:$E$132, 0)), 0)</f>
        <v/>
      </c>
      <c r="D148" s="21">
        <f>IFERROR(INDEX($B$133:$E$136, MATCH($N148, $B$132:$E$132, 0), MATCH(D$138, $B$132:$E$132, 0)), 0)</f>
        <v/>
      </c>
      <c r="E148" s="21">
        <f>IFERROR(INDEX($B$133:$E$136, MATCH($N148, $B$132:$E$132, 0), MATCH(E$138, $B$132:$E$132, 0)), 0)</f>
        <v/>
      </c>
      <c r="F148" s="21">
        <f>IFERROR(INDEX($B$133:$E$136, MATCH($N148, $B$132:$E$132, 0), MATCH(F$138, $B$132:$E$132, 0)), 0)</f>
        <v/>
      </c>
      <c r="G148" s="21">
        <f>IFERROR(INDEX($B$133:$E$136, MATCH($N148, $B$132:$E$132, 0), MATCH(G$138, $B$132:$E$132, 0)), 0)</f>
        <v/>
      </c>
      <c r="H148" s="21">
        <f>IFERROR(INDEX($B$133:$E$136, MATCH($N148, $B$132:$E$132, 0), MATCH(H$138, $B$132:$E$132, 0)), 0)</f>
        <v/>
      </c>
      <c r="I148" s="21">
        <f>IFERROR(INDEX($B$133:$E$136, MATCH($N148, $B$132:$E$132, 0), MATCH(I$138, $B$132:$E$132, 0)), 0)</f>
        <v/>
      </c>
      <c r="J148" s="21">
        <f>IFERROR(INDEX($B$133:$E$136, MATCH($N148, $B$132:$E$132, 0), MATCH(J$138, $B$132:$E$132, 0)), 0)</f>
        <v/>
      </c>
      <c r="K148" s="21">
        <f>IFERROR(INDEX($B$133:$E$136, MATCH($N148, $B$132:$E$132, 0), MATCH(K$138, $B$132:$E$132, 0)), 0)</f>
        <v/>
      </c>
      <c r="L148" s="21">
        <f>IFERROR(INDEX($B$133:$E$136, MATCH($N148, $B$132:$E$132, 0), MATCH(L$138, $B$132:$E$132, 0)), 0)</f>
        <v/>
      </c>
      <c r="M148" s="21">
        <f>IFERROR(INDEX($B$133:$E$136, MATCH($N148, $B$132:$E$132, 0), MATCH(M$138, $B$132:$E$132, 0)), 0)</f>
        <v/>
      </c>
      <c r="N148" s="15" t="inlineStr">
        <is>
          <t>U5Y</t>
        </is>
      </c>
    </row>
    <row r="149" ht="19.05" customHeight="1" s="52">
      <c r="B149" s="21">
        <f>IFERROR(INDEX($B$133:$E$136, MATCH($N149, $B$132:$E$132, 0), MATCH(B$138, $B$132:$E$132, 0)), 0)</f>
        <v/>
      </c>
      <c r="C149" s="21">
        <f>IFERROR(INDEX($B$133:$E$136, MATCH($N149, $B$132:$E$132, 0), MATCH(C$138, $B$132:$E$132, 0)), 0)</f>
        <v/>
      </c>
      <c r="D149" s="21">
        <f>IFERROR(INDEX($B$133:$E$136, MATCH($N149, $B$132:$E$132, 0), MATCH(D$138, $B$132:$E$132, 0)), 0)</f>
        <v/>
      </c>
      <c r="E149" s="21">
        <f>IFERROR(INDEX($B$133:$E$136, MATCH($N149, $B$132:$E$132, 0), MATCH(E$138, $B$132:$E$132, 0)), 0)</f>
        <v/>
      </c>
      <c r="F149" s="21">
        <f>IFERROR(INDEX($B$133:$E$136, MATCH($N149, $B$132:$E$132, 0), MATCH(F$138, $B$132:$E$132, 0)), 0)</f>
        <v/>
      </c>
      <c r="G149" s="21">
        <f>IFERROR(INDEX($B$133:$E$136, MATCH($N149, $B$132:$E$132, 0), MATCH(G$138, $B$132:$E$132, 0)), 0)</f>
        <v/>
      </c>
      <c r="H149" s="21">
        <f>IFERROR(INDEX($B$133:$E$136, MATCH($N149, $B$132:$E$132, 0), MATCH(H$138, $B$132:$E$132, 0)), 0)</f>
        <v/>
      </c>
      <c r="I149" s="21">
        <f>IFERROR(INDEX($B$133:$E$136, MATCH($N149, $B$132:$E$132, 0), MATCH(I$138, $B$132:$E$132, 0)), 0)</f>
        <v/>
      </c>
      <c r="J149" s="21">
        <f>IFERROR(INDEX($B$133:$E$136, MATCH($N149, $B$132:$E$132, 0), MATCH(J$138, $B$132:$E$132, 0)), 0)</f>
        <v/>
      </c>
      <c r="K149" s="21">
        <f>IFERROR(INDEX($B$133:$E$136, MATCH($N149, $B$132:$E$132, 0), MATCH(K$138, $B$132:$E$132, 0)), 0)</f>
        <v/>
      </c>
      <c r="L149" s="21">
        <f>IFERROR(INDEX($B$133:$E$136, MATCH($N149, $B$132:$E$132, 0), MATCH(L$138, $B$132:$E$132, 0)), 0)</f>
        <v/>
      </c>
      <c r="M149" s="21">
        <f>IFERROR(INDEX($B$133:$E$136, MATCH($N149, $B$132:$E$132, 0), MATCH(M$138, $B$132:$E$132, 0)), 0)</f>
        <v/>
      </c>
      <c r="N149" s="15" t="inlineStr">
        <is>
          <t>U6X</t>
        </is>
      </c>
    </row>
    <row r="150" ht="19.05" customHeight="1" s="52">
      <c r="B150" s="21">
        <f>IFERROR(INDEX($B$133:$E$136, MATCH($N150, $B$132:$E$132, 0), MATCH(B$138, $B$132:$E$132, 0)), 0)</f>
        <v/>
      </c>
      <c r="C150" s="21">
        <f>IFERROR(INDEX($B$133:$E$136, MATCH($N150, $B$132:$E$132, 0), MATCH(C$138, $B$132:$E$132, 0)), 0)</f>
        <v/>
      </c>
      <c r="D150" s="21">
        <f>IFERROR(INDEX($B$133:$E$136, MATCH($N150, $B$132:$E$132, 0), MATCH(D$138, $B$132:$E$132, 0)), 0)</f>
        <v/>
      </c>
      <c r="E150" s="21">
        <f>IFERROR(INDEX($B$133:$E$136, MATCH($N150, $B$132:$E$132, 0), MATCH(E$138, $B$132:$E$132, 0)), 0)</f>
        <v/>
      </c>
      <c r="F150" s="21">
        <f>IFERROR(INDEX($B$133:$E$136, MATCH($N150, $B$132:$E$132, 0), MATCH(F$138, $B$132:$E$132, 0)), 0)</f>
        <v/>
      </c>
      <c r="G150" s="21">
        <f>IFERROR(INDEX($B$133:$E$136, MATCH($N150, $B$132:$E$132, 0), MATCH(G$138, $B$132:$E$132, 0)), 0)</f>
        <v/>
      </c>
      <c r="H150" s="21">
        <f>IFERROR(INDEX($B$133:$E$136, MATCH($N150, $B$132:$E$132, 0), MATCH(H$138, $B$132:$E$132, 0)), 0)</f>
        <v/>
      </c>
      <c r="I150" s="21">
        <f>IFERROR(INDEX($B$133:$E$136, MATCH($N150, $B$132:$E$132, 0), MATCH(I$138, $B$132:$E$132, 0)), 0)</f>
        <v/>
      </c>
      <c r="J150" s="21">
        <f>IFERROR(INDEX($B$133:$E$136, MATCH($N150, $B$132:$E$132, 0), MATCH(J$138, $B$132:$E$132, 0)), 0)</f>
        <v/>
      </c>
      <c r="K150" s="21">
        <f>IFERROR(INDEX($B$133:$E$136, MATCH($N150, $B$132:$E$132, 0), MATCH(K$138, $B$132:$E$132, 0)), 0)</f>
        <v/>
      </c>
      <c r="L150" s="21">
        <f>IFERROR(INDEX($B$133:$E$136, MATCH($N150, $B$132:$E$132, 0), MATCH(L$138, $B$132:$E$132, 0)), 0)</f>
        <v/>
      </c>
      <c r="M150" s="21">
        <f>IFERROR(INDEX($B$133:$E$136, MATCH($N150, $B$132:$E$132, 0), MATCH(M$138, $B$132:$E$132, 0)), 0)</f>
        <v/>
      </c>
      <c r="N150" s="15" t="inlineStr">
        <is>
          <t>U6Y</t>
        </is>
      </c>
    </row>
    <row r="153" ht="19.05" customHeight="1" s="52">
      <c r="A153" s="19" t="inlineStr">
        <is>
          <t>k7=</t>
        </is>
      </c>
      <c r="B153" s="16">
        <f>IF(D23="","-",D23)</f>
        <v/>
      </c>
      <c r="C153" s="16">
        <f>IF(E23="","-",E23)</f>
        <v/>
      </c>
      <c r="D153" s="16">
        <f>IF(G23="","-",G23)</f>
        <v/>
      </c>
      <c r="E153" s="16">
        <f>IF(H23="","-",H23)</f>
        <v/>
      </c>
    </row>
    <row r="154" ht="18" customHeight="1" s="52">
      <c r="B154" s="27">
        <f>IF(N12=0, 0, N12*J12*J12)</f>
        <v/>
      </c>
      <c r="C154" s="27">
        <f>IF(N12=0, 0, N12*J12*K12)</f>
        <v/>
      </c>
      <c r="D154" s="27">
        <f>IF(N12=0, 0, -N12*J12*J12)</f>
        <v/>
      </c>
      <c r="E154" s="27">
        <f>IF(N12=0, 0, -N12*J12*K12)</f>
        <v/>
      </c>
      <c r="F154" s="16">
        <f>IF(D23="","-",D23)</f>
        <v/>
      </c>
    </row>
    <row r="155" ht="18" customHeight="1" s="52">
      <c r="B155" s="27">
        <f>IF(N12=0, 0, N12*J12*K12)</f>
        <v/>
      </c>
      <c r="C155" s="27">
        <f>IF(N12=0, 0, N12*K12*K12)</f>
        <v/>
      </c>
      <c r="D155" s="27">
        <f>IF(N12=0, 0, -N12*J12*K12)</f>
        <v/>
      </c>
      <c r="E155" s="27">
        <f>IF(N12=0, 0, -N12*K12*K12)</f>
        <v/>
      </c>
      <c r="F155" s="16">
        <f>IF(E23="","-",E23)</f>
        <v/>
      </c>
    </row>
    <row r="156" ht="18" customHeight="1" s="52">
      <c r="B156" s="27">
        <f>IF(N12=0, 0, -N12*J12*J12)</f>
        <v/>
      </c>
      <c r="C156" s="27">
        <f>IF(N12=0, 0, -N12*J12*K12)</f>
        <v/>
      </c>
      <c r="D156" s="27">
        <f>IF(N12=0, 0, N12*J12*J12)</f>
        <v/>
      </c>
      <c r="E156" s="27">
        <f>IF(N12=0, 0, N12*J12*K12)</f>
        <v/>
      </c>
      <c r="F156" s="16">
        <f>IF(G23="","-",G23)</f>
        <v/>
      </c>
    </row>
    <row r="157" ht="18" customHeight="1" s="52">
      <c r="B157" s="27">
        <f>IF(N12=0, 0, -N12*J12*K12)</f>
        <v/>
      </c>
      <c r="C157" s="27">
        <f>IF(N12=0, 0, -N12*K12*K12)</f>
        <v/>
      </c>
      <c r="D157" s="27">
        <f>IF(N12=0, 0, N12*J12*K12)</f>
        <v/>
      </c>
      <c r="E157" s="27">
        <f>IF(N12=0, 0, N12*K12*K12)</f>
        <v/>
      </c>
      <c r="F157" s="16">
        <f>IF(H23="","-",H23)</f>
        <v/>
      </c>
    </row>
    <row r="159" ht="19.05" customHeight="1" s="52">
      <c r="B159" s="54" t="inlineStr">
        <is>
          <t>U1X</t>
        </is>
      </c>
      <c r="C159" s="54" t="inlineStr">
        <is>
          <t>U1Y</t>
        </is>
      </c>
      <c r="D159" s="54" t="inlineStr">
        <is>
          <t>U2X</t>
        </is>
      </c>
      <c r="E159" s="54" t="inlineStr">
        <is>
          <t>U2Y</t>
        </is>
      </c>
      <c r="F159" s="54" t="inlineStr">
        <is>
          <t>U3X</t>
        </is>
      </c>
      <c r="G159" s="54" t="inlineStr">
        <is>
          <t>U3Y</t>
        </is>
      </c>
      <c r="H159" s="54" t="inlineStr">
        <is>
          <t>U4X</t>
        </is>
      </c>
      <c r="I159" s="54" t="inlineStr">
        <is>
          <t>U4Y</t>
        </is>
      </c>
      <c r="J159" s="54" t="inlineStr">
        <is>
          <t>U5X</t>
        </is>
      </c>
      <c r="K159" s="54" t="inlineStr">
        <is>
          <t>U5Y</t>
        </is>
      </c>
      <c r="L159" s="54" t="inlineStr">
        <is>
          <t>U6X</t>
        </is>
      </c>
      <c r="M159" s="54" t="inlineStr">
        <is>
          <t>U6Y</t>
        </is>
      </c>
    </row>
    <row r="160" ht="19.05" customHeight="1" s="52">
      <c r="B160" s="21">
        <f>IFERROR(INDEX($B$154:$E$157, MATCH($N160, $B$153:$E$153, 0), MATCH(B$159, $B$153:$E$153, 0)), 0)</f>
        <v/>
      </c>
      <c r="C160" s="21">
        <f>IFERROR(INDEX($B$154:$E$157, MATCH($N160, $B$153:$E$153, 0), MATCH(C$159, $B$153:$E$153, 0)), 0)</f>
        <v/>
      </c>
      <c r="D160" s="21">
        <f>IFERROR(INDEX($B$154:$E$157, MATCH($N160, $B$153:$E$153, 0), MATCH(D$159, $B$153:$E$153, 0)), 0)</f>
        <v/>
      </c>
      <c r="E160" s="21">
        <f>IFERROR(INDEX($B$154:$E$157, MATCH($N160, $B$153:$E$153, 0), MATCH(E$159, $B$153:$E$153, 0)), 0)</f>
        <v/>
      </c>
      <c r="F160" s="21">
        <f>IFERROR(INDEX($B$154:$E$157, MATCH($N160, $B$153:$E$153, 0), MATCH(F$159, $B$153:$E$153, 0)), 0)</f>
        <v/>
      </c>
      <c r="G160" s="21">
        <f>IFERROR(INDEX($B$154:$E$157, MATCH($N160, $B$153:$E$153, 0), MATCH(G$159, $B$153:$E$153, 0)), 0)</f>
        <v/>
      </c>
      <c r="H160" s="21">
        <f>IFERROR(INDEX($B$154:$E$157, MATCH($N160, $B$153:$E$153, 0), MATCH(H$159, $B$153:$E$153, 0)), 0)</f>
        <v/>
      </c>
      <c r="I160" s="21">
        <f>IFERROR(INDEX($B$154:$E$157, MATCH($N160, $B$153:$E$153, 0), MATCH(I$159, $B$153:$E$153, 0)), 0)</f>
        <v/>
      </c>
      <c r="J160" s="21">
        <f>IFERROR(INDEX($B$154:$E$157, MATCH($N160, $B$153:$E$153, 0), MATCH(J$159, $B$153:$E$153, 0)), 0)</f>
        <v/>
      </c>
      <c r="K160" s="21">
        <f>IFERROR(INDEX($B$154:$E$157, MATCH($N160, $B$153:$E$153, 0), MATCH(K$159, $B$153:$E$153, 0)), 0)</f>
        <v/>
      </c>
      <c r="L160" s="21">
        <f>IFERROR(INDEX($B$154:$E$157, MATCH($N160, $B$153:$E$153, 0), MATCH(L$159, $B$153:$E$153, 0)), 0)</f>
        <v/>
      </c>
      <c r="M160" s="21">
        <f>IFERROR(INDEX($B$154:$E$157, MATCH($N160, $B$153:$E$153, 0), MATCH(M$159, $B$153:$E$153, 0)), 0)</f>
        <v/>
      </c>
      <c r="N160" s="16" t="inlineStr">
        <is>
          <t>U1X</t>
        </is>
      </c>
    </row>
    <row r="161" ht="19.05" customHeight="1" s="52">
      <c r="B161" s="21">
        <f>IFERROR(INDEX($B$154:$E$157, MATCH($N161, $B$153:$E$153, 0), MATCH(B$159, $B$153:$E$153, 0)), 0)</f>
        <v/>
      </c>
      <c r="C161" s="21">
        <f>IFERROR(INDEX($B$154:$E$157, MATCH($N161, $B$153:$E$153, 0), MATCH(C$159, $B$153:$E$153, 0)), 0)</f>
        <v/>
      </c>
      <c r="D161" s="21">
        <f>IFERROR(INDEX($B$154:$E$157, MATCH($N161, $B$153:$E$153, 0), MATCH(D$159, $B$153:$E$153, 0)), 0)</f>
        <v/>
      </c>
      <c r="E161" s="21">
        <f>IFERROR(INDEX($B$154:$E$157, MATCH($N161, $B$153:$E$153, 0), MATCH(E$159, $B$153:$E$153, 0)), 0)</f>
        <v/>
      </c>
      <c r="F161" s="21">
        <f>IFERROR(INDEX($B$154:$E$157, MATCH($N161, $B$153:$E$153, 0), MATCH(F$159, $B$153:$E$153, 0)), 0)</f>
        <v/>
      </c>
      <c r="G161" s="21">
        <f>IFERROR(INDEX($B$154:$E$157, MATCH($N161, $B$153:$E$153, 0), MATCH(G$159, $B$153:$E$153, 0)), 0)</f>
        <v/>
      </c>
      <c r="H161" s="21">
        <f>IFERROR(INDEX($B$154:$E$157, MATCH($N161, $B$153:$E$153, 0), MATCH(H$159, $B$153:$E$153, 0)), 0)</f>
        <v/>
      </c>
      <c r="I161" s="21">
        <f>IFERROR(INDEX($B$154:$E$157, MATCH($N161, $B$153:$E$153, 0), MATCH(I$159, $B$153:$E$153, 0)), 0)</f>
        <v/>
      </c>
      <c r="J161" s="21">
        <f>IFERROR(INDEX($B$154:$E$157, MATCH($N161, $B$153:$E$153, 0), MATCH(J$159, $B$153:$E$153, 0)), 0)</f>
        <v/>
      </c>
      <c r="K161" s="21">
        <f>IFERROR(INDEX($B$154:$E$157, MATCH($N161, $B$153:$E$153, 0), MATCH(K$159, $B$153:$E$153, 0)), 0)</f>
        <v/>
      </c>
      <c r="L161" s="21">
        <f>IFERROR(INDEX($B$154:$E$157, MATCH($N161, $B$153:$E$153, 0), MATCH(L$159, $B$153:$E$153, 0)), 0)</f>
        <v/>
      </c>
      <c r="M161" s="21">
        <f>IFERROR(INDEX($B$154:$E$157, MATCH($N161, $B$153:$E$153, 0), MATCH(M$159, $B$153:$E$153, 0)), 0)</f>
        <v/>
      </c>
      <c r="N161" s="16" t="inlineStr">
        <is>
          <t>U1Y</t>
        </is>
      </c>
    </row>
    <row r="162" ht="19.05" customHeight="1" s="52">
      <c r="B162" s="21">
        <f>IFERROR(INDEX($B$154:$E$157, MATCH($N162, $B$153:$E$153, 0), MATCH(B$159, $B$153:$E$153, 0)), 0)</f>
        <v/>
      </c>
      <c r="C162" s="21">
        <f>IFERROR(INDEX($B$154:$E$157, MATCH($N162, $B$153:$E$153, 0), MATCH(C$159, $B$153:$E$153, 0)), 0)</f>
        <v/>
      </c>
      <c r="D162" s="21">
        <f>IFERROR(INDEX($B$154:$E$157, MATCH($N162, $B$153:$E$153, 0), MATCH(D$159, $B$153:$E$153, 0)), 0)</f>
        <v/>
      </c>
      <c r="E162" s="21">
        <f>IFERROR(INDEX($B$154:$E$157, MATCH($N162, $B$153:$E$153, 0), MATCH(E$159, $B$153:$E$153, 0)), 0)</f>
        <v/>
      </c>
      <c r="F162" s="21">
        <f>IFERROR(INDEX($B$154:$E$157, MATCH($N162, $B$153:$E$153, 0), MATCH(F$159, $B$153:$E$153, 0)), 0)</f>
        <v/>
      </c>
      <c r="G162" s="21">
        <f>IFERROR(INDEX($B$154:$E$157, MATCH($N162, $B$153:$E$153, 0), MATCH(G$159, $B$153:$E$153, 0)), 0)</f>
        <v/>
      </c>
      <c r="H162" s="21">
        <f>IFERROR(INDEX($B$154:$E$157, MATCH($N162, $B$153:$E$153, 0), MATCH(H$159, $B$153:$E$153, 0)), 0)</f>
        <v/>
      </c>
      <c r="I162" s="21">
        <f>IFERROR(INDEX($B$154:$E$157, MATCH($N162, $B$153:$E$153, 0), MATCH(I$159, $B$153:$E$153, 0)), 0)</f>
        <v/>
      </c>
      <c r="J162" s="21">
        <f>IFERROR(INDEX($B$154:$E$157, MATCH($N162, $B$153:$E$153, 0), MATCH(J$159, $B$153:$E$153, 0)), 0)</f>
        <v/>
      </c>
      <c r="K162" s="21">
        <f>IFERROR(INDEX($B$154:$E$157, MATCH($N162, $B$153:$E$153, 0), MATCH(K$159, $B$153:$E$153, 0)), 0)</f>
        <v/>
      </c>
      <c r="L162" s="21">
        <f>IFERROR(INDEX($B$154:$E$157, MATCH($N162, $B$153:$E$153, 0), MATCH(L$159, $B$153:$E$153, 0)), 0)</f>
        <v/>
      </c>
      <c r="M162" s="21">
        <f>IFERROR(INDEX($B$154:$E$157, MATCH($N162, $B$153:$E$153, 0), MATCH(M$159, $B$153:$E$153, 0)), 0)</f>
        <v/>
      </c>
      <c r="N162" s="16" t="inlineStr">
        <is>
          <t>U2X</t>
        </is>
      </c>
    </row>
    <row r="163" ht="19.05" customHeight="1" s="52">
      <c r="B163" s="21">
        <f>IFERROR(INDEX($B$154:$E$157, MATCH($N163, $B$153:$E$153, 0), MATCH(B$159, $B$153:$E$153, 0)), 0)</f>
        <v/>
      </c>
      <c r="C163" s="21">
        <f>IFERROR(INDEX($B$154:$E$157, MATCH($N163, $B$153:$E$153, 0), MATCH(C$159, $B$153:$E$153, 0)), 0)</f>
        <v/>
      </c>
      <c r="D163" s="21">
        <f>IFERROR(INDEX($B$154:$E$157, MATCH($N163, $B$153:$E$153, 0), MATCH(D$159, $B$153:$E$153, 0)), 0)</f>
        <v/>
      </c>
      <c r="E163" s="21">
        <f>IFERROR(INDEX($B$154:$E$157, MATCH($N163, $B$153:$E$153, 0), MATCH(E$159, $B$153:$E$153, 0)), 0)</f>
        <v/>
      </c>
      <c r="F163" s="21">
        <f>IFERROR(INDEX($B$154:$E$157, MATCH($N163, $B$153:$E$153, 0), MATCH(F$159, $B$153:$E$153, 0)), 0)</f>
        <v/>
      </c>
      <c r="G163" s="21">
        <f>IFERROR(INDEX($B$154:$E$157, MATCH($N163, $B$153:$E$153, 0), MATCH(G$159, $B$153:$E$153, 0)), 0)</f>
        <v/>
      </c>
      <c r="H163" s="21">
        <f>IFERROR(INDEX($B$154:$E$157, MATCH($N163, $B$153:$E$153, 0), MATCH(H$159, $B$153:$E$153, 0)), 0)</f>
        <v/>
      </c>
      <c r="I163" s="21">
        <f>IFERROR(INDEX($B$154:$E$157, MATCH($N163, $B$153:$E$153, 0), MATCH(I$159, $B$153:$E$153, 0)), 0)</f>
        <v/>
      </c>
      <c r="J163" s="21">
        <f>IFERROR(INDEX($B$154:$E$157, MATCH($N163, $B$153:$E$153, 0), MATCH(J$159, $B$153:$E$153, 0)), 0)</f>
        <v/>
      </c>
      <c r="K163" s="21">
        <f>IFERROR(INDEX($B$154:$E$157, MATCH($N163, $B$153:$E$153, 0), MATCH(K$159, $B$153:$E$153, 0)), 0)</f>
        <v/>
      </c>
      <c r="L163" s="21">
        <f>IFERROR(INDEX($B$154:$E$157, MATCH($N163, $B$153:$E$153, 0), MATCH(L$159, $B$153:$E$153, 0)), 0)</f>
        <v/>
      </c>
      <c r="M163" s="21">
        <f>IFERROR(INDEX($B$154:$E$157, MATCH($N163, $B$153:$E$153, 0), MATCH(M$159, $B$153:$E$153, 0)), 0)</f>
        <v/>
      </c>
      <c r="N163" s="16" t="inlineStr">
        <is>
          <t>U2Y</t>
        </is>
      </c>
    </row>
    <row r="164" ht="19.05" customHeight="1" s="52">
      <c r="B164" s="21">
        <f>IFERROR(INDEX($B$154:$E$157, MATCH($N164, $B$153:$E$153, 0), MATCH(B$159, $B$153:$E$153, 0)), 0)</f>
        <v/>
      </c>
      <c r="C164" s="21">
        <f>IFERROR(INDEX($B$154:$E$157, MATCH($N164, $B$153:$E$153, 0), MATCH(C$159, $B$153:$E$153, 0)), 0)</f>
        <v/>
      </c>
      <c r="D164" s="21">
        <f>IFERROR(INDEX($B$154:$E$157, MATCH($N164, $B$153:$E$153, 0), MATCH(D$159, $B$153:$E$153, 0)), 0)</f>
        <v/>
      </c>
      <c r="E164" s="21">
        <f>IFERROR(INDEX($B$154:$E$157, MATCH($N164, $B$153:$E$153, 0), MATCH(E$159, $B$153:$E$153, 0)), 0)</f>
        <v/>
      </c>
      <c r="F164" s="21">
        <f>IFERROR(INDEX($B$154:$E$157, MATCH($N164, $B$153:$E$153, 0), MATCH(F$159, $B$153:$E$153, 0)), 0)</f>
        <v/>
      </c>
      <c r="G164" s="21">
        <f>IFERROR(INDEX($B$154:$E$157, MATCH($N164, $B$153:$E$153, 0), MATCH(G$159, $B$153:$E$153, 0)), 0)</f>
        <v/>
      </c>
      <c r="H164" s="21">
        <f>IFERROR(INDEX($B$154:$E$157, MATCH($N164, $B$153:$E$153, 0), MATCH(H$159, $B$153:$E$153, 0)), 0)</f>
        <v/>
      </c>
      <c r="I164" s="21">
        <f>IFERROR(INDEX($B$154:$E$157, MATCH($N164, $B$153:$E$153, 0), MATCH(I$159, $B$153:$E$153, 0)), 0)</f>
        <v/>
      </c>
      <c r="J164" s="21">
        <f>IFERROR(INDEX($B$154:$E$157, MATCH($N164, $B$153:$E$153, 0), MATCH(J$159, $B$153:$E$153, 0)), 0)</f>
        <v/>
      </c>
      <c r="K164" s="21">
        <f>IFERROR(INDEX($B$154:$E$157, MATCH($N164, $B$153:$E$153, 0), MATCH(K$159, $B$153:$E$153, 0)), 0)</f>
        <v/>
      </c>
      <c r="L164" s="21">
        <f>IFERROR(INDEX($B$154:$E$157, MATCH($N164, $B$153:$E$153, 0), MATCH(L$159, $B$153:$E$153, 0)), 0)</f>
        <v/>
      </c>
      <c r="M164" s="21">
        <f>IFERROR(INDEX($B$154:$E$157, MATCH($N164, $B$153:$E$153, 0), MATCH(M$159, $B$153:$E$153, 0)), 0)</f>
        <v/>
      </c>
      <c r="N164" s="16" t="inlineStr">
        <is>
          <t>U3X</t>
        </is>
      </c>
    </row>
    <row r="165" ht="19.05" customHeight="1" s="52">
      <c r="A165" s="19" t="inlineStr">
        <is>
          <t>K7=</t>
        </is>
      </c>
      <c r="B165" s="21">
        <f>IFERROR(INDEX($B$154:$E$157, MATCH($N165, $B$153:$E$153, 0), MATCH(B$159, $B$153:$E$153, 0)), 0)</f>
        <v/>
      </c>
      <c r="C165" s="21">
        <f>IFERROR(INDEX($B$154:$E$157, MATCH($N165, $B$153:$E$153, 0), MATCH(C$159, $B$153:$E$153, 0)), 0)</f>
        <v/>
      </c>
      <c r="D165" s="21">
        <f>IFERROR(INDEX($B$154:$E$157, MATCH($N165, $B$153:$E$153, 0), MATCH(D$159, $B$153:$E$153, 0)), 0)</f>
        <v/>
      </c>
      <c r="E165" s="21">
        <f>IFERROR(INDEX($B$154:$E$157, MATCH($N165, $B$153:$E$153, 0), MATCH(E$159, $B$153:$E$153, 0)), 0)</f>
        <v/>
      </c>
      <c r="F165" s="21">
        <f>IFERROR(INDEX($B$154:$E$157, MATCH($N165, $B$153:$E$153, 0), MATCH(F$159, $B$153:$E$153, 0)), 0)</f>
        <v/>
      </c>
      <c r="G165" s="21">
        <f>IFERROR(INDEX($B$154:$E$157, MATCH($N165, $B$153:$E$153, 0), MATCH(G$159, $B$153:$E$153, 0)), 0)</f>
        <v/>
      </c>
      <c r="H165" s="21">
        <f>IFERROR(INDEX($B$154:$E$157, MATCH($N165, $B$153:$E$153, 0), MATCH(H$159, $B$153:$E$153, 0)), 0)</f>
        <v/>
      </c>
      <c r="I165" s="21">
        <f>IFERROR(INDEX($B$154:$E$157, MATCH($N165, $B$153:$E$153, 0), MATCH(I$159, $B$153:$E$153, 0)), 0)</f>
        <v/>
      </c>
      <c r="J165" s="21">
        <f>IFERROR(INDEX($B$154:$E$157, MATCH($N165, $B$153:$E$153, 0), MATCH(J$159, $B$153:$E$153, 0)), 0)</f>
        <v/>
      </c>
      <c r="K165" s="21">
        <f>IFERROR(INDEX($B$154:$E$157, MATCH($N165, $B$153:$E$153, 0), MATCH(K$159, $B$153:$E$153, 0)), 0)</f>
        <v/>
      </c>
      <c r="L165" s="21">
        <f>IFERROR(INDEX($B$154:$E$157, MATCH($N165, $B$153:$E$153, 0), MATCH(L$159, $B$153:$E$153, 0)), 0)</f>
        <v/>
      </c>
      <c r="M165" s="21">
        <f>IFERROR(INDEX($B$154:$E$157, MATCH($N165, $B$153:$E$153, 0), MATCH(M$159, $B$153:$E$153, 0)), 0)</f>
        <v/>
      </c>
      <c r="N165" s="16" t="inlineStr">
        <is>
          <t>U3Y</t>
        </is>
      </c>
    </row>
    <row r="166" ht="19.05" customHeight="1" s="52">
      <c r="B166" s="21">
        <f>IFERROR(INDEX($B$154:$E$157, MATCH($N166, $B$153:$E$153, 0), MATCH(B$159, $B$153:$E$153, 0)), 0)</f>
        <v/>
      </c>
      <c r="C166" s="21">
        <f>IFERROR(INDEX($B$154:$E$157, MATCH($N166, $B$153:$E$153, 0), MATCH(C$159, $B$153:$E$153, 0)), 0)</f>
        <v/>
      </c>
      <c r="D166" s="21">
        <f>IFERROR(INDEX($B$154:$E$157, MATCH($N166, $B$153:$E$153, 0), MATCH(D$159, $B$153:$E$153, 0)), 0)</f>
        <v/>
      </c>
      <c r="E166" s="21">
        <f>IFERROR(INDEX($B$154:$E$157, MATCH($N166, $B$153:$E$153, 0), MATCH(E$159, $B$153:$E$153, 0)), 0)</f>
        <v/>
      </c>
      <c r="F166" s="21">
        <f>IFERROR(INDEX($B$154:$E$157, MATCH($N166, $B$153:$E$153, 0), MATCH(F$159, $B$153:$E$153, 0)), 0)</f>
        <v/>
      </c>
      <c r="G166" s="21">
        <f>IFERROR(INDEX($B$154:$E$157, MATCH($N166, $B$153:$E$153, 0), MATCH(G$159, $B$153:$E$153, 0)), 0)</f>
        <v/>
      </c>
      <c r="H166" s="21">
        <f>IFERROR(INDEX($B$154:$E$157, MATCH($N166, $B$153:$E$153, 0), MATCH(H$159, $B$153:$E$153, 0)), 0)</f>
        <v/>
      </c>
      <c r="I166" s="21">
        <f>IFERROR(INDEX($B$154:$E$157, MATCH($N166, $B$153:$E$153, 0), MATCH(I$159, $B$153:$E$153, 0)), 0)</f>
        <v/>
      </c>
      <c r="J166" s="21">
        <f>IFERROR(INDEX($B$154:$E$157, MATCH($N166, $B$153:$E$153, 0), MATCH(J$159, $B$153:$E$153, 0)), 0)</f>
        <v/>
      </c>
      <c r="K166" s="21">
        <f>IFERROR(INDEX($B$154:$E$157, MATCH($N166, $B$153:$E$153, 0), MATCH(K$159, $B$153:$E$153, 0)), 0)</f>
        <v/>
      </c>
      <c r="L166" s="21">
        <f>IFERROR(INDEX($B$154:$E$157, MATCH($N166, $B$153:$E$153, 0), MATCH(L$159, $B$153:$E$153, 0)), 0)</f>
        <v/>
      </c>
      <c r="M166" s="21">
        <f>IFERROR(INDEX($B$154:$E$157, MATCH($N166, $B$153:$E$153, 0), MATCH(M$159, $B$153:$E$153, 0)), 0)</f>
        <v/>
      </c>
      <c r="N166" s="16" t="inlineStr">
        <is>
          <t>U4X</t>
        </is>
      </c>
    </row>
    <row r="167" ht="19.05" customHeight="1" s="52">
      <c r="B167" s="21">
        <f>IFERROR(INDEX($B$154:$E$157, MATCH($N167, $B$153:$E$153, 0), MATCH(B$159, $B$153:$E$153, 0)), 0)</f>
        <v/>
      </c>
      <c r="C167" s="21">
        <f>IFERROR(INDEX($B$154:$E$157, MATCH($N167, $B$153:$E$153, 0), MATCH(C$159, $B$153:$E$153, 0)), 0)</f>
        <v/>
      </c>
      <c r="D167" s="21">
        <f>IFERROR(INDEX($B$154:$E$157, MATCH($N167, $B$153:$E$153, 0), MATCH(D$159, $B$153:$E$153, 0)), 0)</f>
        <v/>
      </c>
      <c r="E167" s="21">
        <f>IFERROR(INDEX($B$154:$E$157, MATCH($N167, $B$153:$E$153, 0), MATCH(E$159, $B$153:$E$153, 0)), 0)</f>
        <v/>
      </c>
      <c r="F167" s="21">
        <f>IFERROR(INDEX($B$154:$E$157, MATCH($N167, $B$153:$E$153, 0), MATCH(F$159, $B$153:$E$153, 0)), 0)</f>
        <v/>
      </c>
      <c r="G167" s="21">
        <f>IFERROR(INDEX($B$154:$E$157, MATCH($N167, $B$153:$E$153, 0), MATCH(G$159, $B$153:$E$153, 0)), 0)</f>
        <v/>
      </c>
      <c r="H167" s="21">
        <f>IFERROR(INDEX($B$154:$E$157, MATCH($N167, $B$153:$E$153, 0), MATCH(H$159, $B$153:$E$153, 0)), 0)</f>
        <v/>
      </c>
      <c r="I167" s="21">
        <f>IFERROR(INDEX($B$154:$E$157, MATCH($N167, $B$153:$E$153, 0), MATCH(I$159, $B$153:$E$153, 0)), 0)</f>
        <v/>
      </c>
      <c r="J167" s="21">
        <f>IFERROR(INDEX($B$154:$E$157, MATCH($N167, $B$153:$E$153, 0), MATCH(J$159, $B$153:$E$153, 0)), 0)</f>
        <v/>
      </c>
      <c r="K167" s="21">
        <f>IFERROR(INDEX($B$154:$E$157, MATCH($N167, $B$153:$E$153, 0), MATCH(K$159, $B$153:$E$153, 0)), 0)</f>
        <v/>
      </c>
      <c r="L167" s="21">
        <f>IFERROR(INDEX($B$154:$E$157, MATCH($N167, $B$153:$E$153, 0), MATCH(L$159, $B$153:$E$153, 0)), 0)</f>
        <v/>
      </c>
      <c r="M167" s="21">
        <f>IFERROR(INDEX($B$154:$E$157, MATCH($N167, $B$153:$E$153, 0), MATCH(M$159, $B$153:$E$153, 0)), 0)</f>
        <v/>
      </c>
      <c r="N167" s="16" t="inlineStr">
        <is>
          <t>U4Y</t>
        </is>
      </c>
    </row>
    <row r="168" ht="19.05" customHeight="1" s="52">
      <c r="B168" s="21">
        <f>IFERROR(INDEX($B$154:$E$157, MATCH($N168, $B$153:$E$153, 0), MATCH(B$159, $B$153:$E$153, 0)), 0)</f>
        <v/>
      </c>
      <c r="C168" s="21">
        <f>IFERROR(INDEX($B$154:$E$157, MATCH($N168, $B$153:$E$153, 0), MATCH(C$159, $B$153:$E$153, 0)), 0)</f>
        <v/>
      </c>
      <c r="D168" s="21">
        <f>IFERROR(INDEX($B$154:$E$157, MATCH($N168, $B$153:$E$153, 0), MATCH(D$159, $B$153:$E$153, 0)), 0)</f>
        <v/>
      </c>
      <c r="E168" s="21">
        <f>IFERROR(INDEX($B$154:$E$157, MATCH($N168, $B$153:$E$153, 0), MATCH(E$159, $B$153:$E$153, 0)), 0)</f>
        <v/>
      </c>
      <c r="F168" s="21">
        <f>IFERROR(INDEX($B$154:$E$157, MATCH($N168, $B$153:$E$153, 0), MATCH(F$159, $B$153:$E$153, 0)), 0)</f>
        <v/>
      </c>
      <c r="G168" s="21">
        <f>IFERROR(INDEX($B$154:$E$157, MATCH($N168, $B$153:$E$153, 0), MATCH(G$159, $B$153:$E$153, 0)), 0)</f>
        <v/>
      </c>
      <c r="H168" s="21">
        <f>IFERROR(INDEX($B$154:$E$157, MATCH($N168, $B$153:$E$153, 0), MATCH(H$159, $B$153:$E$153, 0)), 0)</f>
        <v/>
      </c>
      <c r="I168" s="21">
        <f>IFERROR(INDEX($B$154:$E$157, MATCH($N168, $B$153:$E$153, 0), MATCH(I$159, $B$153:$E$153, 0)), 0)</f>
        <v/>
      </c>
      <c r="J168" s="21">
        <f>IFERROR(INDEX($B$154:$E$157, MATCH($N168, $B$153:$E$153, 0), MATCH(J$159, $B$153:$E$153, 0)), 0)</f>
        <v/>
      </c>
      <c r="K168" s="21">
        <f>IFERROR(INDEX($B$154:$E$157, MATCH($N168, $B$153:$E$153, 0), MATCH(K$159, $B$153:$E$153, 0)), 0)</f>
        <v/>
      </c>
      <c r="L168" s="21">
        <f>IFERROR(INDEX($B$154:$E$157, MATCH($N168, $B$153:$E$153, 0), MATCH(L$159, $B$153:$E$153, 0)), 0)</f>
        <v/>
      </c>
      <c r="M168" s="21">
        <f>IFERROR(INDEX($B$154:$E$157, MATCH($N168, $B$153:$E$153, 0), MATCH(M$159, $B$153:$E$153, 0)), 0)</f>
        <v/>
      </c>
      <c r="N168" s="16" t="inlineStr">
        <is>
          <t>U5X</t>
        </is>
      </c>
    </row>
    <row r="169" ht="19.05" customHeight="1" s="52">
      <c r="B169" s="21">
        <f>IFERROR(INDEX($B$154:$E$157, MATCH($N169, $B$153:$E$153, 0), MATCH(B$159, $B$153:$E$153, 0)), 0)</f>
        <v/>
      </c>
      <c r="C169" s="21">
        <f>IFERROR(INDEX($B$154:$E$157, MATCH($N169, $B$153:$E$153, 0), MATCH(C$159, $B$153:$E$153, 0)), 0)</f>
        <v/>
      </c>
      <c r="D169" s="21">
        <f>IFERROR(INDEX($B$154:$E$157, MATCH($N169, $B$153:$E$153, 0), MATCH(D$159, $B$153:$E$153, 0)), 0)</f>
        <v/>
      </c>
      <c r="E169" s="21">
        <f>IFERROR(INDEX($B$154:$E$157, MATCH($N169, $B$153:$E$153, 0), MATCH(E$159, $B$153:$E$153, 0)), 0)</f>
        <v/>
      </c>
      <c r="F169" s="21">
        <f>IFERROR(INDEX($B$154:$E$157, MATCH($N169, $B$153:$E$153, 0), MATCH(F$159, $B$153:$E$153, 0)), 0)</f>
        <v/>
      </c>
      <c r="G169" s="21">
        <f>IFERROR(INDEX($B$154:$E$157, MATCH($N169, $B$153:$E$153, 0), MATCH(G$159, $B$153:$E$153, 0)), 0)</f>
        <v/>
      </c>
      <c r="H169" s="21">
        <f>IFERROR(INDEX($B$154:$E$157, MATCH($N169, $B$153:$E$153, 0), MATCH(H$159, $B$153:$E$153, 0)), 0)</f>
        <v/>
      </c>
      <c r="I169" s="21">
        <f>IFERROR(INDEX($B$154:$E$157, MATCH($N169, $B$153:$E$153, 0), MATCH(I$159, $B$153:$E$153, 0)), 0)</f>
        <v/>
      </c>
      <c r="J169" s="21">
        <f>IFERROR(INDEX($B$154:$E$157, MATCH($N169, $B$153:$E$153, 0), MATCH(J$159, $B$153:$E$153, 0)), 0)</f>
        <v/>
      </c>
      <c r="K169" s="21">
        <f>IFERROR(INDEX($B$154:$E$157, MATCH($N169, $B$153:$E$153, 0), MATCH(K$159, $B$153:$E$153, 0)), 0)</f>
        <v/>
      </c>
      <c r="L169" s="21">
        <f>IFERROR(INDEX($B$154:$E$157, MATCH($N169, $B$153:$E$153, 0), MATCH(L$159, $B$153:$E$153, 0)), 0)</f>
        <v/>
      </c>
      <c r="M169" s="21">
        <f>IFERROR(INDEX($B$154:$E$157, MATCH($N169, $B$153:$E$153, 0), MATCH(M$159, $B$153:$E$153, 0)), 0)</f>
        <v/>
      </c>
      <c r="N169" s="16" t="inlineStr">
        <is>
          <t>U5Y</t>
        </is>
      </c>
    </row>
    <row r="170" ht="19.05" customHeight="1" s="52">
      <c r="B170" s="21">
        <f>IFERROR(INDEX($B$154:$E$157, MATCH($N170, $B$153:$E$153, 0), MATCH(B$159, $B$153:$E$153, 0)), 0)</f>
        <v/>
      </c>
      <c r="C170" s="21">
        <f>IFERROR(INDEX($B$154:$E$157, MATCH($N170, $B$153:$E$153, 0), MATCH(C$159, $B$153:$E$153, 0)), 0)</f>
        <v/>
      </c>
      <c r="D170" s="21">
        <f>IFERROR(INDEX($B$154:$E$157, MATCH($N170, $B$153:$E$153, 0), MATCH(D$159, $B$153:$E$153, 0)), 0)</f>
        <v/>
      </c>
      <c r="E170" s="21">
        <f>IFERROR(INDEX($B$154:$E$157, MATCH($N170, $B$153:$E$153, 0), MATCH(E$159, $B$153:$E$153, 0)), 0)</f>
        <v/>
      </c>
      <c r="F170" s="21">
        <f>IFERROR(INDEX($B$154:$E$157, MATCH($N170, $B$153:$E$153, 0), MATCH(F$159, $B$153:$E$153, 0)), 0)</f>
        <v/>
      </c>
      <c r="G170" s="21">
        <f>IFERROR(INDEX($B$154:$E$157, MATCH($N170, $B$153:$E$153, 0), MATCH(G$159, $B$153:$E$153, 0)), 0)</f>
        <v/>
      </c>
      <c r="H170" s="21">
        <f>IFERROR(INDEX($B$154:$E$157, MATCH($N170, $B$153:$E$153, 0), MATCH(H$159, $B$153:$E$153, 0)), 0)</f>
        <v/>
      </c>
      <c r="I170" s="21">
        <f>IFERROR(INDEX($B$154:$E$157, MATCH($N170, $B$153:$E$153, 0), MATCH(I$159, $B$153:$E$153, 0)), 0)</f>
        <v/>
      </c>
      <c r="J170" s="21">
        <f>IFERROR(INDEX($B$154:$E$157, MATCH($N170, $B$153:$E$153, 0), MATCH(J$159, $B$153:$E$153, 0)), 0)</f>
        <v/>
      </c>
      <c r="K170" s="21">
        <f>IFERROR(INDEX($B$154:$E$157, MATCH($N170, $B$153:$E$153, 0), MATCH(K$159, $B$153:$E$153, 0)), 0)</f>
        <v/>
      </c>
      <c r="L170" s="21">
        <f>IFERROR(INDEX($B$154:$E$157, MATCH($N170, $B$153:$E$153, 0), MATCH(L$159, $B$153:$E$153, 0)), 0)</f>
        <v/>
      </c>
      <c r="M170" s="21">
        <f>IFERROR(INDEX($B$154:$E$157, MATCH($N170, $B$153:$E$153, 0), MATCH(M$159, $B$153:$E$153, 0)), 0)</f>
        <v/>
      </c>
      <c r="N170" s="16" t="inlineStr">
        <is>
          <t>U6X</t>
        </is>
      </c>
    </row>
    <row r="171" ht="19.05" customHeight="1" s="52">
      <c r="B171" s="21">
        <f>IFERROR(INDEX($B$154:$E$157, MATCH($N171, $B$153:$E$153, 0), MATCH(B$159, $B$153:$E$153, 0)), 0)</f>
        <v/>
      </c>
      <c r="C171" s="21">
        <f>IFERROR(INDEX($B$154:$E$157, MATCH($N171, $B$153:$E$153, 0), MATCH(C$159, $B$153:$E$153, 0)), 0)</f>
        <v/>
      </c>
      <c r="D171" s="21">
        <f>IFERROR(INDEX($B$154:$E$157, MATCH($N171, $B$153:$E$153, 0), MATCH(D$159, $B$153:$E$153, 0)), 0)</f>
        <v/>
      </c>
      <c r="E171" s="21">
        <f>IFERROR(INDEX($B$154:$E$157, MATCH($N171, $B$153:$E$153, 0), MATCH(E$159, $B$153:$E$153, 0)), 0)</f>
        <v/>
      </c>
      <c r="F171" s="21">
        <f>IFERROR(INDEX($B$154:$E$157, MATCH($N171, $B$153:$E$153, 0), MATCH(F$159, $B$153:$E$153, 0)), 0)</f>
        <v/>
      </c>
      <c r="G171" s="21">
        <f>IFERROR(INDEX($B$154:$E$157, MATCH($N171, $B$153:$E$153, 0), MATCH(G$159, $B$153:$E$153, 0)), 0)</f>
        <v/>
      </c>
      <c r="H171" s="21">
        <f>IFERROR(INDEX($B$154:$E$157, MATCH($N171, $B$153:$E$153, 0), MATCH(H$159, $B$153:$E$153, 0)), 0)</f>
        <v/>
      </c>
      <c r="I171" s="21">
        <f>IFERROR(INDEX($B$154:$E$157, MATCH($N171, $B$153:$E$153, 0), MATCH(I$159, $B$153:$E$153, 0)), 0)</f>
        <v/>
      </c>
      <c r="J171" s="21">
        <f>IFERROR(INDEX($B$154:$E$157, MATCH($N171, $B$153:$E$153, 0), MATCH(J$159, $B$153:$E$153, 0)), 0)</f>
        <v/>
      </c>
      <c r="K171" s="21">
        <f>IFERROR(INDEX($B$154:$E$157, MATCH($N171, $B$153:$E$153, 0), MATCH(K$159, $B$153:$E$153, 0)), 0)</f>
        <v/>
      </c>
      <c r="L171" s="21">
        <f>IFERROR(INDEX($B$154:$E$157, MATCH($N171, $B$153:$E$153, 0), MATCH(L$159, $B$153:$E$153, 0)), 0)</f>
        <v/>
      </c>
      <c r="M171" s="21">
        <f>IFERROR(INDEX($B$154:$E$157, MATCH($N171, $B$153:$E$153, 0), MATCH(M$159, $B$153:$E$153, 0)), 0)</f>
        <v/>
      </c>
      <c r="N171" s="16" t="inlineStr">
        <is>
          <t>U6Y</t>
        </is>
      </c>
    </row>
    <row r="174" ht="19.05" customHeight="1" s="52">
      <c r="A174" s="19" t="inlineStr">
        <is>
          <t>k8=</t>
        </is>
      </c>
      <c r="B174" s="17">
        <f>IF(D24="","-",D24)</f>
        <v/>
      </c>
      <c r="C174" s="17">
        <f>IF(E24="","-",E24)</f>
        <v/>
      </c>
      <c r="D174" s="17">
        <f>IF(G24="","-",G24)</f>
        <v/>
      </c>
      <c r="E174" s="17">
        <f>IF(H24="","-",H24)</f>
        <v/>
      </c>
    </row>
    <row r="175" ht="18" customHeight="1" s="52">
      <c r="B175" s="28">
        <f>IF(N13=0, 0, N13*J13*J13)</f>
        <v/>
      </c>
      <c r="C175" s="28">
        <f>IF(N13=0, 0, N13*J13*K13)</f>
        <v/>
      </c>
      <c r="D175" s="28">
        <f>IF(N13=0, 0, -N13*J13*J13)</f>
        <v/>
      </c>
      <c r="E175" s="28">
        <f>IF(N13=0, 0, -N13*J13*K13)</f>
        <v/>
      </c>
      <c r="F175" s="17">
        <f>IF(D24="","-",D24)</f>
        <v/>
      </c>
    </row>
    <row r="176" ht="18" customHeight="1" s="52">
      <c r="B176" s="28">
        <f>IF(N13=0, 0, N13*J13*K13)</f>
        <v/>
      </c>
      <c r="C176" s="28">
        <f>IF(N13=0, 0, N13*K13*K13)</f>
        <v/>
      </c>
      <c r="D176" s="28">
        <f>IF(N13=0, 0, -N13*J13*K13)</f>
        <v/>
      </c>
      <c r="E176" s="28">
        <f>IF(N13=0, 0, -N13*K13*K13)</f>
        <v/>
      </c>
      <c r="F176" s="17">
        <f>IF(E24="","-",E24)</f>
        <v/>
      </c>
    </row>
    <row r="177" ht="18" customHeight="1" s="52">
      <c r="B177" s="28">
        <f>IF(N13=0, 0, -N13*J13*J13)</f>
        <v/>
      </c>
      <c r="C177" s="28">
        <f>IF(N13=0, 0, -N13*J13*K13)</f>
        <v/>
      </c>
      <c r="D177" s="28">
        <f>IF(N13=0, 0, N13*J13*J13)</f>
        <v/>
      </c>
      <c r="E177" s="28">
        <f>IF(N13=0, 0, N13*J13*K13)</f>
        <v/>
      </c>
      <c r="F177" s="17">
        <f>IF(G24="","-",G24)</f>
        <v/>
      </c>
    </row>
    <row r="178" ht="18" customHeight="1" s="52">
      <c r="B178" s="28">
        <f>IF(N13=0, 0, -N13*J13*K13)</f>
        <v/>
      </c>
      <c r="C178" s="28">
        <f>IF(N13=0, 0, -N13*K13*K13)</f>
        <v/>
      </c>
      <c r="D178" s="28">
        <f>IF(N13=0, 0, N13*J13*K13)</f>
        <v/>
      </c>
      <c r="E178" s="28">
        <f>IF(N13=0, 0, N13*K13*K13)</f>
        <v/>
      </c>
      <c r="F178" s="17">
        <f>IF(H24="","-",H24)</f>
        <v/>
      </c>
    </row>
    <row r="180" ht="19.05" customHeight="1" s="52">
      <c r="B180" s="54" t="inlineStr">
        <is>
          <t>U1X</t>
        </is>
      </c>
      <c r="C180" s="54" t="inlineStr">
        <is>
          <t>U1Y</t>
        </is>
      </c>
      <c r="D180" s="54" t="inlineStr">
        <is>
          <t>U2X</t>
        </is>
      </c>
      <c r="E180" s="54" t="inlineStr">
        <is>
          <t>U2Y</t>
        </is>
      </c>
      <c r="F180" s="54" t="inlineStr">
        <is>
          <t>U3X</t>
        </is>
      </c>
      <c r="G180" s="54" t="inlineStr">
        <is>
          <t>U3Y</t>
        </is>
      </c>
      <c r="H180" s="54" t="inlineStr">
        <is>
          <t>U4X</t>
        </is>
      </c>
      <c r="I180" s="54" t="inlineStr">
        <is>
          <t>U4Y</t>
        </is>
      </c>
      <c r="J180" s="54" t="inlineStr">
        <is>
          <t>U5X</t>
        </is>
      </c>
      <c r="K180" s="54" t="inlineStr">
        <is>
          <t>U5Y</t>
        </is>
      </c>
      <c r="L180" s="54" t="inlineStr">
        <is>
          <t>U6X</t>
        </is>
      </c>
      <c r="M180" s="54" t="inlineStr">
        <is>
          <t>U6Y</t>
        </is>
      </c>
    </row>
    <row r="181" ht="19.05" customHeight="1" s="52">
      <c r="B181" s="21">
        <f>IFERROR(INDEX($B$175:$E$178, MATCH($N181, $B$174:$E$174, 0), MATCH(B$180, $B$174:$E$174, 0)), 0)</f>
        <v/>
      </c>
      <c r="C181" s="21">
        <f>IFERROR(INDEX($B$175:$E$178, MATCH($N181, $B$174:$E$174, 0), MATCH(C$180, $B$174:$E$174, 0)), 0)</f>
        <v/>
      </c>
      <c r="D181" s="21">
        <f>IFERROR(INDEX($B$175:$E$178, MATCH($N181, $B$174:$E$174, 0), MATCH(D$180, $B$174:$E$174, 0)), 0)</f>
        <v/>
      </c>
      <c r="E181" s="21">
        <f>IFERROR(INDEX($B$175:$E$178, MATCH($N181, $B$174:$E$174, 0), MATCH(E$180, $B$174:$E$174, 0)), 0)</f>
        <v/>
      </c>
      <c r="F181" s="21">
        <f>IFERROR(INDEX($B$175:$E$178, MATCH($N181, $B$174:$E$174, 0), MATCH(F$180, $B$174:$E$174, 0)), 0)</f>
        <v/>
      </c>
      <c r="G181" s="21">
        <f>IFERROR(INDEX($B$175:$E$178, MATCH($N181, $B$174:$E$174, 0), MATCH(G$180, $B$174:$E$174, 0)), 0)</f>
        <v/>
      </c>
      <c r="H181" s="21">
        <f>IFERROR(INDEX($B$175:$E$178, MATCH($N181, $B$174:$E$174, 0), MATCH(H$180, $B$174:$E$174, 0)), 0)</f>
        <v/>
      </c>
      <c r="I181" s="21">
        <f>IFERROR(INDEX($B$175:$E$178, MATCH($N181, $B$174:$E$174, 0), MATCH(I$180, $B$174:$E$174, 0)), 0)</f>
        <v/>
      </c>
      <c r="J181" s="21">
        <f>IFERROR(INDEX($B$175:$E$178, MATCH($N181, $B$174:$E$174, 0), MATCH(J$180, $B$174:$E$174, 0)), 0)</f>
        <v/>
      </c>
      <c r="K181" s="21">
        <f>IFERROR(INDEX($B$175:$E$178, MATCH($N181, $B$174:$E$174, 0), MATCH(K$180, $B$174:$E$174, 0)), 0)</f>
        <v/>
      </c>
      <c r="L181" s="21">
        <f>IFERROR(INDEX($B$175:$E$178, MATCH($N181, $B$174:$E$174, 0), MATCH(L$180, $B$174:$E$174, 0)), 0)</f>
        <v/>
      </c>
      <c r="M181" s="21">
        <f>IFERROR(INDEX($B$175:$E$178, MATCH($N181, $B$174:$E$174, 0), MATCH(M$180, $B$174:$E$174, 0)), 0)</f>
        <v/>
      </c>
      <c r="N181" s="17" t="inlineStr">
        <is>
          <t>U1X</t>
        </is>
      </c>
    </row>
    <row r="182" ht="19.05" customHeight="1" s="52">
      <c r="B182" s="21">
        <f>IFERROR(INDEX($B$175:$E$178, MATCH($N182, $B$174:$E$174, 0), MATCH(B$180, $B$174:$E$174, 0)), 0)</f>
        <v/>
      </c>
      <c r="C182" s="21">
        <f>IFERROR(INDEX($B$175:$E$178, MATCH($N182, $B$174:$E$174, 0), MATCH(C$180, $B$174:$E$174, 0)), 0)</f>
        <v/>
      </c>
      <c r="D182" s="21">
        <f>IFERROR(INDEX($B$175:$E$178, MATCH($N182, $B$174:$E$174, 0), MATCH(D$180, $B$174:$E$174, 0)), 0)</f>
        <v/>
      </c>
      <c r="E182" s="21">
        <f>IFERROR(INDEX($B$175:$E$178, MATCH($N182, $B$174:$E$174, 0), MATCH(E$180, $B$174:$E$174, 0)), 0)</f>
        <v/>
      </c>
      <c r="F182" s="21">
        <f>IFERROR(INDEX($B$175:$E$178, MATCH($N182, $B$174:$E$174, 0), MATCH(F$180, $B$174:$E$174, 0)), 0)</f>
        <v/>
      </c>
      <c r="G182" s="21">
        <f>IFERROR(INDEX($B$175:$E$178, MATCH($N182, $B$174:$E$174, 0), MATCH(G$180, $B$174:$E$174, 0)), 0)</f>
        <v/>
      </c>
      <c r="H182" s="21">
        <f>IFERROR(INDEX($B$175:$E$178, MATCH($N182, $B$174:$E$174, 0), MATCH(H$180, $B$174:$E$174, 0)), 0)</f>
        <v/>
      </c>
      <c r="I182" s="21">
        <f>IFERROR(INDEX($B$175:$E$178, MATCH($N182, $B$174:$E$174, 0), MATCH(I$180, $B$174:$E$174, 0)), 0)</f>
        <v/>
      </c>
      <c r="J182" s="21">
        <f>IFERROR(INDEX($B$175:$E$178, MATCH($N182, $B$174:$E$174, 0), MATCH(J$180, $B$174:$E$174, 0)), 0)</f>
        <v/>
      </c>
      <c r="K182" s="21">
        <f>IFERROR(INDEX($B$175:$E$178, MATCH($N182, $B$174:$E$174, 0), MATCH(K$180, $B$174:$E$174, 0)), 0)</f>
        <v/>
      </c>
      <c r="L182" s="21">
        <f>IFERROR(INDEX($B$175:$E$178, MATCH($N182, $B$174:$E$174, 0), MATCH(L$180, $B$174:$E$174, 0)), 0)</f>
        <v/>
      </c>
      <c r="M182" s="21">
        <f>IFERROR(INDEX($B$175:$E$178, MATCH($N182, $B$174:$E$174, 0), MATCH(M$180, $B$174:$E$174, 0)), 0)</f>
        <v/>
      </c>
      <c r="N182" s="17" t="inlineStr">
        <is>
          <t>U1Y</t>
        </is>
      </c>
    </row>
    <row r="183" ht="19.05" customHeight="1" s="52">
      <c r="B183" s="21">
        <f>IFERROR(INDEX($B$175:$E$178, MATCH($N183, $B$174:$E$174, 0), MATCH(B$180, $B$174:$E$174, 0)), 0)</f>
        <v/>
      </c>
      <c r="C183" s="21">
        <f>IFERROR(INDEX($B$175:$E$178, MATCH($N183, $B$174:$E$174, 0), MATCH(C$180, $B$174:$E$174, 0)), 0)</f>
        <v/>
      </c>
      <c r="D183" s="21">
        <f>IFERROR(INDEX($B$175:$E$178, MATCH($N183, $B$174:$E$174, 0), MATCH(D$180, $B$174:$E$174, 0)), 0)</f>
        <v/>
      </c>
      <c r="E183" s="21">
        <f>IFERROR(INDEX($B$175:$E$178, MATCH($N183, $B$174:$E$174, 0), MATCH(E$180, $B$174:$E$174, 0)), 0)</f>
        <v/>
      </c>
      <c r="F183" s="21">
        <f>IFERROR(INDEX($B$175:$E$178, MATCH($N183, $B$174:$E$174, 0), MATCH(F$180, $B$174:$E$174, 0)), 0)</f>
        <v/>
      </c>
      <c r="G183" s="21">
        <f>IFERROR(INDEX($B$175:$E$178, MATCH($N183, $B$174:$E$174, 0), MATCH(G$180, $B$174:$E$174, 0)), 0)</f>
        <v/>
      </c>
      <c r="H183" s="21">
        <f>IFERROR(INDEX($B$175:$E$178, MATCH($N183, $B$174:$E$174, 0), MATCH(H$180, $B$174:$E$174, 0)), 0)</f>
        <v/>
      </c>
      <c r="I183" s="21">
        <f>IFERROR(INDEX($B$175:$E$178, MATCH($N183, $B$174:$E$174, 0), MATCH(I$180, $B$174:$E$174, 0)), 0)</f>
        <v/>
      </c>
      <c r="J183" s="21">
        <f>IFERROR(INDEX($B$175:$E$178, MATCH($N183, $B$174:$E$174, 0), MATCH(J$180, $B$174:$E$174, 0)), 0)</f>
        <v/>
      </c>
      <c r="K183" s="21">
        <f>IFERROR(INDEX($B$175:$E$178, MATCH($N183, $B$174:$E$174, 0), MATCH(K$180, $B$174:$E$174, 0)), 0)</f>
        <v/>
      </c>
      <c r="L183" s="21">
        <f>IFERROR(INDEX($B$175:$E$178, MATCH($N183, $B$174:$E$174, 0), MATCH(L$180, $B$174:$E$174, 0)), 0)</f>
        <v/>
      </c>
      <c r="M183" s="21">
        <f>IFERROR(INDEX($B$175:$E$178, MATCH($N183, $B$174:$E$174, 0), MATCH(M$180, $B$174:$E$174, 0)), 0)</f>
        <v/>
      </c>
      <c r="N183" s="17" t="inlineStr">
        <is>
          <t>U2X</t>
        </is>
      </c>
    </row>
    <row r="184" ht="19.05" customHeight="1" s="52">
      <c r="B184" s="21">
        <f>IFERROR(INDEX($B$175:$E$178, MATCH($N184, $B$174:$E$174, 0), MATCH(B$180, $B$174:$E$174, 0)), 0)</f>
        <v/>
      </c>
      <c r="C184" s="21">
        <f>IFERROR(INDEX($B$175:$E$178, MATCH($N184, $B$174:$E$174, 0), MATCH(C$180, $B$174:$E$174, 0)), 0)</f>
        <v/>
      </c>
      <c r="D184" s="21">
        <f>IFERROR(INDEX($B$175:$E$178, MATCH($N184, $B$174:$E$174, 0), MATCH(D$180, $B$174:$E$174, 0)), 0)</f>
        <v/>
      </c>
      <c r="E184" s="21">
        <f>IFERROR(INDEX($B$175:$E$178, MATCH($N184, $B$174:$E$174, 0), MATCH(E$180, $B$174:$E$174, 0)), 0)</f>
        <v/>
      </c>
      <c r="F184" s="21">
        <f>IFERROR(INDEX($B$175:$E$178, MATCH($N184, $B$174:$E$174, 0), MATCH(F$180, $B$174:$E$174, 0)), 0)</f>
        <v/>
      </c>
      <c r="G184" s="21">
        <f>IFERROR(INDEX($B$175:$E$178, MATCH($N184, $B$174:$E$174, 0), MATCH(G$180, $B$174:$E$174, 0)), 0)</f>
        <v/>
      </c>
      <c r="H184" s="21">
        <f>IFERROR(INDEX($B$175:$E$178, MATCH($N184, $B$174:$E$174, 0), MATCH(H$180, $B$174:$E$174, 0)), 0)</f>
        <v/>
      </c>
      <c r="I184" s="21">
        <f>IFERROR(INDEX($B$175:$E$178, MATCH($N184, $B$174:$E$174, 0), MATCH(I$180, $B$174:$E$174, 0)), 0)</f>
        <v/>
      </c>
      <c r="J184" s="21">
        <f>IFERROR(INDEX($B$175:$E$178, MATCH($N184, $B$174:$E$174, 0), MATCH(J$180, $B$174:$E$174, 0)), 0)</f>
        <v/>
      </c>
      <c r="K184" s="21">
        <f>IFERROR(INDEX($B$175:$E$178, MATCH($N184, $B$174:$E$174, 0), MATCH(K$180, $B$174:$E$174, 0)), 0)</f>
        <v/>
      </c>
      <c r="L184" s="21">
        <f>IFERROR(INDEX($B$175:$E$178, MATCH($N184, $B$174:$E$174, 0), MATCH(L$180, $B$174:$E$174, 0)), 0)</f>
        <v/>
      </c>
      <c r="M184" s="21">
        <f>IFERROR(INDEX($B$175:$E$178, MATCH($N184, $B$174:$E$174, 0), MATCH(M$180, $B$174:$E$174, 0)), 0)</f>
        <v/>
      </c>
      <c r="N184" s="17" t="inlineStr">
        <is>
          <t>U2Y</t>
        </is>
      </c>
    </row>
    <row r="185" ht="19.05" customHeight="1" s="52">
      <c r="B185" s="21">
        <f>IFERROR(INDEX($B$175:$E$178, MATCH($N185, $B$174:$E$174, 0), MATCH(B$180, $B$174:$E$174, 0)), 0)</f>
        <v/>
      </c>
      <c r="C185" s="21">
        <f>IFERROR(INDEX($B$175:$E$178, MATCH($N185, $B$174:$E$174, 0), MATCH(C$180, $B$174:$E$174, 0)), 0)</f>
        <v/>
      </c>
      <c r="D185" s="21">
        <f>IFERROR(INDEX($B$175:$E$178, MATCH($N185, $B$174:$E$174, 0), MATCH(D$180, $B$174:$E$174, 0)), 0)</f>
        <v/>
      </c>
      <c r="E185" s="21">
        <f>IFERROR(INDEX($B$175:$E$178, MATCH($N185, $B$174:$E$174, 0), MATCH(E$180, $B$174:$E$174, 0)), 0)</f>
        <v/>
      </c>
      <c r="F185" s="21">
        <f>IFERROR(INDEX($B$175:$E$178, MATCH($N185, $B$174:$E$174, 0), MATCH(F$180, $B$174:$E$174, 0)), 0)</f>
        <v/>
      </c>
      <c r="G185" s="21">
        <f>IFERROR(INDEX($B$175:$E$178, MATCH($N185, $B$174:$E$174, 0), MATCH(G$180, $B$174:$E$174, 0)), 0)</f>
        <v/>
      </c>
      <c r="H185" s="21">
        <f>IFERROR(INDEX($B$175:$E$178, MATCH($N185, $B$174:$E$174, 0), MATCH(H$180, $B$174:$E$174, 0)), 0)</f>
        <v/>
      </c>
      <c r="I185" s="21">
        <f>IFERROR(INDEX($B$175:$E$178, MATCH($N185, $B$174:$E$174, 0), MATCH(I$180, $B$174:$E$174, 0)), 0)</f>
        <v/>
      </c>
      <c r="J185" s="21">
        <f>IFERROR(INDEX($B$175:$E$178, MATCH($N185, $B$174:$E$174, 0), MATCH(J$180, $B$174:$E$174, 0)), 0)</f>
        <v/>
      </c>
      <c r="K185" s="21">
        <f>IFERROR(INDEX($B$175:$E$178, MATCH($N185, $B$174:$E$174, 0), MATCH(K$180, $B$174:$E$174, 0)), 0)</f>
        <v/>
      </c>
      <c r="L185" s="21">
        <f>IFERROR(INDEX($B$175:$E$178, MATCH($N185, $B$174:$E$174, 0), MATCH(L$180, $B$174:$E$174, 0)), 0)</f>
        <v/>
      </c>
      <c r="M185" s="21">
        <f>IFERROR(INDEX($B$175:$E$178, MATCH($N185, $B$174:$E$174, 0), MATCH(M$180, $B$174:$E$174, 0)), 0)</f>
        <v/>
      </c>
      <c r="N185" s="17" t="inlineStr">
        <is>
          <t>U3X</t>
        </is>
      </c>
    </row>
    <row r="186" ht="19.05" customHeight="1" s="52">
      <c r="A186" s="19" t="inlineStr">
        <is>
          <t>K8=</t>
        </is>
      </c>
      <c r="B186" s="21">
        <f>IFERROR(INDEX($B$175:$E$178, MATCH($N186, $B$174:$E$174, 0), MATCH(B$180, $B$174:$E$174, 0)), 0)</f>
        <v/>
      </c>
      <c r="C186" s="21">
        <f>IFERROR(INDEX($B$175:$E$178, MATCH($N186, $B$174:$E$174, 0), MATCH(C$180, $B$174:$E$174, 0)), 0)</f>
        <v/>
      </c>
      <c r="D186" s="21">
        <f>IFERROR(INDEX($B$175:$E$178, MATCH($N186, $B$174:$E$174, 0), MATCH(D$180, $B$174:$E$174, 0)), 0)</f>
        <v/>
      </c>
      <c r="E186" s="21">
        <f>IFERROR(INDEX($B$175:$E$178, MATCH($N186, $B$174:$E$174, 0), MATCH(E$180, $B$174:$E$174, 0)), 0)</f>
        <v/>
      </c>
      <c r="F186" s="21">
        <f>IFERROR(INDEX($B$175:$E$178, MATCH($N186, $B$174:$E$174, 0), MATCH(F$180, $B$174:$E$174, 0)), 0)</f>
        <v/>
      </c>
      <c r="G186" s="21">
        <f>IFERROR(INDEX($B$175:$E$178, MATCH($N186, $B$174:$E$174, 0), MATCH(G$180, $B$174:$E$174, 0)), 0)</f>
        <v/>
      </c>
      <c r="H186" s="21">
        <f>IFERROR(INDEX($B$175:$E$178, MATCH($N186, $B$174:$E$174, 0), MATCH(H$180, $B$174:$E$174, 0)), 0)</f>
        <v/>
      </c>
      <c r="I186" s="21">
        <f>IFERROR(INDEX($B$175:$E$178, MATCH($N186, $B$174:$E$174, 0), MATCH(I$180, $B$174:$E$174, 0)), 0)</f>
        <v/>
      </c>
      <c r="J186" s="21">
        <f>IFERROR(INDEX($B$175:$E$178, MATCH($N186, $B$174:$E$174, 0), MATCH(J$180, $B$174:$E$174, 0)), 0)</f>
        <v/>
      </c>
      <c r="K186" s="21">
        <f>IFERROR(INDEX($B$175:$E$178, MATCH($N186, $B$174:$E$174, 0), MATCH(K$180, $B$174:$E$174, 0)), 0)</f>
        <v/>
      </c>
      <c r="L186" s="21">
        <f>IFERROR(INDEX($B$175:$E$178, MATCH($N186, $B$174:$E$174, 0), MATCH(L$180, $B$174:$E$174, 0)), 0)</f>
        <v/>
      </c>
      <c r="M186" s="21">
        <f>IFERROR(INDEX($B$175:$E$178, MATCH($N186, $B$174:$E$174, 0), MATCH(M$180, $B$174:$E$174, 0)), 0)</f>
        <v/>
      </c>
      <c r="N186" s="17" t="inlineStr">
        <is>
          <t>U3Y</t>
        </is>
      </c>
    </row>
    <row r="187" ht="19.05" customHeight="1" s="52">
      <c r="B187" s="21">
        <f>IFERROR(INDEX($B$175:$E$178, MATCH($N187, $B$174:$E$174, 0), MATCH(B$180, $B$174:$E$174, 0)), 0)</f>
        <v/>
      </c>
      <c r="C187" s="21">
        <f>IFERROR(INDEX($B$175:$E$178, MATCH($N187, $B$174:$E$174, 0), MATCH(C$180, $B$174:$E$174, 0)), 0)</f>
        <v/>
      </c>
      <c r="D187" s="21">
        <f>IFERROR(INDEX($B$175:$E$178, MATCH($N187, $B$174:$E$174, 0), MATCH(D$180, $B$174:$E$174, 0)), 0)</f>
        <v/>
      </c>
      <c r="E187" s="21">
        <f>IFERROR(INDEX($B$175:$E$178, MATCH($N187, $B$174:$E$174, 0), MATCH(E$180, $B$174:$E$174, 0)), 0)</f>
        <v/>
      </c>
      <c r="F187" s="21">
        <f>IFERROR(INDEX($B$175:$E$178, MATCH($N187, $B$174:$E$174, 0), MATCH(F$180, $B$174:$E$174, 0)), 0)</f>
        <v/>
      </c>
      <c r="G187" s="21">
        <f>IFERROR(INDEX($B$175:$E$178, MATCH($N187, $B$174:$E$174, 0), MATCH(G$180, $B$174:$E$174, 0)), 0)</f>
        <v/>
      </c>
      <c r="H187" s="21">
        <f>IFERROR(INDEX($B$175:$E$178, MATCH($N187, $B$174:$E$174, 0), MATCH(H$180, $B$174:$E$174, 0)), 0)</f>
        <v/>
      </c>
      <c r="I187" s="21">
        <f>IFERROR(INDEX($B$175:$E$178, MATCH($N187, $B$174:$E$174, 0), MATCH(I$180, $B$174:$E$174, 0)), 0)</f>
        <v/>
      </c>
      <c r="J187" s="21">
        <f>IFERROR(INDEX($B$175:$E$178, MATCH($N187, $B$174:$E$174, 0), MATCH(J$180, $B$174:$E$174, 0)), 0)</f>
        <v/>
      </c>
      <c r="K187" s="21">
        <f>IFERROR(INDEX($B$175:$E$178, MATCH($N187, $B$174:$E$174, 0), MATCH(K$180, $B$174:$E$174, 0)), 0)</f>
        <v/>
      </c>
      <c r="L187" s="21">
        <f>IFERROR(INDEX($B$175:$E$178, MATCH($N187, $B$174:$E$174, 0), MATCH(L$180, $B$174:$E$174, 0)), 0)</f>
        <v/>
      </c>
      <c r="M187" s="21">
        <f>IFERROR(INDEX($B$175:$E$178, MATCH($N187, $B$174:$E$174, 0), MATCH(M$180, $B$174:$E$174, 0)), 0)</f>
        <v/>
      </c>
      <c r="N187" s="17" t="inlineStr">
        <is>
          <t>U4X</t>
        </is>
      </c>
    </row>
    <row r="188" ht="19.05" customHeight="1" s="52">
      <c r="B188" s="21">
        <f>IFERROR(INDEX($B$175:$E$178, MATCH($N188, $B$174:$E$174, 0), MATCH(B$180, $B$174:$E$174, 0)), 0)</f>
        <v/>
      </c>
      <c r="C188" s="21">
        <f>IFERROR(INDEX($B$175:$E$178, MATCH($N188, $B$174:$E$174, 0), MATCH(C$180, $B$174:$E$174, 0)), 0)</f>
        <v/>
      </c>
      <c r="D188" s="21">
        <f>IFERROR(INDEX($B$175:$E$178, MATCH($N188, $B$174:$E$174, 0), MATCH(D$180, $B$174:$E$174, 0)), 0)</f>
        <v/>
      </c>
      <c r="E188" s="21">
        <f>IFERROR(INDEX($B$175:$E$178, MATCH($N188, $B$174:$E$174, 0), MATCH(E$180, $B$174:$E$174, 0)), 0)</f>
        <v/>
      </c>
      <c r="F188" s="21">
        <f>IFERROR(INDEX($B$175:$E$178, MATCH($N188, $B$174:$E$174, 0), MATCH(F$180, $B$174:$E$174, 0)), 0)</f>
        <v/>
      </c>
      <c r="G188" s="21">
        <f>IFERROR(INDEX($B$175:$E$178, MATCH($N188, $B$174:$E$174, 0), MATCH(G$180, $B$174:$E$174, 0)), 0)</f>
        <v/>
      </c>
      <c r="H188" s="21">
        <f>IFERROR(INDEX($B$175:$E$178, MATCH($N188, $B$174:$E$174, 0), MATCH(H$180, $B$174:$E$174, 0)), 0)</f>
        <v/>
      </c>
      <c r="I188" s="21">
        <f>IFERROR(INDEX($B$175:$E$178, MATCH($N188, $B$174:$E$174, 0), MATCH(I$180, $B$174:$E$174, 0)), 0)</f>
        <v/>
      </c>
      <c r="J188" s="21">
        <f>IFERROR(INDEX($B$175:$E$178, MATCH($N188, $B$174:$E$174, 0), MATCH(J$180, $B$174:$E$174, 0)), 0)</f>
        <v/>
      </c>
      <c r="K188" s="21">
        <f>IFERROR(INDEX($B$175:$E$178, MATCH($N188, $B$174:$E$174, 0), MATCH(K$180, $B$174:$E$174, 0)), 0)</f>
        <v/>
      </c>
      <c r="L188" s="21">
        <f>IFERROR(INDEX($B$175:$E$178, MATCH($N188, $B$174:$E$174, 0), MATCH(L$180, $B$174:$E$174, 0)), 0)</f>
        <v/>
      </c>
      <c r="M188" s="21">
        <f>IFERROR(INDEX($B$175:$E$178, MATCH($N188, $B$174:$E$174, 0), MATCH(M$180, $B$174:$E$174, 0)), 0)</f>
        <v/>
      </c>
      <c r="N188" s="17" t="inlineStr">
        <is>
          <t>U4Y</t>
        </is>
      </c>
    </row>
    <row r="189" ht="19.05" customHeight="1" s="52">
      <c r="B189" s="21">
        <f>IFERROR(INDEX($B$175:$E$178, MATCH($N189, $B$174:$E$174, 0), MATCH(B$180, $B$174:$E$174, 0)), 0)</f>
        <v/>
      </c>
      <c r="C189" s="21">
        <f>IFERROR(INDEX($B$175:$E$178, MATCH($N189, $B$174:$E$174, 0), MATCH(C$180, $B$174:$E$174, 0)), 0)</f>
        <v/>
      </c>
      <c r="D189" s="21">
        <f>IFERROR(INDEX($B$175:$E$178, MATCH($N189, $B$174:$E$174, 0), MATCH(D$180, $B$174:$E$174, 0)), 0)</f>
        <v/>
      </c>
      <c r="E189" s="21">
        <f>IFERROR(INDEX($B$175:$E$178, MATCH($N189, $B$174:$E$174, 0), MATCH(E$180, $B$174:$E$174, 0)), 0)</f>
        <v/>
      </c>
      <c r="F189" s="21">
        <f>IFERROR(INDEX($B$175:$E$178, MATCH($N189, $B$174:$E$174, 0), MATCH(F$180, $B$174:$E$174, 0)), 0)</f>
        <v/>
      </c>
      <c r="G189" s="21">
        <f>IFERROR(INDEX($B$175:$E$178, MATCH($N189, $B$174:$E$174, 0), MATCH(G$180, $B$174:$E$174, 0)), 0)</f>
        <v/>
      </c>
      <c r="H189" s="21">
        <f>IFERROR(INDEX($B$175:$E$178, MATCH($N189, $B$174:$E$174, 0), MATCH(H$180, $B$174:$E$174, 0)), 0)</f>
        <v/>
      </c>
      <c r="I189" s="21">
        <f>IFERROR(INDEX($B$175:$E$178, MATCH($N189, $B$174:$E$174, 0), MATCH(I$180, $B$174:$E$174, 0)), 0)</f>
        <v/>
      </c>
      <c r="J189" s="21">
        <f>IFERROR(INDEX($B$175:$E$178, MATCH($N189, $B$174:$E$174, 0), MATCH(J$180, $B$174:$E$174, 0)), 0)</f>
        <v/>
      </c>
      <c r="K189" s="21">
        <f>IFERROR(INDEX($B$175:$E$178, MATCH($N189, $B$174:$E$174, 0), MATCH(K$180, $B$174:$E$174, 0)), 0)</f>
        <v/>
      </c>
      <c r="L189" s="21">
        <f>IFERROR(INDEX($B$175:$E$178, MATCH($N189, $B$174:$E$174, 0), MATCH(L$180, $B$174:$E$174, 0)), 0)</f>
        <v/>
      </c>
      <c r="M189" s="21">
        <f>IFERROR(INDEX($B$175:$E$178, MATCH($N189, $B$174:$E$174, 0), MATCH(M$180, $B$174:$E$174, 0)), 0)</f>
        <v/>
      </c>
      <c r="N189" s="17" t="inlineStr">
        <is>
          <t>U5X</t>
        </is>
      </c>
    </row>
    <row r="190" ht="19.05" customHeight="1" s="52">
      <c r="B190" s="21">
        <f>IFERROR(INDEX($B$175:$E$178, MATCH($N190, $B$174:$E$174, 0), MATCH(B$180, $B$174:$E$174, 0)), 0)</f>
        <v/>
      </c>
      <c r="C190" s="21">
        <f>IFERROR(INDEX($B$175:$E$178, MATCH($N190, $B$174:$E$174, 0), MATCH(C$180, $B$174:$E$174, 0)), 0)</f>
        <v/>
      </c>
      <c r="D190" s="21">
        <f>IFERROR(INDEX($B$175:$E$178, MATCH($N190, $B$174:$E$174, 0), MATCH(D$180, $B$174:$E$174, 0)), 0)</f>
        <v/>
      </c>
      <c r="E190" s="21">
        <f>IFERROR(INDEX($B$175:$E$178, MATCH($N190, $B$174:$E$174, 0), MATCH(E$180, $B$174:$E$174, 0)), 0)</f>
        <v/>
      </c>
      <c r="F190" s="21">
        <f>IFERROR(INDEX($B$175:$E$178, MATCH($N190, $B$174:$E$174, 0), MATCH(F$180, $B$174:$E$174, 0)), 0)</f>
        <v/>
      </c>
      <c r="G190" s="21">
        <f>IFERROR(INDEX($B$175:$E$178, MATCH($N190, $B$174:$E$174, 0), MATCH(G$180, $B$174:$E$174, 0)), 0)</f>
        <v/>
      </c>
      <c r="H190" s="21">
        <f>IFERROR(INDEX($B$175:$E$178, MATCH($N190, $B$174:$E$174, 0), MATCH(H$180, $B$174:$E$174, 0)), 0)</f>
        <v/>
      </c>
      <c r="I190" s="21">
        <f>IFERROR(INDEX($B$175:$E$178, MATCH($N190, $B$174:$E$174, 0), MATCH(I$180, $B$174:$E$174, 0)), 0)</f>
        <v/>
      </c>
      <c r="J190" s="21">
        <f>IFERROR(INDEX($B$175:$E$178, MATCH($N190, $B$174:$E$174, 0), MATCH(J$180, $B$174:$E$174, 0)), 0)</f>
        <v/>
      </c>
      <c r="K190" s="21">
        <f>IFERROR(INDEX($B$175:$E$178, MATCH($N190, $B$174:$E$174, 0), MATCH(K$180, $B$174:$E$174, 0)), 0)</f>
        <v/>
      </c>
      <c r="L190" s="21">
        <f>IFERROR(INDEX($B$175:$E$178, MATCH($N190, $B$174:$E$174, 0), MATCH(L$180, $B$174:$E$174, 0)), 0)</f>
        <v/>
      </c>
      <c r="M190" s="21">
        <f>IFERROR(INDEX($B$175:$E$178, MATCH($N190, $B$174:$E$174, 0), MATCH(M$180, $B$174:$E$174, 0)), 0)</f>
        <v/>
      </c>
      <c r="N190" s="17" t="inlineStr">
        <is>
          <t>U5Y</t>
        </is>
      </c>
    </row>
    <row r="191" ht="19.05" customHeight="1" s="52">
      <c r="B191" s="21">
        <f>IFERROR(INDEX($B$175:$E$178, MATCH($N191, $B$174:$E$174, 0), MATCH(B$180, $B$174:$E$174, 0)), 0)</f>
        <v/>
      </c>
      <c r="C191" s="21">
        <f>IFERROR(INDEX($B$175:$E$178, MATCH($N191, $B$174:$E$174, 0), MATCH(C$180, $B$174:$E$174, 0)), 0)</f>
        <v/>
      </c>
      <c r="D191" s="21">
        <f>IFERROR(INDEX($B$175:$E$178, MATCH($N191, $B$174:$E$174, 0), MATCH(D$180, $B$174:$E$174, 0)), 0)</f>
        <v/>
      </c>
      <c r="E191" s="21">
        <f>IFERROR(INDEX($B$175:$E$178, MATCH($N191, $B$174:$E$174, 0), MATCH(E$180, $B$174:$E$174, 0)), 0)</f>
        <v/>
      </c>
      <c r="F191" s="21">
        <f>IFERROR(INDEX($B$175:$E$178, MATCH($N191, $B$174:$E$174, 0), MATCH(F$180, $B$174:$E$174, 0)), 0)</f>
        <v/>
      </c>
      <c r="G191" s="21">
        <f>IFERROR(INDEX($B$175:$E$178, MATCH($N191, $B$174:$E$174, 0), MATCH(G$180, $B$174:$E$174, 0)), 0)</f>
        <v/>
      </c>
      <c r="H191" s="21">
        <f>IFERROR(INDEX($B$175:$E$178, MATCH($N191, $B$174:$E$174, 0), MATCH(H$180, $B$174:$E$174, 0)), 0)</f>
        <v/>
      </c>
      <c r="I191" s="21">
        <f>IFERROR(INDEX($B$175:$E$178, MATCH($N191, $B$174:$E$174, 0), MATCH(I$180, $B$174:$E$174, 0)), 0)</f>
        <v/>
      </c>
      <c r="J191" s="21">
        <f>IFERROR(INDEX($B$175:$E$178, MATCH($N191, $B$174:$E$174, 0), MATCH(J$180, $B$174:$E$174, 0)), 0)</f>
        <v/>
      </c>
      <c r="K191" s="21">
        <f>IFERROR(INDEX($B$175:$E$178, MATCH($N191, $B$174:$E$174, 0), MATCH(K$180, $B$174:$E$174, 0)), 0)</f>
        <v/>
      </c>
      <c r="L191" s="21">
        <f>IFERROR(INDEX($B$175:$E$178, MATCH($N191, $B$174:$E$174, 0), MATCH(L$180, $B$174:$E$174, 0)), 0)</f>
        <v/>
      </c>
      <c r="M191" s="21">
        <f>IFERROR(INDEX($B$175:$E$178, MATCH($N191, $B$174:$E$174, 0), MATCH(M$180, $B$174:$E$174, 0)), 0)</f>
        <v/>
      </c>
      <c r="N191" s="17" t="inlineStr">
        <is>
          <t>U6X</t>
        </is>
      </c>
    </row>
    <row r="192" ht="19.05" customHeight="1" s="52">
      <c r="B192" s="21">
        <f>IFERROR(INDEX($B$175:$E$178, MATCH($N192, $B$174:$E$174, 0), MATCH(B$180, $B$174:$E$174, 0)), 0)</f>
        <v/>
      </c>
      <c r="C192" s="21">
        <f>IFERROR(INDEX($B$175:$E$178, MATCH($N192, $B$174:$E$174, 0), MATCH(C$180, $B$174:$E$174, 0)), 0)</f>
        <v/>
      </c>
      <c r="D192" s="21">
        <f>IFERROR(INDEX($B$175:$E$178, MATCH($N192, $B$174:$E$174, 0), MATCH(D$180, $B$174:$E$174, 0)), 0)</f>
        <v/>
      </c>
      <c r="E192" s="21">
        <f>IFERROR(INDEX($B$175:$E$178, MATCH($N192, $B$174:$E$174, 0), MATCH(E$180, $B$174:$E$174, 0)), 0)</f>
        <v/>
      </c>
      <c r="F192" s="21">
        <f>IFERROR(INDEX($B$175:$E$178, MATCH($N192, $B$174:$E$174, 0), MATCH(F$180, $B$174:$E$174, 0)), 0)</f>
        <v/>
      </c>
      <c r="G192" s="21">
        <f>IFERROR(INDEX($B$175:$E$178, MATCH($N192, $B$174:$E$174, 0), MATCH(G$180, $B$174:$E$174, 0)), 0)</f>
        <v/>
      </c>
      <c r="H192" s="21">
        <f>IFERROR(INDEX($B$175:$E$178, MATCH($N192, $B$174:$E$174, 0), MATCH(H$180, $B$174:$E$174, 0)), 0)</f>
        <v/>
      </c>
      <c r="I192" s="21">
        <f>IFERROR(INDEX($B$175:$E$178, MATCH($N192, $B$174:$E$174, 0), MATCH(I$180, $B$174:$E$174, 0)), 0)</f>
        <v/>
      </c>
      <c r="J192" s="21">
        <f>IFERROR(INDEX($B$175:$E$178, MATCH($N192, $B$174:$E$174, 0), MATCH(J$180, $B$174:$E$174, 0)), 0)</f>
        <v/>
      </c>
      <c r="K192" s="21">
        <f>IFERROR(INDEX($B$175:$E$178, MATCH($N192, $B$174:$E$174, 0), MATCH(K$180, $B$174:$E$174, 0)), 0)</f>
        <v/>
      </c>
      <c r="L192" s="21">
        <f>IFERROR(INDEX($B$175:$E$178, MATCH($N192, $B$174:$E$174, 0), MATCH(L$180, $B$174:$E$174, 0)), 0)</f>
        <v/>
      </c>
      <c r="M192" s="21">
        <f>IFERROR(INDEX($B$175:$E$178, MATCH($N192, $B$174:$E$174, 0), MATCH(M$180, $B$174:$E$174, 0)), 0)</f>
        <v/>
      </c>
      <c r="N192" s="17" t="inlineStr">
        <is>
          <t>U6Y</t>
        </is>
      </c>
    </row>
    <row r="195" ht="19.95" customHeight="1" s="52">
      <c r="B195" s="54" t="inlineStr">
        <is>
          <t>U1X</t>
        </is>
      </c>
      <c r="C195" s="54" t="inlineStr">
        <is>
          <t>U1Y</t>
        </is>
      </c>
      <c r="D195" s="54" t="inlineStr">
        <is>
          <t>U2X</t>
        </is>
      </c>
      <c r="E195" s="54" t="inlineStr">
        <is>
          <t>U2Y</t>
        </is>
      </c>
      <c r="F195" s="54" t="inlineStr">
        <is>
          <t>U3X</t>
        </is>
      </c>
      <c r="G195" s="54" t="inlineStr">
        <is>
          <t>U3Y</t>
        </is>
      </c>
      <c r="H195" s="54" t="inlineStr">
        <is>
          <t>U4X</t>
        </is>
      </c>
      <c r="I195" s="54" t="inlineStr">
        <is>
          <t>U4Y</t>
        </is>
      </c>
      <c r="J195" s="54" t="inlineStr">
        <is>
          <t>U5X</t>
        </is>
      </c>
      <c r="K195" s="54" t="inlineStr">
        <is>
          <t>U5Y</t>
        </is>
      </c>
      <c r="L195" s="54" t="inlineStr">
        <is>
          <t>U6X</t>
        </is>
      </c>
      <c r="M195" s="54" t="inlineStr">
        <is>
          <t>U6Y</t>
        </is>
      </c>
    </row>
    <row r="196" ht="19.95" customHeight="1" s="52">
      <c r="B196" s="29">
        <f>B34+B55+B76+B97+B118+B139+B160+B181</f>
        <v/>
      </c>
      <c r="C196" s="30">
        <f>C34+C55+C76+C97+C118+C139+C160+C181</f>
        <v/>
      </c>
      <c r="D196" s="21">
        <f>D34+D55+D76+D97+D118+D139+D160+D181</f>
        <v/>
      </c>
      <c r="E196" s="21">
        <f>E34+E55+E76+E97+E118+E139+E160+E181</f>
        <v/>
      </c>
      <c r="F196" s="21">
        <f>F34+F55+F76+F97+F118+F139+F160+F181</f>
        <v/>
      </c>
      <c r="G196" s="21">
        <f>G34+G55+G76+G97+G118+G139+G160+G181</f>
        <v/>
      </c>
      <c r="H196" s="21">
        <f>H34+H55+H76+H97+H118+H139+H160+H181</f>
        <v/>
      </c>
      <c r="I196" s="21">
        <f>I34+I55+I76+I97+I118+I139+I160+I181</f>
        <v/>
      </c>
      <c r="J196" s="21">
        <f>J34+J55+J76+J97+J118+J139+J160+J181</f>
        <v/>
      </c>
      <c r="K196" s="21">
        <f>K34+K55+K76+K97+K118+K139+K160+K181</f>
        <v/>
      </c>
      <c r="L196" s="21">
        <f>L34+L55+L76+L97+L118+L139+L160+L181</f>
        <v/>
      </c>
      <c r="M196" s="21">
        <f>M34+M55+M76+M97+M118+M139+M160+M181</f>
        <v/>
      </c>
      <c r="N196" s="31" t="inlineStr">
        <is>
          <t>U1X</t>
        </is>
      </c>
    </row>
    <row r="197" ht="19.95" customHeight="1" s="52">
      <c r="B197" s="30">
        <f>B35+B56+B77+B98+B119+B140+B161+B182</f>
        <v/>
      </c>
      <c r="C197" s="29">
        <f>C35+C56+C77+C98+C119+C140+C161+C182</f>
        <v/>
      </c>
      <c r="D197" s="21">
        <f>D35+D56+D77+D98+D119+D140+D161+D182</f>
        <v/>
      </c>
      <c r="E197" s="21">
        <f>E35+E56+E77+E98+E119+E140+E161+E182</f>
        <v/>
      </c>
      <c r="F197" s="21">
        <f>F35+F56+F77+F98+F119+F140+F161+F182</f>
        <v/>
      </c>
      <c r="G197" s="21">
        <f>G35+G56+G77+G98+G119+G140+G161+G182</f>
        <v/>
      </c>
      <c r="H197" s="21">
        <f>H35+H56+H77+H98+H119+H140+H161+H182</f>
        <v/>
      </c>
      <c r="I197" s="21">
        <f>I35+I56+I77+I98+I119+I140+I161+I182</f>
        <v/>
      </c>
      <c r="J197" s="21">
        <f>J35+J56+J77+J98+J119+J140+J161+J182</f>
        <v/>
      </c>
      <c r="K197" s="21">
        <f>K35+K56+K77+K98+K119+K140+K161+K182</f>
        <v/>
      </c>
      <c r="L197" s="21">
        <f>L35+L56+L77+L98+L119+L140+L161+L182</f>
        <v/>
      </c>
      <c r="M197" s="21">
        <f>M35+M56+M77+M98+M119+M140+M161+M182</f>
        <v/>
      </c>
      <c r="N197" s="31" t="inlineStr">
        <is>
          <t>U1Y</t>
        </is>
      </c>
    </row>
    <row r="198" ht="19.95" customHeight="1" s="52">
      <c r="B198" s="21">
        <f>B36+B57+B78+B99+B120+B141+B162+B183</f>
        <v/>
      </c>
      <c r="C198" s="21">
        <f>C36+C57+C78+C99+C120+C141+C162+C183</f>
        <v/>
      </c>
      <c r="D198" s="29">
        <f>D36+D57+D78+D99+D120+D141+D162+D183</f>
        <v/>
      </c>
      <c r="E198" s="30">
        <f>E36+E57+E78+E99+E120+E141+E162+E183</f>
        <v/>
      </c>
      <c r="F198" s="21">
        <f>F36+F57+F78+F99+F120+F141+F162+F183</f>
        <v/>
      </c>
      <c r="G198" s="21">
        <f>G36+G57+G78+G99+G120+G141+G162+G183</f>
        <v/>
      </c>
      <c r="H198" s="21">
        <f>H36+H57+H78+H99+H120+H141+H162+H183</f>
        <v/>
      </c>
      <c r="I198" s="21">
        <f>I36+I57+I78+I99+I120+I141+I162+I183</f>
        <v/>
      </c>
      <c r="J198" s="21">
        <f>J36+J57+J78+J99+J120+J141+J162+J183</f>
        <v/>
      </c>
      <c r="K198" s="21">
        <f>K36+K57+K78+K99+K120+K141+K162+K183</f>
        <v/>
      </c>
      <c r="L198" s="21">
        <f>L36+L57+L78+L99+L120+L141+L162+L183</f>
        <v/>
      </c>
      <c r="M198" s="21">
        <f>M36+M57+M78+M99+M120+M141+M162+M183</f>
        <v/>
      </c>
      <c r="N198" s="31" t="inlineStr">
        <is>
          <t>U2X</t>
        </is>
      </c>
    </row>
    <row r="199" ht="19.95" customHeight="1" s="52">
      <c r="B199" s="21">
        <f>B37+B58+B79+B100+B121+B142+B163+B184</f>
        <v/>
      </c>
      <c r="C199" s="21">
        <f>C37+C58+C79+C100+C121+C142+C163+C184</f>
        <v/>
      </c>
      <c r="D199" s="30">
        <f>D37+D58+D79+D100+D121+D142+D163+D184</f>
        <v/>
      </c>
      <c r="E199" s="29">
        <f>E37+E58+E79+E100+E121+E142+E163+E184</f>
        <v/>
      </c>
      <c r="F199" s="21">
        <f>F37+F58+F79+F100+F121+F142+F163+F184</f>
        <v/>
      </c>
      <c r="G199" s="21">
        <f>G37+G58+G79+G100+G121+G142+G163+G184</f>
        <v/>
      </c>
      <c r="H199" s="21">
        <f>H37+H58+H79+H100+H121+H142+H163+H184</f>
        <v/>
      </c>
      <c r="I199" s="21">
        <f>I37+I58+I79+I100+I121+I142+I163+I184</f>
        <v/>
      </c>
      <c r="J199" s="21">
        <f>J37+J58+J79+J100+J121+J142+J163+J184</f>
        <v/>
      </c>
      <c r="K199" s="21">
        <f>K37+K58+K79+K100+K121+K142+K163+K184</f>
        <v/>
      </c>
      <c r="L199" s="21">
        <f>L37+L58+L79+L100+L121+L142+L163+L184</f>
        <v/>
      </c>
      <c r="M199" s="21">
        <f>M37+M58+M79+M100+M121+M142+M163+M184</f>
        <v/>
      </c>
      <c r="N199" s="31" t="inlineStr">
        <is>
          <t>U2Y</t>
        </is>
      </c>
    </row>
    <row r="200" ht="19.95" customHeight="1" s="52">
      <c r="B200" s="21">
        <f>B38+B59+B80+B101+B122+B143+B164+B185</f>
        <v/>
      </c>
      <c r="C200" s="21">
        <f>C38+C59+C80+C101+C122+C143+C164+C185</f>
        <v/>
      </c>
      <c r="D200" s="21">
        <f>D38+D59+D80+D101+D122+D143+D164+D185</f>
        <v/>
      </c>
      <c r="E200" s="21">
        <f>E38+E59+E80+E101+E122+E143+E164+E185</f>
        <v/>
      </c>
      <c r="F200" s="29">
        <f>F38+F59+F80+F101+F122+F143+F164+F185</f>
        <v/>
      </c>
      <c r="G200" s="30">
        <f>G38+G59+G80+G101+G122+G143+G164+G185</f>
        <v/>
      </c>
      <c r="H200" s="21">
        <f>H38+H59+H80+H101+H122+H143+H164+H185</f>
        <v/>
      </c>
      <c r="I200" s="21">
        <f>I38+I59+I80+I101+I122+I143+I164+I185</f>
        <v/>
      </c>
      <c r="J200" s="21">
        <f>J38+J59+J80+J101+J122+J143+J164+J185</f>
        <v/>
      </c>
      <c r="K200" s="21">
        <f>K38+K59+K80+K101+K122+K143+K164+K185</f>
        <v/>
      </c>
      <c r="L200" s="21">
        <f>L38+L59+L80+L101+L122+L143+L164+L185</f>
        <v/>
      </c>
      <c r="M200" s="21">
        <f>M38+M59+M80+M101+M122+M143+M164+M185</f>
        <v/>
      </c>
      <c r="N200" s="31" t="inlineStr">
        <is>
          <t>U3X</t>
        </is>
      </c>
    </row>
    <row r="201" ht="19.95" customHeight="1" s="52">
      <c r="A201" s="19" t="inlineStr">
        <is>
          <t>Karmadura=</t>
        </is>
      </c>
      <c r="B201" s="21">
        <f>B39+B60+B81+B102+B123+B144+B165+B186</f>
        <v/>
      </c>
      <c r="C201" s="21">
        <f>C39+C60+C81+C102+C123+C144+C165+C186</f>
        <v/>
      </c>
      <c r="D201" s="21">
        <f>D39+D60+D81+D102+D123+D144+D165+D186</f>
        <v/>
      </c>
      <c r="E201" s="21">
        <f>E39+E60+E81+E102+E123+E144+E165+E186</f>
        <v/>
      </c>
      <c r="F201" s="30">
        <f>F39+F60+F81+F102+F123+F144+F165+F186</f>
        <v/>
      </c>
      <c r="G201" s="29">
        <f>G39+G60+G81+G102+G123+G144+G165+G186</f>
        <v/>
      </c>
      <c r="H201" s="21">
        <f>H39+H60+H81+H102+H123+H144+H165+H186</f>
        <v/>
      </c>
      <c r="I201" s="21">
        <f>I39+I60+I81+I102+I123+I144+I165+I186</f>
        <v/>
      </c>
      <c r="J201" s="21">
        <f>J39+J60+J81+J102+J123+J144+J165+J186</f>
        <v/>
      </c>
      <c r="K201" s="21">
        <f>K39+K60+K81+K102+K123+K144+K165+K186</f>
        <v/>
      </c>
      <c r="L201" s="21">
        <f>L39+L60+L81+L102+L123+L144+L165+L186</f>
        <v/>
      </c>
      <c r="M201" s="21">
        <f>M39+M60+M81+M102+M123+M144+M165+M186</f>
        <v/>
      </c>
      <c r="N201" s="31" t="inlineStr">
        <is>
          <t>U3Y</t>
        </is>
      </c>
    </row>
    <row r="202" ht="19.95" customHeight="1" s="52">
      <c r="B202" s="21">
        <f>B40+B61+B82+B103+B124+B145+B166+B187</f>
        <v/>
      </c>
      <c r="C202" s="21">
        <f>C40+C61+C82+C103+C124+C145+C166+C187</f>
        <v/>
      </c>
      <c r="D202" s="21">
        <f>D40+D61+D82+D103+D124+D145+D166+D187</f>
        <v/>
      </c>
      <c r="E202" s="21">
        <f>E40+E61+E82+E103+E124+E145+E166+E187</f>
        <v/>
      </c>
      <c r="F202" s="21">
        <f>F40+F61+F82+F103+F124+F145+F166+F187</f>
        <v/>
      </c>
      <c r="G202" s="21">
        <f>G40+G61+G82+G103+G124+G145+G166+G187</f>
        <v/>
      </c>
      <c r="H202" s="29">
        <f>H40+H61+H82+H103+H124+H145+H166+H187</f>
        <v/>
      </c>
      <c r="I202" s="30">
        <f>I40+I61+I82+I103+I124+I145+I166+I187</f>
        <v/>
      </c>
      <c r="J202" s="21">
        <f>J40+J61+J82+J103+J124+J145+J166+J187</f>
        <v/>
      </c>
      <c r="K202" s="21">
        <f>K40+K61+K82+K103+K124+K145+K166+K187</f>
        <v/>
      </c>
      <c r="L202" s="21">
        <f>L40+L61+L82+L103+L124+L145+L166+L187</f>
        <v/>
      </c>
      <c r="M202" s="21">
        <f>M40+M61+M82+M103+M124+M145+M166+M187</f>
        <v/>
      </c>
      <c r="N202" s="31" t="inlineStr">
        <is>
          <t>U4X</t>
        </is>
      </c>
    </row>
    <row r="203" ht="19.95" customHeight="1" s="52">
      <c r="B203" s="21">
        <f>B41+B62+B83+B104+B125+B146+B167+B188</f>
        <v/>
      </c>
      <c r="C203" s="21">
        <f>C41+C62+C83+C104+C125+C146+C167+C188</f>
        <v/>
      </c>
      <c r="D203" s="21">
        <f>D41+D62+D83+D104+D125+D146+D167+D188</f>
        <v/>
      </c>
      <c r="E203" s="21">
        <f>E41+E62+E83+E104+E125+E146+E167+E188</f>
        <v/>
      </c>
      <c r="F203" s="21">
        <f>F41+F62+F83+F104+F125+F146+F167+F188</f>
        <v/>
      </c>
      <c r="G203" s="21">
        <f>G41+G62+G83+G104+G125+G146+G167+G188</f>
        <v/>
      </c>
      <c r="H203" s="30">
        <f>H41+H62+H83+H104+H125+H146+H167+H188</f>
        <v/>
      </c>
      <c r="I203" s="29">
        <f>I41+I62+I83+I104+I125+I146+I167+I188</f>
        <v/>
      </c>
      <c r="J203" s="21">
        <f>J41+J62+J83+J104+J125+J146+J167+J188</f>
        <v/>
      </c>
      <c r="K203" s="21">
        <f>K41+K62+K83+K104+K125+K146+K167+K188</f>
        <v/>
      </c>
      <c r="L203" s="21">
        <f>L41+L62+L83+L104+L125+L146+L167+L188</f>
        <v/>
      </c>
      <c r="M203" s="21">
        <f>M41+M62+M83+M104+M125+M146+M167+M188</f>
        <v/>
      </c>
      <c r="N203" s="31" t="inlineStr">
        <is>
          <t>U4Y</t>
        </is>
      </c>
    </row>
    <row r="204" ht="19.95" customHeight="1" s="52">
      <c r="B204" s="21">
        <f>B42+B63+B84+B105+B126+B147+B168+B189</f>
        <v/>
      </c>
      <c r="C204" s="21">
        <f>C42+C63+C84+C105+C126+C147+C168+C189</f>
        <v/>
      </c>
      <c r="D204" s="21">
        <f>D42+D63+D84+D105+D126+D147+D168+D189</f>
        <v/>
      </c>
      <c r="E204" s="21">
        <f>E42+E63+E84+E105+E126+E147+E168+E189</f>
        <v/>
      </c>
      <c r="F204" s="21">
        <f>F42+F63+F84+F105+F126+F147+F168+F189</f>
        <v/>
      </c>
      <c r="G204" s="21">
        <f>G42+G63+G84+G105+G126+G147+G168+G189</f>
        <v/>
      </c>
      <c r="H204" s="21">
        <f>H42+H63+H84+H105+H126+H147+H168+H189</f>
        <v/>
      </c>
      <c r="I204" s="21">
        <f>I42+I63+I84+I105+I126+I147+I168+I189</f>
        <v/>
      </c>
      <c r="J204" s="29">
        <f>J42+J63+J84+J105+J126+J147+J168+J189</f>
        <v/>
      </c>
      <c r="K204" s="30">
        <f>K42+K63+K84+K105+K126+K147+K168+K189</f>
        <v/>
      </c>
      <c r="L204" s="21">
        <f>L42+L63+L84+L105+L126+L147+L168+L189</f>
        <v/>
      </c>
      <c r="M204" s="21">
        <f>M42+M63+M84+M105+M126+M147+M168+M189</f>
        <v/>
      </c>
      <c r="N204" s="31" t="inlineStr">
        <is>
          <t>U5X</t>
        </is>
      </c>
    </row>
    <row r="205" ht="19.95" customHeight="1" s="52">
      <c r="B205" s="21">
        <f>B43+B64+B85+B106+B127+B148+B169+B190</f>
        <v/>
      </c>
      <c r="C205" s="21">
        <f>C43+C64+C85+C106+C127+C148+C169+C190</f>
        <v/>
      </c>
      <c r="D205" s="21">
        <f>D43+D64+D85+D106+D127+D148+D169+D190</f>
        <v/>
      </c>
      <c r="E205" s="21">
        <f>E43+E64+E85+E106+E127+E148+E169+E190</f>
        <v/>
      </c>
      <c r="F205" s="21">
        <f>F43+F64+F85+F106+F127+F148+F169+F190</f>
        <v/>
      </c>
      <c r="G205" s="21">
        <f>G43+G64+G85+G106+G127+G148+G169+G190</f>
        <v/>
      </c>
      <c r="H205" s="21">
        <f>H43+H64+H85+H106+H127+H148+H169+H190</f>
        <v/>
      </c>
      <c r="I205" s="21">
        <f>I43+I64+I85+I106+I127+I148+I169+I190</f>
        <v/>
      </c>
      <c r="J205" s="30">
        <f>J43+J64+J85+J106+J127+J148+J169+J190</f>
        <v/>
      </c>
      <c r="K205" s="29">
        <f>K43+K64+K85+K106+K127+K148+K169+K190</f>
        <v/>
      </c>
      <c r="L205" s="21">
        <f>L43+L64+L85+L106+L127+L148+L169+L190</f>
        <v/>
      </c>
      <c r="M205" s="21">
        <f>M43+M64+M85+M106+M127+M148+M169+M190</f>
        <v/>
      </c>
      <c r="N205" s="31" t="inlineStr">
        <is>
          <t>U5Y</t>
        </is>
      </c>
    </row>
    <row r="206" ht="19.95" customHeight="1" s="52">
      <c r="B206" s="21">
        <f>B44+B65+B86+B107+B128+B149+B170+B191</f>
        <v/>
      </c>
      <c r="C206" s="21">
        <f>C44+C65+C86+C107+C128+C149+C170+C191</f>
        <v/>
      </c>
      <c r="D206" s="21">
        <f>D44+D65+D86+D107+D128+D149+D170+D191</f>
        <v/>
      </c>
      <c r="E206" s="21">
        <f>E44+E65+E86+E107+E128+E149+E170+E191</f>
        <v/>
      </c>
      <c r="F206" s="21">
        <f>F44+F65+F86+F107+F128+F149+F170+F191</f>
        <v/>
      </c>
      <c r="G206" s="21">
        <f>G44+G65+G86+G107+G128+G149+G170+G191</f>
        <v/>
      </c>
      <c r="H206" s="21">
        <f>H44+H65+H86+H107+H128+H149+H170+H191</f>
        <v/>
      </c>
      <c r="I206" s="21">
        <f>I44+I65+I86+I107+I128+I149+I170+I191</f>
        <v/>
      </c>
      <c r="J206" s="21">
        <f>J44+J65+J86+J107+J128+J149+J170+J191</f>
        <v/>
      </c>
      <c r="K206" s="21">
        <f>K44+K65+K86+K107+K128+K149+K170+K191</f>
        <v/>
      </c>
      <c r="L206" s="29">
        <f>L44+L65+L86+L107+L128+L149+L170+L191</f>
        <v/>
      </c>
      <c r="M206" s="30">
        <f>M44+M65+M86+M107+M128+M149+M170+M191</f>
        <v/>
      </c>
      <c r="N206" s="31" t="inlineStr">
        <is>
          <t>U6X</t>
        </is>
      </c>
    </row>
    <row r="207" ht="19.95" customHeight="1" s="52">
      <c r="B207" s="21">
        <f>B45+B66+B87+B108+B129+B150+B171+B192</f>
        <v/>
      </c>
      <c r="C207" s="21">
        <f>C45+C66+C87+C108+C129+C150+C171+C192</f>
        <v/>
      </c>
      <c r="D207" s="21">
        <f>D45+D66+D87+D108+D129+D150+D171+D192</f>
        <v/>
      </c>
      <c r="E207" s="21">
        <f>E45+E66+E87+E108+E129+E150+E171+E192</f>
        <v/>
      </c>
      <c r="F207" s="21">
        <f>F45+F66+F87+F108+F129+F150+F171+F192</f>
        <v/>
      </c>
      <c r="G207" s="21">
        <f>G45+G66+G87+G108+G129+G150+G171+G192</f>
        <v/>
      </c>
      <c r="H207" s="21">
        <f>H45+H66+H87+H108+H129+H150+H171+H192</f>
        <v/>
      </c>
      <c r="I207" s="21">
        <f>I45+I66+I87+I108+I129+I150+I171+I192</f>
        <v/>
      </c>
      <c r="J207" s="21">
        <f>J45+J66+J87+J108+J129+J150+J171+J192</f>
        <v/>
      </c>
      <c r="K207" s="21">
        <f>K45+K66+K87+K108+K129+K150+K171+K192</f>
        <v/>
      </c>
      <c r="L207" s="30">
        <f>L45+L66+L87+L108+L129+L150+L171+L192</f>
        <v/>
      </c>
      <c r="M207" s="29">
        <f>M45+M66+M87+M108+M129+M150+M171+M192</f>
        <v/>
      </c>
      <c r="N207" s="31" t="inlineStr">
        <is>
          <t>U6Y</t>
        </is>
      </c>
    </row>
    <row r="210" ht="19.95" customHeight="1" s="52">
      <c r="A210" s="32" t="inlineStr">
        <is>
          <t>Matriz de cargas:</t>
        </is>
      </c>
      <c r="Z210" s="53" t="inlineStr">
        <is>
          <t>1. MATRIZ DE CARGAS Y DESPLAZAMIENTOS ({C} Y {D})</t>
        </is>
      </c>
      <c r="AA210" s="65" t="n"/>
      <c r="AB210" s="65" t="n"/>
      <c r="AC210" s="65" t="n"/>
      <c r="AD210" s="65" t="n"/>
      <c r="AE210" s="63" t="n"/>
    </row>
    <row r="211" ht="16.95" customHeight="1" s="52">
      <c r="B211" s="33" t="inlineStr">
        <is>
          <t>C1X</t>
        </is>
      </c>
      <c r="C211" s="33" t="inlineStr">
        <is>
          <t>U1X</t>
        </is>
      </c>
      <c r="E211" s="34">
        <f>IF(IFERROR(VLOOKUP(1, $P$6:$W$11, 2, FALSE), "")="", 0, IF(VLOOKUP(1, $P$6:$W$11, 5, FALSE)=1, B211, VLOOKUP(1, $P$6:$W$11, 7, FALSE)))</f>
        <v/>
      </c>
      <c r="Z211" s="50" t="inlineStr">
        <is>
          <t>• Columna B: Variable del vector (C1X, C1Y / D1X, D1Y) hasta 6 nodos (12 GDL).</t>
        </is>
      </c>
      <c r="AA211" s="65" t="n"/>
      <c r="AB211" s="65" t="n"/>
      <c r="AC211" s="65" t="n"/>
      <c r="AD211" s="65" t="n"/>
      <c r="AE211" s="63" t="n"/>
    </row>
    <row r="212" ht="16.95" customHeight="1" s="52">
      <c r="B212" s="33" t="inlineStr">
        <is>
          <t>C1Y</t>
        </is>
      </c>
      <c r="C212" s="33" t="inlineStr">
        <is>
          <t>U1Y</t>
        </is>
      </c>
      <c r="E212" s="34">
        <f>IF(IFERROR(VLOOKUP(1, $P$6:$W$11, 2, FALSE), "")="", 0, IF(VLOOKUP(1, $P$6:$W$11, 6, FALSE)=1, B212, VLOOKUP(1, $P$6:$W$11, 8, FALSE)))</f>
        <v/>
      </c>
      <c r="Z212" s="50" t="inlineStr">
        <is>
          <t>• Columna C: Grado de libertad global asociado (U1X, U1Y...).</t>
        </is>
      </c>
      <c r="AA212" s="65" t="n"/>
      <c r="AB212" s="65" t="n"/>
      <c r="AC212" s="65" t="n"/>
      <c r="AD212" s="65" t="n"/>
      <c r="AE212" s="63" t="n"/>
    </row>
    <row r="213" ht="16.95" customHeight="1" s="52">
      <c r="B213" s="33" t="inlineStr">
        <is>
          <t>C2X</t>
        </is>
      </c>
      <c r="C213" s="33" t="inlineStr">
        <is>
          <t>U2X</t>
        </is>
      </c>
      <c r="E213" s="34">
        <f>IF(IFERROR(VLOOKUP(2, $P$6:$W$11, 2, FALSE), "")="", 0, IF(VLOOKUP(2, $P$6:$W$11, 5, FALSE)=1, B213, VLOOKUP(2, $P$6:$W$11, 7, FALSE)))</f>
        <v/>
      </c>
      <c r="Z213" s="50" t="inlineStr">
        <is>
          <t>• Columna E (Cargas): Si hay apoyo, C=Cnx (reacción incógnita). Si está libre, C=Px (carga externa).</t>
        </is>
      </c>
      <c r="AA213" s="65" t="n"/>
      <c r="AB213" s="65" t="n"/>
      <c r="AC213" s="65" t="n"/>
      <c r="AD213" s="65" t="n"/>
      <c r="AE213" s="63" t="n"/>
    </row>
    <row r="214" ht="16.95" customHeight="1" s="52">
      <c r="B214" s="33" t="inlineStr">
        <is>
          <t>C2Y</t>
        </is>
      </c>
      <c r="C214" s="33" t="inlineStr">
        <is>
          <t>U2Y</t>
        </is>
      </c>
      <c r="E214" s="34">
        <f>IF(IFERROR(VLOOKUP(2, $P$6:$W$11, 2, FALSE), "")="", 0, IF(VLOOKUP(2, $P$6:$W$11, 6, FALSE)=1, B214, VLOOKUP(2, $P$6:$W$11, 8, FALSE)))</f>
        <v/>
      </c>
      <c r="Z214" s="50" t="inlineStr">
        <is>
          <t>• Columna E (Desplazamientos): Si hay apoyo, D=0 (restringido). Si está libre, D=Dnx (desplazamiento incógnita).</t>
        </is>
      </c>
      <c r="AA214" s="65" t="n"/>
      <c r="AB214" s="65" t="n"/>
      <c r="AC214" s="65" t="n"/>
      <c r="AD214" s="65" t="n"/>
      <c r="AE214" s="63" t="n"/>
    </row>
    <row r="215" ht="16.95" customHeight="1" s="52">
      <c r="B215" s="33" t="inlineStr">
        <is>
          <t>C3X</t>
        </is>
      </c>
      <c r="C215" s="33" t="inlineStr">
        <is>
          <t>U3X</t>
        </is>
      </c>
      <c r="E215" s="34">
        <f>IF(IFERROR(VLOOKUP(3, $P$6:$W$11, 2, FALSE), "")="", 0, IF(VLOOKUP(3, $P$6:$W$11, 5, FALSE)=1, B215, VLOOKUP(3, $P$6:$W$11, 7, FALSE)))</f>
        <v/>
      </c>
      <c r="Z215" s="50" t="inlineStr">
        <is>
          <t>• Columnas F y G (Auxiliares): Conteo dinámico de grados libres (D≠0) y apoyos (D=0) para extraer K11 y K21.</t>
        </is>
      </c>
      <c r="AA215" s="65" t="n"/>
      <c r="AB215" s="65" t="n"/>
      <c r="AC215" s="65" t="n"/>
      <c r="AD215" s="65" t="n"/>
      <c r="AE215" s="63" t="n"/>
    </row>
    <row r="216" ht="16.95" customHeight="1" s="52">
      <c r="A216" s="56" t="inlineStr">
        <is>
          <t>C=</t>
        </is>
      </c>
      <c r="B216" s="33" t="inlineStr">
        <is>
          <t>C3Y</t>
        </is>
      </c>
      <c r="C216" s="33" t="inlineStr">
        <is>
          <t>U3Y</t>
        </is>
      </c>
      <c r="D216" s="35" t="inlineStr">
        <is>
          <t>=</t>
        </is>
      </c>
      <c r="E216" s="34">
        <f>IF(IFERROR(VLOOKUP(3, $P$6:$W$11, 2, FALSE), "")="", 0, IF(VLOOKUP(3, $P$6:$W$11, 6, FALSE)=1, B216, VLOOKUP(3, $P$6:$W$11, 8, FALSE)))</f>
        <v/>
      </c>
      <c r="Z216" s="50" t="n"/>
      <c r="AA216" s="65" t="n"/>
      <c r="AB216" s="65" t="n"/>
      <c r="AC216" s="65" t="n"/>
      <c r="AD216" s="65" t="n"/>
      <c r="AE216" s="63" t="n"/>
    </row>
    <row r="217" ht="16.95" customHeight="1" s="52">
      <c r="B217" s="33" t="inlineStr">
        <is>
          <t>C4X</t>
        </is>
      </c>
      <c r="C217" s="33" t="inlineStr">
        <is>
          <t>U4X</t>
        </is>
      </c>
      <c r="E217" s="34">
        <f>IF(IFERROR(VLOOKUP(4, $P$6:$W$11, 2, FALSE), "")="", 0, IF(VLOOKUP(4, $P$6:$W$11, 5, FALSE)=1, B217, VLOOKUP(4, $P$6:$W$11, 7, FALSE)))</f>
        <v/>
      </c>
      <c r="Z217" s="50" t="n"/>
      <c r="AA217" s="65" t="n"/>
      <c r="AB217" s="65" t="n"/>
      <c r="AC217" s="65" t="n"/>
      <c r="AD217" s="65" t="n"/>
      <c r="AE217" s="63" t="n"/>
    </row>
    <row r="218" ht="16.95" customHeight="1" s="52">
      <c r="B218" s="33" t="inlineStr">
        <is>
          <t>C4Y</t>
        </is>
      </c>
      <c r="C218" s="33" t="inlineStr">
        <is>
          <t>U4Y</t>
        </is>
      </c>
      <c r="E218" s="34">
        <f>IF(IFERROR(VLOOKUP(4, $P$6:$W$11, 2, FALSE), "")="", 0, IF(VLOOKUP(4, $P$6:$W$11, 6, FALSE)=1, B218, VLOOKUP(4, $P$6:$W$11, 8, FALSE)))</f>
        <v/>
      </c>
      <c r="Z218" s="50" t="n"/>
      <c r="AA218" s="65" t="n"/>
      <c r="AB218" s="65" t="n"/>
      <c r="AC218" s="65" t="n"/>
      <c r="AD218" s="65" t="n"/>
      <c r="AE218" s="63" t="n"/>
    </row>
    <row r="219" ht="16.95" customHeight="1" s="52">
      <c r="B219" s="33" t="inlineStr">
        <is>
          <t>C5X</t>
        </is>
      </c>
      <c r="C219" s="33" t="inlineStr">
        <is>
          <t>U5X</t>
        </is>
      </c>
      <c r="E219" s="34">
        <f>IF(IFERROR(VLOOKUP(5, $P$6:$W$11, 2, FALSE), "")="", 0, IF(VLOOKUP(5, $P$6:$W$11, 5, FALSE)=1, B219, VLOOKUP(5, $P$6:$W$11, 7, FALSE)))</f>
        <v/>
      </c>
      <c r="Z219" s="50" t="n"/>
      <c r="AA219" s="65" t="n"/>
      <c r="AB219" s="65" t="n"/>
      <c r="AC219" s="65" t="n"/>
      <c r="AD219" s="65" t="n"/>
      <c r="AE219" s="63" t="n"/>
    </row>
    <row r="220" ht="16.95" customHeight="1" s="52">
      <c r="B220" s="33" t="inlineStr">
        <is>
          <t>C5Y</t>
        </is>
      </c>
      <c r="C220" s="33" t="inlineStr">
        <is>
          <t>U5Y</t>
        </is>
      </c>
      <c r="E220" s="34">
        <f>IF(IFERROR(VLOOKUP(5, $P$6:$W$11, 2, FALSE), "")="", 0, IF(VLOOKUP(5, $P$6:$W$11, 6, FALSE)=1, B220, VLOOKUP(5, $P$6:$W$11, 8, FALSE)))</f>
        <v/>
      </c>
      <c r="Z220" s="50" t="n"/>
      <c r="AA220" s="65" t="n"/>
      <c r="AB220" s="65" t="n"/>
      <c r="AC220" s="65" t="n"/>
      <c r="AD220" s="65" t="n"/>
      <c r="AE220" s="63" t="n"/>
    </row>
    <row r="221" ht="16.95" customHeight="1" s="52">
      <c r="B221" s="33" t="inlineStr">
        <is>
          <t>C6X</t>
        </is>
      </c>
      <c r="C221" s="33" t="inlineStr">
        <is>
          <t>U6X</t>
        </is>
      </c>
      <c r="E221" s="34">
        <f>IF(IFERROR(VLOOKUP(6, $P$6:$W$11, 2, FALSE), "")="", 0, IF(VLOOKUP(6, $P$6:$W$11, 5, FALSE)=1, B221, VLOOKUP(6, $P$6:$W$11, 7, FALSE)))</f>
        <v/>
      </c>
      <c r="Z221" s="50" t="n"/>
      <c r="AA221" s="65" t="n"/>
      <c r="AB221" s="65" t="n"/>
      <c r="AC221" s="65" t="n"/>
      <c r="AD221" s="65" t="n"/>
      <c r="AE221" s="63" t="n"/>
    </row>
    <row r="222" ht="16.95" customHeight="1" s="52">
      <c r="B222" s="33" t="inlineStr">
        <is>
          <t>C6Y</t>
        </is>
      </c>
      <c r="C222" s="33" t="inlineStr">
        <is>
          <t>U6Y</t>
        </is>
      </c>
      <c r="E222" s="34">
        <f>IF(IFERROR(VLOOKUP(6, $P$6:$W$11, 2, FALSE), "")="", 0, IF(VLOOKUP(6, $P$6:$W$11, 6, FALSE)=1, B222, VLOOKUP(6, $P$6:$W$11, 8, FALSE)))</f>
        <v/>
      </c>
      <c r="Z222" s="50" t="n"/>
      <c r="AA222" s="65" t="n"/>
      <c r="AB222" s="65" t="n"/>
      <c r="AC222" s="65" t="n"/>
      <c r="AD222" s="65" t="n"/>
      <c r="AE222" s="63" t="n"/>
    </row>
    <row r="223" ht="16.95" customHeight="1" s="52">
      <c r="Z223" s="50" t="n"/>
      <c r="AA223" s="65" t="n"/>
      <c r="AB223" s="65" t="n"/>
      <c r="AC223" s="65" t="n"/>
      <c r="AD223" s="65" t="n"/>
      <c r="AE223" s="63" t="n"/>
    </row>
    <row r="224" ht="16.95" customHeight="1" s="52">
      <c r="A224" s="32" t="inlineStr">
        <is>
          <t>Matriz de desplazamientos:</t>
        </is>
      </c>
      <c r="Z224" s="50" t="n"/>
      <c r="AA224" s="65" t="n"/>
      <c r="AB224" s="65" t="n"/>
      <c r="AC224" s="65" t="n"/>
      <c r="AD224" s="65" t="n"/>
      <c r="AE224" s="63" t="n"/>
    </row>
    <row r="225" ht="16.95" customHeight="1" s="52">
      <c r="B225" s="33" t="inlineStr">
        <is>
          <t>D1X</t>
        </is>
      </c>
      <c r="C225" s="33" t="inlineStr">
        <is>
          <t>U1X</t>
        </is>
      </c>
      <c r="E225" s="12">
        <f>IF(IFERROR(VLOOKUP(1, $P$6:$W$11, 2, FALSE), "")="", 0, IF(VLOOKUP(1, $P$6:$W$11, 5, FALSE)=1, 0, B225))</f>
        <v/>
      </c>
      <c r="F225" s="36">
        <f>IF(ISTEXT(E225), 1, "")</f>
        <v/>
      </c>
      <c r="G225" s="36">
        <f>IF(ISTEXT(E211), 1, "")</f>
        <v/>
      </c>
      <c r="Z225" s="50" t="n"/>
      <c r="AA225" s="65" t="n"/>
      <c r="AB225" s="65" t="n"/>
      <c r="AC225" s="65" t="n"/>
      <c r="AD225" s="65" t="n"/>
      <c r="AE225" s="63" t="n"/>
    </row>
    <row r="226" ht="16.95" customHeight="1" s="52">
      <c r="B226" s="33" t="inlineStr">
        <is>
          <t>D1Y</t>
        </is>
      </c>
      <c r="C226" s="33" t="inlineStr">
        <is>
          <t>U1Y</t>
        </is>
      </c>
      <c r="E226" s="12">
        <f>IF(IFERROR(VLOOKUP(1, $P$6:$W$11, 2, FALSE), "")="", 0, IF(VLOOKUP(1, $P$6:$W$11, 6, FALSE)=1, 0, B226))</f>
        <v/>
      </c>
      <c r="F226" s="36">
        <f>IF(ISTEXT(E226), MAX(F$225:F225) + 1, "")</f>
        <v/>
      </c>
      <c r="G226" s="36">
        <f>IF(ISTEXT(E212), MAX(G$225:G225) + 1, "")</f>
        <v/>
      </c>
      <c r="Z226" s="50" t="n"/>
      <c r="AA226" s="65" t="n"/>
      <c r="AB226" s="65" t="n"/>
      <c r="AC226" s="65" t="n"/>
      <c r="AD226" s="65" t="n"/>
      <c r="AE226" s="63" t="n"/>
    </row>
    <row r="227" ht="16.95" customHeight="1" s="52">
      <c r="B227" s="33" t="inlineStr">
        <is>
          <t>D2X</t>
        </is>
      </c>
      <c r="C227" s="33" t="inlineStr">
        <is>
          <t>U2X</t>
        </is>
      </c>
      <c r="E227" s="12">
        <f>IF(IFERROR(VLOOKUP(2, $P$6:$W$11, 2, FALSE), "")="", 0, IF(VLOOKUP(2, $P$6:$W$11, 5, FALSE)=1, 0, B227))</f>
        <v/>
      </c>
      <c r="F227" s="36">
        <f>IF(ISTEXT(E227), MAX(F$225:F226) + 1, "")</f>
        <v/>
      </c>
      <c r="G227" s="36">
        <f>IF(ISTEXT(E213), MAX(G$225:G226) + 1, "")</f>
        <v/>
      </c>
      <c r="Z227" s="50" t="n"/>
      <c r="AA227" s="65" t="n"/>
      <c r="AB227" s="65" t="n"/>
      <c r="AC227" s="65" t="n"/>
      <c r="AD227" s="65" t="n"/>
      <c r="AE227" s="63" t="n"/>
    </row>
    <row r="228" ht="16.95" customHeight="1" s="52">
      <c r="B228" s="33" t="inlineStr">
        <is>
          <t>D2Y</t>
        </is>
      </c>
      <c r="C228" s="33" t="inlineStr">
        <is>
          <t>U2Y</t>
        </is>
      </c>
      <c r="E228" s="12">
        <f>IF(IFERROR(VLOOKUP(2, $P$6:$W$11, 2, FALSE), "")="", 0, IF(VLOOKUP(2, $P$6:$W$11, 6, FALSE)=1, 0, B228))</f>
        <v/>
      </c>
      <c r="F228" s="36">
        <f>IF(ISTEXT(E228), MAX(F$225:F227) + 1, "")</f>
        <v/>
      </c>
      <c r="G228" s="36">
        <f>IF(ISTEXT(E214), MAX(G$225:G227) + 1, "")</f>
        <v/>
      </c>
      <c r="Z228" s="50" t="n"/>
      <c r="AA228" s="65" t="n"/>
      <c r="AB228" s="65" t="n"/>
      <c r="AC228" s="65" t="n"/>
      <c r="AD228" s="65" t="n"/>
      <c r="AE228" s="63" t="n"/>
    </row>
    <row r="229" ht="16.95" customHeight="1" s="52">
      <c r="B229" s="33" t="inlineStr">
        <is>
          <t>D3X</t>
        </is>
      </c>
      <c r="C229" s="33" t="inlineStr">
        <is>
          <t>U3X</t>
        </is>
      </c>
      <c r="E229" s="12">
        <f>IF(IFERROR(VLOOKUP(3, $P$6:$W$11, 2, FALSE), "")="", 0, IF(VLOOKUP(3, $P$6:$W$11, 5, FALSE)=1, 0, B229))</f>
        <v/>
      </c>
      <c r="F229" s="36">
        <f>IF(ISTEXT(E229), MAX(F$225:F228) + 1, "")</f>
        <v/>
      </c>
      <c r="G229" s="36">
        <f>IF(ISTEXT(E215), MAX(G$225:G228) + 1, "")</f>
        <v/>
      </c>
      <c r="Z229" s="50" t="n"/>
      <c r="AA229" s="65" t="n"/>
      <c r="AB229" s="65" t="n"/>
      <c r="AC229" s="65" t="n"/>
      <c r="AD229" s="65" t="n"/>
      <c r="AE229" s="63" t="n"/>
    </row>
    <row r="230" ht="16.95" customHeight="1" s="52">
      <c r="A230" s="56" t="inlineStr">
        <is>
          <t>D=</t>
        </is>
      </c>
      <c r="B230" s="33" t="inlineStr">
        <is>
          <t>D3Y</t>
        </is>
      </c>
      <c r="C230" s="33" t="inlineStr">
        <is>
          <t>U3Y</t>
        </is>
      </c>
      <c r="D230" s="35" t="inlineStr">
        <is>
          <t>=</t>
        </is>
      </c>
      <c r="E230" s="12">
        <f>IF(IFERROR(VLOOKUP(3, $P$6:$W$11, 2, FALSE), "")="", 0, IF(VLOOKUP(3, $P$6:$W$11, 6, FALSE)=1, 0, B230))</f>
        <v/>
      </c>
      <c r="F230" s="36">
        <f>IF(ISTEXT(E230), MAX(F$225:F229) + 1, "")</f>
        <v/>
      </c>
      <c r="G230" s="36">
        <f>IF(ISTEXT(E216), MAX(G$225:G229) + 1, "")</f>
        <v/>
      </c>
      <c r="Z230" s="50" t="n"/>
      <c r="AA230" s="65" t="n"/>
      <c r="AB230" s="65" t="n"/>
      <c r="AC230" s="65" t="n"/>
      <c r="AD230" s="65" t="n"/>
      <c r="AE230" s="63" t="n"/>
    </row>
    <row r="231" ht="16.95" customHeight="1" s="52">
      <c r="B231" s="33" t="inlineStr">
        <is>
          <t>D4X</t>
        </is>
      </c>
      <c r="C231" s="33" t="inlineStr">
        <is>
          <t>U4X</t>
        </is>
      </c>
      <c r="E231" s="12">
        <f>IF(IFERROR(VLOOKUP(4, $P$6:$W$11, 2, FALSE), "")="", 0, IF(VLOOKUP(4, $P$6:$W$11, 5, FALSE)=1, 0, B231))</f>
        <v/>
      </c>
      <c r="F231" s="36">
        <f>IF(ISTEXT(E231), MAX(F$225:F230) + 1, "")</f>
        <v/>
      </c>
      <c r="G231" s="36">
        <f>IF(ISTEXT(E217), MAX(G$225:G230) + 1, "")</f>
        <v/>
      </c>
      <c r="Z231" s="50" t="n"/>
      <c r="AA231" s="65" t="n"/>
      <c r="AB231" s="65" t="n"/>
      <c r="AC231" s="65" t="n"/>
      <c r="AD231" s="65" t="n"/>
      <c r="AE231" s="63" t="n"/>
    </row>
    <row r="232" ht="16.95" customHeight="1" s="52">
      <c r="B232" s="33" t="inlineStr">
        <is>
          <t>D4Y</t>
        </is>
      </c>
      <c r="C232" s="33" t="inlineStr">
        <is>
          <t>U4Y</t>
        </is>
      </c>
      <c r="E232" s="12">
        <f>IF(IFERROR(VLOOKUP(4, $P$6:$W$11, 2, FALSE), "")="", 0, IF(VLOOKUP(4, $P$6:$W$11, 6, FALSE)=1, 0, B232))</f>
        <v/>
      </c>
      <c r="F232" s="36">
        <f>IF(ISTEXT(E232), MAX(F$225:F231) + 1, "")</f>
        <v/>
      </c>
      <c r="G232" s="36">
        <f>IF(ISTEXT(E218), MAX(G$225:G231) + 1, "")</f>
        <v/>
      </c>
      <c r="Z232" s="50" t="n"/>
      <c r="AA232" s="65" t="n"/>
      <c r="AB232" s="65" t="n"/>
      <c r="AC232" s="65" t="n"/>
      <c r="AD232" s="65" t="n"/>
      <c r="AE232" s="63" t="n"/>
    </row>
    <row r="233" ht="16.95" customHeight="1" s="52">
      <c r="B233" s="33" t="inlineStr">
        <is>
          <t>D5X</t>
        </is>
      </c>
      <c r="C233" s="33" t="inlineStr">
        <is>
          <t>U5X</t>
        </is>
      </c>
      <c r="E233" s="12">
        <f>IF(IFERROR(VLOOKUP(5, $P$6:$W$11, 2, FALSE), "")="", 0, IF(VLOOKUP(5, $P$6:$W$11, 5, FALSE)=1, 0, B233))</f>
        <v/>
      </c>
      <c r="F233" s="36">
        <f>IF(ISTEXT(E233), MAX(F$225:F232) + 1, "")</f>
        <v/>
      </c>
      <c r="G233" s="36">
        <f>IF(ISTEXT(E219), MAX(G$225:G232) + 1, "")</f>
        <v/>
      </c>
      <c r="Z233" s="50" t="n"/>
      <c r="AA233" s="65" t="n"/>
      <c r="AB233" s="65" t="n"/>
      <c r="AC233" s="65" t="n"/>
      <c r="AD233" s="65" t="n"/>
      <c r="AE233" s="63" t="n"/>
    </row>
    <row r="234" ht="16.95" customHeight="1" s="52">
      <c r="B234" s="33" t="inlineStr">
        <is>
          <t>D5Y</t>
        </is>
      </c>
      <c r="C234" s="33" t="inlineStr">
        <is>
          <t>U5Y</t>
        </is>
      </c>
      <c r="E234" s="12">
        <f>IF(IFERROR(VLOOKUP(5, $P$6:$W$11, 2, FALSE), "")="", 0, IF(VLOOKUP(5, $P$6:$W$11, 6, FALSE)=1, 0, B234))</f>
        <v/>
      </c>
      <c r="F234" s="36">
        <f>IF(ISTEXT(E234), MAX(F$225:F233) + 1, "")</f>
        <v/>
      </c>
      <c r="G234" s="36">
        <f>IF(ISTEXT(E220), MAX(G$225:G233) + 1, "")</f>
        <v/>
      </c>
      <c r="Z234" s="50" t="n"/>
      <c r="AA234" s="65" t="n"/>
      <c r="AB234" s="65" t="n"/>
      <c r="AC234" s="65" t="n"/>
      <c r="AD234" s="65" t="n"/>
      <c r="AE234" s="63" t="n"/>
    </row>
    <row r="235" ht="16.95" customHeight="1" s="52">
      <c r="B235" s="33" t="inlineStr">
        <is>
          <t>D6X</t>
        </is>
      </c>
      <c r="C235" s="33" t="inlineStr">
        <is>
          <t>U6X</t>
        </is>
      </c>
      <c r="E235" s="12">
        <f>IF(IFERROR(VLOOKUP(6, $P$6:$W$11, 2, FALSE), "")="", 0, IF(VLOOKUP(6, $P$6:$W$11, 5, FALSE)=1, 0, B235))</f>
        <v/>
      </c>
      <c r="F235" s="36">
        <f>IF(ISTEXT(E235), MAX(F$225:F234) + 1, "")</f>
        <v/>
      </c>
      <c r="G235" s="36">
        <f>IF(ISTEXT(E221), MAX(G$225:G234) + 1, "")</f>
        <v/>
      </c>
      <c r="Z235" s="50" t="n"/>
      <c r="AA235" s="65" t="n"/>
      <c r="AB235" s="65" t="n"/>
      <c r="AC235" s="65" t="n"/>
      <c r="AD235" s="65" t="n"/>
      <c r="AE235" s="63" t="n"/>
    </row>
    <row r="236" ht="16.95" customHeight="1" s="52">
      <c r="B236" s="33" t="inlineStr">
        <is>
          <t>D6Y</t>
        </is>
      </c>
      <c r="C236" s="33" t="inlineStr">
        <is>
          <t>U6Y</t>
        </is>
      </c>
      <c r="E236" s="12">
        <f>IF(IFERROR(VLOOKUP(6, $P$6:$W$11, 2, FALSE), "")="", 0, IF(VLOOKUP(6, $P$6:$W$11, 6, FALSE)=1, 0, B236))</f>
        <v/>
      </c>
      <c r="F236" s="36">
        <f>IF(ISTEXT(E236), MAX(F$225:F235) + 1, "")</f>
        <v/>
      </c>
      <c r="G236" s="36">
        <f>IF(ISTEXT(E222), MAX(G$225:G235) + 1, "")</f>
        <v/>
      </c>
      <c r="Z236" s="50" t="n"/>
      <c r="AA236" s="65" t="n"/>
      <c r="AB236" s="65" t="n"/>
      <c r="AC236" s="65" t="n"/>
      <c r="AD236" s="65" t="n"/>
      <c r="AE236" s="63" t="n"/>
    </row>
    <row r="238" ht="19.95" customHeight="1" s="52">
      <c r="A238" s="37" t="inlineStr">
        <is>
          <t>Ecuacion matricial:</t>
        </is>
      </c>
      <c r="C238" s="61" t="inlineStr">
        <is>
          <t>C = Karmadura*D</t>
        </is>
      </c>
      <c r="D238" s="63" t="n"/>
      <c r="E238" s="38" t="inlineStr">
        <is>
          <t>ELIMINO FILA Y COLUMNA DE LOS QUE NO CORRESPONDE PARA HALLAR LOS DESPLAZAMIENTOS</t>
        </is>
      </c>
      <c r="Z238" s="53" t="inlineStr">
        <is>
          <t>2. ECUACIÓN MATRICIAL GLOBAL: {C} = [K] · {D}</t>
        </is>
      </c>
      <c r="AA238" s="65" t="n"/>
      <c r="AB238" s="65" t="n"/>
      <c r="AC238" s="65" t="n"/>
      <c r="AD238" s="65" t="n"/>
      <c r="AE238" s="63" t="n"/>
    </row>
    <row r="239" ht="16.95" customHeight="1" s="52">
      <c r="E239" s="38" t="inlineStr">
        <is>
          <t>ELIMINO COLUMNA SEGÚN LAS REACCIONES EN ORDEN SIN CONSIDERAR LAS FILAS ANULADAS</t>
        </is>
      </c>
      <c r="Z239" s="50" t="inlineStr">
        <is>
          <t>• Fundamento: Ley de Hooke generalizada para armaduras planas {C} = [K_global] · {D}.</t>
        </is>
      </c>
      <c r="AA239" s="65" t="n"/>
      <c r="AB239" s="65" t="n"/>
      <c r="AC239" s="65" t="n"/>
      <c r="AD239" s="65" t="n"/>
      <c r="AE239" s="63" t="n"/>
    </row>
    <row r="240" ht="16.95" customHeight="1" s="52">
      <c r="A240" s="60" t="inlineStr">
        <is>
          <t>C</t>
        </is>
      </c>
      <c r="C240" s="60" t="inlineStr">
        <is>
          <t>K</t>
        </is>
      </c>
      <c r="P240" s="60" t="inlineStr">
        <is>
          <t>D</t>
        </is>
      </c>
      <c r="Z240" s="50" t="inlineStr">
        <is>
          <t>• Apunte del Docente: 'ELIMINO FILA Y COLUMNA DE LOS QUE NO CORRESPONDE PARA HALLAR LOS DESPLAZAMIENTOS'.</t>
        </is>
      </c>
      <c r="AA240" s="65" t="n"/>
      <c r="AB240" s="65" t="n"/>
      <c r="AC240" s="65" t="n"/>
      <c r="AD240" s="65" t="n"/>
      <c r="AE240" s="63" t="n"/>
    </row>
    <row r="241" ht="16.95" customHeight="1" s="52">
      <c r="A241" s="40">
        <f>E211</f>
        <v/>
      </c>
      <c r="C241" s="21">
        <f>B196</f>
        <v/>
      </c>
      <c r="D241" s="21">
        <f>C196</f>
        <v/>
      </c>
      <c r="E241" s="21">
        <f>D196</f>
        <v/>
      </c>
      <c r="F241" s="21">
        <f>E196</f>
        <v/>
      </c>
      <c r="G241" s="21">
        <f>F196</f>
        <v/>
      </c>
      <c r="H241" s="21">
        <f>G196</f>
        <v/>
      </c>
      <c r="I241" s="21">
        <f>H196</f>
        <v/>
      </c>
      <c r="J241" s="21">
        <f>I196</f>
        <v/>
      </c>
      <c r="K241" s="21">
        <f>J196</f>
        <v/>
      </c>
      <c r="L241" s="21">
        <f>K196</f>
        <v/>
      </c>
      <c r="M241" s="21">
        <f>L196</f>
        <v/>
      </c>
      <c r="N241" s="21">
        <f>M196</f>
        <v/>
      </c>
      <c r="O241" s="35" t="inlineStr">
        <is>
          <t>·</t>
        </is>
      </c>
      <c r="P241" s="33">
        <f>E225</f>
        <v/>
      </c>
      <c r="Z241" s="50" t="inlineStr">
        <is>
          <t>• Partición de Rigidez:</t>
        </is>
      </c>
      <c r="AA241" s="65" t="n"/>
      <c r="AB241" s="65" t="n"/>
      <c r="AC241" s="65" t="n"/>
      <c r="AD241" s="65" t="n"/>
      <c r="AE241" s="63" t="n"/>
    </row>
    <row r="242" ht="16.95" customHeight="1" s="52">
      <c r="A242" s="40">
        <f>E212</f>
        <v/>
      </c>
      <c r="C242" s="21">
        <f>B197</f>
        <v/>
      </c>
      <c r="D242" s="21">
        <f>C197</f>
        <v/>
      </c>
      <c r="E242" s="21">
        <f>D197</f>
        <v/>
      </c>
      <c r="F242" s="21">
        <f>E197</f>
        <v/>
      </c>
      <c r="G242" s="21">
        <f>F197</f>
        <v/>
      </c>
      <c r="H242" s="21">
        <f>G197</f>
        <v/>
      </c>
      <c r="I242" s="21">
        <f>H197</f>
        <v/>
      </c>
      <c r="J242" s="21">
        <f>I197</f>
        <v/>
      </c>
      <c r="K242" s="21">
        <f>J197</f>
        <v/>
      </c>
      <c r="L242" s="21">
        <f>K197</f>
        <v/>
      </c>
      <c r="M242" s="21">
        <f>L197</f>
        <v/>
      </c>
      <c r="N242" s="21">
        <f>M197</f>
        <v/>
      </c>
      <c r="O242" s="35" t="inlineStr">
        <is>
          <t>·</t>
        </is>
      </c>
      <c r="P242" s="33">
        <f>E226</f>
        <v/>
      </c>
      <c r="Z242" s="50" t="inlineStr">
        <is>
          <t xml:space="preserve">    [ C_libres ] = [ K11   K12 ] · [ D_libres ]</t>
        </is>
      </c>
      <c r="AA242" s="65" t="n"/>
      <c r="AB242" s="65" t="n"/>
      <c r="AC242" s="65" t="n"/>
      <c r="AD242" s="65" t="n"/>
      <c r="AE242" s="63" t="n"/>
    </row>
    <row r="243" ht="16.95" customHeight="1" s="52">
      <c r="A243" s="40">
        <f>E213</f>
        <v/>
      </c>
      <c r="C243" s="21">
        <f>B198</f>
        <v/>
      </c>
      <c r="D243" s="21">
        <f>C198</f>
        <v/>
      </c>
      <c r="E243" s="21">
        <f>D198</f>
        <v/>
      </c>
      <c r="F243" s="21">
        <f>E198</f>
        <v/>
      </c>
      <c r="G243" s="21">
        <f>F198</f>
        <v/>
      </c>
      <c r="H243" s="21">
        <f>G198</f>
        <v/>
      </c>
      <c r="I243" s="21">
        <f>H198</f>
        <v/>
      </c>
      <c r="J243" s="21">
        <f>I198</f>
        <v/>
      </c>
      <c r="K243" s="21">
        <f>J198</f>
        <v/>
      </c>
      <c r="L243" s="21">
        <f>K198</f>
        <v/>
      </c>
      <c r="M243" s="21">
        <f>L198</f>
        <v/>
      </c>
      <c r="N243" s="21">
        <f>M198</f>
        <v/>
      </c>
      <c r="O243" s="35" t="inlineStr">
        <is>
          <t>·</t>
        </is>
      </c>
      <c r="P243" s="33">
        <f>E227</f>
        <v/>
      </c>
      <c r="Z243" s="50" t="inlineStr">
        <is>
          <t xml:space="preserve">    [ R_apoyos ]   [ K21   K22 ]   [    0     ]</t>
        </is>
      </c>
      <c r="AA243" s="65" t="n"/>
      <c r="AB243" s="65" t="n"/>
      <c r="AC243" s="65" t="n"/>
      <c r="AD243" s="65" t="n"/>
      <c r="AE243" s="63" t="n"/>
    </row>
    <row r="244" ht="16.95" customHeight="1" s="52">
      <c r="A244" s="40">
        <f>E214</f>
        <v/>
      </c>
      <c r="C244" s="21">
        <f>B199</f>
        <v/>
      </c>
      <c r="D244" s="21">
        <f>C199</f>
        <v/>
      </c>
      <c r="E244" s="21">
        <f>D199</f>
        <v/>
      </c>
      <c r="F244" s="21">
        <f>E199</f>
        <v/>
      </c>
      <c r="G244" s="21">
        <f>F199</f>
        <v/>
      </c>
      <c r="H244" s="21">
        <f>G199</f>
        <v/>
      </c>
      <c r="I244" s="21">
        <f>H199</f>
        <v/>
      </c>
      <c r="J244" s="21">
        <f>I199</f>
        <v/>
      </c>
      <c r="K244" s="21">
        <f>J199</f>
        <v/>
      </c>
      <c r="L244" s="21">
        <f>K199</f>
        <v/>
      </c>
      <c r="M244" s="21">
        <f>L199</f>
        <v/>
      </c>
      <c r="N244" s="21">
        <f>M199</f>
        <v/>
      </c>
      <c r="O244" s="35" t="inlineStr">
        <is>
          <t>·</t>
        </is>
      </c>
      <c r="P244" s="33">
        <f>E228</f>
        <v/>
      </c>
      <c r="Z244" s="50" t="inlineStr">
        <is>
          <t>• K11 (verde pastel): Rigideces directas para {D_libres} = [K11]⁻¹ · {C_libres}.</t>
        </is>
      </c>
      <c r="AA244" s="65" t="n"/>
      <c r="AB244" s="65" t="n"/>
      <c r="AC244" s="65" t="n"/>
      <c r="AD244" s="65" t="n"/>
      <c r="AE244" s="63" t="n"/>
    </row>
    <row r="245" ht="16.95" customHeight="1" s="52">
      <c r="A245" s="40">
        <f>E215</f>
        <v/>
      </c>
      <c r="C245" s="21">
        <f>B200</f>
        <v/>
      </c>
      <c r="D245" s="21">
        <f>C200</f>
        <v/>
      </c>
      <c r="E245" s="21">
        <f>D200</f>
        <v/>
      </c>
      <c r="F245" s="21">
        <f>E200</f>
        <v/>
      </c>
      <c r="G245" s="21">
        <f>F200</f>
        <v/>
      </c>
      <c r="H245" s="21">
        <f>G200</f>
        <v/>
      </c>
      <c r="I245" s="21">
        <f>H200</f>
        <v/>
      </c>
      <c r="J245" s="21">
        <f>I200</f>
        <v/>
      </c>
      <c r="K245" s="21">
        <f>J200</f>
        <v/>
      </c>
      <c r="L245" s="21">
        <f>K200</f>
        <v/>
      </c>
      <c r="M245" s="21">
        <f>L200</f>
        <v/>
      </c>
      <c r="N245" s="21">
        <f>M200</f>
        <v/>
      </c>
      <c r="O245" s="35" t="inlineStr">
        <is>
          <t>·</t>
        </is>
      </c>
      <c r="P245" s="33">
        <f>E229</f>
        <v/>
      </c>
      <c r="Z245" s="50" t="inlineStr">
        <is>
          <t>• K21 (lavanda pastel): Rigideces de acoplamiento para reacciones {R} = [K21] · {D_libres}.</t>
        </is>
      </c>
      <c r="AA245" s="65" t="n"/>
      <c r="AB245" s="65" t="n"/>
      <c r="AC245" s="65" t="n"/>
      <c r="AD245" s="65" t="n"/>
      <c r="AE245" s="63" t="n"/>
    </row>
    <row r="246" ht="16.95" customHeight="1" s="52">
      <c r="A246" s="40">
        <f>E216</f>
        <v/>
      </c>
      <c r="C246" s="21">
        <f>B201</f>
        <v/>
      </c>
      <c r="D246" s="21">
        <f>C201</f>
        <v/>
      </c>
      <c r="E246" s="21">
        <f>D201</f>
        <v/>
      </c>
      <c r="F246" s="21">
        <f>E201</f>
        <v/>
      </c>
      <c r="G246" s="21">
        <f>F201</f>
        <v/>
      </c>
      <c r="H246" s="21">
        <f>G201</f>
        <v/>
      </c>
      <c r="I246" s="21">
        <f>H201</f>
        <v/>
      </c>
      <c r="J246" s="21">
        <f>I201</f>
        <v/>
      </c>
      <c r="K246" s="21">
        <f>J201</f>
        <v/>
      </c>
      <c r="L246" s="21">
        <f>K201</f>
        <v/>
      </c>
      <c r="M246" s="21">
        <f>L201</f>
        <v/>
      </c>
      <c r="N246" s="21">
        <f>M201</f>
        <v/>
      </c>
      <c r="O246" s="35" t="inlineStr">
        <is>
          <t>·</t>
        </is>
      </c>
      <c r="P246" s="33">
        <f>E230</f>
        <v/>
      </c>
      <c r="Z246" s="50" t="n"/>
      <c r="AA246" s="65" t="n"/>
      <c r="AB246" s="65" t="n"/>
      <c r="AC246" s="65" t="n"/>
      <c r="AD246" s="65" t="n"/>
      <c r="AE246" s="63" t="n"/>
    </row>
    <row r="247" ht="16.95" customHeight="1" s="52">
      <c r="A247" s="40">
        <f>E217</f>
        <v/>
      </c>
      <c r="B247" s="35" t="inlineStr">
        <is>
          <t>=</t>
        </is>
      </c>
      <c r="C247" s="21">
        <f>B202</f>
        <v/>
      </c>
      <c r="D247" s="21">
        <f>C202</f>
        <v/>
      </c>
      <c r="E247" s="21">
        <f>D202</f>
        <v/>
      </c>
      <c r="F247" s="21">
        <f>E202</f>
        <v/>
      </c>
      <c r="G247" s="21">
        <f>F202</f>
        <v/>
      </c>
      <c r="H247" s="21">
        <f>G202</f>
        <v/>
      </c>
      <c r="I247" s="21">
        <f>H202</f>
        <v/>
      </c>
      <c r="J247" s="21">
        <f>I202</f>
        <v/>
      </c>
      <c r="K247" s="21">
        <f>J202</f>
        <v/>
      </c>
      <c r="L247" s="21">
        <f>K202</f>
        <v/>
      </c>
      <c r="M247" s="21">
        <f>L202</f>
        <v/>
      </c>
      <c r="N247" s="21">
        <f>M202</f>
        <v/>
      </c>
      <c r="O247" s="35" t="inlineStr">
        <is>
          <t>·</t>
        </is>
      </c>
      <c r="P247" s="33">
        <f>E231</f>
        <v/>
      </c>
      <c r="Z247" s="50" t="n"/>
      <c r="AA247" s="65" t="n"/>
      <c r="AB247" s="65" t="n"/>
      <c r="AC247" s="65" t="n"/>
      <c r="AD247" s="65" t="n"/>
      <c r="AE247" s="63" t="n"/>
    </row>
    <row r="248" ht="16.95" customHeight="1" s="52">
      <c r="A248" s="40">
        <f>E218</f>
        <v/>
      </c>
      <c r="C248" s="21">
        <f>B203</f>
        <v/>
      </c>
      <c r="D248" s="21">
        <f>C203</f>
        <v/>
      </c>
      <c r="E248" s="21">
        <f>D203</f>
        <v/>
      </c>
      <c r="F248" s="21">
        <f>E203</f>
        <v/>
      </c>
      <c r="G248" s="21">
        <f>F203</f>
        <v/>
      </c>
      <c r="H248" s="21">
        <f>G203</f>
        <v/>
      </c>
      <c r="I248" s="21">
        <f>H203</f>
        <v/>
      </c>
      <c r="J248" s="21">
        <f>I203</f>
        <v/>
      </c>
      <c r="K248" s="21">
        <f>J203</f>
        <v/>
      </c>
      <c r="L248" s="21">
        <f>K203</f>
        <v/>
      </c>
      <c r="M248" s="21">
        <f>L203</f>
        <v/>
      </c>
      <c r="N248" s="21">
        <f>M203</f>
        <v/>
      </c>
      <c r="O248" s="35" t="inlineStr">
        <is>
          <t>·</t>
        </is>
      </c>
      <c r="P248" s="33">
        <f>E232</f>
        <v/>
      </c>
      <c r="Z248" s="50" t="n"/>
      <c r="AA248" s="65" t="n"/>
      <c r="AB248" s="65" t="n"/>
      <c r="AC248" s="65" t="n"/>
      <c r="AD248" s="65" t="n"/>
      <c r="AE248" s="63" t="n"/>
    </row>
    <row r="249" ht="16.95" customHeight="1" s="52">
      <c r="A249" s="40">
        <f>E219</f>
        <v/>
      </c>
      <c r="C249" s="21">
        <f>B204</f>
        <v/>
      </c>
      <c r="D249" s="21">
        <f>C204</f>
        <v/>
      </c>
      <c r="E249" s="21">
        <f>D204</f>
        <v/>
      </c>
      <c r="F249" s="21">
        <f>E204</f>
        <v/>
      </c>
      <c r="G249" s="21">
        <f>F204</f>
        <v/>
      </c>
      <c r="H249" s="21">
        <f>G204</f>
        <v/>
      </c>
      <c r="I249" s="21">
        <f>H204</f>
        <v/>
      </c>
      <c r="J249" s="21">
        <f>I204</f>
        <v/>
      </c>
      <c r="K249" s="21">
        <f>J204</f>
        <v/>
      </c>
      <c r="L249" s="21">
        <f>K204</f>
        <v/>
      </c>
      <c r="M249" s="21">
        <f>L204</f>
        <v/>
      </c>
      <c r="N249" s="21">
        <f>M204</f>
        <v/>
      </c>
      <c r="O249" s="35" t="inlineStr">
        <is>
          <t>·</t>
        </is>
      </c>
      <c r="P249" s="33">
        <f>E233</f>
        <v/>
      </c>
      <c r="Z249" s="50" t="n"/>
      <c r="AA249" s="65" t="n"/>
      <c r="AB249" s="65" t="n"/>
      <c r="AC249" s="65" t="n"/>
      <c r="AD249" s="65" t="n"/>
      <c r="AE249" s="63" t="n"/>
    </row>
    <row r="250" ht="16.95" customHeight="1" s="52">
      <c r="A250" s="40">
        <f>E220</f>
        <v/>
      </c>
      <c r="C250" s="21">
        <f>B205</f>
        <v/>
      </c>
      <c r="D250" s="21">
        <f>C205</f>
        <v/>
      </c>
      <c r="E250" s="21">
        <f>D205</f>
        <v/>
      </c>
      <c r="F250" s="21">
        <f>E205</f>
        <v/>
      </c>
      <c r="G250" s="21">
        <f>F205</f>
        <v/>
      </c>
      <c r="H250" s="21">
        <f>G205</f>
        <v/>
      </c>
      <c r="I250" s="21">
        <f>H205</f>
        <v/>
      </c>
      <c r="J250" s="21">
        <f>I205</f>
        <v/>
      </c>
      <c r="K250" s="21">
        <f>J205</f>
        <v/>
      </c>
      <c r="L250" s="21">
        <f>K205</f>
        <v/>
      </c>
      <c r="M250" s="21">
        <f>L205</f>
        <v/>
      </c>
      <c r="N250" s="21">
        <f>M205</f>
        <v/>
      </c>
      <c r="O250" s="35" t="inlineStr">
        <is>
          <t>·</t>
        </is>
      </c>
      <c r="P250" s="33">
        <f>E234</f>
        <v/>
      </c>
      <c r="Z250" s="50" t="n"/>
      <c r="AA250" s="65" t="n"/>
      <c r="AB250" s="65" t="n"/>
      <c r="AC250" s="65" t="n"/>
      <c r="AD250" s="65" t="n"/>
      <c r="AE250" s="63" t="n"/>
    </row>
    <row r="251" ht="16.95" customHeight="1" s="52">
      <c r="A251" s="40">
        <f>E221</f>
        <v/>
      </c>
      <c r="C251" s="21">
        <f>B206</f>
        <v/>
      </c>
      <c r="D251" s="21">
        <f>C206</f>
        <v/>
      </c>
      <c r="E251" s="21">
        <f>D206</f>
        <v/>
      </c>
      <c r="F251" s="21">
        <f>E206</f>
        <v/>
      </c>
      <c r="G251" s="21">
        <f>F206</f>
        <v/>
      </c>
      <c r="H251" s="21">
        <f>G206</f>
        <v/>
      </c>
      <c r="I251" s="21">
        <f>H206</f>
        <v/>
      </c>
      <c r="J251" s="21">
        <f>I206</f>
        <v/>
      </c>
      <c r="K251" s="21">
        <f>J206</f>
        <v/>
      </c>
      <c r="L251" s="21">
        <f>K206</f>
        <v/>
      </c>
      <c r="M251" s="21">
        <f>L206</f>
        <v/>
      </c>
      <c r="N251" s="21">
        <f>M206</f>
        <v/>
      </c>
      <c r="O251" s="35" t="inlineStr">
        <is>
          <t>·</t>
        </is>
      </c>
      <c r="P251" s="33">
        <f>E235</f>
        <v/>
      </c>
      <c r="Z251" s="50" t="n"/>
      <c r="AA251" s="65" t="n"/>
      <c r="AB251" s="65" t="n"/>
      <c r="AC251" s="65" t="n"/>
      <c r="AD251" s="65" t="n"/>
      <c r="AE251" s="63" t="n"/>
    </row>
    <row r="252" ht="16.95" customHeight="1" s="52">
      <c r="A252" s="40">
        <f>E222</f>
        <v/>
      </c>
      <c r="C252" s="21">
        <f>B207</f>
        <v/>
      </c>
      <c r="D252" s="21">
        <f>C207</f>
        <v/>
      </c>
      <c r="E252" s="21">
        <f>D207</f>
        <v/>
      </c>
      <c r="F252" s="21">
        <f>E207</f>
        <v/>
      </c>
      <c r="G252" s="21">
        <f>F207</f>
        <v/>
      </c>
      <c r="H252" s="21">
        <f>G207</f>
        <v/>
      </c>
      <c r="I252" s="21">
        <f>H207</f>
        <v/>
      </c>
      <c r="J252" s="21">
        <f>I207</f>
        <v/>
      </c>
      <c r="K252" s="21">
        <f>J207</f>
        <v/>
      </c>
      <c r="L252" s="21">
        <f>K207</f>
        <v/>
      </c>
      <c r="M252" s="21">
        <f>L207</f>
        <v/>
      </c>
      <c r="N252" s="21">
        <f>M207</f>
        <v/>
      </c>
      <c r="O252" s="35" t="inlineStr">
        <is>
          <t>·</t>
        </is>
      </c>
      <c r="P252" s="33">
        <f>E236</f>
        <v/>
      </c>
      <c r="Z252" s="50" t="n"/>
      <c r="AA252" s="65" t="n"/>
      <c r="AB252" s="65" t="n"/>
      <c r="AC252" s="65" t="n"/>
      <c r="AD252" s="65" t="n"/>
      <c r="AE252" s="63" t="n"/>
    </row>
    <row r="255" ht="19.95" customHeight="1" s="52">
      <c r="A255" s="37" t="inlineStr">
        <is>
          <t>Ecuacion matricial reducida para el calculo de desplazamientos:</t>
        </is>
      </c>
      <c r="Z255" s="53" t="inlineStr">
        <is>
          <t>3. CÁLCULO DE DESPLAZAMIENTOS: {D} = [K₁₁]⁻¹ · {C}</t>
        </is>
      </c>
      <c r="AA255" s="65" t="n"/>
      <c r="AB255" s="65" t="n"/>
      <c r="AC255" s="65" t="n"/>
      <c r="AD255" s="65" t="n"/>
      <c r="AE255" s="63" t="n"/>
    </row>
    <row r="256" ht="16.95" customHeight="1" s="52">
      <c r="C256" s="56">
        <f>IFERROR(INDEX(C$225:C$236, MATCH(1, F$225:F$236, 0)), "-")</f>
        <v/>
      </c>
      <c r="D256" s="56">
        <f>IFERROR(INDEX(C$225:C$236, MATCH(2, F$225:F$236, 0)), "-")</f>
        <v/>
      </c>
      <c r="E256" s="56">
        <f>IFERROR(INDEX(C$225:C$236, MATCH(3, F$225:F$236, 0)), "-")</f>
        <v/>
      </c>
      <c r="F256" s="56">
        <f>IFERROR(INDEX(C$225:C$236, MATCH(4, F$225:F$236, 0)), "-")</f>
        <v/>
      </c>
      <c r="G256" s="56">
        <f>IFERROR(INDEX(C$225:C$236, MATCH(5, F$225:F$236, 0)), "-")</f>
        <v/>
      </c>
      <c r="H256" s="56">
        <f>IFERROR(INDEX(C$225:C$236, MATCH(6, F$225:F$236, 0)), "-")</f>
        <v/>
      </c>
      <c r="I256" s="56">
        <f>IFERROR(INDEX(C$225:C$236, MATCH(7, F$225:F$236, 0)), "-")</f>
        <v/>
      </c>
      <c r="J256" s="56">
        <f>IFERROR(INDEX(C$225:C$236, MATCH(8, F$225:F$236, 0)), "-")</f>
        <v/>
      </c>
      <c r="Z256" s="50" t="inlineStr">
        <is>
          <t>• Submatriz [K11]: Extraída dinámicamente con INDEX/MATCH desde Karmadura usando los grados libres.</t>
        </is>
      </c>
      <c r="AA256" s="65" t="n"/>
      <c r="AB256" s="65" t="n"/>
      <c r="AC256" s="65" t="n"/>
      <c r="AD256" s="65" t="n"/>
      <c r="AE256" s="63" t="n"/>
    </row>
    <row r="257" ht="16.95" customHeight="1" s="52">
      <c r="A257" s="41">
        <f>IF($M257="-", 0, IFERROR(INDEX(E$211:E$222, MATCH($M257, C$211:C$222, 0)), 0))</f>
        <v/>
      </c>
      <c r="C257" s="41">
        <f>IF(OR($M257="-", C$256="-"), 1, IF(OR(IFERROR(INDEX($B$196:$M$207, MATCH($M257, $N$196:$N$207, 0), MATCH($M257, $B$195:$M$195, 0)), 0)=0, IFERROR(INDEX($B$196:$M$207, MATCH(C$256, $N$196:$N$207, 0), MATCH(C$256, $B$195:$M$195, 0)), 0)=0), 1, IFERROR(INDEX($B$196:$M$207, MATCH($M257, $N$196:$N$207, 0), MATCH(C$256, $B$195:$M$195, 0)), 0)))</f>
        <v/>
      </c>
      <c r="D257" s="41">
        <f>IF(OR($M257="-", D$256="-"), 0, IF(OR(IFERROR(INDEX($B$196:$M$207, MATCH($M257, $N$196:$N$207, 0), MATCH($M257, $B$195:$M$195, 0)), 0)=0, IFERROR(INDEX($B$196:$M$207, MATCH(D$256, $N$196:$N$207, 0), MATCH(D$256, $B$195:$M$195, 0)), 0)=0), 0, IFERROR(INDEX($B$196:$M$207, MATCH($M257, $N$196:$N$207, 0), MATCH(D$256, $B$195:$M$195, 0)), 0)))</f>
        <v/>
      </c>
      <c r="E257" s="41">
        <f>IF(OR($M257="-", E$256="-"), 0, IF(OR(IFERROR(INDEX($B$196:$M$207, MATCH($M257, $N$196:$N$207, 0), MATCH($M257, $B$195:$M$195, 0)), 0)=0, IFERROR(INDEX($B$196:$M$207, MATCH(E$256, $N$196:$N$207, 0), MATCH(E$256, $B$195:$M$195, 0)), 0)=0), 0, IFERROR(INDEX($B$196:$M$207, MATCH($M257, $N$196:$N$207, 0), MATCH(E$256, $B$195:$M$195, 0)), 0)))</f>
        <v/>
      </c>
      <c r="F257" s="41">
        <f>IF(OR($M257="-", F$256="-"), 0, IF(OR(IFERROR(INDEX($B$196:$M$207, MATCH($M257, $N$196:$N$207, 0), MATCH($M257, $B$195:$M$195, 0)), 0)=0, IFERROR(INDEX($B$196:$M$207, MATCH(F$256, $N$196:$N$207, 0), MATCH(F$256, $B$195:$M$195, 0)), 0)=0), 0, IFERROR(INDEX($B$196:$M$207, MATCH($M257, $N$196:$N$207, 0), MATCH(F$256, $B$195:$M$195, 0)), 0)))</f>
        <v/>
      </c>
      <c r="G257" s="41">
        <f>IF(OR($M257="-", G$256="-"), 0, IF(OR(IFERROR(INDEX($B$196:$M$207, MATCH($M257, $N$196:$N$207, 0), MATCH($M257, $B$195:$M$195, 0)), 0)=0, IFERROR(INDEX($B$196:$M$207, MATCH(G$256, $N$196:$N$207, 0), MATCH(G$256, $B$195:$M$195, 0)), 0)=0), 0, IFERROR(INDEX($B$196:$M$207, MATCH($M257, $N$196:$N$207, 0), MATCH(G$256, $B$195:$M$195, 0)), 0)))</f>
        <v/>
      </c>
      <c r="H257" s="41">
        <f>IF(OR($M257="-", H$256="-"), 0, IF(OR(IFERROR(INDEX($B$196:$M$207, MATCH($M257, $N$196:$N$207, 0), MATCH($M257, $B$195:$M$195, 0)), 0)=0, IFERROR(INDEX($B$196:$M$207, MATCH(H$256, $N$196:$N$207, 0), MATCH(H$256, $B$195:$M$195, 0)), 0)=0), 0, IFERROR(INDEX($B$196:$M$207, MATCH($M257, $N$196:$N$207, 0), MATCH(H$256, $B$195:$M$195, 0)), 0)))</f>
        <v/>
      </c>
      <c r="I257" s="41">
        <f>IF(OR($M257="-", I$256="-"), 0, IF(OR(IFERROR(INDEX($B$196:$M$207, MATCH($M257, $N$196:$N$207, 0), MATCH($M257, $B$195:$M$195, 0)), 0)=0, IFERROR(INDEX($B$196:$M$207, MATCH(I$256, $N$196:$N$207, 0), MATCH(I$256, $B$195:$M$195, 0)), 0)=0), 0, IFERROR(INDEX($B$196:$M$207, MATCH($M257, $N$196:$N$207, 0), MATCH(I$256, $B$195:$M$195, 0)), 0)))</f>
        <v/>
      </c>
      <c r="J257" s="41">
        <f>IF(OR($M257="-", J$256="-"), 0, IF(OR(IFERROR(INDEX($B$196:$M$207, MATCH($M257, $N$196:$N$207, 0), MATCH($M257, $B$195:$M$195, 0)), 0)=0, IFERROR(INDEX($B$196:$M$207, MATCH(J$256, $N$196:$N$207, 0), MATCH(J$256, $B$195:$M$195, 0)), 0)=0), 0, IFERROR(INDEX($B$196:$M$207, MATCH($M257, $N$196:$N$207, 0), MATCH(J$256, $B$195:$M$195, 0)), 0)))</f>
        <v/>
      </c>
      <c r="K257" s="35" t="inlineStr">
        <is>
          <t>·</t>
        </is>
      </c>
      <c r="L257" s="56">
        <f>IFERROR(INDEX(B$225:B$236, MATCH(1, F$225:F$236, 0)), "-")</f>
        <v/>
      </c>
      <c r="M257" s="36">
        <f>IFERROR(INDEX(C$225:C$236, MATCH(1, F$225:F$236, 0)), "-")</f>
        <v/>
      </c>
      <c r="Z257" s="50" t="inlineStr">
        <is>
          <t>• Vector de Cargas {C}: Fuerzas externas actuantes en los nudos libres.</t>
        </is>
      </c>
      <c r="AA257" s="65" t="n"/>
      <c r="AB257" s="65" t="n"/>
      <c r="AC257" s="65" t="n"/>
      <c r="AD257" s="65" t="n"/>
      <c r="AE257" s="63" t="n"/>
    </row>
    <row r="258" ht="16.95" customHeight="1" s="52">
      <c r="A258" s="41">
        <f>IF($M258="-", 0, IFERROR(INDEX(E$211:E$222, MATCH($M258, C$211:C$222, 0)), 0))</f>
        <v/>
      </c>
      <c r="C258" s="41">
        <f>IF(OR($M258="-", C$256="-"), 0, IF(OR(IFERROR(INDEX($B$196:$M$207, MATCH($M258, $N$196:$N$207, 0), MATCH($M258, $B$195:$M$195, 0)), 0)=0, IFERROR(INDEX($B$196:$M$207, MATCH(C$256, $N$196:$N$207, 0), MATCH(C$256, $B$195:$M$195, 0)), 0)=0), 0, IFERROR(INDEX($B$196:$M$207, MATCH($M258, $N$196:$N$207, 0), MATCH(C$256, $B$195:$M$195, 0)), 0)))</f>
        <v/>
      </c>
      <c r="D258" s="41">
        <f>IF(OR($M258="-", D$256="-"), 1, IF(OR(IFERROR(INDEX($B$196:$M$207, MATCH($M258, $N$196:$N$207, 0), MATCH($M258, $B$195:$M$195, 0)), 0)=0, IFERROR(INDEX($B$196:$M$207, MATCH(D$256, $N$196:$N$207, 0), MATCH(D$256, $B$195:$M$195, 0)), 0)=0), 1, IFERROR(INDEX($B$196:$M$207, MATCH($M258, $N$196:$N$207, 0), MATCH(D$256, $B$195:$M$195, 0)), 0)))</f>
        <v/>
      </c>
      <c r="E258" s="41">
        <f>IF(OR($M258="-", E$256="-"), 0, IF(OR(IFERROR(INDEX($B$196:$M$207, MATCH($M258, $N$196:$N$207, 0), MATCH($M258, $B$195:$M$195, 0)), 0)=0, IFERROR(INDEX($B$196:$M$207, MATCH(E$256, $N$196:$N$207, 0), MATCH(E$256, $B$195:$M$195, 0)), 0)=0), 0, IFERROR(INDEX($B$196:$M$207, MATCH($M258, $N$196:$N$207, 0), MATCH(E$256, $B$195:$M$195, 0)), 0)))</f>
        <v/>
      </c>
      <c r="F258" s="41">
        <f>IF(OR($M258="-", F$256="-"), 0, IF(OR(IFERROR(INDEX($B$196:$M$207, MATCH($M258, $N$196:$N$207, 0), MATCH($M258, $B$195:$M$195, 0)), 0)=0, IFERROR(INDEX($B$196:$M$207, MATCH(F$256, $N$196:$N$207, 0), MATCH(F$256, $B$195:$M$195, 0)), 0)=0), 0, IFERROR(INDEX($B$196:$M$207, MATCH($M258, $N$196:$N$207, 0), MATCH(F$256, $B$195:$M$195, 0)), 0)))</f>
        <v/>
      </c>
      <c r="G258" s="41">
        <f>IF(OR($M258="-", G$256="-"), 0, IF(OR(IFERROR(INDEX($B$196:$M$207, MATCH($M258, $N$196:$N$207, 0), MATCH($M258, $B$195:$M$195, 0)), 0)=0, IFERROR(INDEX($B$196:$M$207, MATCH(G$256, $N$196:$N$207, 0), MATCH(G$256, $B$195:$M$195, 0)), 0)=0), 0, IFERROR(INDEX($B$196:$M$207, MATCH($M258, $N$196:$N$207, 0), MATCH(G$256, $B$195:$M$195, 0)), 0)))</f>
        <v/>
      </c>
      <c r="H258" s="41">
        <f>IF(OR($M258="-", H$256="-"), 0, IF(OR(IFERROR(INDEX($B$196:$M$207, MATCH($M258, $N$196:$N$207, 0), MATCH($M258, $B$195:$M$195, 0)), 0)=0, IFERROR(INDEX($B$196:$M$207, MATCH(H$256, $N$196:$N$207, 0), MATCH(H$256, $B$195:$M$195, 0)), 0)=0), 0, IFERROR(INDEX($B$196:$M$207, MATCH($M258, $N$196:$N$207, 0), MATCH(H$256, $B$195:$M$195, 0)), 0)))</f>
        <v/>
      </c>
      <c r="I258" s="41">
        <f>IF(OR($M258="-", I$256="-"), 0, IF(OR(IFERROR(INDEX($B$196:$M$207, MATCH($M258, $N$196:$N$207, 0), MATCH($M258, $B$195:$M$195, 0)), 0)=0, IFERROR(INDEX($B$196:$M$207, MATCH(I$256, $N$196:$N$207, 0), MATCH(I$256, $B$195:$M$195, 0)), 0)=0), 0, IFERROR(INDEX($B$196:$M$207, MATCH($M258, $N$196:$N$207, 0), MATCH(I$256, $B$195:$M$195, 0)), 0)))</f>
        <v/>
      </c>
      <c r="J258" s="41">
        <f>IF(OR($M258="-", J$256="-"), 0, IF(OR(IFERROR(INDEX($B$196:$M$207, MATCH($M258, $N$196:$N$207, 0), MATCH($M258, $B$195:$M$195, 0)), 0)=0, IFERROR(INDEX($B$196:$M$207, MATCH(J$256, $N$196:$N$207, 0), MATCH(J$256, $B$195:$M$195, 0)), 0)=0), 0, IFERROR(INDEX($B$196:$M$207, MATCH($M258, $N$196:$N$207, 0), MATCH(J$256, $B$195:$M$195, 0)), 0)))</f>
        <v/>
      </c>
      <c r="K258" s="35" t="inlineStr">
        <is>
          <t>·</t>
        </is>
      </c>
      <c r="L258" s="56">
        <f>IFERROR(INDEX(B$225:B$236, MATCH(2, F$225:F$236, 0)), "-")</f>
        <v/>
      </c>
      <c r="M258" s="36">
        <f>IFERROR(INDEX(C$225:C$236, MATCH(2, F$225:F$236, 0)), "-")</f>
        <v/>
      </c>
      <c r="Z258" s="50" t="inlineStr">
        <is>
          <t>• Inversión [MINVERSA]: Matriz de flexibilidad [K11]⁻¹ en cm/Kgf.</t>
        </is>
      </c>
      <c r="AA258" s="65" t="n"/>
      <c r="AB258" s="65" t="n"/>
      <c r="AC258" s="65" t="n"/>
      <c r="AD258" s="65" t="n"/>
      <c r="AE258" s="63" t="n"/>
    </row>
    <row r="259" ht="16.95" customHeight="1" s="52">
      <c r="A259" s="41">
        <f>IF($M259="-", 0, IFERROR(INDEX(E$211:E$222, MATCH($M259, C$211:C$222, 0)), 0))</f>
        <v/>
      </c>
      <c r="C259" s="41">
        <f>IF(OR($M259="-", C$256="-"), 0, IF(OR(IFERROR(INDEX($B$196:$M$207, MATCH($M259, $N$196:$N$207, 0), MATCH($M259, $B$195:$M$195, 0)), 0)=0, IFERROR(INDEX($B$196:$M$207, MATCH(C$256, $N$196:$N$207, 0), MATCH(C$256, $B$195:$M$195, 0)), 0)=0), 0, IFERROR(INDEX($B$196:$M$207, MATCH($M259, $N$196:$N$207, 0), MATCH(C$256, $B$195:$M$195, 0)), 0)))</f>
        <v/>
      </c>
      <c r="D259" s="41">
        <f>IF(OR($M259="-", D$256="-"), 0, IF(OR(IFERROR(INDEX($B$196:$M$207, MATCH($M259, $N$196:$N$207, 0), MATCH($M259, $B$195:$M$195, 0)), 0)=0, IFERROR(INDEX($B$196:$M$207, MATCH(D$256, $N$196:$N$207, 0), MATCH(D$256, $B$195:$M$195, 0)), 0)=0), 0, IFERROR(INDEX($B$196:$M$207, MATCH($M259, $N$196:$N$207, 0), MATCH(D$256, $B$195:$M$195, 0)), 0)))</f>
        <v/>
      </c>
      <c r="E259" s="41">
        <f>IF(OR($M259="-", E$256="-"), 1, IF(OR(IFERROR(INDEX($B$196:$M$207, MATCH($M259, $N$196:$N$207, 0), MATCH($M259, $B$195:$M$195, 0)), 0)=0, IFERROR(INDEX($B$196:$M$207, MATCH(E$256, $N$196:$N$207, 0), MATCH(E$256, $B$195:$M$195, 0)), 0)=0), 1, IFERROR(INDEX($B$196:$M$207, MATCH($M259, $N$196:$N$207, 0), MATCH(E$256, $B$195:$M$195, 0)), 0)))</f>
        <v/>
      </c>
      <c r="F259" s="41">
        <f>IF(OR($M259="-", F$256="-"), 0, IF(OR(IFERROR(INDEX($B$196:$M$207, MATCH($M259, $N$196:$N$207, 0), MATCH($M259, $B$195:$M$195, 0)), 0)=0, IFERROR(INDEX($B$196:$M$207, MATCH(F$256, $N$196:$N$207, 0), MATCH(F$256, $B$195:$M$195, 0)), 0)=0), 0, IFERROR(INDEX($B$196:$M$207, MATCH($M259, $N$196:$N$207, 0), MATCH(F$256, $B$195:$M$195, 0)), 0)))</f>
        <v/>
      </c>
      <c r="G259" s="41">
        <f>IF(OR($M259="-", G$256="-"), 0, IF(OR(IFERROR(INDEX($B$196:$M$207, MATCH($M259, $N$196:$N$207, 0), MATCH($M259, $B$195:$M$195, 0)), 0)=0, IFERROR(INDEX($B$196:$M$207, MATCH(G$256, $N$196:$N$207, 0), MATCH(G$256, $B$195:$M$195, 0)), 0)=0), 0, IFERROR(INDEX($B$196:$M$207, MATCH($M259, $N$196:$N$207, 0), MATCH(G$256, $B$195:$M$195, 0)), 0)))</f>
        <v/>
      </c>
      <c r="H259" s="41">
        <f>IF(OR($M259="-", H$256="-"), 0, IF(OR(IFERROR(INDEX($B$196:$M$207, MATCH($M259, $N$196:$N$207, 0), MATCH($M259, $B$195:$M$195, 0)), 0)=0, IFERROR(INDEX($B$196:$M$207, MATCH(H$256, $N$196:$N$207, 0), MATCH(H$256, $B$195:$M$195, 0)), 0)=0), 0, IFERROR(INDEX($B$196:$M$207, MATCH($M259, $N$196:$N$207, 0), MATCH(H$256, $B$195:$M$195, 0)), 0)))</f>
        <v/>
      </c>
      <c r="I259" s="41">
        <f>IF(OR($M259="-", I$256="-"), 0, IF(OR(IFERROR(INDEX($B$196:$M$207, MATCH($M259, $N$196:$N$207, 0), MATCH($M259, $B$195:$M$195, 0)), 0)=0, IFERROR(INDEX($B$196:$M$207, MATCH(I$256, $N$196:$N$207, 0), MATCH(I$256, $B$195:$M$195, 0)), 0)=0), 0, IFERROR(INDEX($B$196:$M$207, MATCH($M259, $N$196:$N$207, 0), MATCH(I$256, $B$195:$M$195, 0)), 0)))</f>
        <v/>
      </c>
      <c r="J259" s="41">
        <f>IF(OR($M259="-", J$256="-"), 0, IF(OR(IFERROR(INDEX($B$196:$M$207, MATCH($M259, $N$196:$N$207, 0), MATCH($M259, $B$195:$M$195, 0)), 0)=0, IFERROR(INDEX($B$196:$M$207, MATCH(J$256, $N$196:$N$207, 0), MATCH(J$256, $B$195:$M$195, 0)), 0)=0), 0, IFERROR(INDEX($B$196:$M$207, MATCH($M259, $N$196:$N$207, 0), MATCH(J$256, $B$195:$M$195, 0)), 0)))</f>
        <v/>
      </c>
      <c r="K259" s="35" t="inlineStr">
        <is>
          <t>·</t>
        </is>
      </c>
      <c r="L259" s="56">
        <f>IFERROR(INDEX(B$225:B$236, MATCH(3, F$225:F$236, 0)), "-")</f>
        <v/>
      </c>
      <c r="M259" s="36">
        <f>IFERROR(INDEX(C$225:C$236, MATCH(3, F$225:F$236, 0)), "-")</f>
        <v/>
      </c>
      <c r="Z259" s="50" t="inlineStr">
        <is>
          <t>• Multiplicación [MMULT]: {D_libres} = [K11]⁻¹ · {C} obtiene los desplazamientos reales en cm.</t>
        </is>
      </c>
      <c r="AA259" s="65" t="n"/>
      <c r="AB259" s="65" t="n"/>
      <c r="AC259" s="65" t="n"/>
      <c r="AD259" s="65" t="n"/>
      <c r="AE259" s="63" t="n"/>
    </row>
    <row r="260" ht="16.95" customHeight="1" s="52">
      <c r="A260" s="41">
        <f>IF($M260="-", 0, IFERROR(INDEX(E$211:E$222, MATCH($M260, C$211:C$222, 0)), 0))</f>
        <v/>
      </c>
      <c r="C260" s="41">
        <f>IF(OR($M260="-", C$256="-"), 0, IF(OR(IFERROR(INDEX($B$196:$M$207, MATCH($M260, $N$196:$N$207, 0), MATCH($M260, $B$195:$M$195, 0)), 0)=0, IFERROR(INDEX($B$196:$M$207, MATCH(C$256, $N$196:$N$207, 0), MATCH(C$256, $B$195:$M$195, 0)), 0)=0), 0, IFERROR(INDEX($B$196:$M$207, MATCH($M260, $N$196:$N$207, 0), MATCH(C$256, $B$195:$M$195, 0)), 0)))</f>
        <v/>
      </c>
      <c r="D260" s="41">
        <f>IF(OR($M260="-", D$256="-"), 0, IF(OR(IFERROR(INDEX($B$196:$M$207, MATCH($M260, $N$196:$N$207, 0), MATCH($M260, $B$195:$M$195, 0)), 0)=0, IFERROR(INDEX($B$196:$M$207, MATCH(D$256, $N$196:$N$207, 0), MATCH(D$256, $B$195:$M$195, 0)), 0)=0), 0, IFERROR(INDEX($B$196:$M$207, MATCH($M260, $N$196:$N$207, 0), MATCH(D$256, $B$195:$M$195, 0)), 0)))</f>
        <v/>
      </c>
      <c r="E260" s="41">
        <f>IF(OR($M260="-", E$256="-"), 0, IF(OR(IFERROR(INDEX($B$196:$M$207, MATCH($M260, $N$196:$N$207, 0), MATCH($M260, $B$195:$M$195, 0)), 0)=0, IFERROR(INDEX($B$196:$M$207, MATCH(E$256, $N$196:$N$207, 0), MATCH(E$256, $B$195:$M$195, 0)), 0)=0), 0, IFERROR(INDEX($B$196:$M$207, MATCH($M260, $N$196:$N$207, 0), MATCH(E$256, $B$195:$M$195, 0)), 0)))</f>
        <v/>
      </c>
      <c r="F260" s="41">
        <f>IF(OR($M260="-", F$256="-"), 1, IF(OR(IFERROR(INDEX($B$196:$M$207, MATCH($M260, $N$196:$N$207, 0), MATCH($M260, $B$195:$M$195, 0)), 0)=0, IFERROR(INDEX($B$196:$M$207, MATCH(F$256, $N$196:$N$207, 0), MATCH(F$256, $B$195:$M$195, 0)), 0)=0), 1, IFERROR(INDEX($B$196:$M$207, MATCH($M260, $N$196:$N$207, 0), MATCH(F$256, $B$195:$M$195, 0)), 0)))</f>
        <v/>
      </c>
      <c r="G260" s="41">
        <f>IF(OR($M260="-", G$256="-"), 0, IF(OR(IFERROR(INDEX($B$196:$M$207, MATCH($M260, $N$196:$N$207, 0), MATCH($M260, $B$195:$M$195, 0)), 0)=0, IFERROR(INDEX($B$196:$M$207, MATCH(G$256, $N$196:$N$207, 0), MATCH(G$256, $B$195:$M$195, 0)), 0)=0), 0, IFERROR(INDEX($B$196:$M$207, MATCH($M260, $N$196:$N$207, 0), MATCH(G$256, $B$195:$M$195, 0)), 0)))</f>
        <v/>
      </c>
      <c r="H260" s="41">
        <f>IF(OR($M260="-", H$256="-"), 0, IF(OR(IFERROR(INDEX($B$196:$M$207, MATCH($M260, $N$196:$N$207, 0), MATCH($M260, $B$195:$M$195, 0)), 0)=0, IFERROR(INDEX($B$196:$M$207, MATCH(H$256, $N$196:$N$207, 0), MATCH(H$256, $B$195:$M$195, 0)), 0)=0), 0, IFERROR(INDEX($B$196:$M$207, MATCH($M260, $N$196:$N$207, 0), MATCH(H$256, $B$195:$M$195, 0)), 0)))</f>
        <v/>
      </c>
      <c r="I260" s="41">
        <f>IF(OR($M260="-", I$256="-"), 0, IF(OR(IFERROR(INDEX($B$196:$M$207, MATCH($M260, $N$196:$N$207, 0), MATCH($M260, $B$195:$M$195, 0)), 0)=0, IFERROR(INDEX($B$196:$M$207, MATCH(I$256, $N$196:$N$207, 0), MATCH(I$256, $B$195:$M$195, 0)), 0)=0), 0, IFERROR(INDEX($B$196:$M$207, MATCH($M260, $N$196:$N$207, 0), MATCH(I$256, $B$195:$M$195, 0)), 0)))</f>
        <v/>
      </c>
      <c r="J260" s="41">
        <f>IF(OR($M260="-", J$256="-"), 0, IF(OR(IFERROR(INDEX($B$196:$M$207, MATCH($M260, $N$196:$N$207, 0), MATCH($M260, $B$195:$M$195, 0)), 0)=0, IFERROR(INDEX($B$196:$M$207, MATCH(J$256, $N$196:$N$207, 0), MATCH(J$256, $B$195:$M$195, 0)), 0)=0), 0, IFERROR(INDEX($B$196:$M$207, MATCH($M260, $N$196:$N$207, 0), MATCH(J$256, $B$195:$M$195, 0)), 0)))</f>
        <v/>
      </c>
      <c r="K260" s="35" t="inlineStr">
        <is>
          <t>·</t>
        </is>
      </c>
      <c r="L260" s="56">
        <f>IFERROR(INDEX(B$225:B$236, MATCH(4, F$225:F$236, 0)), "-")</f>
        <v/>
      </c>
      <c r="M260" s="36">
        <f>IFERROR(INDEX(C$225:C$236, MATCH(4, F$225:F$236, 0)), "-")</f>
        <v/>
      </c>
      <c r="Z260" s="50" t="n"/>
      <c r="AA260" s="65" t="n"/>
      <c r="AB260" s="65" t="n"/>
      <c r="AC260" s="65" t="n"/>
      <c r="AD260" s="65" t="n"/>
      <c r="AE260" s="63" t="n"/>
    </row>
    <row r="261" ht="16.95" customHeight="1" s="52">
      <c r="A261" s="41">
        <f>IF($M261="-", 0, IFERROR(INDEX(E$211:E$222, MATCH($M261, C$211:C$222, 0)), 0))</f>
        <v/>
      </c>
      <c r="B261" s="35" t="inlineStr">
        <is>
          <t>=</t>
        </is>
      </c>
      <c r="C261" s="41">
        <f>IF(OR($M261="-", C$256="-"), 0, IF(OR(IFERROR(INDEX($B$196:$M$207, MATCH($M261, $N$196:$N$207, 0), MATCH($M261, $B$195:$M$195, 0)), 0)=0, IFERROR(INDEX($B$196:$M$207, MATCH(C$256, $N$196:$N$207, 0), MATCH(C$256, $B$195:$M$195, 0)), 0)=0), 0, IFERROR(INDEX($B$196:$M$207, MATCH($M261, $N$196:$N$207, 0), MATCH(C$256, $B$195:$M$195, 0)), 0)))</f>
        <v/>
      </c>
      <c r="D261" s="41">
        <f>IF(OR($M261="-", D$256="-"), 0, IF(OR(IFERROR(INDEX($B$196:$M$207, MATCH($M261, $N$196:$N$207, 0), MATCH($M261, $B$195:$M$195, 0)), 0)=0, IFERROR(INDEX($B$196:$M$207, MATCH(D$256, $N$196:$N$207, 0), MATCH(D$256, $B$195:$M$195, 0)), 0)=0), 0, IFERROR(INDEX($B$196:$M$207, MATCH($M261, $N$196:$N$207, 0), MATCH(D$256, $B$195:$M$195, 0)), 0)))</f>
        <v/>
      </c>
      <c r="E261" s="41">
        <f>IF(OR($M261="-", E$256="-"), 0, IF(OR(IFERROR(INDEX($B$196:$M$207, MATCH($M261, $N$196:$N$207, 0), MATCH($M261, $B$195:$M$195, 0)), 0)=0, IFERROR(INDEX($B$196:$M$207, MATCH(E$256, $N$196:$N$207, 0), MATCH(E$256, $B$195:$M$195, 0)), 0)=0), 0, IFERROR(INDEX($B$196:$M$207, MATCH($M261, $N$196:$N$207, 0), MATCH(E$256, $B$195:$M$195, 0)), 0)))</f>
        <v/>
      </c>
      <c r="F261" s="41">
        <f>IF(OR($M261="-", F$256="-"), 0, IF(OR(IFERROR(INDEX($B$196:$M$207, MATCH($M261, $N$196:$N$207, 0), MATCH($M261, $B$195:$M$195, 0)), 0)=0, IFERROR(INDEX($B$196:$M$207, MATCH(F$256, $N$196:$N$207, 0), MATCH(F$256, $B$195:$M$195, 0)), 0)=0), 0, IFERROR(INDEX($B$196:$M$207, MATCH($M261, $N$196:$N$207, 0), MATCH(F$256, $B$195:$M$195, 0)), 0)))</f>
        <v/>
      </c>
      <c r="G261" s="41">
        <f>IF(OR($M261="-", G$256="-"), 1, IF(OR(IFERROR(INDEX($B$196:$M$207, MATCH($M261, $N$196:$N$207, 0), MATCH($M261, $B$195:$M$195, 0)), 0)=0, IFERROR(INDEX($B$196:$M$207, MATCH(G$256, $N$196:$N$207, 0), MATCH(G$256, $B$195:$M$195, 0)), 0)=0), 1, IFERROR(INDEX($B$196:$M$207, MATCH($M261, $N$196:$N$207, 0), MATCH(G$256, $B$195:$M$195, 0)), 0)))</f>
        <v/>
      </c>
      <c r="H261" s="41">
        <f>IF(OR($M261="-", H$256="-"), 0, IF(OR(IFERROR(INDEX($B$196:$M$207, MATCH($M261, $N$196:$N$207, 0), MATCH($M261, $B$195:$M$195, 0)), 0)=0, IFERROR(INDEX($B$196:$M$207, MATCH(H$256, $N$196:$N$207, 0), MATCH(H$256, $B$195:$M$195, 0)), 0)=0), 0, IFERROR(INDEX($B$196:$M$207, MATCH($M261, $N$196:$N$207, 0), MATCH(H$256, $B$195:$M$195, 0)), 0)))</f>
        <v/>
      </c>
      <c r="I261" s="41">
        <f>IF(OR($M261="-", I$256="-"), 0, IF(OR(IFERROR(INDEX($B$196:$M$207, MATCH($M261, $N$196:$N$207, 0), MATCH($M261, $B$195:$M$195, 0)), 0)=0, IFERROR(INDEX($B$196:$M$207, MATCH(I$256, $N$196:$N$207, 0), MATCH(I$256, $B$195:$M$195, 0)), 0)=0), 0, IFERROR(INDEX($B$196:$M$207, MATCH($M261, $N$196:$N$207, 0), MATCH(I$256, $B$195:$M$195, 0)), 0)))</f>
        <v/>
      </c>
      <c r="J261" s="41">
        <f>IF(OR($M261="-", J$256="-"), 0, IF(OR(IFERROR(INDEX($B$196:$M$207, MATCH($M261, $N$196:$N$207, 0), MATCH($M261, $B$195:$M$195, 0)), 0)=0, IFERROR(INDEX($B$196:$M$207, MATCH(J$256, $N$196:$N$207, 0), MATCH(J$256, $B$195:$M$195, 0)), 0)=0), 0, IFERROR(INDEX($B$196:$M$207, MATCH($M261, $N$196:$N$207, 0), MATCH(J$256, $B$195:$M$195, 0)), 0)))</f>
        <v/>
      </c>
      <c r="K261" s="35" t="inlineStr">
        <is>
          <t>·</t>
        </is>
      </c>
      <c r="L261" s="56">
        <f>IFERROR(INDEX(B$225:B$236, MATCH(5, F$225:F$236, 0)), "-")</f>
        <v/>
      </c>
      <c r="M261" s="36">
        <f>IFERROR(INDEX(C$225:C$236, MATCH(5, F$225:F$236, 0)), "-")</f>
        <v/>
      </c>
      <c r="Z261" s="50" t="n"/>
      <c r="AA261" s="65" t="n"/>
      <c r="AB261" s="65" t="n"/>
      <c r="AC261" s="65" t="n"/>
      <c r="AD261" s="65" t="n"/>
      <c r="AE261" s="63" t="n"/>
    </row>
    <row r="262" ht="16.95" customHeight="1" s="52">
      <c r="A262" s="41">
        <f>IF($M262="-", 0, IFERROR(INDEX(E$211:E$222, MATCH($M262, C$211:C$222, 0)), 0))</f>
        <v/>
      </c>
      <c r="C262" s="41">
        <f>IF(OR($M262="-", C$256="-"), 0, IF(OR(IFERROR(INDEX($B$196:$M$207, MATCH($M262, $N$196:$N$207, 0), MATCH($M262, $B$195:$M$195, 0)), 0)=0, IFERROR(INDEX($B$196:$M$207, MATCH(C$256, $N$196:$N$207, 0), MATCH(C$256, $B$195:$M$195, 0)), 0)=0), 0, IFERROR(INDEX($B$196:$M$207, MATCH($M262, $N$196:$N$207, 0), MATCH(C$256, $B$195:$M$195, 0)), 0)))</f>
        <v/>
      </c>
      <c r="D262" s="41">
        <f>IF(OR($M262="-", D$256="-"), 0, IF(OR(IFERROR(INDEX($B$196:$M$207, MATCH($M262, $N$196:$N$207, 0), MATCH($M262, $B$195:$M$195, 0)), 0)=0, IFERROR(INDEX($B$196:$M$207, MATCH(D$256, $N$196:$N$207, 0), MATCH(D$256, $B$195:$M$195, 0)), 0)=0), 0, IFERROR(INDEX($B$196:$M$207, MATCH($M262, $N$196:$N$207, 0), MATCH(D$256, $B$195:$M$195, 0)), 0)))</f>
        <v/>
      </c>
      <c r="E262" s="41">
        <f>IF(OR($M262="-", E$256="-"), 0, IF(OR(IFERROR(INDEX($B$196:$M$207, MATCH($M262, $N$196:$N$207, 0), MATCH($M262, $B$195:$M$195, 0)), 0)=0, IFERROR(INDEX($B$196:$M$207, MATCH(E$256, $N$196:$N$207, 0), MATCH(E$256, $B$195:$M$195, 0)), 0)=0), 0, IFERROR(INDEX($B$196:$M$207, MATCH($M262, $N$196:$N$207, 0), MATCH(E$256, $B$195:$M$195, 0)), 0)))</f>
        <v/>
      </c>
      <c r="F262" s="41">
        <f>IF(OR($M262="-", F$256="-"), 0, IF(OR(IFERROR(INDEX($B$196:$M$207, MATCH($M262, $N$196:$N$207, 0), MATCH($M262, $B$195:$M$195, 0)), 0)=0, IFERROR(INDEX($B$196:$M$207, MATCH(F$256, $N$196:$N$207, 0), MATCH(F$256, $B$195:$M$195, 0)), 0)=0), 0, IFERROR(INDEX($B$196:$M$207, MATCH($M262, $N$196:$N$207, 0), MATCH(F$256, $B$195:$M$195, 0)), 0)))</f>
        <v/>
      </c>
      <c r="G262" s="41">
        <f>IF(OR($M262="-", G$256="-"), 0, IF(OR(IFERROR(INDEX($B$196:$M$207, MATCH($M262, $N$196:$N$207, 0), MATCH($M262, $B$195:$M$195, 0)), 0)=0, IFERROR(INDEX($B$196:$M$207, MATCH(G$256, $N$196:$N$207, 0), MATCH(G$256, $B$195:$M$195, 0)), 0)=0), 0, IFERROR(INDEX($B$196:$M$207, MATCH($M262, $N$196:$N$207, 0), MATCH(G$256, $B$195:$M$195, 0)), 0)))</f>
        <v/>
      </c>
      <c r="H262" s="41">
        <f>IF(OR($M262="-", H$256="-"), 1, IF(OR(IFERROR(INDEX($B$196:$M$207, MATCH($M262, $N$196:$N$207, 0), MATCH($M262, $B$195:$M$195, 0)), 0)=0, IFERROR(INDEX($B$196:$M$207, MATCH(H$256, $N$196:$N$207, 0), MATCH(H$256, $B$195:$M$195, 0)), 0)=0), 1, IFERROR(INDEX($B$196:$M$207, MATCH($M262, $N$196:$N$207, 0), MATCH(H$256, $B$195:$M$195, 0)), 0)))</f>
        <v/>
      </c>
      <c r="I262" s="41">
        <f>IF(OR($M262="-", I$256="-"), 0, IF(OR(IFERROR(INDEX($B$196:$M$207, MATCH($M262, $N$196:$N$207, 0), MATCH($M262, $B$195:$M$195, 0)), 0)=0, IFERROR(INDEX($B$196:$M$207, MATCH(I$256, $N$196:$N$207, 0), MATCH(I$256, $B$195:$M$195, 0)), 0)=0), 0, IFERROR(INDEX($B$196:$M$207, MATCH($M262, $N$196:$N$207, 0), MATCH(I$256, $B$195:$M$195, 0)), 0)))</f>
        <v/>
      </c>
      <c r="J262" s="41">
        <f>IF(OR($M262="-", J$256="-"), 0, IF(OR(IFERROR(INDEX($B$196:$M$207, MATCH($M262, $N$196:$N$207, 0), MATCH($M262, $B$195:$M$195, 0)), 0)=0, IFERROR(INDEX($B$196:$M$207, MATCH(J$256, $N$196:$N$207, 0), MATCH(J$256, $B$195:$M$195, 0)), 0)=0), 0, IFERROR(INDEX($B$196:$M$207, MATCH($M262, $N$196:$N$207, 0), MATCH(J$256, $B$195:$M$195, 0)), 0)))</f>
        <v/>
      </c>
      <c r="K262" s="35" t="inlineStr">
        <is>
          <t>·</t>
        </is>
      </c>
      <c r="L262" s="56">
        <f>IFERROR(INDEX(B$225:B$236, MATCH(6, F$225:F$236, 0)), "-")</f>
        <v/>
      </c>
      <c r="M262" s="36">
        <f>IFERROR(INDEX(C$225:C$236, MATCH(6, F$225:F$236, 0)), "-")</f>
        <v/>
      </c>
      <c r="Z262" s="50" t="n"/>
      <c r="AA262" s="65" t="n"/>
      <c r="AB262" s="65" t="n"/>
      <c r="AC262" s="65" t="n"/>
      <c r="AD262" s="65" t="n"/>
      <c r="AE262" s="63" t="n"/>
    </row>
    <row r="263" ht="16.95" customHeight="1" s="52">
      <c r="A263" s="41">
        <f>IF($M263="-", 0, IFERROR(INDEX(E$211:E$222, MATCH($M263, C$211:C$222, 0)), 0))</f>
        <v/>
      </c>
      <c r="C263" s="41">
        <f>IF(OR($M263="-", C$256="-"), 0, IF(OR(IFERROR(INDEX($B$196:$M$207, MATCH($M263, $N$196:$N$207, 0), MATCH($M263, $B$195:$M$195, 0)), 0)=0, IFERROR(INDEX($B$196:$M$207, MATCH(C$256, $N$196:$N$207, 0), MATCH(C$256, $B$195:$M$195, 0)), 0)=0), 0, IFERROR(INDEX($B$196:$M$207, MATCH($M263, $N$196:$N$207, 0), MATCH(C$256, $B$195:$M$195, 0)), 0)))</f>
        <v/>
      </c>
      <c r="D263" s="41">
        <f>IF(OR($M263="-", D$256="-"), 0, IF(OR(IFERROR(INDEX($B$196:$M$207, MATCH($M263, $N$196:$N$207, 0), MATCH($M263, $B$195:$M$195, 0)), 0)=0, IFERROR(INDEX($B$196:$M$207, MATCH(D$256, $N$196:$N$207, 0), MATCH(D$256, $B$195:$M$195, 0)), 0)=0), 0, IFERROR(INDEX($B$196:$M$207, MATCH($M263, $N$196:$N$207, 0), MATCH(D$256, $B$195:$M$195, 0)), 0)))</f>
        <v/>
      </c>
      <c r="E263" s="41">
        <f>IF(OR($M263="-", E$256="-"), 0, IF(OR(IFERROR(INDEX($B$196:$M$207, MATCH($M263, $N$196:$N$207, 0), MATCH($M263, $B$195:$M$195, 0)), 0)=0, IFERROR(INDEX($B$196:$M$207, MATCH(E$256, $N$196:$N$207, 0), MATCH(E$256, $B$195:$M$195, 0)), 0)=0), 0, IFERROR(INDEX($B$196:$M$207, MATCH($M263, $N$196:$N$207, 0), MATCH(E$256, $B$195:$M$195, 0)), 0)))</f>
        <v/>
      </c>
      <c r="F263" s="41">
        <f>IF(OR($M263="-", F$256="-"), 0, IF(OR(IFERROR(INDEX($B$196:$M$207, MATCH($M263, $N$196:$N$207, 0), MATCH($M263, $B$195:$M$195, 0)), 0)=0, IFERROR(INDEX($B$196:$M$207, MATCH(F$256, $N$196:$N$207, 0), MATCH(F$256, $B$195:$M$195, 0)), 0)=0), 0, IFERROR(INDEX($B$196:$M$207, MATCH($M263, $N$196:$N$207, 0), MATCH(F$256, $B$195:$M$195, 0)), 0)))</f>
        <v/>
      </c>
      <c r="G263" s="41">
        <f>IF(OR($M263="-", G$256="-"), 0, IF(OR(IFERROR(INDEX($B$196:$M$207, MATCH($M263, $N$196:$N$207, 0), MATCH($M263, $B$195:$M$195, 0)), 0)=0, IFERROR(INDEX($B$196:$M$207, MATCH(G$256, $N$196:$N$207, 0), MATCH(G$256, $B$195:$M$195, 0)), 0)=0), 0, IFERROR(INDEX($B$196:$M$207, MATCH($M263, $N$196:$N$207, 0), MATCH(G$256, $B$195:$M$195, 0)), 0)))</f>
        <v/>
      </c>
      <c r="H263" s="41">
        <f>IF(OR($M263="-", H$256="-"), 0, IF(OR(IFERROR(INDEX($B$196:$M$207, MATCH($M263, $N$196:$N$207, 0), MATCH($M263, $B$195:$M$195, 0)), 0)=0, IFERROR(INDEX($B$196:$M$207, MATCH(H$256, $N$196:$N$207, 0), MATCH(H$256, $B$195:$M$195, 0)), 0)=0), 0, IFERROR(INDEX($B$196:$M$207, MATCH($M263, $N$196:$N$207, 0), MATCH(H$256, $B$195:$M$195, 0)), 0)))</f>
        <v/>
      </c>
      <c r="I263" s="41">
        <f>IF(OR($M263="-", I$256="-"), 1, IF(OR(IFERROR(INDEX($B$196:$M$207, MATCH($M263, $N$196:$N$207, 0), MATCH($M263, $B$195:$M$195, 0)), 0)=0, IFERROR(INDEX($B$196:$M$207, MATCH(I$256, $N$196:$N$207, 0), MATCH(I$256, $B$195:$M$195, 0)), 0)=0), 1, IFERROR(INDEX($B$196:$M$207, MATCH($M263, $N$196:$N$207, 0), MATCH(I$256, $B$195:$M$195, 0)), 0)))</f>
        <v/>
      </c>
      <c r="J263" s="41">
        <f>IF(OR($M263="-", J$256="-"), 0, IF(OR(IFERROR(INDEX($B$196:$M$207, MATCH($M263, $N$196:$N$207, 0), MATCH($M263, $B$195:$M$195, 0)), 0)=0, IFERROR(INDEX($B$196:$M$207, MATCH(J$256, $N$196:$N$207, 0), MATCH(J$256, $B$195:$M$195, 0)), 0)=0), 0, IFERROR(INDEX($B$196:$M$207, MATCH($M263, $N$196:$N$207, 0), MATCH(J$256, $B$195:$M$195, 0)), 0)))</f>
        <v/>
      </c>
      <c r="K263" s="35" t="inlineStr">
        <is>
          <t>·</t>
        </is>
      </c>
      <c r="L263" s="56">
        <f>IFERROR(INDEX(B$225:B$236, MATCH(7, F$225:F$236, 0)), "-")</f>
        <v/>
      </c>
      <c r="M263" s="36">
        <f>IFERROR(INDEX(C$225:C$236, MATCH(7, F$225:F$236, 0)), "-")</f>
        <v/>
      </c>
      <c r="Z263" s="50" t="n"/>
      <c r="AA263" s="65" t="n"/>
      <c r="AB263" s="65" t="n"/>
      <c r="AC263" s="65" t="n"/>
      <c r="AD263" s="65" t="n"/>
      <c r="AE263" s="63" t="n"/>
    </row>
    <row r="264" ht="16.95" customHeight="1" s="52">
      <c r="A264" s="41">
        <f>IF($M264="-", 0, IFERROR(INDEX(E$211:E$222, MATCH($M264, C$211:C$222, 0)), 0))</f>
        <v/>
      </c>
      <c r="C264" s="41">
        <f>IF(OR($M264="-", C$256="-"), 0, IF(OR(IFERROR(INDEX($B$196:$M$207, MATCH($M264, $N$196:$N$207, 0), MATCH($M264, $B$195:$M$195, 0)), 0)=0, IFERROR(INDEX($B$196:$M$207, MATCH(C$256, $N$196:$N$207, 0), MATCH(C$256, $B$195:$M$195, 0)), 0)=0), 0, IFERROR(INDEX($B$196:$M$207, MATCH($M264, $N$196:$N$207, 0), MATCH(C$256, $B$195:$M$195, 0)), 0)))</f>
        <v/>
      </c>
      <c r="D264" s="41">
        <f>IF(OR($M264="-", D$256="-"), 0, IF(OR(IFERROR(INDEX($B$196:$M$207, MATCH($M264, $N$196:$N$207, 0), MATCH($M264, $B$195:$M$195, 0)), 0)=0, IFERROR(INDEX($B$196:$M$207, MATCH(D$256, $N$196:$N$207, 0), MATCH(D$256, $B$195:$M$195, 0)), 0)=0), 0, IFERROR(INDEX($B$196:$M$207, MATCH($M264, $N$196:$N$207, 0), MATCH(D$256, $B$195:$M$195, 0)), 0)))</f>
        <v/>
      </c>
      <c r="E264" s="41">
        <f>IF(OR($M264="-", E$256="-"), 0, IF(OR(IFERROR(INDEX($B$196:$M$207, MATCH($M264, $N$196:$N$207, 0), MATCH($M264, $B$195:$M$195, 0)), 0)=0, IFERROR(INDEX($B$196:$M$207, MATCH(E$256, $N$196:$N$207, 0), MATCH(E$256, $B$195:$M$195, 0)), 0)=0), 0, IFERROR(INDEX($B$196:$M$207, MATCH($M264, $N$196:$N$207, 0), MATCH(E$256, $B$195:$M$195, 0)), 0)))</f>
        <v/>
      </c>
      <c r="F264" s="41">
        <f>IF(OR($M264="-", F$256="-"), 0, IF(OR(IFERROR(INDEX($B$196:$M$207, MATCH($M264, $N$196:$N$207, 0), MATCH($M264, $B$195:$M$195, 0)), 0)=0, IFERROR(INDEX($B$196:$M$207, MATCH(F$256, $N$196:$N$207, 0), MATCH(F$256, $B$195:$M$195, 0)), 0)=0), 0, IFERROR(INDEX($B$196:$M$207, MATCH($M264, $N$196:$N$207, 0), MATCH(F$256, $B$195:$M$195, 0)), 0)))</f>
        <v/>
      </c>
      <c r="G264" s="41">
        <f>IF(OR($M264="-", G$256="-"), 0, IF(OR(IFERROR(INDEX($B$196:$M$207, MATCH($M264, $N$196:$N$207, 0), MATCH($M264, $B$195:$M$195, 0)), 0)=0, IFERROR(INDEX($B$196:$M$207, MATCH(G$256, $N$196:$N$207, 0), MATCH(G$256, $B$195:$M$195, 0)), 0)=0), 0, IFERROR(INDEX($B$196:$M$207, MATCH($M264, $N$196:$N$207, 0), MATCH(G$256, $B$195:$M$195, 0)), 0)))</f>
        <v/>
      </c>
      <c r="H264" s="41">
        <f>IF(OR($M264="-", H$256="-"), 0, IF(OR(IFERROR(INDEX($B$196:$M$207, MATCH($M264, $N$196:$N$207, 0), MATCH($M264, $B$195:$M$195, 0)), 0)=0, IFERROR(INDEX($B$196:$M$207, MATCH(H$256, $N$196:$N$207, 0), MATCH(H$256, $B$195:$M$195, 0)), 0)=0), 0, IFERROR(INDEX($B$196:$M$207, MATCH($M264, $N$196:$N$207, 0), MATCH(H$256, $B$195:$M$195, 0)), 0)))</f>
        <v/>
      </c>
      <c r="I264" s="41">
        <f>IF(OR($M264="-", I$256="-"), 0, IF(OR(IFERROR(INDEX($B$196:$M$207, MATCH($M264, $N$196:$N$207, 0), MATCH($M264, $B$195:$M$195, 0)), 0)=0, IFERROR(INDEX($B$196:$M$207, MATCH(I$256, $N$196:$N$207, 0), MATCH(I$256, $B$195:$M$195, 0)), 0)=0), 0, IFERROR(INDEX($B$196:$M$207, MATCH($M264, $N$196:$N$207, 0), MATCH(I$256, $B$195:$M$195, 0)), 0)))</f>
        <v/>
      </c>
      <c r="J264" s="41">
        <f>IF(OR($M264="-", J$256="-"), 1, IF(OR(IFERROR(INDEX($B$196:$M$207, MATCH($M264, $N$196:$N$207, 0), MATCH($M264, $B$195:$M$195, 0)), 0)=0, IFERROR(INDEX($B$196:$M$207, MATCH(J$256, $N$196:$N$207, 0), MATCH(J$256, $B$195:$M$195, 0)), 0)=0), 1, IFERROR(INDEX($B$196:$M$207, MATCH($M264, $N$196:$N$207, 0), MATCH(J$256, $B$195:$M$195, 0)), 0)))</f>
        <v/>
      </c>
      <c r="K264" s="35" t="inlineStr">
        <is>
          <t>·</t>
        </is>
      </c>
      <c r="L264" s="56">
        <f>IFERROR(INDEX(B$225:B$236, MATCH(8, F$225:F$236, 0)), "-")</f>
        <v/>
      </c>
      <c r="M264" s="36">
        <f>IFERROR(INDEX(C$225:C$236, MATCH(8, F$225:F$236, 0)), "-")</f>
        <v/>
      </c>
      <c r="Z264" s="50" t="n"/>
      <c r="AA264" s="65" t="n"/>
      <c r="AB264" s="65" t="n"/>
      <c r="AC264" s="65" t="n"/>
      <c r="AD264" s="65" t="n"/>
      <c r="AE264" s="63" t="n"/>
    </row>
    <row r="265" ht="16.95" customHeight="1" s="52">
      <c r="Z265" s="50" t="n"/>
      <c r="AA265" s="65" t="n"/>
      <c r="AB265" s="65" t="n"/>
      <c r="AC265" s="65" t="n"/>
      <c r="AD265" s="65" t="n"/>
      <c r="AE265" s="63" t="n"/>
    </row>
    <row r="266" ht="16.95" customHeight="1" s="52">
      <c r="C266" s="61" t="inlineStr">
        <is>
          <t>D=MINVERSA(K)*C</t>
        </is>
      </c>
      <c r="D266" s="65" t="n"/>
      <c r="E266" s="65" t="n"/>
      <c r="F266" s="65" t="n"/>
      <c r="G266" s="65" t="n"/>
      <c r="H266" s="65" t="n"/>
      <c r="I266" s="65" t="n"/>
      <c r="J266" s="63" t="n"/>
      <c r="Z266" s="50" t="n"/>
      <c r="AA266" s="65" t="n"/>
      <c r="AB266" s="65" t="n"/>
      <c r="AC266" s="65" t="n"/>
      <c r="AD266" s="65" t="n"/>
      <c r="AE266" s="63" t="n"/>
    </row>
    <row r="267" ht="16.95" customHeight="1" s="52">
      <c r="A267" s="60" t="inlineStr">
        <is>
          <t>D</t>
        </is>
      </c>
      <c r="C267" s="60" t="inlineStr">
        <is>
          <t>MIN</t>
        </is>
      </c>
      <c r="L267" s="60" t="inlineStr">
        <is>
          <t>C</t>
        </is>
      </c>
      <c r="Z267" s="50" t="n"/>
      <c r="AA267" s="65" t="n"/>
      <c r="AB267" s="65" t="n"/>
      <c r="AC267" s="65" t="n"/>
      <c r="AD267" s="65" t="n"/>
      <c r="AE267" s="63" t="n"/>
    </row>
    <row r="268" ht="16.95" customHeight="1" s="52">
      <c r="A268" s="33">
        <f>L257</f>
        <v/>
      </c>
      <c r="C268" s="42">
        <f t="array" ref="C268:J275">MINVERSE(C257:J264)</f>
        <v/>
      </c>
      <c r="D268" s="42" t="n">
        <v>-5.240683229813664e-06</v>
      </c>
      <c r="E268" s="42" t="n">
        <v>1.557108350586611e-05</v>
      </c>
      <c r="F268" s="42" t="n">
        <v>3.687888198757763e-06</v>
      </c>
      <c r="G268" s="42" t="n">
        <v>0</v>
      </c>
      <c r="H268" s="42" t="n">
        <v>0</v>
      </c>
      <c r="I268" s="42" t="n">
        <v>0</v>
      </c>
      <c r="J268" s="42" t="n">
        <v>0</v>
      </c>
      <c r="L268" s="40">
        <f>A257</f>
        <v/>
      </c>
      <c r="Z268" s="50" t="n"/>
      <c r="AA268" s="65" t="n"/>
      <c r="AB268" s="65" t="n"/>
      <c r="AC268" s="65" t="n"/>
      <c r="AD268" s="65" t="n"/>
      <c r="AE268" s="63" t="n"/>
    </row>
    <row r="269" ht="16.95" customHeight="1" s="52">
      <c r="A269" s="33">
        <f>L258</f>
        <v/>
      </c>
      <c r="C269" s="42" t="n">
        <v>-5.240683229813664e-06</v>
      </c>
      <c r="D269" s="42" t="n">
        <v>1.103131469979296e-05</v>
      </c>
      <c r="E269" s="42" t="n">
        <v>-3.687888198757763e-06</v>
      </c>
      <c r="F269" s="42" t="n">
        <v>-8.73447204968944e-07</v>
      </c>
      <c r="G269" s="42" t="n">
        <v>0</v>
      </c>
      <c r="H269" s="42" t="n">
        <v>0</v>
      </c>
      <c r="I269" s="42" t="n">
        <v>0</v>
      </c>
      <c r="J269" s="42" t="n">
        <v>0</v>
      </c>
      <c r="L269" s="40">
        <f>A258</f>
        <v/>
      </c>
      <c r="Z269" s="50" t="n"/>
      <c r="AA269" s="65" t="n"/>
      <c r="AB269" s="65" t="n"/>
      <c r="AC269" s="65" t="n"/>
      <c r="AD269" s="65" t="n"/>
      <c r="AE269" s="63" t="n"/>
    </row>
    <row r="270" ht="16.95" customHeight="1" s="52">
      <c r="A270" s="33">
        <f>L259</f>
        <v/>
      </c>
      <c r="C270" s="42" t="n">
        <v>1.557108350586611e-05</v>
      </c>
      <c r="D270" s="42" t="n">
        <v>-3.687888198757764e-06</v>
      </c>
      <c r="E270" s="42" t="n">
        <v>2.212732919254658e-05</v>
      </c>
      <c r="F270" s="42" t="n">
        <v>5.240683229813664e-06</v>
      </c>
      <c r="G270" s="42" t="n">
        <v>0</v>
      </c>
      <c r="H270" s="42" t="n">
        <v>0</v>
      </c>
      <c r="I270" s="42" t="n">
        <v>0</v>
      </c>
      <c r="J270" s="42" t="n">
        <v>0</v>
      </c>
      <c r="L270" s="40">
        <f>A259</f>
        <v/>
      </c>
      <c r="Z270" s="50" t="n"/>
      <c r="AA270" s="65" t="n"/>
      <c r="AB270" s="65" t="n"/>
      <c r="AC270" s="65" t="n"/>
      <c r="AD270" s="65" t="n"/>
      <c r="AE270" s="63" t="n"/>
    </row>
    <row r="271" ht="16.95" customHeight="1" s="52">
      <c r="A271" s="33">
        <f>L260</f>
        <v/>
      </c>
      <c r="C271" s="42" t="n">
        <v>3.687888198757764e-06</v>
      </c>
      <c r="D271" s="42" t="n">
        <v>-8.734472049689439e-07</v>
      </c>
      <c r="E271" s="42" t="n">
        <v>5.240683229813664e-06</v>
      </c>
      <c r="F271" s="42" t="n">
        <v>1.103131469979296e-05</v>
      </c>
      <c r="G271" s="42" t="n">
        <v>0</v>
      </c>
      <c r="H271" s="42" t="n">
        <v>0</v>
      </c>
      <c r="I271" s="42" t="n">
        <v>0</v>
      </c>
      <c r="J271" s="42" t="n">
        <v>0</v>
      </c>
      <c r="L271" s="40">
        <f>A260</f>
        <v/>
      </c>
      <c r="Z271" s="50" t="n"/>
      <c r="AA271" s="65" t="n"/>
      <c r="AB271" s="65" t="n"/>
      <c r="AC271" s="65" t="n"/>
      <c r="AD271" s="65" t="n"/>
      <c r="AE271" s="63" t="n"/>
    </row>
    <row r="272" ht="16.95" customHeight="1" s="52">
      <c r="A272" s="33">
        <f>L261</f>
        <v/>
      </c>
      <c r="B272" s="35" t="inlineStr">
        <is>
          <t>=</t>
        </is>
      </c>
      <c r="C272" s="42" t="n">
        <v>0</v>
      </c>
      <c r="D272" s="42" t="n">
        <v>0</v>
      </c>
      <c r="E272" s="42" t="n">
        <v>0</v>
      </c>
      <c r="F272" s="42" t="n">
        <v>0</v>
      </c>
      <c r="G272" s="42" t="n">
        <v>1</v>
      </c>
      <c r="H272" s="42" t="n">
        <v>0</v>
      </c>
      <c r="I272" s="42" t="n">
        <v>0</v>
      </c>
      <c r="J272" s="42" t="n">
        <v>0</v>
      </c>
      <c r="L272" s="40">
        <f>A261</f>
        <v/>
      </c>
      <c r="Z272" s="50" t="n"/>
      <c r="AA272" s="65" t="n"/>
      <c r="AB272" s="65" t="n"/>
      <c r="AC272" s="65" t="n"/>
      <c r="AD272" s="65" t="n"/>
      <c r="AE272" s="63" t="n"/>
    </row>
    <row r="273" ht="16.95" customHeight="1" s="52">
      <c r="A273" s="33">
        <f>L262</f>
        <v/>
      </c>
      <c r="C273" s="42" t="n">
        <v>0</v>
      </c>
      <c r="D273" s="42" t="n">
        <v>0</v>
      </c>
      <c r="E273" s="42" t="n">
        <v>0</v>
      </c>
      <c r="F273" s="42" t="n">
        <v>0</v>
      </c>
      <c r="G273" s="42" t="n">
        <v>0</v>
      </c>
      <c r="H273" s="42" t="n">
        <v>1</v>
      </c>
      <c r="I273" s="42" t="n">
        <v>0</v>
      </c>
      <c r="J273" s="42" t="n">
        <v>0</v>
      </c>
      <c r="L273" s="40">
        <f>A262</f>
        <v/>
      </c>
      <c r="Z273" s="50" t="n"/>
      <c r="AA273" s="65" t="n"/>
      <c r="AB273" s="65" t="n"/>
      <c r="AC273" s="65" t="n"/>
      <c r="AD273" s="65" t="n"/>
      <c r="AE273" s="63" t="n"/>
    </row>
    <row r="274" ht="16.95" customHeight="1" s="52">
      <c r="A274" s="33">
        <f>L263</f>
        <v/>
      </c>
      <c r="C274" s="42" t="n">
        <v>0</v>
      </c>
      <c r="D274" s="42" t="n">
        <v>0</v>
      </c>
      <c r="E274" s="42" t="n">
        <v>0</v>
      </c>
      <c r="F274" s="42" t="n">
        <v>0</v>
      </c>
      <c r="G274" s="42" t="n">
        <v>0</v>
      </c>
      <c r="H274" s="42" t="n">
        <v>0</v>
      </c>
      <c r="I274" s="42" t="n">
        <v>1</v>
      </c>
      <c r="J274" s="42" t="n">
        <v>0</v>
      </c>
      <c r="L274" s="40">
        <f>A263</f>
        <v/>
      </c>
      <c r="Z274" s="50" t="n"/>
      <c r="AA274" s="65" t="n"/>
      <c r="AB274" s="65" t="n"/>
      <c r="AC274" s="65" t="n"/>
      <c r="AD274" s="65" t="n"/>
      <c r="AE274" s="63" t="n"/>
    </row>
    <row r="275" ht="16.95" customHeight="1" s="52">
      <c r="A275" s="33">
        <f>L264</f>
        <v/>
      </c>
      <c r="C275" s="42" t="n">
        <v>0</v>
      </c>
      <c r="D275" s="42" t="n">
        <v>0</v>
      </c>
      <c r="E275" s="42" t="n">
        <v>0</v>
      </c>
      <c r="F275" s="42" t="n">
        <v>0</v>
      </c>
      <c r="G275" s="42" t="n">
        <v>0</v>
      </c>
      <c r="H275" s="42" t="n">
        <v>0</v>
      </c>
      <c r="I275" s="42" t="n">
        <v>0</v>
      </c>
      <c r="J275" s="42" t="n">
        <v>1</v>
      </c>
      <c r="L275" s="40">
        <f>A264</f>
        <v/>
      </c>
      <c r="Z275" s="50" t="n"/>
      <c r="AA275" s="65" t="n"/>
      <c r="AB275" s="65" t="n"/>
      <c r="AC275" s="65" t="n"/>
      <c r="AD275" s="65" t="n"/>
      <c r="AE275" s="63" t="n"/>
    </row>
    <row r="276" ht="16.95" customHeight="1" s="52">
      <c r="Z276" s="50" t="n"/>
      <c r="AA276" s="65" t="n"/>
      <c r="AB276" s="65" t="n"/>
      <c r="AC276" s="65" t="n"/>
      <c r="AD276" s="65" t="n"/>
      <c r="AE276" s="63" t="n"/>
    </row>
    <row r="277" ht="16.95" customHeight="1" s="52">
      <c r="C277" s="61" t="inlineStr">
        <is>
          <t>D=MMULT(MIN)*C</t>
        </is>
      </c>
      <c r="D277" s="63" t="n"/>
      <c r="Z277" s="50" t="n"/>
      <c r="AA277" s="65" t="n"/>
      <c r="AB277" s="65" t="n"/>
      <c r="AC277" s="65" t="n"/>
      <c r="AD277" s="65" t="n"/>
      <c r="AE277" s="63" t="n"/>
    </row>
    <row r="278" ht="16.95" customHeight="1" s="52">
      <c r="A278" s="60" t="inlineStr">
        <is>
          <t>D</t>
        </is>
      </c>
      <c r="C278" s="60" t="inlineStr">
        <is>
          <t>MM*C</t>
        </is>
      </c>
      <c r="Z278" s="50" t="n"/>
      <c r="AA278" s="65" t="n"/>
      <c r="AB278" s="65" t="n"/>
      <c r="AC278" s="65" t="n"/>
      <c r="AD278" s="65" t="n"/>
      <c r="AE278" s="63" t="n"/>
    </row>
    <row r="279" ht="16.95" customHeight="1" s="52">
      <c r="A279" s="33">
        <f>A268</f>
        <v/>
      </c>
      <c r="C279" s="43">
        <f t="array" ref="C279:C286">MMULT(C268:J275, L268:L275)</f>
        <v/>
      </c>
      <c r="D279" s="33" t="inlineStr">
        <is>
          <t>cm</t>
        </is>
      </c>
      <c r="Z279" s="50" t="n"/>
      <c r="AA279" s="65" t="n"/>
      <c r="AB279" s="65" t="n"/>
      <c r="AC279" s="65" t="n"/>
      <c r="AD279" s="65" t="n"/>
      <c r="AE279" s="63" t="n"/>
    </row>
    <row r="280" ht="16.95" customHeight="1" s="52">
      <c r="A280" s="33">
        <f>A269</f>
        <v/>
      </c>
      <c r="C280" s="43" t="n">
        <v>-0.0864065734989648</v>
      </c>
      <c r="D280" s="33" t="inlineStr">
        <is>
          <t>cm</t>
        </is>
      </c>
      <c r="Z280" s="50" t="n"/>
      <c r="AA280" s="65" t="n"/>
      <c r="AB280" s="65" t="n"/>
      <c r="AC280" s="65" t="n"/>
      <c r="AD280" s="65" t="n"/>
      <c r="AE280" s="63" t="n"/>
    </row>
    <row r="281" ht="16.95" customHeight="1" s="52">
      <c r="A281" s="33">
        <f>A270</f>
        <v/>
      </c>
      <c r="C281" s="43" t="n">
        <v>0.1503838854382332</v>
      </c>
      <c r="D281" s="33" t="inlineStr">
        <is>
          <t>cm</t>
        </is>
      </c>
      <c r="Z281" s="50" t="n"/>
      <c r="AA281" s="65" t="n"/>
      <c r="AB281" s="65" t="n"/>
      <c r="AC281" s="65" t="n"/>
      <c r="AD281" s="65" t="n"/>
      <c r="AE281" s="63" t="n"/>
    </row>
    <row r="282" ht="16.95" customHeight="1" s="52">
      <c r="A282" s="33">
        <f>A271</f>
        <v/>
      </c>
      <c r="C282" s="43" t="n">
        <v>0.03561723602484472</v>
      </c>
      <c r="D282" s="33" t="inlineStr">
        <is>
          <t>cm</t>
        </is>
      </c>
      <c r="Z282" s="50" t="n"/>
      <c r="AA282" s="65" t="n"/>
      <c r="AB282" s="65" t="n"/>
      <c r="AC282" s="65" t="n"/>
      <c r="AD282" s="65" t="n"/>
      <c r="AE282" s="63" t="n"/>
    </row>
    <row r="283" ht="16.95" customHeight="1" s="52">
      <c r="A283" s="33">
        <f>A272</f>
        <v/>
      </c>
      <c r="B283" s="35" t="inlineStr">
        <is>
          <t>=</t>
        </is>
      </c>
      <c r="C283" s="43" t="n">
        <v>0</v>
      </c>
      <c r="D283" s="33" t="inlineStr">
        <is>
          <t>cm</t>
        </is>
      </c>
      <c r="Z283" s="50" t="n"/>
      <c r="AA283" s="65" t="n"/>
      <c r="AB283" s="65" t="n"/>
      <c r="AC283" s="65" t="n"/>
      <c r="AD283" s="65" t="n"/>
      <c r="AE283" s="63" t="n"/>
    </row>
    <row r="284" ht="16.95" customHeight="1" s="52">
      <c r="A284" s="33">
        <f>A273</f>
        <v/>
      </c>
      <c r="C284" s="43" t="n">
        <v>0</v>
      </c>
      <c r="D284" s="33" t="inlineStr">
        <is>
          <t>cm</t>
        </is>
      </c>
      <c r="Z284" s="50" t="n"/>
      <c r="AA284" s="65" t="n"/>
      <c r="AB284" s="65" t="n"/>
      <c r="AC284" s="65" t="n"/>
      <c r="AD284" s="65" t="n"/>
      <c r="AE284" s="63" t="n"/>
    </row>
    <row r="285" ht="16.95" customHeight="1" s="52">
      <c r="A285" s="33">
        <f>A274</f>
        <v/>
      </c>
      <c r="C285" s="43" t="n">
        <v>0</v>
      </c>
      <c r="D285" s="33" t="inlineStr">
        <is>
          <t>cm</t>
        </is>
      </c>
      <c r="Z285" s="50" t="n"/>
      <c r="AA285" s="65" t="n"/>
      <c r="AB285" s="65" t="n"/>
      <c r="AC285" s="65" t="n"/>
      <c r="AD285" s="65" t="n"/>
      <c r="AE285" s="63" t="n"/>
    </row>
    <row r="286" ht="16.95" customHeight="1" s="52">
      <c r="A286" s="33">
        <f>A275</f>
        <v/>
      </c>
      <c r="C286" s="43" t="n">
        <v>0</v>
      </c>
      <c r="D286" s="33" t="inlineStr">
        <is>
          <t>cm</t>
        </is>
      </c>
      <c r="Z286" s="50" t="n"/>
      <c r="AA286" s="65" t="n"/>
      <c r="AB286" s="65" t="n"/>
      <c r="AC286" s="65" t="n"/>
      <c r="AD286" s="65" t="n"/>
      <c r="AE286" s="63" t="n"/>
    </row>
    <row r="289" ht="19.95" customHeight="1" s="52">
      <c r="A289" s="32" t="inlineStr">
        <is>
          <t>Ecuacion matricial reducida para el calculo de reacciones</t>
        </is>
      </c>
      <c r="Z289" s="53" t="inlineStr">
        <is>
          <t>4. CÁLCULO DE REACCIONES: {R} = [K₂₁] · {D}</t>
        </is>
      </c>
      <c r="AA289" s="65" t="n"/>
      <c r="AB289" s="65" t="n"/>
      <c r="AC289" s="65" t="n"/>
      <c r="AD289" s="65" t="n"/>
      <c r="AE289" s="63" t="n"/>
    </row>
    <row r="290" ht="16.95" customHeight="1" s="52">
      <c r="A290" s="60" t="inlineStr">
        <is>
          <t>C</t>
        </is>
      </c>
      <c r="L290" s="60" t="inlineStr">
        <is>
          <t>D</t>
        </is>
      </c>
      <c r="Z290" s="50" t="inlineStr">
        <is>
          <t>• Submatriz [K21]: Filas de apoyos (D=0) y columnas de grados libres (D≠0).</t>
        </is>
      </c>
      <c r="AA290" s="65" t="n"/>
      <c r="AB290" s="65" t="n"/>
      <c r="AC290" s="65" t="n"/>
      <c r="AD290" s="65" t="n"/>
      <c r="AE290" s="63" t="n"/>
    </row>
    <row r="291" ht="16.95" customHeight="1" s="52">
      <c r="A291" s="44">
        <f>IF($M291="-", "-", IFERROR(INDEX(B$211:B$222, MATCH($M291, C$211:C$222, 0)), "-"))</f>
        <v/>
      </c>
      <c r="C291" s="21">
        <f>IF(OR($M291="-", C$256="-"), 0, IFERROR(INDEX($B$196:$M$207, MATCH($M291, $N$196:$N$207, 0), MATCH(C$256, $B$195:$M$195, 0)), 0))</f>
        <v/>
      </c>
      <c r="D291" s="21">
        <f>IF(OR($M291="-", D$256="-"), 0, IFERROR(INDEX($B$196:$M$207, MATCH($M291, $N$196:$N$207, 0), MATCH(D$256, $B$195:$M$195, 0)), 0))</f>
        <v/>
      </c>
      <c r="E291" s="21">
        <f>IF(OR($M291="-", E$256="-"), 0, IFERROR(INDEX($B$196:$M$207, MATCH($M291, $N$196:$N$207, 0), MATCH(E$256, $B$195:$M$195, 0)), 0))</f>
        <v/>
      </c>
      <c r="F291" s="21">
        <f>IF(OR($M291="-", F$256="-"), 0, IFERROR(INDEX($B$196:$M$207, MATCH($M291, $N$196:$N$207, 0), MATCH(F$256, $B$195:$M$195, 0)), 0))</f>
        <v/>
      </c>
      <c r="G291" s="21">
        <f>IF(OR($M291="-", G$256="-"), 0, IFERROR(INDEX($B$196:$M$207, MATCH($M291, $N$196:$N$207, 0), MATCH(G$256, $B$195:$M$195, 0)), 0))</f>
        <v/>
      </c>
      <c r="H291" s="21">
        <f>IF(OR($M291="-", H$256="-"), 0, IFERROR(INDEX($B$196:$M$207, MATCH($M291, $N$196:$N$207, 0), MATCH(H$256, $B$195:$M$195, 0)), 0))</f>
        <v/>
      </c>
      <c r="I291" s="21">
        <f>IF(OR($M291="-", I$256="-"), 0, IFERROR(INDEX($B$196:$M$207, MATCH($M291, $N$196:$N$207, 0), MATCH(I$256, $B$195:$M$195, 0)), 0))</f>
        <v/>
      </c>
      <c r="J291" s="21">
        <f>IF(OR($M291="-", J$256="-"), 0, IFERROR(INDEX($B$196:$M$207, MATCH($M291, $N$196:$N$207, 0), MATCH(J$256, $B$195:$M$195, 0)), 0))</f>
        <v/>
      </c>
      <c r="L291" s="45">
        <f>C279</f>
        <v/>
      </c>
      <c r="M291" s="36">
        <f>IFERROR(INDEX(C$225:C$236, MATCH(1, G$225:G$236, 0)), "-")</f>
        <v/>
      </c>
      <c r="Z291" s="50" t="inlineStr">
        <is>
          <t>• Multiplicación [MMULT]: {R} = [K21] · {D_libres} genera las reacciones en cada apoyo en Kgf.</t>
        </is>
      </c>
      <c r="AA291" s="65" t="n"/>
      <c r="AB291" s="65" t="n"/>
      <c r="AC291" s="65" t="n"/>
      <c r="AD291" s="65" t="n"/>
      <c r="AE291" s="63" t="n"/>
    </row>
    <row r="292" ht="16.95" customHeight="1" s="52">
      <c r="A292" s="44">
        <f>IF($M292="-", "-", IFERROR(INDEX(B$211:B$222, MATCH($M292, C$211:C$222, 0)), "-"))</f>
        <v/>
      </c>
      <c r="C292" s="21">
        <f>IF(OR($M292="-", C$256="-"), 0, IFERROR(INDEX($B$196:$M$207, MATCH($M292, $N$196:$N$207, 0), MATCH(C$256, $B$195:$M$195, 0)), 0))</f>
        <v/>
      </c>
      <c r="D292" s="21">
        <f>IF(OR($M292="-", D$256="-"), 0, IFERROR(INDEX($B$196:$M$207, MATCH($M292, $N$196:$N$207, 0), MATCH(D$256, $B$195:$M$195, 0)), 0))</f>
        <v/>
      </c>
      <c r="E292" s="21">
        <f>IF(OR($M292="-", E$256="-"), 0, IFERROR(INDEX($B$196:$M$207, MATCH($M292, $N$196:$N$207, 0), MATCH(E$256, $B$195:$M$195, 0)), 0))</f>
        <v/>
      </c>
      <c r="F292" s="21">
        <f>IF(OR($M292="-", F$256="-"), 0, IFERROR(INDEX($B$196:$M$207, MATCH($M292, $N$196:$N$207, 0), MATCH(F$256, $B$195:$M$195, 0)), 0))</f>
        <v/>
      </c>
      <c r="G292" s="21">
        <f>IF(OR($M292="-", G$256="-"), 0, IFERROR(INDEX($B$196:$M$207, MATCH($M292, $N$196:$N$207, 0), MATCH(G$256, $B$195:$M$195, 0)), 0))</f>
        <v/>
      </c>
      <c r="H292" s="21">
        <f>IF(OR($M292="-", H$256="-"), 0, IFERROR(INDEX($B$196:$M$207, MATCH($M292, $N$196:$N$207, 0), MATCH(H$256, $B$195:$M$195, 0)), 0))</f>
        <v/>
      </c>
      <c r="I292" s="21">
        <f>IF(OR($M292="-", I$256="-"), 0, IFERROR(INDEX($B$196:$M$207, MATCH($M292, $N$196:$N$207, 0), MATCH(I$256, $B$195:$M$195, 0)), 0))</f>
        <v/>
      </c>
      <c r="J292" s="21">
        <f>IF(OR($M292="-", J$256="-"), 0, IFERROR(INDEX($B$196:$M$207, MATCH($M292, $N$196:$N$207, 0), MATCH(J$256, $B$195:$M$195, 0)), 0))</f>
        <v/>
      </c>
      <c r="L292" s="45">
        <f>C280</f>
        <v/>
      </c>
      <c r="M292" s="36">
        <f>IFERROR(INDEX(C$225:C$236, MATCH(2, G$225:G$236, 0)), "-")</f>
        <v/>
      </c>
      <c r="Z292" s="50" t="inlineStr">
        <is>
          <t>• Verificación de Equilibrio Global: ∑ Fx = 0  y  ∑ Fy = 0 (Equilibrio estático exacto).</t>
        </is>
      </c>
      <c r="AA292" s="65" t="n"/>
      <c r="AB292" s="65" t="n"/>
      <c r="AC292" s="65" t="n"/>
      <c r="AD292" s="65" t="n"/>
      <c r="AE292" s="63" t="n"/>
    </row>
    <row r="293" ht="16.95" customHeight="1" s="52">
      <c r="A293" s="44">
        <f>IF($M293="-", "-", IFERROR(INDEX(B$211:B$222, MATCH($M293, C$211:C$222, 0)), "-"))</f>
        <v/>
      </c>
      <c r="B293" s="35" t="inlineStr">
        <is>
          <t>=</t>
        </is>
      </c>
      <c r="C293" s="21">
        <f>IF(OR($M293="-", C$256="-"), 0, IFERROR(INDEX($B$196:$M$207, MATCH($M293, $N$196:$N$207, 0), MATCH(C$256, $B$195:$M$195, 0)), 0))</f>
        <v/>
      </c>
      <c r="D293" s="21">
        <f>IF(OR($M293="-", D$256="-"), 0, IFERROR(INDEX($B$196:$M$207, MATCH($M293, $N$196:$N$207, 0), MATCH(D$256, $B$195:$M$195, 0)), 0))</f>
        <v/>
      </c>
      <c r="E293" s="21">
        <f>IF(OR($M293="-", E$256="-"), 0, IFERROR(INDEX($B$196:$M$207, MATCH($M293, $N$196:$N$207, 0), MATCH(E$256, $B$195:$M$195, 0)), 0))</f>
        <v/>
      </c>
      <c r="F293" s="21">
        <f>IF(OR($M293="-", F$256="-"), 0, IFERROR(INDEX($B$196:$M$207, MATCH($M293, $N$196:$N$207, 0), MATCH(F$256, $B$195:$M$195, 0)), 0))</f>
        <v/>
      </c>
      <c r="G293" s="21">
        <f>IF(OR($M293="-", G$256="-"), 0, IFERROR(INDEX($B$196:$M$207, MATCH($M293, $N$196:$N$207, 0), MATCH(G$256, $B$195:$M$195, 0)), 0))</f>
        <v/>
      </c>
      <c r="H293" s="21">
        <f>IF(OR($M293="-", H$256="-"), 0, IFERROR(INDEX($B$196:$M$207, MATCH($M293, $N$196:$N$207, 0), MATCH(H$256, $B$195:$M$195, 0)), 0))</f>
        <v/>
      </c>
      <c r="I293" s="21">
        <f>IF(OR($M293="-", I$256="-"), 0, IFERROR(INDEX($B$196:$M$207, MATCH($M293, $N$196:$N$207, 0), MATCH(I$256, $B$195:$M$195, 0)), 0))</f>
        <v/>
      </c>
      <c r="J293" s="21">
        <f>IF(OR($M293="-", J$256="-"), 0, IFERROR(INDEX($B$196:$M$207, MATCH($M293, $N$196:$N$207, 0), MATCH(J$256, $B$195:$M$195, 0)), 0))</f>
        <v/>
      </c>
      <c r="L293" s="45">
        <f>C281</f>
        <v/>
      </c>
      <c r="M293" s="36">
        <f>IFERROR(INDEX(C$225:C$236, MATCH(3, G$225:G$236, 0)), "-")</f>
        <v/>
      </c>
      <c r="Z293" s="50" t="n"/>
      <c r="AA293" s="65" t="n"/>
      <c r="AB293" s="65" t="n"/>
      <c r="AC293" s="65" t="n"/>
      <c r="AD293" s="65" t="n"/>
      <c r="AE293" s="63" t="n"/>
    </row>
    <row r="294" ht="16.95" customHeight="1" s="52">
      <c r="A294" s="44">
        <f>IF($M294="-", "-", IFERROR(INDEX(B$211:B$222, MATCH($M294, C$211:C$222, 0)), "-"))</f>
        <v/>
      </c>
      <c r="C294" s="21">
        <f>IF(OR($M294="-", C$256="-"), 0, IFERROR(INDEX($B$196:$M$207, MATCH($M294, $N$196:$N$207, 0), MATCH(C$256, $B$195:$M$195, 0)), 0))</f>
        <v/>
      </c>
      <c r="D294" s="21">
        <f>IF(OR($M294="-", D$256="-"), 0, IFERROR(INDEX($B$196:$M$207, MATCH($M294, $N$196:$N$207, 0), MATCH(D$256, $B$195:$M$195, 0)), 0))</f>
        <v/>
      </c>
      <c r="E294" s="21">
        <f>IF(OR($M294="-", E$256="-"), 0, IFERROR(INDEX($B$196:$M$207, MATCH($M294, $N$196:$N$207, 0), MATCH(E$256, $B$195:$M$195, 0)), 0))</f>
        <v/>
      </c>
      <c r="F294" s="21">
        <f>IF(OR($M294="-", F$256="-"), 0, IFERROR(INDEX($B$196:$M$207, MATCH($M294, $N$196:$N$207, 0), MATCH(F$256, $B$195:$M$195, 0)), 0))</f>
        <v/>
      </c>
      <c r="G294" s="21">
        <f>IF(OR($M294="-", G$256="-"), 0, IFERROR(INDEX($B$196:$M$207, MATCH($M294, $N$196:$N$207, 0), MATCH(G$256, $B$195:$M$195, 0)), 0))</f>
        <v/>
      </c>
      <c r="H294" s="21">
        <f>IF(OR($M294="-", H$256="-"), 0, IFERROR(INDEX($B$196:$M$207, MATCH($M294, $N$196:$N$207, 0), MATCH(H$256, $B$195:$M$195, 0)), 0))</f>
        <v/>
      </c>
      <c r="I294" s="21">
        <f>IF(OR($M294="-", I$256="-"), 0, IFERROR(INDEX($B$196:$M$207, MATCH($M294, $N$196:$N$207, 0), MATCH(I$256, $B$195:$M$195, 0)), 0))</f>
        <v/>
      </c>
      <c r="J294" s="21">
        <f>IF(OR($M294="-", J$256="-"), 0, IFERROR(INDEX($B$196:$M$207, MATCH($M294, $N$196:$N$207, 0), MATCH(J$256, $B$195:$M$195, 0)), 0))</f>
        <v/>
      </c>
      <c r="L294" s="45">
        <f>C282</f>
        <v/>
      </c>
      <c r="M294" s="36">
        <f>IFERROR(INDEX(C$225:C$236, MATCH(4, G$225:G$236, 0)), "-")</f>
        <v/>
      </c>
      <c r="Z294" s="50" t="n"/>
      <c r="AA294" s="65" t="n"/>
      <c r="AB294" s="65" t="n"/>
      <c r="AC294" s="65" t="n"/>
      <c r="AD294" s="65" t="n"/>
      <c r="AE294" s="63" t="n"/>
    </row>
    <row r="295" ht="16.95" customHeight="1" s="52">
      <c r="L295" s="45">
        <f>C283</f>
        <v/>
      </c>
      <c r="Z295" s="50" t="n"/>
      <c r="AA295" s="65" t="n"/>
      <c r="AB295" s="65" t="n"/>
      <c r="AC295" s="65" t="n"/>
      <c r="AD295" s="65" t="n"/>
      <c r="AE295" s="63" t="n"/>
    </row>
    <row r="296" ht="16.95" customHeight="1" s="52">
      <c r="L296" s="45">
        <f>C284</f>
        <v/>
      </c>
      <c r="Z296" s="50" t="n"/>
      <c r="AA296" s="65" t="n"/>
      <c r="AB296" s="65" t="n"/>
      <c r="AC296" s="65" t="n"/>
      <c r="AD296" s="65" t="n"/>
      <c r="AE296" s="63" t="n"/>
    </row>
    <row r="297" ht="16.95" customHeight="1" s="52">
      <c r="L297" s="45">
        <f>C285</f>
        <v/>
      </c>
      <c r="Z297" s="50" t="n"/>
      <c r="AA297" s="65" t="n"/>
      <c r="AB297" s="65" t="n"/>
      <c r="AC297" s="65" t="n"/>
      <c r="AD297" s="65" t="n"/>
      <c r="AE297" s="63" t="n"/>
    </row>
    <row r="298" ht="16.95" customHeight="1" s="52">
      <c r="L298" s="45">
        <f>C286</f>
        <v/>
      </c>
      <c r="Z298" s="50" t="n"/>
      <c r="AA298" s="65" t="n"/>
      <c r="AB298" s="65" t="n"/>
      <c r="AC298" s="65" t="n"/>
      <c r="AD298" s="65" t="n"/>
      <c r="AE298" s="63" t="n"/>
    </row>
    <row r="299" ht="16.95" customHeight="1" s="52">
      <c r="Z299" s="50" t="n"/>
      <c r="AA299" s="65" t="n"/>
      <c r="AB299" s="65" t="n"/>
      <c r="AC299" s="65" t="n"/>
      <c r="AD299" s="65" t="n"/>
      <c r="AE299" s="63" t="n"/>
    </row>
    <row r="300" ht="16.95" customHeight="1" s="52">
      <c r="A300" s="33">
        <f>A291</f>
        <v/>
      </c>
      <c r="C300" s="40">
        <f t="array" ref="C300:C303">MMULT(C291:J294, L291:L298)</f>
        <v/>
      </c>
      <c r="D300" s="33" t="inlineStr">
        <is>
          <t>Kgf</t>
        </is>
      </c>
      <c r="Z300" s="50" t="n"/>
      <c r="AA300" s="65" t="n"/>
      <c r="AB300" s="65" t="n"/>
      <c r="AC300" s="65" t="n"/>
      <c r="AD300" s="65" t="n"/>
      <c r="AE300" s="63" t="n"/>
    </row>
    <row r="301" ht="16.95" customHeight="1" s="52">
      <c r="A301" s="33">
        <f>A292</f>
        <v/>
      </c>
      <c r="C301" s="40" t="n">
        <v>-5250</v>
      </c>
      <c r="D301" s="33" t="inlineStr">
        <is>
          <t>Kgf</t>
        </is>
      </c>
      <c r="Z301" s="50" t="n"/>
      <c r="AA301" s="65" t="n"/>
      <c r="AB301" s="65" t="n"/>
      <c r="AC301" s="65" t="n"/>
      <c r="AD301" s="65" t="n"/>
      <c r="AE301" s="63" t="n"/>
    </row>
    <row r="302" ht="16.95" customHeight="1" s="52">
      <c r="A302" s="33">
        <f>A293</f>
        <v/>
      </c>
      <c r="B302" s="35" t="inlineStr">
        <is>
          <t>=</t>
        </is>
      </c>
      <c r="C302" s="40" t="n">
        <v>-3989.130434782608</v>
      </c>
      <c r="D302" s="33" t="inlineStr">
        <is>
          <t>Kgf</t>
        </is>
      </c>
      <c r="Z302" s="50" t="n"/>
      <c r="AA302" s="65" t="n"/>
      <c r="AB302" s="65" t="n"/>
      <c r="AC302" s="65" t="n"/>
      <c r="AD302" s="65" t="n"/>
      <c r="AE302" s="63" t="n"/>
    </row>
    <row r="303" ht="16.95" customHeight="1" s="52">
      <c r="A303" s="33">
        <f>A294</f>
        <v/>
      </c>
      <c r="C303" s="40" t="n">
        <v>10250</v>
      </c>
      <c r="D303" s="33" t="inlineStr">
        <is>
          <t>Kgf</t>
        </is>
      </c>
      <c r="Z303" s="50" t="n"/>
      <c r="AA303" s="65" t="n"/>
      <c r="AB303" s="65" t="n"/>
      <c r="AC303" s="65" t="n"/>
      <c r="AD303" s="65" t="n"/>
      <c r="AE303" s="63" t="n"/>
    </row>
    <row r="306" ht="19.95" customHeight="1" s="52">
      <c r="A306" s="32" t="inlineStr">
        <is>
          <t>Matriz de desplazamientos total</t>
        </is>
      </c>
    </row>
    <row r="308" ht="19.05" customHeight="1" s="52">
      <c r="A308" s="33" t="inlineStr">
        <is>
          <t>D1X</t>
        </is>
      </c>
      <c r="B308" s="33" t="inlineStr">
        <is>
          <t>U1X</t>
        </is>
      </c>
      <c r="D308" s="43">
        <f>IFERROR(INDEX(C$279:C$286, MATCH(A308, A$279:A$286, 0)), 0)</f>
        <v/>
      </c>
    </row>
    <row r="309" ht="19.05" customHeight="1" s="52">
      <c r="A309" s="33" t="inlineStr">
        <is>
          <t>D1Y</t>
        </is>
      </c>
      <c r="B309" s="33" t="inlineStr">
        <is>
          <t>U1Y</t>
        </is>
      </c>
      <c r="D309" s="43">
        <f>IFERROR(INDEX(C$279:C$286, MATCH(A309, A$279:A$286, 0)), 0)</f>
        <v/>
      </c>
    </row>
    <row r="310" ht="19.05" customHeight="1" s="52">
      <c r="A310" s="33" t="inlineStr">
        <is>
          <t>D2X</t>
        </is>
      </c>
      <c r="B310" s="33" t="inlineStr">
        <is>
          <t>U2X</t>
        </is>
      </c>
      <c r="D310" s="43">
        <f>IFERROR(INDEX(C$279:C$286, MATCH(A310, A$279:A$286, 0)), 0)</f>
        <v/>
      </c>
    </row>
    <row r="311" ht="19.05" customHeight="1" s="52">
      <c r="A311" s="33" t="inlineStr">
        <is>
          <t>D2Y</t>
        </is>
      </c>
      <c r="B311" s="33" t="inlineStr">
        <is>
          <t>U2Y</t>
        </is>
      </c>
      <c r="D311" s="43">
        <f>IFERROR(INDEX(C$279:C$286, MATCH(A311, A$279:A$286, 0)), 0)</f>
        <v/>
      </c>
    </row>
    <row r="312" ht="19.05" customHeight="1" s="52">
      <c r="A312" s="33" t="inlineStr">
        <is>
          <t>D3X</t>
        </is>
      </c>
      <c r="B312" s="33" t="inlineStr">
        <is>
          <t>U3X</t>
        </is>
      </c>
      <c r="D312" s="43">
        <f>IFERROR(INDEX(C$279:C$286, MATCH(A312, A$279:A$286, 0)), 0)</f>
        <v/>
      </c>
    </row>
    <row r="313" ht="19.05" customHeight="1" s="52">
      <c r="A313" s="33" t="inlineStr">
        <is>
          <t>D3Y</t>
        </is>
      </c>
      <c r="B313" s="33" t="inlineStr">
        <is>
          <t>U3Y</t>
        </is>
      </c>
      <c r="D313" s="43">
        <f>IFERROR(INDEX(C$279:C$286, MATCH(A313, A$279:A$286, 0)), 0)</f>
        <v/>
      </c>
    </row>
    <row r="314" ht="19.05" customHeight="1" s="52">
      <c r="A314" s="33" t="inlineStr">
        <is>
          <t>D4X</t>
        </is>
      </c>
      <c r="B314" s="33" t="inlineStr">
        <is>
          <t>U4X</t>
        </is>
      </c>
      <c r="D314" s="43">
        <f>IFERROR(INDEX(C$279:C$286, MATCH(A314, A$279:A$286, 0)), 0)</f>
        <v/>
      </c>
    </row>
    <row r="315" ht="19.05" customHeight="1" s="52">
      <c r="A315" s="33" t="inlineStr">
        <is>
          <t>D4Y</t>
        </is>
      </c>
      <c r="B315" s="33" t="inlineStr">
        <is>
          <t>U4Y</t>
        </is>
      </c>
      <c r="D315" s="43">
        <f>IFERROR(INDEX(C$279:C$286, MATCH(A315, A$279:A$286, 0)), 0)</f>
        <v/>
      </c>
    </row>
    <row r="316" ht="19.05" customHeight="1" s="52">
      <c r="A316" s="33" t="inlineStr">
        <is>
          <t>D5X</t>
        </is>
      </c>
      <c r="B316" s="33" t="inlineStr">
        <is>
          <t>U5X</t>
        </is>
      </c>
      <c r="D316" s="43">
        <f>IFERROR(INDEX(C$279:C$286, MATCH(A316, A$279:A$286, 0)), 0)</f>
        <v/>
      </c>
    </row>
    <row r="317" ht="19.05" customHeight="1" s="52">
      <c r="A317" s="33" t="inlineStr">
        <is>
          <t>D5Y</t>
        </is>
      </c>
      <c r="B317" s="33" t="inlineStr">
        <is>
          <t>U5Y</t>
        </is>
      </c>
      <c r="D317" s="43">
        <f>IFERROR(INDEX(C$279:C$286, MATCH(A317, A$279:A$286, 0)), 0)</f>
        <v/>
      </c>
    </row>
    <row r="318" ht="19.05" customHeight="1" s="52">
      <c r="A318" s="33" t="inlineStr">
        <is>
          <t>D6X</t>
        </is>
      </c>
      <c r="B318" s="33" t="inlineStr">
        <is>
          <t>U6X</t>
        </is>
      </c>
      <c r="D318" s="43">
        <f>IFERROR(INDEX(C$279:C$286, MATCH(A318, A$279:A$286, 0)), 0)</f>
        <v/>
      </c>
    </row>
    <row r="319" ht="19.05" customHeight="1" s="52">
      <c r="A319" s="33" t="inlineStr">
        <is>
          <t>D6Y</t>
        </is>
      </c>
      <c r="B319" s="33" t="inlineStr">
        <is>
          <t>U6Y</t>
        </is>
      </c>
      <c r="D319" s="43">
        <f>IFERROR(INDEX(C$279:C$286, MATCH(A319, A$279:A$286, 0)), 0)</f>
        <v/>
      </c>
    </row>
    <row r="322" ht="19.95" customHeight="1" s="52">
      <c r="A322" s="32" t="inlineStr">
        <is>
          <t>Calculo de las fuerzas</t>
        </is>
      </c>
      <c r="Z322" s="53" t="inlineStr">
        <is>
          <t>5. CÁLCULO DE FUERZAS EN BARRAS: {Fₘ} = (AE/L) · [-cx, -cy, cx, cy] · {D}</t>
        </is>
      </c>
      <c r="AA322" s="65" t="n"/>
      <c r="AB322" s="65" t="n"/>
      <c r="AC322" s="65" t="n"/>
      <c r="AD322" s="65" t="n"/>
      <c r="AE322" s="63" t="n"/>
    </row>
    <row r="323" ht="16.95" customHeight="1" s="52">
      <c r="Z323" s="50" t="inlineStr">
        <is>
          <t>• Fila de Signos [-cx, -cy, +cx, +cy]: Deformación axial relativa de la barra m.</t>
        </is>
      </c>
      <c r="AA323" s="65" t="n"/>
      <c r="AB323" s="65" t="n"/>
      <c r="AC323" s="65" t="n"/>
      <c r="AD323" s="65" t="n"/>
      <c r="AE323" s="63" t="n"/>
    </row>
    <row r="324" ht="16.95" customHeight="1" s="52">
      <c r="A324" s="46" t="inlineStr">
        <is>
          <t>AE/L</t>
        </is>
      </c>
      <c r="C324" s="46" t="inlineStr">
        <is>
          <t>cx</t>
        </is>
      </c>
      <c r="D324" s="46" t="inlineStr">
        <is>
          <t>cy</t>
        </is>
      </c>
      <c r="E324" s="46" t="inlineStr">
        <is>
          <t>cx</t>
        </is>
      </c>
      <c r="F324" s="46" t="inlineStr">
        <is>
          <t>cy</t>
        </is>
      </c>
      <c r="G324" s="46" t="inlineStr">
        <is>
          <t>D</t>
        </is>
      </c>
      <c r="Z324" s="50" t="inlineStr">
        <is>
          <t>• Fuerza Axial F_m: Obtenida mediante =(MMULT(C:F, G:G)*A) vinculada a los nudos reales.</t>
        </is>
      </c>
      <c r="AA324" s="65" t="n"/>
      <c r="AB324" s="65" t="n"/>
      <c r="AC324" s="65" t="n"/>
      <c r="AD324" s="65" t="n"/>
      <c r="AE324" s="63" t="n"/>
    </row>
    <row r="325" ht="16.95" customHeight="1" s="52">
      <c r="C325" s="46" t="inlineStr">
        <is>
          <t>-</t>
        </is>
      </c>
      <c r="D325" s="46" t="inlineStr">
        <is>
          <t>-</t>
        </is>
      </c>
      <c r="E325" s="46" t="inlineStr">
        <is>
          <t>+</t>
        </is>
      </c>
      <c r="F325" s="46" t="inlineStr">
        <is>
          <t>+</t>
        </is>
      </c>
      <c r="Z325" s="50" t="inlineStr">
        <is>
          <t>• Diagnóstico de Estado: Tracción (+), Compresión (-) o Fuerza Nula.</t>
        </is>
      </c>
      <c r="AA325" s="65" t="n"/>
      <c r="AB325" s="65" t="n"/>
      <c r="AC325" s="65" t="n"/>
      <c r="AD325" s="65" t="n"/>
      <c r="AE325" s="63" t="n"/>
    </row>
    <row r="326" ht="16.95" customHeight="1" s="52">
      <c r="A326" s="40">
        <f>N6</f>
        <v/>
      </c>
      <c r="C326" s="47">
        <f>IF(J6="","", -J6)</f>
        <v/>
      </c>
      <c r="D326" s="47">
        <f>IF(K6="","", -K6)</f>
        <v/>
      </c>
      <c r="E326" s="47">
        <f>IF(J6="","", J6)</f>
        <v/>
      </c>
      <c r="F326" s="47">
        <f>IF(K6="","", K6)</f>
        <v/>
      </c>
      <c r="G326" s="48">
        <f>IF(H326="","", IFERROR(VLOOKUP(H326, A$308:D$319, 4, FALSE), 0))</f>
        <v/>
      </c>
      <c r="H326" s="33">
        <f>IF(C17="","", "D" &amp; C17 &amp; "X")</f>
        <v/>
      </c>
      <c r="Z326" s="50" t="n"/>
      <c r="AA326" s="65" t="n"/>
      <c r="AB326" s="65" t="n"/>
      <c r="AC326" s="65" t="n"/>
      <c r="AD326" s="65" t="n"/>
      <c r="AE326" s="63" t="n"/>
    </row>
    <row r="327" ht="16.95" customHeight="1" s="52">
      <c r="A327" s="60" t="inlineStr">
        <is>
          <t>F1=</t>
        </is>
      </c>
      <c r="B327" s="49">
        <f>IF(OR(A326=0, C17=""), 0, (MMULT(C326:F326, G326:G329)*A326))</f>
        <v/>
      </c>
      <c r="G327" s="48">
        <f>IF(H327="","", IFERROR(VLOOKUP(H327, A$308:D$319, 4, FALSE), 0))</f>
        <v/>
      </c>
      <c r="H327" s="33">
        <f>IF(C17="","", "D" &amp; C17 &amp; "Y")</f>
        <v/>
      </c>
      <c r="Z327" s="50" t="n"/>
      <c r="AA327" s="65" t="n"/>
      <c r="AB327" s="65" t="n"/>
      <c r="AC327" s="65" t="n"/>
      <c r="AD327" s="65" t="n"/>
      <c r="AE327" s="63" t="n"/>
    </row>
    <row r="328" ht="16.95" customHeight="1" s="52">
      <c r="G328" s="48">
        <f>IF(H328="","", IFERROR(VLOOKUP(H328, A$308:D$319, 4, FALSE), 0))</f>
        <v/>
      </c>
      <c r="H328" s="33">
        <f>IF(F17="","", "D" &amp; F17 &amp; "X")</f>
        <v/>
      </c>
      <c r="Z328" s="50" t="n"/>
      <c r="AA328" s="65" t="n"/>
      <c r="AB328" s="65" t="n"/>
      <c r="AC328" s="65" t="n"/>
      <c r="AD328" s="65" t="n"/>
      <c r="AE328" s="63" t="n"/>
    </row>
    <row r="329" ht="16.95" customHeight="1" s="52">
      <c r="G329" s="48">
        <f>IF(H329="","", IFERROR(VLOOKUP(H329, A$308:D$319, 4, FALSE), 0))</f>
        <v/>
      </c>
      <c r="H329" s="33">
        <f>IF(F17="","", "D" &amp; F17 &amp; "Y")</f>
        <v/>
      </c>
      <c r="Z329" s="50" t="n"/>
      <c r="AA329" s="65" t="n"/>
      <c r="AB329" s="65" t="n"/>
      <c r="AC329" s="65" t="n"/>
      <c r="AD329" s="65" t="n"/>
      <c r="AE329" s="63" t="n"/>
    </row>
    <row r="330" ht="16.95" customHeight="1" s="52">
      <c r="B330" s="60" t="inlineStr">
        <is>
          <t>Kgf</t>
        </is>
      </c>
      <c r="C330" s="56">
        <f>IF(C17="","", IF(B327&gt;0.001,"BARRA A TRACCIÓN (+)",IF(B327&lt;-0.001,"BARRA A COMPRESIÓN (-)","BARRA DE FUERZA NULA")))</f>
        <v/>
      </c>
      <c r="D330" s="65" t="n"/>
      <c r="E330" s="65" t="n"/>
      <c r="F330" s="63" t="n"/>
      <c r="Z330" s="50" t="n"/>
      <c r="AA330" s="65" t="n"/>
      <c r="AB330" s="65" t="n"/>
      <c r="AC330" s="65" t="n"/>
      <c r="AD330" s="65" t="n"/>
      <c r="AE330" s="63" t="n"/>
    </row>
    <row r="331" ht="16.95" customHeight="1" s="52">
      <c r="Z331" s="50" t="n"/>
      <c r="AA331" s="65" t="n"/>
      <c r="AB331" s="65" t="n"/>
      <c r="AC331" s="65" t="n"/>
      <c r="AD331" s="65" t="n"/>
      <c r="AE331" s="63" t="n"/>
    </row>
    <row r="332" ht="16.95" customHeight="1" s="52">
      <c r="A332" s="46" t="inlineStr">
        <is>
          <t>AE/L</t>
        </is>
      </c>
      <c r="C332" s="46" t="inlineStr">
        <is>
          <t>cx</t>
        </is>
      </c>
      <c r="D332" s="46" t="inlineStr">
        <is>
          <t>cy</t>
        </is>
      </c>
      <c r="E332" s="46" t="inlineStr">
        <is>
          <t>cx</t>
        </is>
      </c>
      <c r="F332" s="46" t="inlineStr">
        <is>
          <t>cy</t>
        </is>
      </c>
      <c r="G332" s="46" t="inlineStr">
        <is>
          <t>D</t>
        </is>
      </c>
      <c r="Z332" s="50" t="n"/>
      <c r="AA332" s="65" t="n"/>
      <c r="AB332" s="65" t="n"/>
      <c r="AC332" s="65" t="n"/>
      <c r="AD332" s="65" t="n"/>
      <c r="AE332" s="63" t="n"/>
    </row>
    <row r="333" ht="16.95" customHeight="1" s="52">
      <c r="C333" s="46" t="inlineStr">
        <is>
          <t>-</t>
        </is>
      </c>
      <c r="D333" s="46" t="inlineStr">
        <is>
          <t>-</t>
        </is>
      </c>
      <c r="E333" s="46" t="inlineStr">
        <is>
          <t>+</t>
        </is>
      </c>
      <c r="F333" s="46" t="inlineStr">
        <is>
          <t>+</t>
        </is>
      </c>
      <c r="Z333" s="50" t="n"/>
      <c r="AA333" s="65" t="n"/>
      <c r="AB333" s="65" t="n"/>
      <c r="AC333" s="65" t="n"/>
      <c r="AD333" s="65" t="n"/>
      <c r="AE333" s="63" t="n"/>
    </row>
    <row r="334" ht="16.95" customHeight="1" s="52">
      <c r="A334" s="40">
        <f>N7</f>
        <v/>
      </c>
      <c r="C334" s="47">
        <f>IF(J7="","", -J7)</f>
        <v/>
      </c>
      <c r="D334" s="47">
        <f>IF(K7="","", -K7)</f>
        <v/>
      </c>
      <c r="E334" s="47">
        <f>IF(J7="","", J7)</f>
        <v/>
      </c>
      <c r="F334" s="47">
        <f>IF(K7="","", K7)</f>
        <v/>
      </c>
      <c r="G334" s="48">
        <f>IF(H334="","", IFERROR(VLOOKUP(H334, A$308:D$319, 4, FALSE), 0))</f>
        <v/>
      </c>
      <c r="H334" s="33">
        <f>IF(C18="","", "D" &amp; C18 &amp; "X")</f>
        <v/>
      </c>
      <c r="Z334" s="50" t="n"/>
      <c r="AA334" s="65" t="n"/>
      <c r="AB334" s="65" t="n"/>
      <c r="AC334" s="65" t="n"/>
      <c r="AD334" s="65" t="n"/>
      <c r="AE334" s="63" t="n"/>
    </row>
    <row r="335" ht="16.95" customHeight="1" s="52">
      <c r="A335" s="60" t="inlineStr">
        <is>
          <t>F2=</t>
        </is>
      </c>
      <c r="B335" s="49">
        <f>IF(OR(A334=0, C18=""), 0, (MMULT(C334:F334, G334:G337)*A334))</f>
        <v/>
      </c>
      <c r="G335" s="48">
        <f>IF(H335="","", IFERROR(VLOOKUP(H335, A$308:D$319, 4, FALSE), 0))</f>
        <v/>
      </c>
      <c r="H335" s="33">
        <f>IF(C18="","", "D" &amp; C18 &amp; "Y")</f>
        <v/>
      </c>
      <c r="Z335" s="50" t="n"/>
      <c r="AA335" s="65" t="n"/>
      <c r="AB335" s="65" t="n"/>
      <c r="AC335" s="65" t="n"/>
      <c r="AD335" s="65" t="n"/>
      <c r="AE335" s="63" t="n"/>
    </row>
    <row r="336" ht="16.95" customHeight="1" s="52">
      <c r="G336" s="48">
        <f>IF(H336="","", IFERROR(VLOOKUP(H336, A$308:D$319, 4, FALSE), 0))</f>
        <v/>
      </c>
      <c r="H336" s="33">
        <f>IF(F18="","", "D" &amp; F18 &amp; "X")</f>
        <v/>
      </c>
      <c r="Z336" s="50" t="n"/>
      <c r="AA336" s="65" t="n"/>
      <c r="AB336" s="65" t="n"/>
      <c r="AC336" s="65" t="n"/>
      <c r="AD336" s="65" t="n"/>
      <c r="AE336" s="63" t="n"/>
    </row>
    <row r="337" ht="16.95" customHeight="1" s="52">
      <c r="G337" s="48">
        <f>IF(H337="","", IFERROR(VLOOKUP(H337, A$308:D$319, 4, FALSE), 0))</f>
        <v/>
      </c>
      <c r="H337" s="33">
        <f>IF(F18="","", "D" &amp; F18 &amp; "Y")</f>
        <v/>
      </c>
      <c r="Z337" s="50" t="n"/>
      <c r="AA337" s="65" t="n"/>
      <c r="AB337" s="65" t="n"/>
      <c r="AC337" s="65" t="n"/>
      <c r="AD337" s="65" t="n"/>
      <c r="AE337" s="63" t="n"/>
    </row>
    <row r="338" ht="16.95" customHeight="1" s="52">
      <c r="B338" s="60" t="inlineStr">
        <is>
          <t>Kgf</t>
        </is>
      </c>
      <c r="C338" s="56">
        <f>IF(C18="","", IF(B335&gt;0.001,"BARRA A TRACCIÓN (+)",IF(B335&lt;-0.001,"BARRA A COMPRESIÓN (-)","BARRA DE FUERZA NULA")))</f>
        <v/>
      </c>
      <c r="D338" s="65" t="n"/>
      <c r="E338" s="65" t="n"/>
      <c r="F338" s="63" t="n"/>
      <c r="Z338" s="50" t="n"/>
      <c r="AA338" s="65" t="n"/>
      <c r="AB338" s="65" t="n"/>
      <c r="AC338" s="65" t="n"/>
      <c r="AD338" s="65" t="n"/>
      <c r="AE338" s="63" t="n"/>
    </row>
    <row r="339" ht="16.95" customHeight="1" s="52">
      <c r="Z339" s="50" t="n"/>
      <c r="AA339" s="65" t="n"/>
      <c r="AB339" s="65" t="n"/>
      <c r="AC339" s="65" t="n"/>
      <c r="AD339" s="65" t="n"/>
      <c r="AE339" s="63" t="n"/>
    </row>
    <row r="340" ht="16.95" customHeight="1" s="52">
      <c r="A340" s="46" t="inlineStr">
        <is>
          <t>AE/L</t>
        </is>
      </c>
      <c r="C340" s="46" t="inlineStr">
        <is>
          <t>cx</t>
        </is>
      </c>
      <c r="D340" s="46" t="inlineStr">
        <is>
          <t>cy</t>
        </is>
      </c>
      <c r="E340" s="46" t="inlineStr">
        <is>
          <t>cx</t>
        </is>
      </c>
      <c r="F340" s="46" t="inlineStr">
        <is>
          <t>cy</t>
        </is>
      </c>
      <c r="G340" s="46" t="inlineStr">
        <is>
          <t>D</t>
        </is>
      </c>
      <c r="Z340" s="50" t="n"/>
      <c r="AA340" s="65" t="n"/>
      <c r="AB340" s="65" t="n"/>
      <c r="AC340" s="65" t="n"/>
      <c r="AD340" s="65" t="n"/>
      <c r="AE340" s="63" t="n"/>
    </row>
    <row r="341" ht="16.95" customHeight="1" s="52">
      <c r="C341" s="46" t="inlineStr">
        <is>
          <t>-</t>
        </is>
      </c>
      <c r="D341" s="46" t="inlineStr">
        <is>
          <t>-</t>
        </is>
      </c>
      <c r="E341" s="46" t="inlineStr">
        <is>
          <t>+</t>
        </is>
      </c>
      <c r="F341" s="46" t="inlineStr">
        <is>
          <t>+</t>
        </is>
      </c>
      <c r="Z341" s="50" t="n"/>
      <c r="AA341" s="65" t="n"/>
      <c r="AB341" s="65" t="n"/>
      <c r="AC341" s="65" t="n"/>
      <c r="AD341" s="65" t="n"/>
      <c r="AE341" s="63" t="n"/>
    </row>
    <row r="342" ht="16.95" customHeight="1" s="52">
      <c r="A342" s="40">
        <f>N8</f>
        <v/>
      </c>
      <c r="C342" s="47">
        <f>IF(J8="","", -J8)</f>
        <v/>
      </c>
      <c r="D342" s="47">
        <f>IF(K8="","", -K8)</f>
        <v/>
      </c>
      <c r="E342" s="47">
        <f>IF(J8="","", J8)</f>
        <v/>
      </c>
      <c r="F342" s="47">
        <f>IF(K8="","", K8)</f>
        <v/>
      </c>
      <c r="G342" s="48">
        <f>IF(H342="","", IFERROR(VLOOKUP(H342, A$308:D$319, 4, FALSE), 0))</f>
        <v/>
      </c>
      <c r="H342" s="33">
        <f>IF(C19="","", "D" &amp; C19 &amp; "X")</f>
        <v/>
      </c>
      <c r="Z342" s="50" t="n"/>
      <c r="AA342" s="65" t="n"/>
      <c r="AB342" s="65" t="n"/>
      <c r="AC342" s="65" t="n"/>
      <c r="AD342" s="65" t="n"/>
      <c r="AE342" s="63" t="n"/>
    </row>
    <row r="343" ht="16.95" customHeight="1" s="52">
      <c r="A343" s="60" t="inlineStr">
        <is>
          <t>F3=</t>
        </is>
      </c>
      <c r="B343" s="49">
        <f>IF(OR(A342=0, C19=""), 0, (MMULT(C342:F342, G342:G345)*A342))</f>
        <v/>
      </c>
      <c r="G343" s="48">
        <f>IF(H343="","", IFERROR(VLOOKUP(H343, A$308:D$319, 4, FALSE), 0))</f>
        <v/>
      </c>
      <c r="H343" s="33">
        <f>IF(C19="","", "D" &amp; C19 &amp; "Y")</f>
        <v/>
      </c>
      <c r="Z343" s="50" t="n"/>
      <c r="AA343" s="65" t="n"/>
      <c r="AB343" s="65" t="n"/>
      <c r="AC343" s="65" t="n"/>
      <c r="AD343" s="65" t="n"/>
      <c r="AE343" s="63" t="n"/>
    </row>
    <row r="344" ht="16.95" customHeight="1" s="52">
      <c r="G344" s="48">
        <f>IF(H344="","", IFERROR(VLOOKUP(H344, A$308:D$319, 4, FALSE), 0))</f>
        <v/>
      </c>
      <c r="H344" s="33">
        <f>IF(F19="","", "D" &amp; F19 &amp; "X")</f>
        <v/>
      </c>
      <c r="Z344" s="50" t="n"/>
      <c r="AA344" s="65" t="n"/>
      <c r="AB344" s="65" t="n"/>
      <c r="AC344" s="65" t="n"/>
      <c r="AD344" s="65" t="n"/>
      <c r="AE344" s="63" t="n"/>
    </row>
    <row r="345" ht="16.95" customHeight="1" s="52">
      <c r="G345" s="48">
        <f>IF(H345="","", IFERROR(VLOOKUP(H345, A$308:D$319, 4, FALSE), 0))</f>
        <v/>
      </c>
      <c r="H345" s="33">
        <f>IF(F19="","", "D" &amp; F19 &amp; "Y")</f>
        <v/>
      </c>
      <c r="Z345" s="50" t="n"/>
      <c r="AA345" s="65" t="n"/>
      <c r="AB345" s="65" t="n"/>
      <c r="AC345" s="65" t="n"/>
      <c r="AD345" s="65" t="n"/>
      <c r="AE345" s="63" t="n"/>
    </row>
    <row r="346" ht="16.95" customHeight="1" s="52">
      <c r="B346" s="60" t="inlineStr">
        <is>
          <t>Kgf</t>
        </is>
      </c>
      <c r="C346" s="56">
        <f>IF(C19="","", IF(B343&gt;0.001,"BARRA A TRACCIÓN (+)",IF(B343&lt;-0.001,"BARRA A COMPRESIÓN (-)","BARRA DE FUERZA NULA")))</f>
        <v/>
      </c>
      <c r="D346" s="65" t="n"/>
      <c r="E346" s="65" t="n"/>
      <c r="F346" s="63" t="n"/>
      <c r="Z346" s="50" t="n"/>
      <c r="AA346" s="65" t="n"/>
      <c r="AB346" s="65" t="n"/>
      <c r="AC346" s="65" t="n"/>
      <c r="AD346" s="65" t="n"/>
      <c r="AE346" s="63" t="n"/>
    </row>
    <row r="347" ht="16.95" customHeight="1" s="52">
      <c r="Z347" s="50" t="n"/>
      <c r="AA347" s="65" t="n"/>
      <c r="AB347" s="65" t="n"/>
      <c r="AC347" s="65" t="n"/>
      <c r="AD347" s="65" t="n"/>
      <c r="AE347" s="63" t="n"/>
    </row>
    <row r="348" ht="18" customHeight="1" s="52">
      <c r="A348" s="46" t="inlineStr">
        <is>
          <t>AE/L</t>
        </is>
      </c>
      <c r="C348" s="46" t="inlineStr">
        <is>
          <t>cx</t>
        </is>
      </c>
      <c r="D348" s="46" t="inlineStr">
        <is>
          <t>cy</t>
        </is>
      </c>
      <c r="E348" s="46" t="inlineStr">
        <is>
          <t>cx</t>
        </is>
      </c>
      <c r="F348" s="46" t="inlineStr">
        <is>
          <t>cy</t>
        </is>
      </c>
      <c r="G348" s="46" t="inlineStr">
        <is>
          <t>D</t>
        </is>
      </c>
    </row>
    <row r="349" ht="16.05" customHeight="1" s="52">
      <c r="C349" s="46" t="inlineStr">
        <is>
          <t>-</t>
        </is>
      </c>
      <c r="D349" s="46" t="inlineStr">
        <is>
          <t>-</t>
        </is>
      </c>
      <c r="E349" s="46" t="inlineStr">
        <is>
          <t>+</t>
        </is>
      </c>
      <c r="F349" s="46" t="inlineStr">
        <is>
          <t>+</t>
        </is>
      </c>
    </row>
    <row r="350" ht="19.95" customHeight="1" s="52">
      <c r="A350" s="40">
        <f>N9</f>
        <v/>
      </c>
      <c r="C350" s="47">
        <f>IF(J9="","", -J9)</f>
        <v/>
      </c>
      <c r="D350" s="47">
        <f>IF(K9="","", -K9)</f>
        <v/>
      </c>
      <c r="E350" s="47">
        <f>IF(J9="","", J9)</f>
        <v/>
      </c>
      <c r="F350" s="47">
        <f>IF(K9="","", K9)</f>
        <v/>
      </c>
      <c r="G350" s="48">
        <f>IF(H350="","", IFERROR(VLOOKUP(H350, A$308:D$319, 4, FALSE), 0))</f>
        <v/>
      </c>
      <c r="H350" s="33">
        <f>IF(C20="","", "D" &amp; C20 &amp; "X")</f>
        <v/>
      </c>
    </row>
    <row r="351" ht="19.95" customHeight="1" s="52">
      <c r="A351" s="60" t="inlineStr">
        <is>
          <t>F4=</t>
        </is>
      </c>
      <c r="B351" s="49">
        <f>IF(OR(A350=0, C20=""), 0, (MMULT(C350:F350, G350:G353)*A350))</f>
        <v/>
      </c>
      <c r="G351" s="48">
        <f>IF(H351="","", IFERROR(VLOOKUP(H351, A$308:D$319, 4, FALSE), 0))</f>
        <v/>
      </c>
      <c r="H351" s="33">
        <f>IF(C20="","", "D" &amp; C20 &amp; "Y")</f>
        <v/>
      </c>
    </row>
    <row r="352" ht="19.95" customHeight="1" s="52">
      <c r="G352" s="48">
        <f>IF(H352="","", IFERROR(VLOOKUP(H352, A$308:D$319, 4, FALSE), 0))</f>
        <v/>
      </c>
      <c r="H352" s="33">
        <f>IF(F20="","", "D" &amp; F20 &amp; "X")</f>
        <v/>
      </c>
    </row>
    <row r="353" ht="19.95" customHeight="1" s="52">
      <c r="G353" s="48">
        <f>IF(H353="","", IFERROR(VLOOKUP(H353, A$308:D$319, 4, FALSE), 0))</f>
        <v/>
      </c>
      <c r="H353" s="33">
        <f>IF(F20="","", "D" &amp; F20 &amp; "Y")</f>
        <v/>
      </c>
    </row>
    <row r="354" ht="19.95" customHeight="1" s="52">
      <c r="B354" s="60" t="inlineStr">
        <is>
          <t>Kgf</t>
        </is>
      </c>
      <c r="C354" s="56">
        <f>IF(C20="","", IF(B351&gt;0.001,"BARRA A TRACCIÓN (+)",IF(B351&lt;-0.001,"BARRA A COMPRESIÓN (-)","BARRA DE FUERZA NULA")))</f>
        <v/>
      </c>
      <c r="D354" s="65" t="n"/>
      <c r="E354" s="65" t="n"/>
      <c r="F354" s="63" t="n"/>
    </row>
    <row r="356" ht="18" customHeight="1" s="52">
      <c r="A356" s="46" t="inlineStr">
        <is>
          <t>AE/L</t>
        </is>
      </c>
      <c r="C356" s="46" t="inlineStr">
        <is>
          <t>cx</t>
        </is>
      </c>
      <c r="D356" s="46" t="inlineStr">
        <is>
          <t>cy</t>
        </is>
      </c>
      <c r="E356" s="46" t="inlineStr">
        <is>
          <t>cx</t>
        </is>
      </c>
      <c r="F356" s="46" t="inlineStr">
        <is>
          <t>cy</t>
        </is>
      </c>
      <c r="G356" s="46" t="inlineStr">
        <is>
          <t>D</t>
        </is>
      </c>
    </row>
    <row r="357" ht="16.05" customHeight="1" s="52">
      <c r="C357" s="46" t="inlineStr">
        <is>
          <t>-</t>
        </is>
      </c>
      <c r="D357" s="46" t="inlineStr">
        <is>
          <t>-</t>
        </is>
      </c>
      <c r="E357" s="46" t="inlineStr">
        <is>
          <t>+</t>
        </is>
      </c>
      <c r="F357" s="46" t="inlineStr">
        <is>
          <t>+</t>
        </is>
      </c>
    </row>
    <row r="358" ht="19.95" customHeight="1" s="52">
      <c r="A358" s="40">
        <f>N10</f>
        <v/>
      </c>
      <c r="C358" s="47">
        <f>IF(J10="","", -J10)</f>
        <v/>
      </c>
      <c r="D358" s="47">
        <f>IF(K10="","", -K10)</f>
        <v/>
      </c>
      <c r="E358" s="47">
        <f>IF(J10="","", J10)</f>
        <v/>
      </c>
      <c r="F358" s="47">
        <f>IF(K10="","", K10)</f>
        <v/>
      </c>
      <c r="G358" s="48">
        <f>IF(H358="","", IFERROR(VLOOKUP(H358, A$308:D$319, 4, FALSE), 0))</f>
        <v/>
      </c>
      <c r="H358" s="33">
        <f>IF(C21="","", "D" &amp; C21 &amp; "X")</f>
        <v/>
      </c>
    </row>
    <row r="359" ht="19.95" customHeight="1" s="52">
      <c r="A359" s="60" t="inlineStr">
        <is>
          <t>F5=</t>
        </is>
      </c>
      <c r="B359" s="49">
        <f>IF(OR(A358=0, C21=""), 0, (MMULT(C358:F358, G358:G361)*A358))</f>
        <v/>
      </c>
      <c r="G359" s="48">
        <f>IF(H359="","", IFERROR(VLOOKUP(H359, A$308:D$319, 4, FALSE), 0))</f>
        <v/>
      </c>
      <c r="H359" s="33">
        <f>IF(C21="","", "D" &amp; C21 &amp; "Y")</f>
        <v/>
      </c>
    </row>
    <row r="360" ht="19.95" customHeight="1" s="52">
      <c r="G360" s="48">
        <f>IF(H360="","", IFERROR(VLOOKUP(H360, A$308:D$319, 4, FALSE), 0))</f>
        <v/>
      </c>
      <c r="H360" s="33">
        <f>IF(F21="","", "D" &amp; F21 &amp; "X")</f>
        <v/>
      </c>
    </row>
    <row r="361" ht="19.95" customHeight="1" s="52">
      <c r="G361" s="48">
        <f>IF(H361="","", IFERROR(VLOOKUP(H361, A$308:D$319, 4, FALSE), 0))</f>
        <v/>
      </c>
      <c r="H361" s="33">
        <f>IF(F21="","", "D" &amp; F21 &amp; "Y")</f>
        <v/>
      </c>
    </row>
    <row r="362" ht="19.95" customHeight="1" s="52">
      <c r="B362" s="60" t="inlineStr">
        <is>
          <t>Kgf</t>
        </is>
      </c>
      <c r="C362" s="56">
        <f>IF(C21="","", IF(B359&gt;0.001,"BARRA A TRACCIÓN (+)",IF(B359&lt;-0.001,"BARRA A COMPRESIÓN (-)","BARRA DE FUERZA NULA")))</f>
        <v/>
      </c>
      <c r="D362" s="65" t="n"/>
      <c r="E362" s="65" t="n"/>
      <c r="F362" s="63" t="n"/>
    </row>
    <row r="364" ht="18" customHeight="1" s="52">
      <c r="A364" s="46" t="inlineStr">
        <is>
          <t>AE/L</t>
        </is>
      </c>
      <c r="C364" s="46" t="inlineStr">
        <is>
          <t>cx</t>
        </is>
      </c>
      <c r="D364" s="46" t="inlineStr">
        <is>
          <t>cy</t>
        </is>
      </c>
      <c r="E364" s="46" t="inlineStr">
        <is>
          <t>cx</t>
        </is>
      </c>
      <c r="F364" s="46" t="inlineStr">
        <is>
          <t>cy</t>
        </is>
      </c>
      <c r="G364" s="46" t="inlineStr">
        <is>
          <t>D</t>
        </is>
      </c>
    </row>
    <row r="365" ht="16.05" customHeight="1" s="52">
      <c r="C365" s="46" t="inlineStr">
        <is>
          <t>-</t>
        </is>
      </c>
      <c r="D365" s="46" t="inlineStr">
        <is>
          <t>-</t>
        </is>
      </c>
      <c r="E365" s="46" t="inlineStr">
        <is>
          <t>+</t>
        </is>
      </c>
      <c r="F365" s="46" t="inlineStr">
        <is>
          <t>+</t>
        </is>
      </c>
    </row>
    <row r="366" ht="19.95" customHeight="1" s="52">
      <c r="A366" s="40">
        <f>N11</f>
        <v/>
      </c>
      <c r="C366" s="47">
        <f>IF(J11="","", -J11)</f>
        <v/>
      </c>
      <c r="D366" s="47">
        <f>IF(K11="","", -K11)</f>
        <v/>
      </c>
      <c r="E366" s="47">
        <f>IF(J11="","", J11)</f>
        <v/>
      </c>
      <c r="F366" s="47">
        <f>IF(K11="","", K11)</f>
        <v/>
      </c>
      <c r="G366" s="48">
        <f>IF(H366="","", IFERROR(VLOOKUP(H366, A$308:D$319, 4, FALSE), 0))</f>
        <v/>
      </c>
      <c r="H366" s="33">
        <f>IF(C22="","", "D" &amp; C22 &amp; "X")</f>
        <v/>
      </c>
    </row>
    <row r="367" ht="19.95" customHeight="1" s="52">
      <c r="A367" s="60" t="inlineStr">
        <is>
          <t>F6=</t>
        </is>
      </c>
      <c r="B367" s="49">
        <f>IF(OR(A366=0, C22=""), 0, (MMULT(C366:F366, G366:G369)*A366))</f>
        <v/>
      </c>
      <c r="G367" s="48">
        <f>IF(H367="","", IFERROR(VLOOKUP(H367, A$308:D$319, 4, FALSE), 0))</f>
        <v/>
      </c>
      <c r="H367" s="33">
        <f>IF(C22="","", "D" &amp; C22 &amp; "Y")</f>
        <v/>
      </c>
    </row>
    <row r="368" ht="19.95" customHeight="1" s="52">
      <c r="G368" s="48">
        <f>IF(H368="","", IFERROR(VLOOKUP(H368, A$308:D$319, 4, FALSE), 0))</f>
        <v/>
      </c>
      <c r="H368" s="33">
        <f>IF(F22="","", "D" &amp; F22 &amp; "X")</f>
        <v/>
      </c>
    </row>
    <row r="369" ht="19.95" customHeight="1" s="52">
      <c r="G369" s="48">
        <f>IF(H369="","", IFERROR(VLOOKUP(H369, A$308:D$319, 4, FALSE), 0))</f>
        <v/>
      </c>
      <c r="H369" s="33">
        <f>IF(F22="","", "D" &amp; F22 &amp; "Y")</f>
        <v/>
      </c>
    </row>
    <row r="370" ht="19.95" customHeight="1" s="52">
      <c r="B370" s="60" t="inlineStr">
        <is>
          <t>Kgf</t>
        </is>
      </c>
      <c r="C370" s="56">
        <f>IF(C22="","", IF(B367&gt;0.001,"BARRA A TRACCIÓN (+)",IF(B367&lt;-0.001,"BARRA A COMPRESIÓN (-)","BARRA DE FUERZA NULA")))</f>
        <v/>
      </c>
      <c r="D370" s="65" t="n"/>
      <c r="E370" s="65" t="n"/>
      <c r="F370" s="63" t="n"/>
    </row>
    <row r="372" ht="18" customHeight="1" s="52">
      <c r="A372" s="46" t="inlineStr">
        <is>
          <t>AE/L</t>
        </is>
      </c>
      <c r="C372" s="46" t="inlineStr">
        <is>
          <t>cx</t>
        </is>
      </c>
      <c r="D372" s="46" t="inlineStr">
        <is>
          <t>cy</t>
        </is>
      </c>
      <c r="E372" s="46" t="inlineStr">
        <is>
          <t>cx</t>
        </is>
      </c>
      <c r="F372" s="46" t="inlineStr">
        <is>
          <t>cy</t>
        </is>
      </c>
      <c r="G372" s="46" t="inlineStr">
        <is>
          <t>D</t>
        </is>
      </c>
    </row>
    <row r="373" ht="16.05" customHeight="1" s="52">
      <c r="C373" s="46" t="inlineStr">
        <is>
          <t>-</t>
        </is>
      </c>
      <c r="D373" s="46" t="inlineStr">
        <is>
          <t>-</t>
        </is>
      </c>
      <c r="E373" s="46" t="inlineStr">
        <is>
          <t>+</t>
        </is>
      </c>
      <c r="F373" s="46" t="inlineStr">
        <is>
          <t>+</t>
        </is>
      </c>
    </row>
    <row r="374" ht="19.95" customHeight="1" s="52">
      <c r="A374" s="40">
        <f>N12</f>
        <v/>
      </c>
      <c r="C374" s="47">
        <f>IF(J12="","", -J12)</f>
        <v/>
      </c>
      <c r="D374" s="47">
        <f>IF(K12="","", -K12)</f>
        <v/>
      </c>
      <c r="E374" s="47">
        <f>IF(J12="","", J12)</f>
        <v/>
      </c>
      <c r="F374" s="47">
        <f>IF(K12="","", K12)</f>
        <v/>
      </c>
      <c r="G374" s="48">
        <f>IF(H374="","", IFERROR(VLOOKUP(H374, A$308:D$319, 4, FALSE), 0))</f>
        <v/>
      </c>
      <c r="H374" s="33">
        <f>IF(C23="","", "D" &amp; C23 &amp; "X")</f>
        <v/>
      </c>
    </row>
    <row r="375" ht="19.95" customHeight="1" s="52">
      <c r="A375" s="60" t="inlineStr">
        <is>
          <t>F7=</t>
        </is>
      </c>
      <c r="B375" s="49">
        <f>IF(OR(A374=0, C23=""), 0, (MMULT(C374:F374, G374:G377)*A374))</f>
        <v/>
      </c>
      <c r="G375" s="48">
        <f>IF(H375="","", IFERROR(VLOOKUP(H375, A$308:D$319, 4, FALSE), 0))</f>
        <v/>
      </c>
      <c r="H375" s="33">
        <f>IF(C23="","", "D" &amp; C23 &amp; "Y")</f>
        <v/>
      </c>
    </row>
    <row r="376" ht="19.95" customHeight="1" s="52">
      <c r="G376" s="48">
        <f>IF(H376="","", IFERROR(VLOOKUP(H376, A$308:D$319, 4, FALSE), 0))</f>
        <v/>
      </c>
      <c r="H376" s="33">
        <f>IF(F23="","", "D" &amp; F23 &amp; "X")</f>
        <v/>
      </c>
    </row>
    <row r="377" ht="19.95" customHeight="1" s="52">
      <c r="G377" s="48">
        <f>IF(H377="","", IFERROR(VLOOKUP(H377, A$308:D$319, 4, FALSE), 0))</f>
        <v/>
      </c>
      <c r="H377" s="33">
        <f>IF(F23="","", "D" &amp; F23 &amp; "Y")</f>
        <v/>
      </c>
    </row>
    <row r="378" ht="19.95" customHeight="1" s="52">
      <c r="B378" s="60" t="inlineStr">
        <is>
          <t>Kgf</t>
        </is>
      </c>
      <c r="C378" s="56">
        <f>IF(C23="","", IF(B375&gt;0.001,"BARRA A TRACCIÓN (+)",IF(B375&lt;-0.001,"BARRA A COMPRESIÓN (-)","BARRA DE FUERZA NULA")))</f>
        <v/>
      </c>
      <c r="D378" s="65" t="n"/>
      <c r="E378" s="65" t="n"/>
      <c r="F378" s="63" t="n"/>
    </row>
    <row r="380" ht="18" customHeight="1" s="52">
      <c r="A380" s="46" t="inlineStr">
        <is>
          <t>AE/L</t>
        </is>
      </c>
      <c r="C380" s="46" t="inlineStr">
        <is>
          <t>cx</t>
        </is>
      </c>
      <c r="D380" s="46" t="inlineStr">
        <is>
          <t>cy</t>
        </is>
      </c>
      <c r="E380" s="46" t="inlineStr">
        <is>
          <t>cx</t>
        </is>
      </c>
      <c r="F380" s="46" t="inlineStr">
        <is>
          <t>cy</t>
        </is>
      </c>
      <c r="G380" s="46" t="inlineStr">
        <is>
          <t>D</t>
        </is>
      </c>
    </row>
    <row r="381" ht="16.05" customHeight="1" s="52">
      <c r="C381" s="46" t="inlineStr">
        <is>
          <t>-</t>
        </is>
      </c>
      <c r="D381" s="46" t="inlineStr">
        <is>
          <t>-</t>
        </is>
      </c>
      <c r="E381" s="46" t="inlineStr">
        <is>
          <t>+</t>
        </is>
      </c>
      <c r="F381" s="46" t="inlineStr">
        <is>
          <t>+</t>
        </is>
      </c>
    </row>
    <row r="382" ht="19.95" customHeight="1" s="52">
      <c r="A382" s="40">
        <f>N13</f>
        <v/>
      </c>
      <c r="C382" s="47">
        <f>IF(J13="","", -J13)</f>
        <v/>
      </c>
      <c r="D382" s="47">
        <f>IF(K13="","", -K13)</f>
        <v/>
      </c>
      <c r="E382" s="47">
        <f>IF(J13="","", J13)</f>
        <v/>
      </c>
      <c r="F382" s="47">
        <f>IF(K13="","", K13)</f>
        <v/>
      </c>
      <c r="G382" s="48">
        <f>IF(H382="","", IFERROR(VLOOKUP(H382, A$308:D$319, 4, FALSE), 0))</f>
        <v/>
      </c>
      <c r="H382" s="33">
        <f>IF(C24="","", "D" &amp; C24 &amp; "X")</f>
        <v/>
      </c>
    </row>
    <row r="383" ht="19.95" customHeight="1" s="52">
      <c r="A383" s="60" t="inlineStr">
        <is>
          <t>F8=</t>
        </is>
      </c>
      <c r="B383" s="49">
        <f>IF(OR(A382=0, C24=""), 0, (MMULT(C382:F382, G382:G385)*A382))</f>
        <v/>
      </c>
      <c r="G383" s="48">
        <f>IF(H383="","", IFERROR(VLOOKUP(H383, A$308:D$319, 4, FALSE), 0))</f>
        <v/>
      </c>
      <c r="H383" s="33">
        <f>IF(C24="","", "D" &amp; C24 &amp; "Y")</f>
        <v/>
      </c>
    </row>
    <row r="384" ht="19.95" customHeight="1" s="52">
      <c r="G384" s="48">
        <f>IF(H384="","", IFERROR(VLOOKUP(H384, A$308:D$319, 4, FALSE), 0))</f>
        <v/>
      </c>
      <c r="H384" s="33">
        <f>IF(F24="","", "D" &amp; F24 &amp; "X")</f>
        <v/>
      </c>
    </row>
    <row r="385" ht="19.95" customHeight="1" s="52">
      <c r="G385" s="48">
        <f>IF(H385="","", IFERROR(VLOOKUP(H385, A$308:D$319, 4, FALSE), 0))</f>
        <v/>
      </c>
      <c r="H385" s="33">
        <f>IF(F24="","", "D" &amp; F24 &amp; "Y")</f>
        <v/>
      </c>
    </row>
    <row r="386" ht="19.95" customHeight="1" s="52">
      <c r="B386" s="60" t="inlineStr">
        <is>
          <t>Kgf</t>
        </is>
      </c>
      <c r="C386" s="56">
        <f>IF(C24="","", IF(B383&gt;0.001,"BARRA A TRACCIÓN (+)",IF(B383&lt;-0.001,"BARRA A COMPRESIÓN (-)","BARRA DE FUERZA NULA")))</f>
        <v/>
      </c>
      <c r="D386" s="65" t="n"/>
      <c r="E386" s="65" t="n"/>
      <c r="F386" s="63" t="n"/>
    </row>
    <row r="389" ht="22.05" customHeight="1" s="52">
      <c r="B389" s="57" t="inlineStr">
        <is>
          <t>RESUMEN GENERAL DE FUERZAS EN LAS BARRAS (HASTA 8 BARRAS)</t>
        </is>
      </c>
    </row>
    <row r="390" ht="24" customHeight="1" s="52">
      <c r="B390" s="54" t="inlineStr">
        <is>
          <t>BARRA
#</t>
        </is>
      </c>
      <c r="C390" s="54" t="inlineStr">
        <is>
          <t>NUDO
INI</t>
        </is>
      </c>
      <c r="D390" s="54" t="inlineStr">
        <is>
          <t>NUDO
FIN</t>
        </is>
      </c>
      <c r="E390" s="54" t="inlineStr">
        <is>
          <t>LONGITUD L
(cm)</t>
        </is>
      </c>
      <c r="F390" s="54" t="inlineStr">
        <is>
          <t>ÁREA A
(cm²)</t>
        </is>
      </c>
      <c r="G390" s="54" t="inlineStr">
        <is>
          <t>FUERZA AXIAL N
(Kgf)</t>
        </is>
      </c>
      <c r="H390" s="54" t="inlineStr">
        <is>
          <t>ESTADO ESTRUCTURAL
(TRACCIÓN / COMPRESIÓN)</t>
        </is>
      </c>
    </row>
    <row r="391" ht="19.95" customHeight="1" s="52">
      <c r="B391" s="3">
        <f>IF(C17="","", 1)</f>
        <v/>
      </c>
      <c r="C391" s="9">
        <f>IF(C17="","", C17)</f>
        <v/>
      </c>
      <c r="D391" s="9">
        <f>IF(F17="","", F17)</f>
        <v/>
      </c>
      <c r="E391" s="21">
        <f>IF(I6="","", I6)</f>
        <v/>
      </c>
      <c r="F391" s="21">
        <f>IF(C17="","", L6)</f>
        <v/>
      </c>
      <c r="G391" s="49">
        <f>IF(C17="","", B327)</f>
        <v/>
      </c>
      <c r="H391" s="56">
        <f>IF(C17="","", C330)</f>
        <v/>
      </c>
    </row>
    <row r="392" ht="19.95" customHeight="1" s="52">
      <c r="B392" s="56">
        <f>IF(C18="","", 2)</f>
        <v/>
      </c>
      <c r="C392" s="9">
        <f>IF(C18="","", C18)</f>
        <v/>
      </c>
      <c r="D392" s="9">
        <f>IF(F18="","", F18)</f>
        <v/>
      </c>
      <c r="E392" s="21">
        <f>IF(I7="","", I7)</f>
        <v/>
      </c>
      <c r="F392" s="21">
        <f>IF(C18="","", L7)</f>
        <v/>
      </c>
      <c r="G392" s="49">
        <f>IF(C18="","", B335)</f>
        <v/>
      </c>
      <c r="H392" s="56">
        <f>IF(C18="","", C338)</f>
        <v/>
      </c>
    </row>
    <row r="393" ht="19.95" customHeight="1" s="52">
      <c r="B393" s="12">
        <f>IF(C19="","", 3)</f>
        <v/>
      </c>
      <c r="C393" s="9">
        <f>IF(C19="","", C19)</f>
        <v/>
      </c>
      <c r="D393" s="9">
        <f>IF(F19="","", F19)</f>
        <v/>
      </c>
      <c r="E393" s="21">
        <f>IF(I8="","", I8)</f>
        <v/>
      </c>
      <c r="F393" s="21">
        <f>IF(C19="","", L8)</f>
        <v/>
      </c>
      <c r="G393" s="49">
        <f>IF(C19="","", B343)</f>
        <v/>
      </c>
      <c r="H393" s="56">
        <f>IF(C19="","", C346)</f>
        <v/>
      </c>
    </row>
    <row r="394" ht="19.95" customHeight="1" s="52">
      <c r="B394" s="13">
        <f>IF(C20="","", 4)</f>
        <v/>
      </c>
      <c r="C394" s="9">
        <f>IF(C20="","", C20)</f>
        <v/>
      </c>
      <c r="D394" s="9">
        <f>IF(F20="","", F20)</f>
        <v/>
      </c>
      <c r="E394" s="21">
        <f>IF(I9="","", I9)</f>
        <v/>
      </c>
      <c r="F394" s="21">
        <f>IF(C20="","", L9)</f>
        <v/>
      </c>
      <c r="G394" s="49">
        <f>IF(C20="","", B351)</f>
        <v/>
      </c>
      <c r="H394" s="56">
        <f>IF(C20="","", C354)</f>
        <v/>
      </c>
    </row>
    <row r="395" ht="19.95" customHeight="1" s="52">
      <c r="B395" s="14">
        <f>IF(C21="","", 5)</f>
        <v/>
      </c>
      <c r="C395" s="9">
        <f>IF(C21="","", C21)</f>
        <v/>
      </c>
      <c r="D395" s="9">
        <f>IF(F21="","", F21)</f>
        <v/>
      </c>
      <c r="E395" s="21">
        <f>IF(I10="","", I10)</f>
        <v/>
      </c>
      <c r="F395" s="21">
        <f>IF(C21="","", L10)</f>
        <v/>
      </c>
      <c r="G395" s="49">
        <f>IF(C21="","", B359)</f>
        <v/>
      </c>
      <c r="H395" s="56">
        <f>IF(C21="","", C362)</f>
        <v/>
      </c>
    </row>
    <row r="396" ht="19.95" customHeight="1" s="52">
      <c r="B396" s="15">
        <f>IF(C22="","", 6)</f>
        <v/>
      </c>
      <c r="C396" s="9">
        <f>IF(C22="","", C22)</f>
        <v/>
      </c>
      <c r="D396" s="9">
        <f>IF(F22="","", F22)</f>
        <v/>
      </c>
      <c r="E396" s="21">
        <f>IF(I11="","", I11)</f>
        <v/>
      </c>
      <c r="F396" s="21">
        <f>IF(C22="","", L11)</f>
        <v/>
      </c>
      <c r="G396" s="49">
        <f>IF(C22="","", B367)</f>
        <v/>
      </c>
      <c r="H396" s="56">
        <f>IF(C22="","", C370)</f>
        <v/>
      </c>
    </row>
    <row r="397" ht="19.95" customHeight="1" s="52">
      <c r="B397" s="16">
        <f>IF(C23="","", 7)</f>
        <v/>
      </c>
      <c r="C397" s="9">
        <f>IF(C23="","", C23)</f>
        <v/>
      </c>
      <c r="D397" s="9">
        <f>IF(F23="","", F23)</f>
        <v/>
      </c>
      <c r="E397" s="21">
        <f>IF(I12="","", I12)</f>
        <v/>
      </c>
      <c r="F397" s="21">
        <f>IF(C23="","", L12)</f>
        <v/>
      </c>
      <c r="G397" s="49">
        <f>IF(C23="","", B375)</f>
        <v/>
      </c>
      <c r="H397" s="56">
        <f>IF(C23="","", C378)</f>
        <v/>
      </c>
    </row>
    <row r="398" ht="19.95" customHeight="1" s="52">
      <c r="B398" s="17">
        <f>IF(C24="","", 8)</f>
        <v/>
      </c>
      <c r="C398" s="9">
        <f>IF(C24="","", C24)</f>
        <v/>
      </c>
      <c r="D398" s="9">
        <f>IF(F24="","", F24)</f>
        <v/>
      </c>
      <c r="E398" s="21">
        <f>IF(I13="","", I13)</f>
        <v/>
      </c>
      <c r="F398" s="21">
        <f>IF(C24="","", L13)</f>
        <v/>
      </c>
      <c r="G398" s="49">
        <f>IF(C24="","", B383)</f>
        <v/>
      </c>
      <c r="H398" s="56">
        <f>IF(C24="","", C386)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69"/>
  <mergeCells count="143">
    <mergeCell ref="Z243:AE243"/>
    <mergeCell ref="Z283:AE283"/>
    <mergeCell ref="P4:W4"/>
    <mergeCell ref="Z292:AE292"/>
    <mergeCell ref="Z235:AE235"/>
    <mergeCell ref="Z298:AE298"/>
    <mergeCell ref="Z332:AE332"/>
    <mergeCell ref="Z347:AE347"/>
    <mergeCell ref="Z285:AE285"/>
    <mergeCell ref="Z341:AE341"/>
    <mergeCell ref="Z322:AE322"/>
    <mergeCell ref="Z269:AE269"/>
    <mergeCell ref="Z278:AE278"/>
    <mergeCell ref="J4:J5"/>
    <mergeCell ref="L4:L5"/>
    <mergeCell ref="C277:D277"/>
    <mergeCell ref="Z259:AE259"/>
    <mergeCell ref="Z324:AE324"/>
    <mergeCell ref="Z293:AE293"/>
    <mergeCell ref="C378:F378"/>
    <mergeCell ref="Z333:AE333"/>
    <mergeCell ref="Z229:AE229"/>
    <mergeCell ref="Z261:AE261"/>
    <mergeCell ref="Z270:AE270"/>
    <mergeCell ref="Z335:AE335"/>
    <mergeCell ref="Z245:AE245"/>
    <mergeCell ref="Z232:AE232"/>
    <mergeCell ref="Z334:AE334"/>
    <mergeCell ref="Z300:AE300"/>
    <mergeCell ref="Z256:AE256"/>
    <mergeCell ref="Z296:AE296"/>
    <mergeCell ref="Z271:AE271"/>
    <mergeCell ref="Z246:AE246"/>
    <mergeCell ref="Z218:AE218"/>
    <mergeCell ref="Z233:AE233"/>
    <mergeCell ref="Z289:AE289"/>
    <mergeCell ref="Z345:AE345"/>
    <mergeCell ref="Z227:AE227"/>
    <mergeCell ref="C370:F370"/>
    <mergeCell ref="Z273:AE273"/>
    <mergeCell ref="Z282:AE282"/>
    <mergeCell ref="C266:J266"/>
    <mergeCell ref="B15:H15"/>
    <mergeCell ref="Z263:AE263"/>
    <mergeCell ref="Z323:AE323"/>
    <mergeCell ref="Z272:AE272"/>
    <mergeCell ref="Z337:AE337"/>
    <mergeCell ref="Z219:AE219"/>
    <mergeCell ref="A1:N1"/>
    <mergeCell ref="C4:D4"/>
    <mergeCell ref="Z210:AE210"/>
    <mergeCell ref="E4:F4"/>
    <mergeCell ref="Z265:AE265"/>
    <mergeCell ref="Z234:AE234"/>
    <mergeCell ref="Z274:AE274"/>
    <mergeCell ref="C354:F354"/>
    <mergeCell ref="Z236:AE236"/>
    <mergeCell ref="Z226:AE226"/>
    <mergeCell ref="Z220:AE220"/>
    <mergeCell ref="Z260:AE260"/>
    <mergeCell ref="Z217:AE217"/>
    <mergeCell ref="Z276:AE276"/>
    <mergeCell ref="Z250:AE250"/>
    <mergeCell ref="C330:F330"/>
    <mergeCell ref="Z228:AE228"/>
    <mergeCell ref="Z284:AE284"/>
    <mergeCell ref="Z222:AE222"/>
    <mergeCell ref="Z212:AE212"/>
    <mergeCell ref="Z325:AE325"/>
    <mergeCell ref="H4:H5"/>
    <mergeCell ref="Z221:AE221"/>
    <mergeCell ref="Z286:AE286"/>
    <mergeCell ref="Z214:AE214"/>
    <mergeCell ref="Z342:AE342"/>
    <mergeCell ref="Z327:AE327"/>
    <mergeCell ref="Z223:AE223"/>
    <mergeCell ref="Z336:AE336"/>
    <mergeCell ref="Z264:AE264"/>
    <mergeCell ref="Z326:AE326"/>
    <mergeCell ref="Z301:AE301"/>
    <mergeCell ref="Z239:AE239"/>
    <mergeCell ref="Z248:AE248"/>
    <mergeCell ref="Z328:AE328"/>
    <mergeCell ref="Z262:AE262"/>
    <mergeCell ref="Z297:AE297"/>
    <mergeCell ref="Z247:AE247"/>
    <mergeCell ref="Z303:AE303"/>
    <mergeCell ref="Z290:AE290"/>
    <mergeCell ref="Z299:AE299"/>
    <mergeCell ref="Z249:AE249"/>
    <mergeCell ref="Z280:AE280"/>
    <mergeCell ref="C386:F386"/>
    <mergeCell ref="A2:N2"/>
    <mergeCell ref="K4:K5"/>
    <mergeCell ref="Z211:AE211"/>
    <mergeCell ref="Z225:AE225"/>
    <mergeCell ref="Z338:AE338"/>
    <mergeCell ref="Z291:AE291"/>
    <mergeCell ref="Z266:AE266"/>
    <mergeCell ref="Z275:AE275"/>
    <mergeCell ref="B4:B5"/>
    <mergeCell ref="Z340:AE340"/>
    <mergeCell ref="N4:N5"/>
    <mergeCell ref="Z330:AE330"/>
    <mergeCell ref="Z268:AE268"/>
    <mergeCell ref="Z277:AE277"/>
    <mergeCell ref="Z252:AE252"/>
    <mergeCell ref="Z258:AE258"/>
    <mergeCell ref="Z267:AE267"/>
    <mergeCell ref="C346:F346"/>
    <mergeCell ref="Z302:AE302"/>
    <mergeCell ref="Z251:AE251"/>
    <mergeCell ref="C362:F362"/>
    <mergeCell ref="Z238:AE238"/>
    <mergeCell ref="Z294:AE294"/>
    <mergeCell ref="Z244:AE244"/>
    <mergeCell ref="Z213:AE213"/>
    <mergeCell ref="Z231:AE231"/>
    <mergeCell ref="Z344:AE344"/>
    <mergeCell ref="C338:F338"/>
    <mergeCell ref="Z240:AE240"/>
    <mergeCell ref="B389:H389"/>
    <mergeCell ref="Z215:AE215"/>
    <mergeCell ref="Z230:AE230"/>
    <mergeCell ref="Z224:AE224"/>
    <mergeCell ref="Z295:AE295"/>
    <mergeCell ref="C238:D238"/>
    <mergeCell ref="Z279:AE279"/>
    <mergeCell ref="Z339:AE339"/>
    <mergeCell ref="G4:G5"/>
    <mergeCell ref="I4:I5"/>
    <mergeCell ref="Z216:AE216"/>
    <mergeCell ref="Z329:AE329"/>
    <mergeCell ref="Z343:AE343"/>
    <mergeCell ref="Z281:AE281"/>
    <mergeCell ref="Z257:AE257"/>
    <mergeCell ref="M4:M5"/>
    <mergeCell ref="Z331:AE331"/>
    <mergeCell ref="Z241:AE241"/>
    <mergeCell ref="Z255:AE255"/>
    <mergeCell ref="Z346:AE346"/>
    <mergeCell ref="Z242:AE242"/>
    <mergeCell ref="C267:J267"/>
  </mergeCells>
  <conditionalFormatting sqref="B34:M45">
    <cfRule type="cellIs" priority="1" operator="notEqual" dxfId="7">
      <formula>0</formula>
    </cfRule>
  </conditionalFormatting>
  <conditionalFormatting sqref="B55:M66">
    <cfRule type="cellIs" priority="2" operator="notEqual" dxfId="6">
      <formula>0</formula>
    </cfRule>
  </conditionalFormatting>
  <conditionalFormatting sqref="B76:M87">
    <cfRule type="cellIs" priority="3" operator="notEqual" dxfId="5">
      <formula>0</formula>
    </cfRule>
  </conditionalFormatting>
  <conditionalFormatting sqref="B97:M108">
    <cfRule type="cellIs" priority="4" operator="notEqual" dxfId="4">
      <formula>0</formula>
    </cfRule>
  </conditionalFormatting>
  <conditionalFormatting sqref="B118:M129">
    <cfRule type="cellIs" priority="5" operator="notEqual" dxfId="3">
      <formula>0</formula>
    </cfRule>
  </conditionalFormatting>
  <conditionalFormatting sqref="B139:M150">
    <cfRule type="cellIs" priority="6" operator="notEqual" dxfId="2">
      <formula>0</formula>
    </cfRule>
  </conditionalFormatting>
  <conditionalFormatting sqref="B160:M171">
    <cfRule type="cellIs" priority="7" operator="notEqual" dxfId="1">
      <formula>0</formula>
    </cfRule>
  </conditionalFormatting>
  <conditionalFormatting sqref="B181:M192">
    <cfRule type="cellIs" priority="8" operator="notEqual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2026-10-04T06:29:28Z</dcterms:created>
  <dcterms:modified xmlns:dcterms="http://purl.org/dc/terms/" xmlns:xsi="http://www.w3.org/2001/XMLSchema-instance" xsi:type="dcterms:W3CDTF">2026-10-21T04:08:32Z</dcterms:modified>
  <cp:lastModifiedBy>ULIANOV SABATH CUBA VALENCIA</cp:lastModifiedBy>
</cp:coreProperties>
</file>