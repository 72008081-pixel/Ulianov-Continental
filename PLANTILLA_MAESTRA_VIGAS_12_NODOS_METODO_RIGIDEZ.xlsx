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 CUBA V\01. Análisis Estructural II\AUTOMATIZACION ARMADURAS Y VIGAS\"/>
    </mc:Choice>
  </mc:AlternateContent>
  <xr:revisionPtr revIDLastSave="0" documentId="8_{A1893987-985F-49A9-86BD-6D4BD3841F5A}" xr6:coauthVersionLast="47" xr6:coauthVersionMax="47" xr10:uidLastSave="{00000000-0000-0000-0000-000000000000}"/>
  <bookViews>
    <workbookView xWindow="384" yWindow="384" windowWidth="17280" windowHeight="8880" firstSheet="4" activeTab="4" xr2:uid="{2AA48A17-1B48-48D3-B1DA-122D1212AA74}"/>
  </bookViews>
  <sheets>
    <sheet name="PLANTILLA ULIANOV" sheetId="2" r:id="rId1"/>
    <sheet name="GRÁFICAS" sheetId="3" r:id="rId2"/>
    <sheet name="1.1 PUNTUALES (10 TRAMOS)" sheetId="4" r:id="rId3"/>
    <sheet name="2.1 DISTRIBUIDAS (10 TRAMOS)" sheetId="5" r:id="rId4"/>
    <sheet name="3.1 MIXTAS (10 TRAMOS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573" i="6" l="1"/>
  <c r="AA573" i="6"/>
  <c r="Z573" i="6"/>
  <c r="X573" i="6"/>
  <c r="U573" i="6"/>
  <c r="T573" i="6"/>
  <c r="R573" i="6"/>
  <c r="Q573" i="6"/>
  <c r="K573" i="6"/>
  <c r="H573" i="6"/>
  <c r="D573" i="6"/>
  <c r="A573" i="6"/>
  <c r="AC572" i="6"/>
  <c r="AB572" i="6"/>
  <c r="U572" i="6"/>
  <c r="R572" i="6"/>
  <c r="L572" i="6"/>
  <c r="G572" i="6"/>
  <c r="E572" i="6"/>
  <c r="A572" i="6"/>
  <c r="AC571" i="6"/>
  <c r="Z571" i="6"/>
  <c r="Y571" i="6"/>
  <c r="S571" i="6"/>
  <c r="M571" i="6"/>
  <c r="L571" i="6"/>
  <c r="I571" i="6"/>
  <c r="D571" i="6"/>
  <c r="C571" i="6"/>
  <c r="A571" i="6"/>
  <c r="AQ570" i="6"/>
  <c r="W570" i="6"/>
  <c r="P570" i="6"/>
  <c r="N570" i="6"/>
  <c r="J570" i="6"/>
  <c r="H570" i="6"/>
  <c r="G570" i="6"/>
  <c r="D570" i="6"/>
  <c r="A570" i="6"/>
  <c r="X569" i="6"/>
  <c r="S569" i="6"/>
  <c r="O569" i="6"/>
  <c r="L569" i="6"/>
  <c r="J569" i="6"/>
  <c r="H569" i="6"/>
  <c r="C569" i="6"/>
  <c r="A569" i="6"/>
  <c r="AQ568" i="6"/>
  <c r="S568" i="6"/>
  <c r="P568" i="6"/>
  <c r="L568" i="6"/>
  <c r="I568" i="6"/>
  <c r="G568" i="6"/>
  <c r="D568" i="6"/>
  <c r="C568" i="6"/>
  <c r="A568" i="6"/>
  <c r="AQ567" i="6"/>
  <c r="AG567" i="6"/>
  <c r="W567" i="6"/>
  <c r="U567" i="6"/>
  <c r="T567" i="6"/>
  <c r="P567" i="6"/>
  <c r="M567" i="6"/>
  <c r="H567" i="6"/>
  <c r="D567" i="6"/>
  <c r="A567" i="6"/>
  <c r="AH566" i="6"/>
  <c r="U566" i="6"/>
  <c r="Q566" i="6"/>
  <c r="I566" i="6"/>
  <c r="H566" i="6"/>
  <c r="G566" i="6"/>
  <c r="E566" i="6"/>
  <c r="A566" i="6"/>
  <c r="V565" i="6"/>
  <c r="N565" i="6"/>
  <c r="M565" i="6"/>
  <c r="F565" i="6"/>
  <c r="A565" i="6"/>
  <c r="AF564" i="6"/>
  <c r="M564" i="6"/>
  <c r="G564" i="6"/>
  <c r="C564" i="6"/>
  <c r="A564" i="6"/>
  <c r="O563" i="6"/>
  <c r="N563" i="6"/>
  <c r="J563" i="6"/>
  <c r="H563" i="6"/>
  <c r="A563" i="6"/>
  <c r="AE562" i="6"/>
  <c r="Q562" i="6"/>
  <c r="O562" i="6"/>
  <c r="A562" i="6"/>
  <c r="AE561" i="6"/>
  <c r="AD561" i="6"/>
  <c r="AB561" i="6"/>
  <c r="AA561" i="6"/>
  <c r="N561" i="6"/>
  <c r="J561" i="6"/>
  <c r="G561" i="6"/>
  <c r="A561" i="6"/>
  <c r="AQ560" i="6"/>
  <c r="AG560" i="6"/>
  <c r="AD560" i="6"/>
  <c r="AA560" i="6"/>
  <c r="N560" i="6"/>
  <c r="K560" i="6"/>
  <c r="G560" i="6"/>
  <c r="A560" i="6"/>
  <c r="AQ559" i="6"/>
  <c r="AF559" i="6"/>
  <c r="AE559" i="6"/>
  <c r="AB559" i="6"/>
  <c r="L559" i="6"/>
  <c r="H559" i="6"/>
  <c r="E559" i="6"/>
  <c r="A559" i="6"/>
  <c r="AQ558" i="6"/>
  <c r="AC558" i="6"/>
  <c r="I558" i="6"/>
  <c r="A558" i="6"/>
  <c r="N557" i="6"/>
  <c r="D557" i="6"/>
  <c r="A557" i="6"/>
  <c r="AE556" i="6"/>
  <c r="M556" i="6"/>
  <c r="J556" i="6"/>
  <c r="F556" i="6"/>
  <c r="E556" i="6"/>
  <c r="A556" i="6"/>
  <c r="AF555" i="6"/>
  <c r="E555" i="6"/>
  <c r="A555" i="6"/>
  <c r="AF554" i="6"/>
  <c r="AA554" i="6"/>
  <c r="V554" i="6"/>
  <c r="D554" i="6"/>
  <c r="A554" i="6"/>
  <c r="AI553" i="6"/>
  <c r="AB553" i="6"/>
  <c r="J553" i="6"/>
  <c r="G553" i="6"/>
  <c r="A553" i="6"/>
  <c r="AC552" i="6"/>
  <c r="AA552" i="6"/>
  <c r="A552" i="6"/>
  <c r="AQ551" i="6"/>
  <c r="AI551" i="6"/>
  <c r="AC551" i="6"/>
  <c r="Y551" i="6"/>
  <c r="V551" i="6"/>
  <c r="G551" i="6"/>
  <c r="A551" i="6"/>
  <c r="AQ550" i="6"/>
  <c r="AE550" i="6"/>
  <c r="Z550" i="6"/>
  <c r="W550" i="6"/>
  <c r="E550" i="6"/>
  <c r="A550" i="6"/>
  <c r="X549" i="6"/>
  <c r="W549" i="6"/>
  <c r="V549" i="6"/>
  <c r="A549" i="6"/>
  <c r="AB548" i="6"/>
  <c r="C548" i="6"/>
  <c r="A548" i="6"/>
  <c r="Y547" i="6"/>
  <c r="Q547" i="6"/>
  <c r="A547" i="6"/>
  <c r="AA546" i="6"/>
  <c r="A546" i="6"/>
  <c r="S545" i="6"/>
  <c r="A545" i="6"/>
  <c r="AQ544" i="6"/>
  <c r="AB544" i="6"/>
  <c r="A544" i="6"/>
  <c r="AF543" i="6"/>
  <c r="Q543" i="6"/>
  <c r="M543" i="6"/>
  <c r="A543" i="6"/>
  <c r="AQ542" i="6"/>
  <c r="N542" i="6"/>
  <c r="A542" i="6"/>
  <c r="AQ541" i="6"/>
  <c r="AB541" i="6"/>
  <c r="X541" i="6"/>
  <c r="R541" i="6"/>
  <c r="O541" i="6"/>
  <c r="A541" i="6"/>
  <c r="K536" i="6"/>
  <c r="AQ573" i="6" s="1"/>
  <c r="K535" i="6"/>
  <c r="AQ572" i="6" s="1"/>
  <c r="K534" i="6"/>
  <c r="AQ571" i="6" s="1"/>
  <c r="K533" i="6"/>
  <c r="K532" i="6"/>
  <c r="AQ569" i="6" s="1"/>
  <c r="K531" i="6"/>
  <c r="K530" i="6"/>
  <c r="K529" i="6"/>
  <c r="AQ566" i="6" s="1"/>
  <c r="K528" i="6"/>
  <c r="AQ565" i="6" s="1"/>
  <c r="K527" i="6"/>
  <c r="AQ564" i="6" s="1"/>
  <c r="K526" i="6"/>
  <c r="AQ563" i="6" s="1"/>
  <c r="K525" i="6"/>
  <c r="AQ562" i="6" s="1"/>
  <c r="K524" i="6"/>
  <c r="AQ561" i="6" s="1"/>
  <c r="K523" i="6"/>
  <c r="K522" i="6"/>
  <c r="K521" i="6"/>
  <c r="K520" i="6"/>
  <c r="AQ557" i="6" s="1"/>
  <c r="K519" i="6"/>
  <c r="AQ556" i="6" s="1"/>
  <c r="K518" i="6"/>
  <c r="AQ555" i="6" s="1"/>
  <c r="K517" i="6"/>
  <c r="AQ554" i="6" s="1"/>
  <c r="K516" i="6"/>
  <c r="AQ553" i="6" s="1"/>
  <c r="K515" i="6"/>
  <c r="AQ552" i="6" s="1"/>
  <c r="K514" i="6"/>
  <c r="K513" i="6"/>
  <c r="K512" i="6"/>
  <c r="AQ549" i="6" s="1"/>
  <c r="K511" i="6"/>
  <c r="AQ548" i="6" s="1"/>
  <c r="K510" i="6"/>
  <c r="AQ547" i="6" s="1"/>
  <c r="K509" i="6"/>
  <c r="AQ546" i="6" s="1"/>
  <c r="K508" i="6"/>
  <c r="AQ545" i="6" s="1"/>
  <c r="K507" i="6"/>
  <c r="K506" i="6"/>
  <c r="AQ543" i="6" s="1"/>
  <c r="AB499" i="6"/>
  <c r="AA499" i="6"/>
  <c r="AB573" i="6" s="1"/>
  <c r="Z499" i="6"/>
  <c r="Y499" i="6"/>
  <c r="X499" i="6"/>
  <c r="Y573" i="6" s="1"/>
  <c r="W499" i="6"/>
  <c r="V499" i="6"/>
  <c r="W573" i="6" s="1"/>
  <c r="U499" i="6"/>
  <c r="V573" i="6" s="1"/>
  <c r="T499" i="6"/>
  <c r="S499" i="6"/>
  <c r="R499" i="6"/>
  <c r="S573" i="6" s="1"/>
  <c r="Q499" i="6"/>
  <c r="P499" i="6"/>
  <c r="O499" i="6"/>
  <c r="P573" i="6" s="1"/>
  <c r="N499" i="6"/>
  <c r="O573" i="6" s="1"/>
  <c r="M499" i="6"/>
  <c r="N573" i="6" s="1"/>
  <c r="L499" i="6"/>
  <c r="M573" i="6" s="1"/>
  <c r="K499" i="6"/>
  <c r="L573" i="6" s="1"/>
  <c r="J499" i="6"/>
  <c r="I499" i="6"/>
  <c r="J573" i="6" s="1"/>
  <c r="H499" i="6"/>
  <c r="I573" i="6" s="1"/>
  <c r="G499" i="6"/>
  <c r="F499" i="6"/>
  <c r="G573" i="6" s="1"/>
  <c r="E499" i="6"/>
  <c r="F573" i="6" s="1"/>
  <c r="D499" i="6"/>
  <c r="E573" i="6" s="1"/>
  <c r="C499" i="6"/>
  <c r="B499" i="6"/>
  <c r="C573" i="6" s="1"/>
  <c r="AB498" i="6"/>
  <c r="AA498" i="6"/>
  <c r="Z498" i="6"/>
  <c r="AA572" i="6" s="1"/>
  <c r="Y498" i="6"/>
  <c r="Z572" i="6" s="1"/>
  <c r="X498" i="6"/>
  <c r="Y572" i="6" s="1"/>
  <c r="W498" i="6"/>
  <c r="X572" i="6" s="1"/>
  <c r="V498" i="6"/>
  <c r="W572" i="6" s="1"/>
  <c r="U498" i="6"/>
  <c r="V572" i="6" s="1"/>
  <c r="T498" i="6"/>
  <c r="S498" i="6"/>
  <c r="T572" i="6" s="1"/>
  <c r="R498" i="6"/>
  <c r="S572" i="6" s="1"/>
  <c r="Q498" i="6"/>
  <c r="P498" i="6"/>
  <c r="Q572" i="6" s="1"/>
  <c r="O498" i="6"/>
  <c r="P572" i="6" s="1"/>
  <c r="N498" i="6"/>
  <c r="O572" i="6" s="1"/>
  <c r="M498" i="6"/>
  <c r="N572" i="6" s="1"/>
  <c r="L498" i="6"/>
  <c r="M572" i="6" s="1"/>
  <c r="K498" i="6"/>
  <c r="J498" i="6"/>
  <c r="K572" i="6" s="1"/>
  <c r="I498" i="6"/>
  <c r="J572" i="6" s="1"/>
  <c r="H498" i="6"/>
  <c r="I572" i="6" s="1"/>
  <c r="G498" i="6"/>
  <c r="H572" i="6" s="1"/>
  <c r="F498" i="6"/>
  <c r="E498" i="6"/>
  <c r="F572" i="6" s="1"/>
  <c r="D498" i="6"/>
  <c r="C498" i="6"/>
  <c r="D572" i="6" s="1"/>
  <c r="B498" i="6"/>
  <c r="C572" i="6" s="1"/>
  <c r="AB497" i="6"/>
  <c r="AA497" i="6"/>
  <c r="AB571" i="6" s="1"/>
  <c r="Z497" i="6"/>
  <c r="AA571" i="6" s="1"/>
  <c r="Y497" i="6"/>
  <c r="X497" i="6"/>
  <c r="W497" i="6"/>
  <c r="X571" i="6" s="1"/>
  <c r="V497" i="6"/>
  <c r="W571" i="6" s="1"/>
  <c r="U497" i="6"/>
  <c r="V571" i="6" s="1"/>
  <c r="T497" i="6"/>
  <c r="U571" i="6" s="1"/>
  <c r="S497" i="6"/>
  <c r="T571" i="6" s="1"/>
  <c r="R497" i="6"/>
  <c r="Q497" i="6"/>
  <c r="R571" i="6" s="1"/>
  <c r="P497" i="6"/>
  <c r="Q571" i="6" s="1"/>
  <c r="O497" i="6"/>
  <c r="P571" i="6" s="1"/>
  <c r="N497" i="6"/>
  <c r="O571" i="6" s="1"/>
  <c r="M497" i="6"/>
  <c r="N571" i="6" s="1"/>
  <c r="L497" i="6"/>
  <c r="K497" i="6"/>
  <c r="J497" i="6"/>
  <c r="K571" i="6" s="1"/>
  <c r="I497" i="6"/>
  <c r="J571" i="6" s="1"/>
  <c r="H497" i="6"/>
  <c r="G497" i="6"/>
  <c r="H571" i="6" s="1"/>
  <c r="F497" i="6"/>
  <c r="G571" i="6" s="1"/>
  <c r="E497" i="6"/>
  <c r="F571" i="6" s="1"/>
  <c r="D497" i="6"/>
  <c r="E571" i="6" s="1"/>
  <c r="C497" i="6"/>
  <c r="B497" i="6"/>
  <c r="Y496" i="6"/>
  <c r="Z570" i="6" s="1"/>
  <c r="X496" i="6"/>
  <c r="Y570" i="6" s="1"/>
  <c r="W496" i="6"/>
  <c r="X570" i="6" s="1"/>
  <c r="V496" i="6"/>
  <c r="U496" i="6"/>
  <c r="V570" i="6" s="1"/>
  <c r="T496" i="6"/>
  <c r="U570" i="6" s="1"/>
  <c r="S496" i="6"/>
  <c r="T570" i="6" s="1"/>
  <c r="R496" i="6"/>
  <c r="S570" i="6" s="1"/>
  <c r="Q496" i="6"/>
  <c r="R570" i="6" s="1"/>
  <c r="P496" i="6"/>
  <c r="Q570" i="6" s="1"/>
  <c r="O496" i="6"/>
  <c r="N496" i="6"/>
  <c r="O570" i="6" s="1"/>
  <c r="M496" i="6"/>
  <c r="L496" i="6"/>
  <c r="M570" i="6" s="1"/>
  <c r="K496" i="6"/>
  <c r="L570" i="6" s="1"/>
  <c r="J496" i="6"/>
  <c r="K570" i="6" s="1"/>
  <c r="I496" i="6"/>
  <c r="H496" i="6"/>
  <c r="I570" i="6" s="1"/>
  <c r="G496" i="6"/>
  <c r="F496" i="6"/>
  <c r="E496" i="6"/>
  <c r="F570" i="6" s="1"/>
  <c r="D496" i="6"/>
  <c r="E570" i="6" s="1"/>
  <c r="C496" i="6"/>
  <c r="B496" i="6"/>
  <c r="C570" i="6" s="1"/>
  <c r="Y495" i="6"/>
  <c r="Z569" i="6" s="1"/>
  <c r="X495" i="6"/>
  <c r="Y569" i="6" s="1"/>
  <c r="W495" i="6"/>
  <c r="V495" i="6"/>
  <c r="W569" i="6" s="1"/>
  <c r="U495" i="6"/>
  <c r="V569" i="6" s="1"/>
  <c r="T495" i="6"/>
  <c r="U569" i="6" s="1"/>
  <c r="S495" i="6"/>
  <c r="T569" i="6" s="1"/>
  <c r="R495" i="6"/>
  <c r="Q495" i="6"/>
  <c r="R569" i="6" s="1"/>
  <c r="P495" i="6"/>
  <c r="Q569" i="6" s="1"/>
  <c r="O495" i="6"/>
  <c r="P569" i="6" s="1"/>
  <c r="N495" i="6"/>
  <c r="M495" i="6"/>
  <c r="N569" i="6" s="1"/>
  <c r="L495" i="6"/>
  <c r="M569" i="6" s="1"/>
  <c r="K495" i="6"/>
  <c r="J495" i="6"/>
  <c r="K569" i="6" s="1"/>
  <c r="I495" i="6"/>
  <c r="H495" i="6"/>
  <c r="I569" i="6" s="1"/>
  <c r="G495" i="6"/>
  <c r="F495" i="6"/>
  <c r="G569" i="6" s="1"/>
  <c r="E495" i="6"/>
  <c r="F569" i="6" s="1"/>
  <c r="D495" i="6"/>
  <c r="E569" i="6" s="1"/>
  <c r="C495" i="6"/>
  <c r="D569" i="6" s="1"/>
  <c r="B495" i="6"/>
  <c r="Y494" i="6"/>
  <c r="Z568" i="6" s="1"/>
  <c r="X494" i="6"/>
  <c r="Y568" i="6" s="1"/>
  <c r="W494" i="6"/>
  <c r="X568" i="6" s="1"/>
  <c r="V494" i="6"/>
  <c r="W568" i="6" s="1"/>
  <c r="U494" i="6"/>
  <c r="V568" i="6" s="1"/>
  <c r="T494" i="6"/>
  <c r="U568" i="6" s="1"/>
  <c r="S494" i="6"/>
  <c r="T568" i="6" s="1"/>
  <c r="R494" i="6"/>
  <c r="Q494" i="6"/>
  <c r="R568" i="6" s="1"/>
  <c r="P494" i="6"/>
  <c r="Q568" i="6" s="1"/>
  <c r="O494" i="6"/>
  <c r="N494" i="6"/>
  <c r="O568" i="6" s="1"/>
  <c r="M494" i="6"/>
  <c r="N568" i="6" s="1"/>
  <c r="L494" i="6"/>
  <c r="M568" i="6" s="1"/>
  <c r="K494" i="6"/>
  <c r="J494" i="6"/>
  <c r="K568" i="6" s="1"/>
  <c r="I494" i="6"/>
  <c r="J568" i="6" s="1"/>
  <c r="H494" i="6"/>
  <c r="G494" i="6"/>
  <c r="H568" i="6" s="1"/>
  <c r="F494" i="6"/>
  <c r="E494" i="6"/>
  <c r="F568" i="6" s="1"/>
  <c r="D494" i="6"/>
  <c r="E568" i="6" s="1"/>
  <c r="C494" i="6"/>
  <c r="B494" i="6"/>
  <c r="AH493" i="6"/>
  <c r="AI567" i="6" s="1"/>
  <c r="AG493" i="6"/>
  <c r="AH567" i="6" s="1"/>
  <c r="AF493" i="6"/>
  <c r="V493" i="6"/>
  <c r="U493" i="6"/>
  <c r="V567" i="6" s="1"/>
  <c r="T493" i="6"/>
  <c r="S493" i="6"/>
  <c r="R493" i="6"/>
  <c r="S567" i="6" s="1"/>
  <c r="Q493" i="6"/>
  <c r="R567" i="6" s="1"/>
  <c r="P493" i="6"/>
  <c r="Q567" i="6" s="1"/>
  <c r="O493" i="6"/>
  <c r="N493" i="6"/>
  <c r="O567" i="6" s="1"/>
  <c r="M493" i="6"/>
  <c r="N567" i="6" s="1"/>
  <c r="L493" i="6"/>
  <c r="K493" i="6"/>
  <c r="L567" i="6" s="1"/>
  <c r="J493" i="6"/>
  <c r="K567" i="6" s="1"/>
  <c r="I493" i="6"/>
  <c r="J567" i="6" s="1"/>
  <c r="H493" i="6"/>
  <c r="I567" i="6" s="1"/>
  <c r="G493" i="6"/>
  <c r="F493" i="6"/>
  <c r="G567" i="6" s="1"/>
  <c r="E493" i="6"/>
  <c r="F567" i="6" s="1"/>
  <c r="D493" i="6"/>
  <c r="E567" i="6" s="1"/>
  <c r="C493" i="6"/>
  <c r="B493" i="6"/>
  <c r="C567" i="6" s="1"/>
  <c r="AH492" i="6"/>
  <c r="AI566" i="6" s="1"/>
  <c r="AG492" i="6"/>
  <c r="AF492" i="6"/>
  <c r="AG566" i="6" s="1"/>
  <c r="V492" i="6"/>
  <c r="W566" i="6" s="1"/>
  <c r="U492" i="6"/>
  <c r="V566" i="6" s="1"/>
  <c r="T492" i="6"/>
  <c r="S492" i="6"/>
  <c r="T566" i="6" s="1"/>
  <c r="R492" i="6"/>
  <c r="S566" i="6" s="1"/>
  <c r="Q492" i="6"/>
  <c r="R566" i="6" s="1"/>
  <c r="P492" i="6"/>
  <c r="O492" i="6"/>
  <c r="P566" i="6" s="1"/>
  <c r="N492" i="6"/>
  <c r="O566" i="6" s="1"/>
  <c r="M492" i="6"/>
  <c r="N566" i="6" s="1"/>
  <c r="L492" i="6"/>
  <c r="M566" i="6" s="1"/>
  <c r="K492" i="6"/>
  <c r="L566" i="6" s="1"/>
  <c r="J492" i="6"/>
  <c r="K566" i="6" s="1"/>
  <c r="I492" i="6"/>
  <c r="J566" i="6" s="1"/>
  <c r="H492" i="6"/>
  <c r="G492" i="6"/>
  <c r="F492" i="6"/>
  <c r="E492" i="6"/>
  <c r="F566" i="6" s="1"/>
  <c r="D492" i="6"/>
  <c r="C492" i="6"/>
  <c r="D566" i="6" s="1"/>
  <c r="B492" i="6"/>
  <c r="C566" i="6" s="1"/>
  <c r="AH491" i="6"/>
  <c r="AI565" i="6" s="1"/>
  <c r="AG491" i="6"/>
  <c r="AH565" i="6" s="1"/>
  <c r="AF491" i="6"/>
  <c r="AG565" i="6" s="1"/>
  <c r="V491" i="6"/>
  <c r="W565" i="6" s="1"/>
  <c r="U491" i="6"/>
  <c r="T491" i="6"/>
  <c r="U565" i="6" s="1"/>
  <c r="S491" i="6"/>
  <c r="T565" i="6" s="1"/>
  <c r="R491" i="6"/>
  <c r="S565" i="6" s="1"/>
  <c r="Q491" i="6"/>
  <c r="R565" i="6" s="1"/>
  <c r="P491" i="6"/>
  <c r="Q565" i="6" s="1"/>
  <c r="O491" i="6"/>
  <c r="P565" i="6" s="1"/>
  <c r="N491" i="6"/>
  <c r="O565" i="6" s="1"/>
  <c r="M491" i="6"/>
  <c r="L491" i="6"/>
  <c r="K491" i="6"/>
  <c r="L565" i="6" s="1"/>
  <c r="J491" i="6"/>
  <c r="K565" i="6" s="1"/>
  <c r="I491" i="6"/>
  <c r="J565" i="6" s="1"/>
  <c r="H491" i="6"/>
  <c r="I565" i="6" s="1"/>
  <c r="G491" i="6"/>
  <c r="H565" i="6" s="1"/>
  <c r="F491" i="6"/>
  <c r="G565" i="6" s="1"/>
  <c r="E491" i="6"/>
  <c r="D491" i="6"/>
  <c r="E565" i="6" s="1"/>
  <c r="C491" i="6"/>
  <c r="D565" i="6" s="1"/>
  <c r="B491" i="6"/>
  <c r="C565" i="6" s="1"/>
  <c r="AH490" i="6"/>
  <c r="AI564" i="6" s="1"/>
  <c r="AG490" i="6"/>
  <c r="AH564" i="6" s="1"/>
  <c r="AF490" i="6"/>
  <c r="AG564" i="6" s="1"/>
  <c r="AE490" i="6"/>
  <c r="AD490" i="6"/>
  <c r="AE564" i="6" s="1"/>
  <c r="AC490" i="6"/>
  <c r="AD564" i="6" s="1"/>
  <c r="S490" i="6"/>
  <c r="T564" i="6" s="1"/>
  <c r="R490" i="6"/>
  <c r="S564" i="6" s="1"/>
  <c r="Q490" i="6"/>
  <c r="R564" i="6" s="1"/>
  <c r="P490" i="6"/>
  <c r="Q564" i="6" s="1"/>
  <c r="O490" i="6"/>
  <c r="P564" i="6" s="1"/>
  <c r="N490" i="6"/>
  <c r="O564" i="6" s="1"/>
  <c r="M490" i="6"/>
  <c r="N564" i="6" s="1"/>
  <c r="L490" i="6"/>
  <c r="K490" i="6"/>
  <c r="L564" i="6" s="1"/>
  <c r="J490" i="6"/>
  <c r="K564" i="6" s="1"/>
  <c r="I490" i="6"/>
  <c r="J564" i="6" s="1"/>
  <c r="H490" i="6"/>
  <c r="I564" i="6" s="1"/>
  <c r="G490" i="6"/>
  <c r="H564" i="6" s="1"/>
  <c r="F490" i="6"/>
  <c r="E490" i="6"/>
  <c r="F564" i="6" s="1"/>
  <c r="D490" i="6"/>
  <c r="E564" i="6" s="1"/>
  <c r="C490" i="6"/>
  <c r="D564" i="6" s="1"/>
  <c r="B490" i="6"/>
  <c r="AH489" i="6"/>
  <c r="AI563" i="6" s="1"/>
  <c r="AG489" i="6"/>
  <c r="AH563" i="6" s="1"/>
  <c r="AF489" i="6"/>
  <c r="AG563" i="6" s="1"/>
  <c r="AE489" i="6"/>
  <c r="AF563" i="6" s="1"/>
  <c r="AD489" i="6"/>
  <c r="AE563" i="6" s="1"/>
  <c r="AC489" i="6"/>
  <c r="AD563" i="6" s="1"/>
  <c r="S489" i="6"/>
  <c r="T563" i="6" s="1"/>
  <c r="R489" i="6"/>
  <c r="S563" i="6" s="1"/>
  <c r="Q489" i="6"/>
  <c r="R563" i="6" s="1"/>
  <c r="P489" i="6"/>
  <c r="Q563" i="6" s="1"/>
  <c r="O489" i="6"/>
  <c r="P563" i="6" s="1"/>
  <c r="N489" i="6"/>
  <c r="M489" i="6"/>
  <c r="L489" i="6"/>
  <c r="M563" i="6" s="1"/>
  <c r="K489" i="6"/>
  <c r="L563" i="6" s="1"/>
  <c r="J489" i="6"/>
  <c r="K563" i="6" s="1"/>
  <c r="I489" i="6"/>
  <c r="H489" i="6"/>
  <c r="I563" i="6" s="1"/>
  <c r="G489" i="6"/>
  <c r="F489" i="6"/>
  <c r="G563" i="6" s="1"/>
  <c r="E489" i="6"/>
  <c r="F563" i="6" s="1"/>
  <c r="D489" i="6"/>
  <c r="E563" i="6" s="1"/>
  <c r="C489" i="6"/>
  <c r="D563" i="6" s="1"/>
  <c r="B489" i="6"/>
  <c r="C563" i="6" s="1"/>
  <c r="AH488" i="6"/>
  <c r="AI562" i="6" s="1"/>
  <c r="AG488" i="6"/>
  <c r="AH562" i="6" s="1"/>
  <c r="AF488" i="6"/>
  <c r="AG562" i="6" s="1"/>
  <c r="AE488" i="6"/>
  <c r="AF562" i="6" s="1"/>
  <c r="AD488" i="6"/>
  <c r="AC488" i="6"/>
  <c r="AD562" i="6" s="1"/>
  <c r="S488" i="6"/>
  <c r="T562" i="6" s="1"/>
  <c r="R488" i="6"/>
  <c r="S562" i="6" s="1"/>
  <c r="Q488" i="6"/>
  <c r="R562" i="6" s="1"/>
  <c r="P488" i="6"/>
  <c r="O488" i="6"/>
  <c r="P562" i="6" s="1"/>
  <c r="N488" i="6"/>
  <c r="M488" i="6"/>
  <c r="N562" i="6" s="1"/>
  <c r="L488" i="6"/>
  <c r="M562" i="6" s="1"/>
  <c r="K488" i="6"/>
  <c r="L562" i="6" s="1"/>
  <c r="J488" i="6"/>
  <c r="K562" i="6" s="1"/>
  <c r="I488" i="6"/>
  <c r="J562" i="6" s="1"/>
  <c r="H488" i="6"/>
  <c r="I562" i="6" s="1"/>
  <c r="G488" i="6"/>
  <c r="H562" i="6" s="1"/>
  <c r="F488" i="6"/>
  <c r="G562" i="6" s="1"/>
  <c r="E488" i="6"/>
  <c r="F562" i="6" s="1"/>
  <c r="D488" i="6"/>
  <c r="E562" i="6" s="1"/>
  <c r="C488" i="6"/>
  <c r="D562" i="6" s="1"/>
  <c r="B488" i="6"/>
  <c r="C562" i="6" s="1"/>
  <c r="AH487" i="6"/>
  <c r="AI561" i="6" s="1"/>
  <c r="AG487" i="6"/>
  <c r="AH561" i="6" s="1"/>
  <c r="AF487" i="6"/>
  <c r="AG561" i="6" s="1"/>
  <c r="AE487" i="6"/>
  <c r="AF561" i="6" s="1"/>
  <c r="AD487" i="6"/>
  <c r="AC487" i="6"/>
  <c r="AB487" i="6"/>
  <c r="AC561" i="6" s="1"/>
  <c r="AA487" i="6"/>
  <c r="Z487" i="6"/>
  <c r="P487" i="6"/>
  <c r="Q561" i="6" s="1"/>
  <c r="O487" i="6"/>
  <c r="P561" i="6" s="1"/>
  <c r="N487" i="6"/>
  <c r="O561" i="6" s="1"/>
  <c r="M487" i="6"/>
  <c r="L487" i="6"/>
  <c r="M561" i="6" s="1"/>
  <c r="K487" i="6"/>
  <c r="L561" i="6" s="1"/>
  <c r="J487" i="6"/>
  <c r="K561" i="6" s="1"/>
  <c r="I487" i="6"/>
  <c r="H487" i="6"/>
  <c r="I561" i="6" s="1"/>
  <c r="G487" i="6"/>
  <c r="H561" i="6" s="1"/>
  <c r="F487" i="6"/>
  <c r="E487" i="6"/>
  <c r="F561" i="6" s="1"/>
  <c r="D487" i="6"/>
  <c r="E561" i="6" s="1"/>
  <c r="C487" i="6"/>
  <c r="D561" i="6" s="1"/>
  <c r="B487" i="6"/>
  <c r="C561" i="6" s="1"/>
  <c r="AH486" i="6"/>
  <c r="AI560" i="6" s="1"/>
  <c r="AG486" i="6"/>
  <c r="AH560" i="6" s="1"/>
  <c r="AF486" i="6"/>
  <c r="AE486" i="6"/>
  <c r="AF560" i="6" s="1"/>
  <c r="AD486" i="6"/>
  <c r="AE560" i="6" s="1"/>
  <c r="AC486" i="6"/>
  <c r="AB486" i="6"/>
  <c r="AC560" i="6" s="1"/>
  <c r="AA486" i="6"/>
  <c r="AB560" i="6" s="1"/>
  <c r="Z486" i="6"/>
  <c r="P486" i="6"/>
  <c r="Q560" i="6" s="1"/>
  <c r="O486" i="6"/>
  <c r="P560" i="6" s="1"/>
  <c r="N486" i="6"/>
  <c r="O560" i="6" s="1"/>
  <c r="M486" i="6"/>
  <c r="L486" i="6"/>
  <c r="M560" i="6" s="1"/>
  <c r="K486" i="6"/>
  <c r="L560" i="6" s="1"/>
  <c r="J486" i="6"/>
  <c r="I486" i="6"/>
  <c r="J560" i="6" s="1"/>
  <c r="H486" i="6"/>
  <c r="I560" i="6" s="1"/>
  <c r="G486" i="6"/>
  <c r="H560" i="6" s="1"/>
  <c r="F486" i="6"/>
  <c r="E486" i="6"/>
  <c r="F560" i="6" s="1"/>
  <c r="D486" i="6"/>
  <c r="E560" i="6" s="1"/>
  <c r="C486" i="6"/>
  <c r="D560" i="6" s="1"/>
  <c r="B486" i="6"/>
  <c r="C560" i="6" s="1"/>
  <c r="AH485" i="6"/>
  <c r="AI559" i="6" s="1"/>
  <c r="AG485" i="6"/>
  <c r="AH559" i="6" s="1"/>
  <c r="AF485" i="6"/>
  <c r="AG559" i="6" s="1"/>
  <c r="AE485" i="6"/>
  <c r="AD485" i="6"/>
  <c r="AC485" i="6"/>
  <c r="AD559" i="6" s="1"/>
  <c r="AB485" i="6"/>
  <c r="AC559" i="6" s="1"/>
  <c r="AA485" i="6"/>
  <c r="Z485" i="6"/>
  <c r="AA559" i="6" s="1"/>
  <c r="P485" i="6"/>
  <c r="Q559" i="6" s="1"/>
  <c r="O485" i="6"/>
  <c r="P559" i="6" s="1"/>
  <c r="N485" i="6"/>
  <c r="O559" i="6" s="1"/>
  <c r="M485" i="6"/>
  <c r="N559" i="6" s="1"/>
  <c r="L485" i="6"/>
  <c r="M559" i="6" s="1"/>
  <c r="K485" i="6"/>
  <c r="J485" i="6"/>
  <c r="K559" i="6" s="1"/>
  <c r="I485" i="6"/>
  <c r="J559" i="6" s="1"/>
  <c r="H485" i="6"/>
  <c r="I559" i="6" s="1"/>
  <c r="G485" i="6"/>
  <c r="F485" i="6"/>
  <c r="G559" i="6" s="1"/>
  <c r="E485" i="6"/>
  <c r="F559" i="6" s="1"/>
  <c r="D485" i="6"/>
  <c r="C485" i="6"/>
  <c r="D559" i="6" s="1"/>
  <c r="B485" i="6"/>
  <c r="C559" i="6" s="1"/>
  <c r="AH484" i="6"/>
  <c r="AI558" i="6" s="1"/>
  <c r="AG484" i="6"/>
  <c r="AH558" i="6" s="1"/>
  <c r="AF484" i="6"/>
  <c r="AG558" i="6" s="1"/>
  <c r="AE484" i="6"/>
  <c r="AF558" i="6" s="1"/>
  <c r="AD484" i="6"/>
  <c r="AE558" i="6" s="1"/>
  <c r="AC484" i="6"/>
  <c r="AD558" i="6" s="1"/>
  <c r="AB484" i="6"/>
  <c r="AA484" i="6"/>
  <c r="AB558" i="6" s="1"/>
  <c r="Z484" i="6"/>
  <c r="AA558" i="6" s="1"/>
  <c r="Y484" i="6"/>
  <c r="Z558" i="6" s="1"/>
  <c r="X484" i="6"/>
  <c r="Y558" i="6" s="1"/>
  <c r="W484" i="6"/>
  <c r="X558" i="6" s="1"/>
  <c r="M484" i="6"/>
  <c r="N558" i="6" s="1"/>
  <c r="L484" i="6"/>
  <c r="M558" i="6" s="1"/>
  <c r="K484" i="6"/>
  <c r="L558" i="6" s="1"/>
  <c r="J484" i="6"/>
  <c r="K558" i="6" s="1"/>
  <c r="I484" i="6"/>
  <c r="J558" i="6" s="1"/>
  <c r="H484" i="6"/>
  <c r="G484" i="6"/>
  <c r="H558" i="6" s="1"/>
  <c r="F484" i="6"/>
  <c r="G558" i="6" s="1"/>
  <c r="E484" i="6"/>
  <c r="F558" i="6" s="1"/>
  <c r="D484" i="6"/>
  <c r="E558" i="6" s="1"/>
  <c r="C484" i="6"/>
  <c r="D558" i="6" s="1"/>
  <c r="B484" i="6"/>
  <c r="C558" i="6" s="1"/>
  <c r="AH483" i="6"/>
  <c r="AI557" i="6" s="1"/>
  <c r="AG483" i="6"/>
  <c r="AH557" i="6" s="1"/>
  <c r="AF483" i="6"/>
  <c r="AG557" i="6" s="1"/>
  <c r="AE483" i="6"/>
  <c r="AF557" i="6" s="1"/>
  <c r="AD483" i="6"/>
  <c r="AE557" i="6" s="1"/>
  <c r="AC483" i="6"/>
  <c r="AD557" i="6" s="1"/>
  <c r="AB483" i="6"/>
  <c r="AC557" i="6" s="1"/>
  <c r="AA483" i="6"/>
  <c r="AB557" i="6" s="1"/>
  <c r="Z483" i="6"/>
  <c r="AA557" i="6" s="1"/>
  <c r="Y483" i="6"/>
  <c r="Z557" i="6" s="1"/>
  <c r="X483" i="6"/>
  <c r="Y557" i="6" s="1"/>
  <c r="W483" i="6"/>
  <c r="X557" i="6" s="1"/>
  <c r="M483" i="6"/>
  <c r="L483" i="6"/>
  <c r="M557" i="6" s="1"/>
  <c r="K483" i="6"/>
  <c r="L557" i="6" s="1"/>
  <c r="J483" i="6"/>
  <c r="K557" i="6" s="1"/>
  <c r="I483" i="6"/>
  <c r="J557" i="6" s="1"/>
  <c r="H483" i="6"/>
  <c r="I557" i="6" s="1"/>
  <c r="G483" i="6"/>
  <c r="H557" i="6" s="1"/>
  <c r="F483" i="6"/>
  <c r="G557" i="6" s="1"/>
  <c r="E483" i="6"/>
  <c r="F557" i="6" s="1"/>
  <c r="D483" i="6"/>
  <c r="E557" i="6" s="1"/>
  <c r="C483" i="6"/>
  <c r="B483" i="6"/>
  <c r="C557" i="6" s="1"/>
  <c r="AH482" i="6"/>
  <c r="AI556" i="6" s="1"/>
  <c r="AG482" i="6"/>
  <c r="AH556" i="6" s="1"/>
  <c r="AF482" i="6"/>
  <c r="AG556" i="6" s="1"/>
  <c r="AE482" i="6"/>
  <c r="AF556" i="6" s="1"/>
  <c r="AD482" i="6"/>
  <c r="AC482" i="6"/>
  <c r="AD556" i="6" s="1"/>
  <c r="AB482" i="6"/>
  <c r="AC556" i="6" s="1"/>
  <c r="AA482" i="6"/>
  <c r="AB556" i="6" s="1"/>
  <c r="Z482" i="6"/>
  <c r="AA556" i="6" s="1"/>
  <c r="Y482" i="6"/>
  <c r="Z556" i="6" s="1"/>
  <c r="X482" i="6"/>
  <c r="Y556" i="6" s="1"/>
  <c r="W482" i="6"/>
  <c r="X556" i="6" s="1"/>
  <c r="M482" i="6"/>
  <c r="N556" i="6" s="1"/>
  <c r="L482" i="6"/>
  <c r="K482" i="6"/>
  <c r="L556" i="6" s="1"/>
  <c r="J482" i="6"/>
  <c r="K556" i="6" s="1"/>
  <c r="I482" i="6"/>
  <c r="H482" i="6"/>
  <c r="I556" i="6" s="1"/>
  <c r="G482" i="6"/>
  <c r="H556" i="6" s="1"/>
  <c r="F482" i="6"/>
  <c r="G556" i="6" s="1"/>
  <c r="E482" i="6"/>
  <c r="D482" i="6"/>
  <c r="C482" i="6"/>
  <c r="D556" i="6" s="1"/>
  <c r="B482" i="6"/>
  <c r="C556" i="6" s="1"/>
  <c r="AH481" i="6"/>
  <c r="AI555" i="6" s="1"/>
  <c r="AG481" i="6"/>
  <c r="AH555" i="6" s="1"/>
  <c r="AF481" i="6"/>
  <c r="AG555" i="6" s="1"/>
  <c r="AE481" i="6"/>
  <c r="AD481" i="6"/>
  <c r="AE555" i="6" s="1"/>
  <c r="AC481" i="6"/>
  <c r="AD555" i="6" s="1"/>
  <c r="AB481" i="6"/>
  <c r="AC555" i="6" s="1"/>
  <c r="AA481" i="6"/>
  <c r="AB555" i="6" s="1"/>
  <c r="Z481" i="6"/>
  <c r="AA555" i="6" s="1"/>
  <c r="Y481" i="6"/>
  <c r="Z555" i="6" s="1"/>
  <c r="X481" i="6"/>
  <c r="Y555" i="6" s="1"/>
  <c r="W481" i="6"/>
  <c r="X555" i="6" s="1"/>
  <c r="V481" i="6"/>
  <c r="W555" i="6" s="1"/>
  <c r="U481" i="6"/>
  <c r="V555" i="6" s="1"/>
  <c r="T481" i="6"/>
  <c r="U555" i="6" s="1"/>
  <c r="J481" i="6"/>
  <c r="K555" i="6" s="1"/>
  <c r="I481" i="6"/>
  <c r="J555" i="6" s="1"/>
  <c r="H481" i="6"/>
  <c r="I555" i="6" s="1"/>
  <c r="G481" i="6"/>
  <c r="H555" i="6" s="1"/>
  <c r="F481" i="6"/>
  <c r="G555" i="6" s="1"/>
  <c r="E481" i="6"/>
  <c r="F555" i="6" s="1"/>
  <c r="D481" i="6"/>
  <c r="C481" i="6"/>
  <c r="D555" i="6" s="1"/>
  <c r="B481" i="6"/>
  <c r="C555" i="6" s="1"/>
  <c r="AH480" i="6"/>
  <c r="AI554" i="6" s="1"/>
  <c r="AG480" i="6"/>
  <c r="AH554" i="6" s="1"/>
  <c r="AF480" i="6"/>
  <c r="AG554" i="6" s="1"/>
  <c r="AE480" i="6"/>
  <c r="AD480" i="6"/>
  <c r="AE554" i="6" s="1"/>
  <c r="AC480" i="6"/>
  <c r="AD554" i="6" s="1"/>
  <c r="AB480" i="6"/>
  <c r="AC554" i="6" s="1"/>
  <c r="AA480" i="6"/>
  <c r="AB554" i="6" s="1"/>
  <c r="Z480" i="6"/>
  <c r="Y480" i="6"/>
  <c r="Z554" i="6" s="1"/>
  <c r="X480" i="6"/>
  <c r="Y554" i="6" s="1"/>
  <c r="W480" i="6"/>
  <c r="X554" i="6" s="1"/>
  <c r="V480" i="6"/>
  <c r="W554" i="6" s="1"/>
  <c r="U480" i="6"/>
  <c r="T480" i="6"/>
  <c r="U554" i="6" s="1"/>
  <c r="J480" i="6"/>
  <c r="K554" i="6" s="1"/>
  <c r="I480" i="6"/>
  <c r="J554" i="6" s="1"/>
  <c r="H480" i="6"/>
  <c r="I554" i="6" s="1"/>
  <c r="G480" i="6"/>
  <c r="H554" i="6" s="1"/>
  <c r="F480" i="6"/>
  <c r="G554" i="6" s="1"/>
  <c r="E480" i="6"/>
  <c r="F554" i="6" s="1"/>
  <c r="D480" i="6"/>
  <c r="E554" i="6" s="1"/>
  <c r="C480" i="6"/>
  <c r="B480" i="6"/>
  <c r="C554" i="6" s="1"/>
  <c r="AH479" i="6"/>
  <c r="AG479" i="6"/>
  <c r="AH553" i="6" s="1"/>
  <c r="AF479" i="6"/>
  <c r="AG553" i="6" s="1"/>
  <c r="AE479" i="6"/>
  <c r="AF553" i="6" s="1"/>
  <c r="AD479" i="6"/>
  <c r="AE553" i="6" s="1"/>
  <c r="AC479" i="6"/>
  <c r="AD553" i="6" s="1"/>
  <c r="AB479" i="6"/>
  <c r="AC553" i="6" s="1"/>
  <c r="AA479" i="6"/>
  <c r="Z479" i="6"/>
  <c r="AA553" i="6" s="1"/>
  <c r="Y479" i="6"/>
  <c r="Z553" i="6" s="1"/>
  <c r="X479" i="6"/>
  <c r="Y553" i="6" s="1"/>
  <c r="W479" i="6"/>
  <c r="X553" i="6" s="1"/>
  <c r="V479" i="6"/>
  <c r="W553" i="6" s="1"/>
  <c r="U479" i="6"/>
  <c r="V553" i="6" s="1"/>
  <c r="T479" i="6"/>
  <c r="U553" i="6" s="1"/>
  <c r="J479" i="6"/>
  <c r="K553" i="6" s="1"/>
  <c r="I479" i="6"/>
  <c r="H479" i="6"/>
  <c r="I553" i="6" s="1"/>
  <c r="G479" i="6"/>
  <c r="H553" i="6" s="1"/>
  <c r="F479" i="6"/>
  <c r="E479" i="6"/>
  <c r="F553" i="6" s="1"/>
  <c r="D479" i="6"/>
  <c r="E553" i="6" s="1"/>
  <c r="C479" i="6"/>
  <c r="D553" i="6" s="1"/>
  <c r="B479" i="6"/>
  <c r="C553" i="6" s="1"/>
  <c r="AH478" i="6"/>
  <c r="AI552" i="6" s="1"/>
  <c r="AG478" i="6"/>
  <c r="AH552" i="6" s="1"/>
  <c r="AF478" i="6"/>
  <c r="AG552" i="6" s="1"/>
  <c r="AE478" i="6"/>
  <c r="AF552" i="6" s="1"/>
  <c r="AD478" i="6"/>
  <c r="AE552" i="6" s="1"/>
  <c r="AC478" i="6"/>
  <c r="AD552" i="6" s="1"/>
  <c r="AB478" i="6"/>
  <c r="AA478" i="6"/>
  <c r="AB552" i="6" s="1"/>
  <c r="Z478" i="6"/>
  <c r="Y478" i="6"/>
  <c r="Z552" i="6" s="1"/>
  <c r="X478" i="6"/>
  <c r="Y552" i="6" s="1"/>
  <c r="W478" i="6"/>
  <c r="X552" i="6" s="1"/>
  <c r="V478" i="6"/>
  <c r="W552" i="6" s="1"/>
  <c r="U478" i="6"/>
  <c r="V552" i="6" s="1"/>
  <c r="T478" i="6"/>
  <c r="U552" i="6" s="1"/>
  <c r="S478" i="6"/>
  <c r="T552" i="6" s="1"/>
  <c r="R478" i="6"/>
  <c r="S552" i="6" s="1"/>
  <c r="Q478" i="6"/>
  <c r="R552" i="6" s="1"/>
  <c r="G478" i="6"/>
  <c r="H552" i="6" s="1"/>
  <c r="F478" i="6"/>
  <c r="G552" i="6" s="1"/>
  <c r="E478" i="6"/>
  <c r="F552" i="6" s="1"/>
  <c r="D478" i="6"/>
  <c r="E552" i="6" s="1"/>
  <c r="C478" i="6"/>
  <c r="D552" i="6" s="1"/>
  <c r="B478" i="6"/>
  <c r="C552" i="6" s="1"/>
  <c r="AH477" i="6"/>
  <c r="AG477" i="6"/>
  <c r="AH551" i="6" s="1"/>
  <c r="AF477" i="6"/>
  <c r="AG551" i="6" s="1"/>
  <c r="AE477" i="6"/>
  <c r="AF551" i="6" s="1"/>
  <c r="AD477" i="6"/>
  <c r="AE551" i="6" s="1"/>
  <c r="AC477" i="6"/>
  <c r="AD551" i="6" s="1"/>
  <c r="AB477" i="6"/>
  <c r="AA477" i="6"/>
  <c r="AB551" i="6" s="1"/>
  <c r="Z477" i="6"/>
  <c r="AA551" i="6" s="1"/>
  <c r="Y477" i="6"/>
  <c r="Z551" i="6" s="1"/>
  <c r="X477" i="6"/>
  <c r="W477" i="6"/>
  <c r="X551" i="6" s="1"/>
  <c r="V477" i="6"/>
  <c r="W551" i="6" s="1"/>
  <c r="U477" i="6"/>
  <c r="T477" i="6"/>
  <c r="U551" i="6" s="1"/>
  <c r="S477" i="6"/>
  <c r="T551" i="6" s="1"/>
  <c r="R477" i="6"/>
  <c r="S551" i="6" s="1"/>
  <c r="Q477" i="6"/>
  <c r="R551" i="6" s="1"/>
  <c r="G477" i="6"/>
  <c r="H551" i="6" s="1"/>
  <c r="F477" i="6"/>
  <c r="E477" i="6"/>
  <c r="F551" i="6" s="1"/>
  <c r="D477" i="6"/>
  <c r="E551" i="6" s="1"/>
  <c r="C477" i="6"/>
  <c r="D551" i="6" s="1"/>
  <c r="B477" i="6"/>
  <c r="C551" i="6" s="1"/>
  <c r="AH476" i="6"/>
  <c r="AI550" i="6" s="1"/>
  <c r="AG476" i="6"/>
  <c r="AH550" i="6" s="1"/>
  <c r="AF476" i="6"/>
  <c r="AG550" i="6" s="1"/>
  <c r="AE476" i="6"/>
  <c r="AF550" i="6" s="1"/>
  <c r="AD476" i="6"/>
  <c r="AC476" i="6"/>
  <c r="AD550" i="6" s="1"/>
  <c r="AB476" i="6"/>
  <c r="AC550" i="6" s="1"/>
  <c r="AA476" i="6"/>
  <c r="AB550" i="6" s="1"/>
  <c r="Z476" i="6"/>
  <c r="AA550" i="6" s="1"/>
  <c r="Y476" i="6"/>
  <c r="X476" i="6"/>
  <c r="Y550" i="6" s="1"/>
  <c r="W476" i="6"/>
  <c r="X550" i="6" s="1"/>
  <c r="V476" i="6"/>
  <c r="U476" i="6"/>
  <c r="V550" i="6" s="1"/>
  <c r="T476" i="6"/>
  <c r="U550" i="6" s="1"/>
  <c r="S476" i="6"/>
  <c r="T550" i="6" s="1"/>
  <c r="R476" i="6"/>
  <c r="S550" i="6" s="1"/>
  <c r="Q476" i="6"/>
  <c r="R550" i="6" s="1"/>
  <c r="G476" i="6"/>
  <c r="H550" i="6" s="1"/>
  <c r="F476" i="6"/>
  <c r="G550" i="6" s="1"/>
  <c r="E476" i="6"/>
  <c r="F550" i="6" s="1"/>
  <c r="D476" i="6"/>
  <c r="C476" i="6"/>
  <c r="D550" i="6" s="1"/>
  <c r="B476" i="6"/>
  <c r="C550" i="6" s="1"/>
  <c r="AH475" i="6"/>
  <c r="AI549" i="6" s="1"/>
  <c r="AG475" i="6"/>
  <c r="AH549" i="6" s="1"/>
  <c r="AF475" i="6"/>
  <c r="AG549" i="6" s="1"/>
  <c r="AE475" i="6"/>
  <c r="AF549" i="6" s="1"/>
  <c r="AD475" i="6"/>
  <c r="AE549" i="6" s="1"/>
  <c r="AC475" i="6"/>
  <c r="AD549" i="6" s="1"/>
  <c r="AB475" i="6"/>
  <c r="AC549" i="6" s="1"/>
  <c r="AA475" i="6"/>
  <c r="AB549" i="6" s="1"/>
  <c r="Z475" i="6"/>
  <c r="AA549" i="6" s="1"/>
  <c r="Y475" i="6"/>
  <c r="Z549" i="6" s="1"/>
  <c r="X475" i="6"/>
  <c r="Y549" i="6" s="1"/>
  <c r="W475" i="6"/>
  <c r="V475" i="6"/>
  <c r="U475" i="6"/>
  <c r="T475" i="6"/>
  <c r="U549" i="6" s="1"/>
  <c r="S475" i="6"/>
  <c r="T549" i="6" s="1"/>
  <c r="R475" i="6"/>
  <c r="S549" i="6" s="1"/>
  <c r="Q475" i="6"/>
  <c r="R549" i="6" s="1"/>
  <c r="P475" i="6"/>
  <c r="Q549" i="6" s="1"/>
  <c r="O475" i="6"/>
  <c r="P549" i="6" s="1"/>
  <c r="N475" i="6"/>
  <c r="O549" i="6" s="1"/>
  <c r="D475" i="6"/>
  <c r="E549" i="6" s="1"/>
  <c r="C475" i="6"/>
  <c r="D549" i="6" s="1"/>
  <c r="B475" i="6"/>
  <c r="C549" i="6" s="1"/>
  <c r="AH474" i="6"/>
  <c r="AI548" i="6" s="1"/>
  <c r="AG474" i="6"/>
  <c r="AH548" i="6" s="1"/>
  <c r="AF474" i="6"/>
  <c r="AG548" i="6" s="1"/>
  <c r="AE474" i="6"/>
  <c r="AF548" i="6" s="1"/>
  <c r="AD474" i="6"/>
  <c r="AE548" i="6" s="1"/>
  <c r="AC474" i="6"/>
  <c r="AD548" i="6" s="1"/>
  <c r="AB474" i="6"/>
  <c r="AC548" i="6" s="1"/>
  <c r="AA474" i="6"/>
  <c r="Z474" i="6"/>
  <c r="AA548" i="6" s="1"/>
  <c r="Y474" i="6"/>
  <c r="Z548" i="6" s="1"/>
  <c r="X474" i="6"/>
  <c r="Y548" i="6" s="1"/>
  <c r="W474" i="6"/>
  <c r="X548" i="6" s="1"/>
  <c r="V474" i="6"/>
  <c r="W548" i="6" s="1"/>
  <c r="U474" i="6"/>
  <c r="V548" i="6" s="1"/>
  <c r="T474" i="6"/>
  <c r="U548" i="6" s="1"/>
  <c r="S474" i="6"/>
  <c r="T548" i="6" s="1"/>
  <c r="R474" i="6"/>
  <c r="S548" i="6" s="1"/>
  <c r="Q474" i="6"/>
  <c r="R548" i="6" s="1"/>
  <c r="P474" i="6"/>
  <c r="Q548" i="6" s="1"/>
  <c r="O474" i="6"/>
  <c r="P548" i="6" s="1"/>
  <c r="N474" i="6"/>
  <c r="O548" i="6" s="1"/>
  <c r="D474" i="6"/>
  <c r="E548" i="6" s="1"/>
  <c r="C474" i="6"/>
  <c r="D548" i="6" s="1"/>
  <c r="B474" i="6"/>
  <c r="AH473" i="6"/>
  <c r="AI547" i="6" s="1"/>
  <c r="AG473" i="6"/>
  <c r="AH547" i="6" s="1"/>
  <c r="AF473" i="6"/>
  <c r="AG547" i="6" s="1"/>
  <c r="AE473" i="6"/>
  <c r="AF547" i="6" s="1"/>
  <c r="AD473" i="6"/>
  <c r="AE547" i="6" s="1"/>
  <c r="AC473" i="6"/>
  <c r="AD547" i="6" s="1"/>
  <c r="AB473" i="6"/>
  <c r="AC547" i="6" s="1"/>
  <c r="AA473" i="6"/>
  <c r="AB547" i="6" s="1"/>
  <c r="Z473" i="6"/>
  <c r="AA547" i="6" s="1"/>
  <c r="Y473" i="6"/>
  <c r="Z547" i="6" s="1"/>
  <c r="X473" i="6"/>
  <c r="W473" i="6"/>
  <c r="X547" i="6" s="1"/>
  <c r="V473" i="6"/>
  <c r="W547" i="6" s="1"/>
  <c r="U473" i="6"/>
  <c r="V547" i="6" s="1"/>
  <c r="T473" i="6"/>
  <c r="U547" i="6" s="1"/>
  <c r="S473" i="6"/>
  <c r="T547" i="6" s="1"/>
  <c r="R473" i="6"/>
  <c r="S547" i="6" s="1"/>
  <c r="Q473" i="6"/>
  <c r="R547" i="6" s="1"/>
  <c r="P473" i="6"/>
  <c r="O473" i="6"/>
  <c r="P547" i="6" s="1"/>
  <c r="N473" i="6"/>
  <c r="O547" i="6" s="1"/>
  <c r="D473" i="6"/>
  <c r="E547" i="6" s="1"/>
  <c r="C473" i="6"/>
  <c r="D547" i="6" s="1"/>
  <c r="B473" i="6"/>
  <c r="C547" i="6" s="1"/>
  <c r="AH472" i="6"/>
  <c r="AI546" i="6" s="1"/>
  <c r="AG472" i="6"/>
  <c r="AH546" i="6" s="1"/>
  <c r="AF472" i="6"/>
  <c r="AG546" i="6" s="1"/>
  <c r="AE472" i="6"/>
  <c r="AF546" i="6" s="1"/>
  <c r="AD472" i="6"/>
  <c r="AE546" i="6" s="1"/>
  <c r="AC472" i="6"/>
  <c r="AD546" i="6" s="1"/>
  <c r="AB472" i="6"/>
  <c r="AC546" i="6" s="1"/>
  <c r="AA472" i="6"/>
  <c r="AB546" i="6" s="1"/>
  <c r="Z472" i="6"/>
  <c r="Y472" i="6"/>
  <c r="Z546" i="6" s="1"/>
  <c r="X472" i="6"/>
  <c r="Y546" i="6" s="1"/>
  <c r="W472" i="6"/>
  <c r="X546" i="6" s="1"/>
  <c r="V472" i="6"/>
  <c r="W546" i="6" s="1"/>
  <c r="U472" i="6"/>
  <c r="V546" i="6" s="1"/>
  <c r="T472" i="6"/>
  <c r="U546" i="6" s="1"/>
  <c r="S472" i="6"/>
  <c r="T546" i="6" s="1"/>
  <c r="R472" i="6"/>
  <c r="S546" i="6" s="1"/>
  <c r="Q472" i="6"/>
  <c r="R546" i="6" s="1"/>
  <c r="P472" i="6"/>
  <c r="Q546" i="6" s="1"/>
  <c r="O472" i="6"/>
  <c r="P546" i="6" s="1"/>
  <c r="N472" i="6"/>
  <c r="O546" i="6" s="1"/>
  <c r="M472" i="6"/>
  <c r="N546" i="6" s="1"/>
  <c r="L472" i="6"/>
  <c r="M546" i="6" s="1"/>
  <c r="K472" i="6"/>
  <c r="L546" i="6" s="1"/>
  <c r="AH471" i="6"/>
  <c r="AI545" i="6" s="1"/>
  <c r="AG471" i="6"/>
  <c r="AH545" i="6" s="1"/>
  <c r="AF471" i="6"/>
  <c r="AG545" i="6" s="1"/>
  <c r="AE471" i="6"/>
  <c r="AF545" i="6" s="1"/>
  <c r="AD471" i="6"/>
  <c r="AE545" i="6" s="1"/>
  <c r="AC471" i="6"/>
  <c r="AD545" i="6" s="1"/>
  <c r="AB471" i="6"/>
  <c r="AC545" i="6" s="1"/>
  <c r="AA471" i="6"/>
  <c r="AB545" i="6" s="1"/>
  <c r="Z471" i="6"/>
  <c r="AA545" i="6" s="1"/>
  <c r="Y471" i="6"/>
  <c r="Z545" i="6" s="1"/>
  <c r="X471" i="6"/>
  <c r="Y545" i="6" s="1"/>
  <c r="W471" i="6"/>
  <c r="X545" i="6" s="1"/>
  <c r="V471" i="6"/>
  <c r="W545" i="6" s="1"/>
  <c r="U471" i="6"/>
  <c r="V545" i="6" s="1"/>
  <c r="T471" i="6"/>
  <c r="U545" i="6" s="1"/>
  <c r="S471" i="6"/>
  <c r="T545" i="6" s="1"/>
  <c r="R471" i="6"/>
  <c r="Q471" i="6"/>
  <c r="R545" i="6" s="1"/>
  <c r="P471" i="6"/>
  <c r="Q545" i="6" s="1"/>
  <c r="O471" i="6"/>
  <c r="P545" i="6" s="1"/>
  <c r="N471" i="6"/>
  <c r="O545" i="6" s="1"/>
  <c r="M471" i="6"/>
  <c r="N545" i="6" s="1"/>
  <c r="L471" i="6"/>
  <c r="M545" i="6" s="1"/>
  <c r="K471" i="6"/>
  <c r="L545" i="6" s="1"/>
  <c r="AH470" i="6"/>
  <c r="AI544" i="6" s="1"/>
  <c r="AG470" i="6"/>
  <c r="AH544" i="6" s="1"/>
  <c r="AF470" i="6"/>
  <c r="AG544" i="6" s="1"/>
  <c r="AE470" i="6"/>
  <c r="AF544" i="6" s="1"/>
  <c r="AD470" i="6"/>
  <c r="AE544" i="6" s="1"/>
  <c r="AC470" i="6"/>
  <c r="AD544" i="6" s="1"/>
  <c r="AB470" i="6"/>
  <c r="AC544" i="6" s="1"/>
  <c r="AA470" i="6"/>
  <c r="Z470" i="6"/>
  <c r="AA544" i="6" s="1"/>
  <c r="Y470" i="6"/>
  <c r="Z544" i="6" s="1"/>
  <c r="X470" i="6"/>
  <c r="Y544" i="6" s="1"/>
  <c r="W470" i="6"/>
  <c r="X544" i="6" s="1"/>
  <c r="V470" i="6"/>
  <c r="W544" i="6" s="1"/>
  <c r="U470" i="6"/>
  <c r="V544" i="6" s="1"/>
  <c r="T470" i="6"/>
  <c r="U544" i="6" s="1"/>
  <c r="S470" i="6"/>
  <c r="T544" i="6" s="1"/>
  <c r="R470" i="6"/>
  <c r="S544" i="6" s="1"/>
  <c r="Q470" i="6"/>
  <c r="R544" i="6" s="1"/>
  <c r="P470" i="6"/>
  <c r="Q544" i="6" s="1"/>
  <c r="O470" i="6"/>
  <c r="P544" i="6" s="1"/>
  <c r="N470" i="6"/>
  <c r="O544" i="6" s="1"/>
  <c r="M470" i="6"/>
  <c r="N544" i="6" s="1"/>
  <c r="L470" i="6"/>
  <c r="M544" i="6" s="1"/>
  <c r="K470" i="6"/>
  <c r="L544" i="6" s="1"/>
  <c r="AH469" i="6"/>
  <c r="AI543" i="6" s="1"/>
  <c r="AG469" i="6"/>
  <c r="AH543" i="6" s="1"/>
  <c r="AF469" i="6"/>
  <c r="AG543" i="6" s="1"/>
  <c r="AE469" i="6"/>
  <c r="AD469" i="6"/>
  <c r="AE543" i="6" s="1"/>
  <c r="AC469" i="6"/>
  <c r="AD543" i="6" s="1"/>
  <c r="AB469" i="6"/>
  <c r="AC543" i="6" s="1"/>
  <c r="AA469" i="6"/>
  <c r="AB543" i="6" s="1"/>
  <c r="Z469" i="6"/>
  <c r="AA543" i="6" s="1"/>
  <c r="Y469" i="6"/>
  <c r="Z543" i="6" s="1"/>
  <c r="X469" i="6"/>
  <c r="Y543" i="6" s="1"/>
  <c r="W469" i="6"/>
  <c r="X543" i="6" s="1"/>
  <c r="V469" i="6"/>
  <c r="W543" i="6" s="1"/>
  <c r="U469" i="6"/>
  <c r="V543" i="6" s="1"/>
  <c r="T469" i="6"/>
  <c r="U543" i="6" s="1"/>
  <c r="S469" i="6"/>
  <c r="T543" i="6" s="1"/>
  <c r="R469" i="6"/>
  <c r="S543" i="6" s="1"/>
  <c r="Q469" i="6"/>
  <c r="R543" i="6" s="1"/>
  <c r="P469" i="6"/>
  <c r="O469" i="6"/>
  <c r="P543" i="6" s="1"/>
  <c r="N469" i="6"/>
  <c r="O543" i="6" s="1"/>
  <c r="M469" i="6"/>
  <c r="N543" i="6" s="1"/>
  <c r="L469" i="6"/>
  <c r="K469" i="6"/>
  <c r="L543" i="6" s="1"/>
  <c r="J469" i="6"/>
  <c r="K543" i="6" s="1"/>
  <c r="I469" i="6"/>
  <c r="J543" i="6" s="1"/>
  <c r="H469" i="6"/>
  <c r="I543" i="6" s="1"/>
  <c r="AH468" i="6"/>
  <c r="AI542" i="6" s="1"/>
  <c r="AG468" i="6"/>
  <c r="AH542" i="6" s="1"/>
  <c r="AF468" i="6"/>
  <c r="AG542" i="6" s="1"/>
  <c r="AE468" i="6"/>
  <c r="AF542" i="6" s="1"/>
  <c r="AD468" i="6"/>
  <c r="AE542" i="6" s="1"/>
  <c r="AC468" i="6"/>
  <c r="AD542" i="6" s="1"/>
  <c r="AB468" i="6"/>
  <c r="AC542" i="6" s="1"/>
  <c r="AA468" i="6"/>
  <c r="AB542" i="6" s="1"/>
  <c r="Z468" i="6"/>
  <c r="AA542" i="6" s="1"/>
  <c r="Y468" i="6"/>
  <c r="Z542" i="6" s="1"/>
  <c r="X468" i="6"/>
  <c r="Y542" i="6" s="1"/>
  <c r="W468" i="6"/>
  <c r="X542" i="6" s="1"/>
  <c r="V468" i="6"/>
  <c r="W542" i="6" s="1"/>
  <c r="U468" i="6"/>
  <c r="V542" i="6" s="1"/>
  <c r="T468" i="6"/>
  <c r="U542" i="6" s="1"/>
  <c r="S468" i="6"/>
  <c r="T542" i="6" s="1"/>
  <c r="R468" i="6"/>
  <c r="S542" i="6" s="1"/>
  <c r="Q468" i="6"/>
  <c r="R542" i="6" s="1"/>
  <c r="P468" i="6"/>
  <c r="Q542" i="6" s="1"/>
  <c r="O468" i="6"/>
  <c r="P542" i="6" s="1"/>
  <c r="N468" i="6"/>
  <c r="O542" i="6" s="1"/>
  <c r="M468" i="6"/>
  <c r="L468" i="6"/>
  <c r="M542" i="6" s="1"/>
  <c r="K468" i="6"/>
  <c r="L542" i="6" s="1"/>
  <c r="J468" i="6"/>
  <c r="K542" i="6" s="1"/>
  <c r="I468" i="6"/>
  <c r="J542" i="6" s="1"/>
  <c r="H468" i="6"/>
  <c r="I542" i="6" s="1"/>
  <c r="AH467" i="6"/>
  <c r="AI541" i="6" s="1"/>
  <c r="AG467" i="6"/>
  <c r="AH541" i="6" s="1"/>
  <c r="AF467" i="6"/>
  <c r="AG541" i="6" s="1"/>
  <c r="AE467" i="6"/>
  <c r="AF541" i="6" s="1"/>
  <c r="AD467" i="6"/>
  <c r="AE541" i="6" s="1"/>
  <c r="AC467" i="6"/>
  <c r="AD541" i="6" s="1"/>
  <c r="AB467" i="6"/>
  <c r="AC541" i="6" s="1"/>
  <c r="AA467" i="6"/>
  <c r="Z467" i="6"/>
  <c r="AA541" i="6" s="1"/>
  <c r="Y467" i="6"/>
  <c r="Z541" i="6" s="1"/>
  <c r="X467" i="6"/>
  <c r="Y541" i="6" s="1"/>
  <c r="W467" i="6"/>
  <c r="V467" i="6"/>
  <c r="W541" i="6" s="1"/>
  <c r="U467" i="6"/>
  <c r="V541" i="6" s="1"/>
  <c r="T467" i="6"/>
  <c r="U541" i="6" s="1"/>
  <c r="S467" i="6"/>
  <c r="T541" i="6" s="1"/>
  <c r="R467" i="6"/>
  <c r="S541" i="6" s="1"/>
  <c r="Q467" i="6"/>
  <c r="P467" i="6"/>
  <c r="Q541" i="6" s="1"/>
  <c r="O467" i="6"/>
  <c r="P541" i="6" s="1"/>
  <c r="N467" i="6"/>
  <c r="M467" i="6"/>
  <c r="N541" i="6" s="1"/>
  <c r="L467" i="6"/>
  <c r="M541" i="6" s="1"/>
  <c r="K467" i="6"/>
  <c r="L541" i="6" s="1"/>
  <c r="J467" i="6"/>
  <c r="K541" i="6" s="1"/>
  <c r="I467" i="6"/>
  <c r="J541" i="6" s="1"/>
  <c r="H467" i="6"/>
  <c r="I541" i="6" s="1"/>
  <c r="AP38" i="6"/>
  <c r="AM38" i="6"/>
  <c r="AP37" i="6"/>
  <c r="AP36" i="6"/>
  <c r="AM36" i="6"/>
  <c r="AQ35" i="6"/>
  <c r="AR35" i="6" s="1"/>
  <c r="AS35" i="6" s="1"/>
  <c r="AP35" i="6"/>
  <c r="AP34" i="6"/>
  <c r="AN34" i="6"/>
  <c r="AM34" i="6"/>
  <c r="AO34" i="6" s="1"/>
  <c r="AP33" i="6"/>
  <c r="AM33" i="6"/>
  <c r="AP32" i="6"/>
  <c r="AP31" i="6"/>
  <c r="AM31" i="6"/>
  <c r="AP30" i="6"/>
  <c r="AP29" i="6"/>
  <c r="H29" i="6"/>
  <c r="G335" i="6" s="1"/>
  <c r="H341" i="6" s="1"/>
  <c r="G29" i="6"/>
  <c r="F335" i="6" s="1"/>
  <c r="H340" i="6" s="1"/>
  <c r="F29" i="6"/>
  <c r="E335" i="6" s="1"/>
  <c r="H339" i="6" s="1"/>
  <c r="AW25" i="6"/>
  <c r="AX25" i="6" s="1"/>
  <c r="AO25" i="6"/>
  <c r="AR25" i="6" s="1"/>
  <c r="AS25" i="6" s="1"/>
  <c r="AU24" i="6"/>
  <c r="AS24" i="6"/>
  <c r="AP24" i="6"/>
  <c r="AO24" i="6"/>
  <c r="AR24" i="6" s="1"/>
  <c r="AO23" i="6"/>
  <c r="AP23" i="6" s="1"/>
  <c r="AW22" i="6"/>
  <c r="AU22" i="6"/>
  <c r="AN36" i="6" s="1"/>
  <c r="AR22" i="6"/>
  <c r="AS22" i="6" s="1"/>
  <c r="AP22" i="6"/>
  <c r="AO22" i="6"/>
  <c r="AW21" i="6"/>
  <c r="AX21" i="6" s="1"/>
  <c r="AU21" i="6"/>
  <c r="AN35" i="6" s="1"/>
  <c r="AR21" i="6"/>
  <c r="AS21" i="6" s="1"/>
  <c r="AP21" i="6"/>
  <c r="AO21" i="6"/>
  <c r="AX20" i="6"/>
  <c r="AW20" i="6"/>
  <c r="AQ34" i="6" s="1"/>
  <c r="AR34" i="6" s="1"/>
  <c r="AS34" i="6" s="1"/>
  <c r="AO20" i="6"/>
  <c r="AU20" i="6" s="1"/>
  <c r="AW19" i="6"/>
  <c r="AX19" i="6" s="1"/>
  <c r="AU19" i="6"/>
  <c r="AR19" i="6"/>
  <c r="AQ32" i="6" s="1"/>
  <c r="AR32" i="6" s="1"/>
  <c r="AS32" i="6" s="1"/>
  <c r="AO19" i="6"/>
  <c r="AP19" i="6" s="1"/>
  <c r="AX18" i="6"/>
  <c r="AU18" i="6"/>
  <c r="AN32" i="6" s="1"/>
  <c r="AO18" i="6"/>
  <c r="AW18" i="6" s="1"/>
  <c r="H18" i="6"/>
  <c r="G18" i="6"/>
  <c r="I18" i="6" s="1"/>
  <c r="AX17" i="6"/>
  <c r="AW17" i="6"/>
  <c r="AU17" i="6"/>
  <c r="AS17" i="6"/>
  <c r="AR17" i="6"/>
  <c r="AP17" i="6"/>
  <c r="AO17" i="6"/>
  <c r="H17" i="6"/>
  <c r="G17" i="6"/>
  <c r="I17" i="6" s="1"/>
  <c r="AO16" i="6"/>
  <c r="AW16" i="6" s="1"/>
  <c r="S16" i="6"/>
  <c r="P16" i="6"/>
  <c r="O16" i="6"/>
  <c r="N16" i="6"/>
  <c r="M16" i="6"/>
  <c r="I16" i="6"/>
  <c r="G338" i="6" s="1"/>
  <c r="H16" i="6"/>
  <c r="G16" i="6"/>
  <c r="N15" i="6"/>
  <c r="H15" i="6"/>
  <c r="G15" i="6"/>
  <c r="I15" i="6" s="1"/>
  <c r="D295" i="6" s="1"/>
  <c r="H14" i="6"/>
  <c r="I14" i="6" s="1"/>
  <c r="G14" i="6"/>
  <c r="H13" i="6"/>
  <c r="G13" i="6"/>
  <c r="I13" i="6" s="1"/>
  <c r="AR12" i="6"/>
  <c r="AP12" i="6"/>
  <c r="AO12" i="6"/>
  <c r="AN12" i="6"/>
  <c r="H12" i="6"/>
  <c r="G12" i="6"/>
  <c r="I12" i="6" s="1"/>
  <c r="AR11" i="6"/>
  <c r="AP11" i="6"/>
  <c r="AM37" i="6" s="1"/>
  <c r="AO11" i="6"/>
  <c r="AN11" i="6"/>
  <c r="H11" i="6"/>
  <c r="G11" i="6"/>
  <c r="I11" i="6" s="1"/>
  <c r="AR10" i="6"/>
  <c r="AP10" i="6"/>
  <c r="AO10" i="6"/>
  <c r="AN10" i="6"/>
  <c r="H10" i="6"/>
  <c r="G10" i="6"/>
  <c r="I10" i="6" s="1"/>
  <c r="AR9" i="6"/>
  <c r="AP9" i="6"/>
  <c r="AM35" i="6" s="1"/>
  <c r="AO35" i="6" s="1"/>
  <c r="AO9" i="6"/>
  <c r="AN9" i="6"/>
  <c r="H9" i="6"/>
  <c r="I9" i="6" s="1"/>
  <c r="G9" i="6"/>
  <c r="AR8" i="6"/>
  <c r="AP8" i="6"/>
  <c r="AO8" i="6"/>
  <c r="AN8" i="6"/>
  <c r="AR7" i="6"/>
  <c r="AP7" i="6"/>
  <c r="AO7" i="6"/>
  <c r="AN7" i="6"/>
  <c r="AR6" i="6"/>
  <c r="AP6" i="6"/>
  <c r="AM32" i="6" s="1"/>
  <c r="AO32" i="6" s="1"/>
  <c r="AO6" i="6"/>
  <c r="AN6" i="6"/>
  <c r="AR5" i="6"/>
  <c r="AP5" i="6"/>
  <c r="AO5" i="6"/>
  <c r="AN5" i="6"/>
  <c r="C5" i="6"/>
  <c r="AR4" i="6"/>
  <c r="AP4" i="6"/>
  <c r="AM30" i="6" s="1"/>
  <c r="AO4" i="6"/>
  <c r="AN4" i="6"/>
  <c r="C4" i="6"/>
  <c r="AR3" i="6"/>
  <c r="AP3" i="6"/>
  <c r="AM29" i="6" s="1"/>
  <c r="AO3" i="6"/>
  <c r="AN3" i="6"/>
  <c r="Z573" i="5"/>
  <c r="W573" i="5"/>
  <c r="Q573" i="5"/>
  <c r="P573" i="5"/>
  <c r="L573" i="5"/>
  <c r="J573" i="5"/>
  <c r="D573" i="5"/>
  <c r="A573" i="5"/>
  <c r="AQ572" i="5"/>
  <c r="AA572" i="5"/>
  <c r="X572" i="5"/>
  <c r="U572" i="5"/>
  <c r="K572" i="5"/>
  <c r="J572" i="5"/>
  <c r="I572" i="5"/>
  <c r="G572" i="5"/>
  <c r="E572" i="5"/>
  <c r="A572" i="5"/>
  <c r="Y571" i="5"/>
  <c r="V571" i="5"/>
  <c r="T571" i="5"/>
  <c r="O571" i="5"/>
  <c r="H571" i="5"/>
  <c r="G571" i="5"/>
  <c r="C571" i="5"/>
  <c r="A571" i="5"/>
  <c r="Z570" i="5"/>
  <c r="M570" i="5"/>
  <c r="H570" i="5"/>
  <c r="G570" i="5"/>
  <c r="A570" i="5"/>
  <c r="W569" i="5"/>
  <c r="U569" i="5"/>
  <c r="O569" i="5"/>
  <c r="L569" i="5"/>
  <c r="K569" i="5"/>
  <c r="J569" i="5"/>
  <c r="E569" i="5"/>
  <c r="C569" i="5"/>
  <c r="A569" i="5"/>
  <c r="U568" i="5"/>
  <c r="R568" i="5"/>
  <c r="N568" i="5"/>
  <c r="D568" i="5"/>
  <c r="A568" i="5"/>
  <c r="AQ567" i="5"/>
  <c r="P567" i="5"/>
  <c r="N567" i="5"/>
  <c r="M567" i="5"/>
  <c r="L567" i="5"/>
  <c r="K567" i="5"/>
  <c r="G567" i="5"/>
  <c r="A567" i="5"/>
  <c r="AQ566" i="5"/>
  <c r="W566" i="5"/>
  <c r="V566" i="5"/>
  <c r="Q566" i="5"/>
  <c r="O566" i="5"/>
  <c r="K566" i="5"/>
  <c r="A566" i="5"/>
  <c r="AQ565" i="5"/>
  <c r="AH565" i="5"/>
  <c r="W565" i="5"/>
  <c r="U565" i="5"/>
  <c r="N565" i="5"/>
  <c r="I565" i="5"/>
  <c r="H565" i="5"/>
  <c r="A565" i="5"/>
  <c r="AI564" i="5"/>
  <c r="AG564" i="5"/>
  <c r="AF564" i="5"/>
  <c r="Q564" i="5"/>
  <c r="P564" i="5"/>
  <c r="I564" i="5"/>
  <c r="H564" i="5"/>
  <c r="A564" i="5"/>
  <c r="AE563" i="5"/>
  <c r="T563" i="5"/>
  <c r="S563" i="5"/>
  <c r="N563" i="5"/>
  <c r="E563" i="5"/>
  <c r="D563" i="5"/>
  <c r="A563" i="5"/>
  <c r="L562" i="5"/>
  <c r="K562" i="5"/>
  <c r="F562" i="5"/>
  <c r="C562" i="5"/>
  <c r="A562" i="5"/>
  <c r="AB561" i="5"/>
  <c r="AA561" i="5"/>
  <c r="L561" i="5"/>
  <c r="K561" i="5"/>
  <c r="D561" i="5"/>
  <c r="C561" i="5"/>
  <c r="A561" i="5"/>
  <c r="AI560" i="5"/>
  <c r="N560" i="5"/>
  <c r="L560" i="5"/>
  <c r="E560" i="5"/>
  <c r="D560" i="5"/>
  <c r="C560" i="5"/>
  <c r="A560" i="5"/>
  <c r="AQ559" i="5"/>
  <c r="AG559" i="5"/>
  <c r="AE559" i="5"/>
  <c r="N559" i="5"/>
  <c r="A559" i="5"/>
  <c r="AE558" i="5"/>
  <c r="AD558" i="5"/>
  <c r="Y558" i="5"/>
  <c r="M558" i="5"/>
  <c r="K558" i="5"/>
  <c r="I558" i="5"/>
  <c r="F558" i="5"/>
  <c r="A558" i="5"/>
  <c r="AA557" i="5"/>
  <c r="Z557" i="5"/>
  <c r="X557" i="5"/>
  <c r="J557" i="5"/>
  <c r="G557" i="5"/>
  <c r="A557" i="5"/>
  <c r="AA556" i="5"/>
  <c r="G556" i="5"/>
  <c r="F556" i="5"/>
  <c r="A556" i="5"/>
  <c r="AI555" i="5"/>
  <c r="AH555" i="5"/>
  <c r="Y555" i="5"/>
  <c r="W555" i="5"/>
  <c r="I555" i="5"/>
  <c r="C555" i="5"/>
  <c r="A555" i="5"/>
  <c r="AQ554" i="5"/>
  <c r="AB554" i="5"/>
  <c r="Z554" i="5"/>
  <c r="V554" i="5"/>
  <c r="K554" i="5"/>
  <c r="E554" i="5"/>
  <c r="A554" i="5"/>
  <c r="AE553" i="5"/>
  <c r="AD553" i="5"/>
  <c r="AB553" i="5"/>
  <c r="U553" i="5"/>
  <c r="K553" i="5"/>
  <c r="I553" i="5"/>
  <c r="A553" i="5"/>
  <c r="AI552" i="5"/>
  <c r="AE552" i="5"/>
  <c r="AC552" i="5"/>
  <c r="V552" i="5"/>
  <c r="A552" i="5"/>
  <c r="AI551" i="5"/>
  <c r="AD551" i="5"/>
  <c r="AC551" i="5"/>
  <c r="AA551" i="5"/>
  <c r="A551" i="5"/>
  <c r="AG550" i="5"/>
  <c r="AE550" i="5"/>
  <c r="AD550" i="5"/>
  <c r="H550" i="5"/>
  <c r="A550" i="5"/>
  <c r="AQ549" i="5"/>
  <c r="AH549" i="5"/>
  <c r="AG549" i="5"/>
  <c r="Y549" i="5"/>
  <c r="X549" i="5"/>
  <c r="Q549" i="5"/>
  <c r="P549" i="5"/>
  <c r="O549" i="5"/>
  <c r="A549" i="5"/>
  <c r="AI548" i="5"/>
  <c r="AD548" i="5"/>
  <c r="AC548" i="5"/>
  <c r="Z548" i="5"/>
  <c r="S548" i="5"/>
  <c r="O548" i="5"/>
  <c r="A548" i="5"/>
  <c r="AH547" i="5"/>
  <c r="AE547" i="5"/>
  <c r="R547" i="5"/>
  <c r="A547" i="5"/>
  <c r="AQ546" i="5"/>
  <c r="AI546" i="5"/>
  <c r="AB546" i="5"/>
  <c r="Z546" i="5"/>
  <c r="S546" i="5"/>
  <c r="R546" i="5"/>
  <c r="O546" i="5"/>
  <c r="A546" i="5"/>
  <c r="AC545" i="5"/>
  <c r="V545" i="5"/>
  <c r="T545" i="5"/>
  <c r="S545" i="5"/>
  <c r="A545" i="5"/>
  <c r="AQ544" i="5"/>
  <c r="AH544" i="5"/>
  <c r="U544" i="5"/>
  <c r="A544" i="5"/>
  <c r="AD543" i="5"/>
  <c r="AB543" i="5"/>
  <c r="Y543" i="5"/>
  <c r="J543" i="5"/>
  <c r="A543" i="5"/>
  <c r="AQ542" i="5"/>
  <c r="AD542" i="5"/>
  <c r="Y542" i="5"/>
  <c r="W542" i="5"/>
  <c r="V542" i="5"/>
  <c r="A542" i="5"/>
  <c r="AQ541" i="5"/>
  <c r="AB541" i="5"/>
  <c r="X541" i="5"/>
  <c r="W541" i="5"/>
  <c r="J541" i="5"/>
  <c r="I541" i="5"/>
  <c r="A541" i="5"/>
  <c r="K536" i="5"/>
  <c r="AQ573" i="5" s="1"/>
  <c r="K535" i="5"/>
  <c r="K534" i="5"/>
  <c r="AQ571" i="5" s="1"/>
  <c r="K533" i="5"/>
  <c r="AQ570" i="5" s="1"/>
  <c r="K532" i="5"/>
  <c r="AQ569" i="5" s="1"/>
  <c r="K531" i="5"/>
  <c r="AQ568" i="5" s="1"/>
  <c r="K530" i="5"/>
  <c r="K529" i="5"/>
  <c r="K528" i="5"/>
  <c r="K527" i="5"/>
  <c r="AQ564" i="5" s="1"/>
  <c r="K526" i="5"/>
  <c r="AQ563" i="5" s="1"/>
  <c r="K525" i="5"/>
  <c r="AQ562" i="5" s="1"/>
  <c r="K524" i="5"/>
  <c r="AQ561" i="5" s="1"/>
  <c r="K523" i="5"/>
  <c r="AQ560" i="5" s="1"/>
  <c r="K522" i="5"/>
  <c r="K521" i="5"/>
  <c r="AQ558" i="5" s="1"/>
  <c r="K520" i="5"/>
  <c r="AQ557" i="5" s="1"/>
  <c r="K519" i="5"/>
  <c r="AQ556" i="5" s="1"/>
  <c r="K518" i="5"/>
  <c r="AQ555" i="5" s="1"/>
  <c r="K517" i="5"/>
  <c r="K516" i="5"/>
  <c r="AQ553" i="5" s="1"/>
  <c r="K515" i="5"/>
  <c r="AQ552" i="5" s="1"/>
  <c r="K514" i="5"/>
  <c r="AQ551" i="5" s="1"/>
  <c r="K513" i="5"/>
  <c r="AQ550" i="5" s="1"/>
  <c r="K512" i="5"/>
  <c r="K511" i="5"/>
  <c r="AQ548" i="5" s="1"/>
  <c r="K510" i="5"/>
  <c r="AQ547" i="5" s="1"/>
  <c r="K509" i="5"/>
  <c r="K508" i="5"/>
  <c r="AQ545" i="5" s="1"/>
  <c r="K507" i="5"/>
  <c r="K506" i="5"/>
  <c r="AQ543" i="5" s="1"/>
  <c r="AB499" i="5"/>
  <c r="AC573" i="5" s="1"/>
  <c r="AA499" i="5"/>
  <c r="AB573" i="5" s="1"/>
  <c r="Z499" i="5"/>
  <c r="AA573" i="5" s="1"/>
  <c r="Y499" i="5"/>
  <c r="X499" i="5"/>
  <c r="Y573" i="5" s="1"/>
  <c r="W499" i="5"/>
  <c r="X573" i="5" s="1"/>
  <c r="V499" i="5"/>
  <c r="U499" i="5"/>
  <c r="V573" i="5" s="1"/>
  <c r="T499" i="5"/>
  <c r="U573" i="5" s="1"/>
  <c r="S499" i="5"/>
  <c r="T573" i="5" s="1"/>
  <c r="R499" i="5"/>
  <c r="S573" i="5" s="1"/>
  <c r="Q499" i="5"/>
  <c r="R573" i="5" s="1"/>
  <c r="P499" i="5"/>
  <c r="O499" i="5"/>
  <c r="N499" i="5"/>
  <c r="O573" i="5" s="1"/>
  <c r="M499" i="5"/>
  <c r="N573" i="5" s="1"/>
  <c r="L499" i="5"/>
  <c r="M573" i="5" s="1"/>
  <c r="K499" i="5"/>
  <c r="J499" i="5"/>
  <c r="K573" i="5" s="1"/>
  <c r="I499" i="5"/>
  <c r="H499" i="5"/>
  <c r="I573" i="5" s="1"/>
  <c r="G499" i="5"/>
  <c r="H573" i="5" s="1"/>
  <c r="F499" i="5"/>
  <c r="G573" i="5" s="1"/>
  <c r="E499" i="5"/>
  <c r="F573" i="5" s="1"/>
  <c r="D499" i="5"/>
  <c r="E573" i="5" s="1"/>
  <c r="C499" i="5"/>
  <c r="B499" i="5"/>
  <c r="C573" i="5" s="1"/>
  <c r="AB498" i="5"/>
  <c r="AC572" i="5" s="1"/>
  <c r="AA498" i="5"/>
  <c r="AB572" i="5" s="1"/>
  <c r="Z498" i="5"/>
  <c r="Y498" i="5"/>
  <c r="Z572" i="5" s="1"/>
  <c r="X498" i="5"/>
  <c r="Y572" i="5" s="1"/>
  <c r="W498" i="5"/>
  <c r="V498" i="5"/>
  <c r="W572" i="5" s="1"/>
  <c r="U498" i="5"/>
  <c r="V572" i="5" s="1"/>
  <c r="T498" i="5"/>
  <c r="S498" i="5"/>
  <c r="T572" i="5" s="1"/>
  <c r="R498" i="5"/>
  <c r="S572" i="5" s="1"/>
  <c r="Q498" i="5"/>
  <c r="R572" i="5" s="1"/>
  <c r="P498" i="5"/>
  <c r="Q572" i="5" s="1"/>
  <c r="O498" i="5"/>
  <c r="P572" i="5" s="1"/>
  <c r="N498" i="5"/>
  <c r="O572" i="5" s="1"/>
  <c r="M498" i="5"/>
  <c r="N572" i="5" s="1"/>
  <c r="L498" i="5"/>
  <c r="M572" i="5" s="1"/>
  <c r="K498" i="5"/>
  <c r="L572" i="5" s="1"/>
  <c r="J498" i="5"/>
  <c r="I498" i="5"/>
  <c r="H498" i="5"/>
  <c r="G498" i="5"/>
  <c r="H572" i="5" s="1"/>
  <c r="F498" i="5"/>
  <c r="E498" i="5"/>
  <c r="F572" i="5" s="1"/>
  <c r="D498" i="5"/>
  <c r="C498" i="5"/>
  <c r="D572" i="5" s="1"/>
  <c r="B498" i="5"/>
  <c r="C572" i="5" s="1"/>
  <c r="AB497" i="5"/>
  <c r="AC571" i="5" s="1"/>
  <c r="AA497" i="5"/>
  <c r="AB571" i="5" s="1"/>
  <c r="Z497" i="5"/>
  <c r="AA571" i="5" s="1"/>
  <c r="Y497" i="5"/>
  <c r="Z571" i="5" s="1"/>
  <c r="X497" i="5"/>
  <c r="W497" i="5"/>
  <c r="X571" i="5" s="1"/>
  <c r="V497" i="5"/>
  <c r="W571" i="5" s="1"/>
  <c r="U497" i="5"/>
  <c r="T497" i="5"/>
  <c r="U571" i="5" s="1"/>
  <c r="S497" i="5"/>
  <c r="R497" i="5"/>
  <c r="S571" i="5" s="1"/>
  <c r="Q497" i="5"/>
  <c r="R571" i="5" s="1"/>
  <c r="P497" i="5"/>
  <c r="Q571" i="5" s="1"/>
  <c r="O497" i="5"/>
  <c r="P571" i="5" s="1"/>
  <c r="N497" i="5"/>
  <c r="M497" i="5"/>
  <c r="N571" i="5" s="1"/>
  <c r="L497" i="5"/>
  <c r="M571" i="5" s="1"/>
  <c r="K497" i="5"/>
  <c r="L571" i="5" s="1"/>
  <c r="J497" i="5"/>
  <c r="K571" i="5" s="1"/>
  <c r="I497" i="5"/>
  <c r="J571" i="5" s="1"/>
  <c r="H497" i="5"/>
  <c r="I571" i="5" s="1"/>
  <c r="G497" i="5"/>
  <c r="F497" i="5"/>
  <c r="E497" i="5"/>
  <c r="F571" i="5" s="1"/>
  <c r="D497" i="5"/>
  <c r="E571" i="5" s="1"/>
  <c r="C497" i="5"/>
  <c r="D571" i="5" s="1"/>
  <c r="B497" i="5"/>
  <c r="Y496" i="5"/>
  <c r="X496" i="5"/>
  <c r="Y570" i="5" s="1"/>
  <c r="W496" i="5"/>
  <c r="X570" i="5" s="1"/>
  <c r="V496" i="5"/>
  <c r="W570" i="5" s="1"/>
  <c r="U496" i="5"/>
  <c r="V570" i="5" s="1"/>
  <c r="T496" i="5"/>
  <c r="U570" i="5" s="1"/>
  <c r="S496" i="5"/>
  <c r="T570" i="5" s="1"/>
  <c r="R496" i="5"/>
  <c r="S570" i="5" s="1"/>
  <c r="Q496" i="5"/>
  <c r="R570" i="5" s="1"/>
  <c r="P496" i="5"/>
  <c r="Q570" i="5" s="1"/>
  <c r="O496" i="5"/>
  <c r="P570" i="5" s="1"/>
  <c r="N496" i="5"/>
  <c r="O570" i="5" s="1"/>
  <c r="M496" i="5"/>
  <c r="N570" i="5" s="1"/>
  <c r="L496" i="5"/>
  <c r="K496" i="5"/>
  <c r="L570" i="5" s="1"/>
  <c r="J496" i="5"/>
  <c r="K570" i="5" s="1"/>
  <c r="I496" i="5"/>
  <c r="J570" i="5" s="1"/>
  <c r="H496" i="5"/>
  <c r="I570" i="5" s="1"/>
  <c r="G496" i="5"/>
  <c r="F496" i="5"/>
  <c r="E496" i="5"/>
  <c r="F570" i="5" s="1"/>
  <c r="D496" i="5"/>
  <c r="E570" i="5" s="1"/>
  <c r="C496" i="5"/>
  <c r="D570" i="5" s="1"/>
  <c r="B496" i="5"/>
  <c r="C570" i="5" s="1"/>
  <c r="Y495" i="5"/>
  <c r="Z569" i="5" s="1"/>
  <c r="X495" i="5"/>
  <c r="Y569" i="5" s="1"/>
  <c r="W495" i="5"/>
  <c r="X569" i="5" s="1"/>
  <c r="V495" i="5"/>
  <c r="U495" i="5"/>
  <c r="V569" i="5" s="1"/>
  <c r="T495" i="5"/>
  <c r="S495" i="5"/>
  <c r="T569" i="5" s="1"/>
  <c r="R495" i="5"/>
  <c r="S569" i="5" s="1"/>
  <c r="Q495" i="5"/>
  <c r="R569" i="5" s="1"/>
  <c r="P495" i="5"/>
  <c r="Q569" i="5" s="1"/>
  <c r="O495" i="5"/>
  <c r="P569" i="5" s="1"/>
  <c r="N495" i="5"/>
  <c r="M495" i="5"/>
  <c r="N569" i="5" s="1"/>
  <c r="L495" i="5"/>
  <c r="M569" i="5" s="1"/>
  <c r="K495" i="5"/>
  <c r="J495" i="5"/>
  <c r="I495" i="5"/>
  <c r="H495" i="5"/>
  <c r="I569" i="5" s="1"/>
  <c r="G495" i="5"/>
  <c r="H569" i="5" s="1"/>
  <c r="F495" i="5"/>
  <c r="G569" i="5" s="1"/>
  <c r="E495" i="5"/>
  <c r="F569" i="5" s="1"/>
  <c r="D495" i="5"/>
  <c r="C495" i="5"/>
  <c r="D569" i="5" s="1"/>
  <c r="B495" i="5"/>
  <c r="Y494" i="5"/>
  <c r="Z568" i="5" s="1"/>
  <c r="X494" i="5"/>
  <c r="Y568" i="5" s="1"/>
  <c r="W494" i="5"/>
  <c r="X568" i="5" s="1"/>
  <c r="V494" i="5"/>
  <c r="W568" i="5" s="1"/>
  <c r="U494" i="5"/>
  <c r="V568" i="5" s="1"/>
  <c r="T494" i="5"/>
  <c r="S494" i="5"/>
  <c r="T568" i="5" s="1"/>
  <c r="R494" i="5"/>
  <c r="S568" i="5" s="1"/>
  <c r="Q494" i="5"/>
  <c r="P494" i="5"/>
  <c r="Q568" i="5" s="1"/>
  <c r="O494" i="5"/>
  <c r="P568" i="5" s="1"/>
  <c r="N494" i="5"/>
  <c r="O568" i="5" s="1"/>
  <c r="M494" i="5"/>
  <c r="L494" i="5"/>
  <c r="M568" i="5" s="1"/>
  <c r="K494" i="5"/>
  <c r="L568" i="5" s="1"/>
  <c r="J494" i="5"/>
  <c r="K568" i="5" s="1"/>
  <c r="I494" i="5"/>
  <c r="J568" i="5" s="1"/>
  <c r="H494" i="5"/>
  <c r="I568" i="5" s="1"/>
  <c r="G494" i="5"/>
  <c r="H568" i="5" s="1"/>
  <c r="F494" i="5"/>
  <c r="G568" i="5" s="1"/>
  <c r="E494" i="5"/>
  <c r="F568" i="5" s="1"/>
  <c r="D494" i="5"/>
  <c r="E568" i="5" s="1"/>
  <c r="C494" i="5"/>
  <c r="B494" i="5"/>
  <c r="C568" i="5" s="1"/>
  <c r="AH493" i="5"/>
  <c r="AI567" i="5" s="1"/>
  <c r="AG493" i="5"/>
  <c r="AH567" i="5" s="1"/>
  <c r="AF493" i="5"/>
  <c r="AG567" i="5" s="1"/>
  <c r="V493" i="5"/>
  <c r="W567" i="5" s="1"/>
  <c r="U493" i="5"/>
  <c r="V567" i="5" s="1"/>
  <c r="T493" i="5"/>
  <c r="U567" i="5" s="1"/>
  <c r="S493" i="5"/>
  <c r="T567" i="5" s="1"/>
  <c r="R493" i="5"/>
  <c r="S567" i="5" s="1"/>
  <c r="Q493" i="5"/>
  <c r="R567" i="5" s="1"/>
  <c r="P493" i="5"/>
  <c r="Q567" i="5" s="1"/>
  <c r="O493" i="5"/>
  <c r="N493" i="5"/>
  <c r="O567" i="5" s="1"/>
  <c r="M493" i="5"/>
  <c r="L493" i="5"/>
  <c r="K493" i="5"/>
  <c r="J493" i="5"/>
  <c r="I493" i="5"/>
  <c r="J567" i="5" s="1"/>
  <c r="H493" i="5"/>
  <c r="I567" i="5" s="1"/>
  <c r="G493" i="5"/>
  <c r="H567" i="5" s="1"/>
  <c r="F493" i="5"/>
  <c r="E493" i="5"/>
  <c r="F567" i="5" s="1"/>
  <c r="D493" i="5"/>
  <c r="E567" i="5" s="1"/>
  <c r="C493" i="5"/>
  <c r="D567" i="5" s="1"/>
  <c r="B493" i="5"/>
  <c r="C567" i="5" s="1"/>
  <c r="AH492" i="5"/>
  <c r="AI566" i="5" s="1"/>
  <c r="AG492" i="5"/>
  <c r="AH566" i="5" s="1"/>
  <c r="AF492" i="5"/>
  <c r="AG566" i="5" s="1"/>
  <c r="V492" i="5"/>
  <c r="U492" i="5"/>
  <c r="T492" i="5"/>
  <c r="U566" i="5" s="1"/>
  <c r="S492" i="5"/>
  <c r="T566" i="5" s="1"/>
  <c r="R492" i="5"/>
  <c r="S566" i="5" s="1"/>
  <c r="Q492" i="5"/>
  <c r="R566" i="5" s="1"/>
  <c r="P492" i="5"/>
  <c r="O492" i="5"/>
  <c r="P566" i="5" s="1"/>
  <c r="N492" i="5"/>
  <c r="M492" i="5"/>
  <c r="N566" i="5" s="1"/>
  <c r="L492" i="5"/>
  <c r="M566" i="5" s="1"/>
  <c r="K492" i="5"/>
  <c r="L566" i="5" s="1"/>
  <c r="J492" i="5"/>
  <c r="I492" i="5"/>
  <c r="J566" i="5" s="1"/>
  <c r="H492" i="5"/>
  <c r="I566" i="5" s="1"/>
  <c r="G492" i="5"/>
  <c r="H566" i="5" s="1"/>
  <c r="F492" i="5"/>
  <c r="G566" i="5" s="1"/>
  <c r="E492" i="5"/>
  <c r="F566" i="5" s="1"/>
  <c r="D492" i="5"/>
  <c r="E566" i="5" s="1"/>
  <c r="C492" i="5"/>
  <c r="D566" i="5" s="1"/>
  <c r="B492" i="5"/>
  <c r="C566" i="5" s="1"/>
  <c r="AH491" i="5"/>
  <c r="AI565" i="5" s="1"/>
  <c r="AG491" i="5"/>
  <c r="AF491" i="5"/>
  <c r="AG565" i="5" s="1"/>
  <c r="V491" i="5"/>
  <c r="U491" i="5"/>
  <c r="V565" i="5" s="1"/>
  <c r="T491" i="5"/>
  <c r="S491" i="5"/>
  <c r="T565" i="5" s="1"/>
  <c r="R491" i="5"/>
  <c r="S565" i="5" s="1"/>
  <c r="Q491" i="5"/>
  <c r="R565" i="5" s="1"/>
  <c r="P491" i="5"/>
  <c r="Q565" i="5" s="1"/>
  <c r="O491" i="5"/>
  <c r="P565" i="5" s="1"/>
  <c r="N491" i="5"/>
  <c r="O565" i="5" s="1"/>
  <c r="M491" i="5"/>
  <c r="L491" i="5"/>
  <c r="M565" i="5" s="1"/>
  <c r="K491" i="5"/>
  <c r="L565" i="5" s="1"/>
  <c r="J491" i="5"/>
  <c r="K565" i="5" s="1"/>
  <c r="I491" i="5"/>
  <c r="J565" i="5" s="1"/>
  <c r="H491" i="5"/>
  <c r="G491" i="5"/>
  <c r="F491" i="5"/>
  <c r="G565" i="5" s="1"/>
  <c r="E491" i="5"/>
  <c r="F565" i="5" s="1"/>
  <c r="D491" i="5"/>
  <c r="E565" i="5" s="1"/>
  <c r="C491" i="5"/>
  <c r="D565" i="5" s="1"/>
  <c r="B491" i="5"/>
  <c r="C565" i="5" s="1"/>
  <c r="AH490" i="5"/>
  <c r="AG490" i="5"/>
  <c r="AH564" i="5" s="1"/>
  <c r="AF490" i="5"/>
  <c r="AE490" i="5"/>
  <c r="AD490" i="5"/>
  <c r="AE564" i="5" s="1"/>
  <c r="AC490" i="5"/>
  <c r="AD564" i="5" s="1"/>
  <c r="S490" i="5"/>
  <c r="T564" i="5" s="1"/>
  <c r="R490" i="5"/>
  <c r="S564" i="5" s="1"/>
  <c r="Q490" i="5"/>
  <c r="R564" i="5" s="1"/>
  <c r="P490" i="5"/>
  <c r="O490" i="5"/>
  <c r="N490" i="5"/>
  <c r="O564" i="5" s="1"/>
  <c r="M490" i="5"/>
  <c r="N564" i="5" s="1"/>
  <c r="L490" i="5"/>
  <c r="M564" i="5" s="1"/>
  <c r="K490" i="5"/>
  <c r="L564" i="5" s="1"/>
  <c r="J490" i="5"/>
  <c r="K564" i="5" s="1"/>
  <c r="I490" i="5"/>
  <c r="J564" i="5" s="1"/>
  <c r="H490" i="5"/>
  <c r="G490" i="5"/>
  <c r="F490" i="5"/>
  <c r="G564" i="5" s="1"/>
  <c r="E490" i="5"/>
  <c r="F564" i="5" s="1"/>
  <c r="D490" i="5"/>
  <c r="E564" i="5" s="1"/>
  <c r="C490" i="5"/>
  <c r="D564" i="5" s="1"/>
  <c r="B490" i="5"/>
  <c r="C564" i="5" s="1"/>
  <c r="AH489" i="5"/>
  <c r="AI563" i="5" s="1"/>
  <c r="AG489" i="5"/>
  <c r="AH563" i="5" s="1"/>
  <c r="AF489" i="5"/>
  <c r="AG563" i="5" s="1"/>
  <c r="AE489" i="5"/>
  <c r="AF563" i="5" s="1"/>
  <c r="AD489" i="5"/>
  <c r="AC489" i="5"/>
  <c r="AD563" i="5" s="1"/>
  <c r="S489" i="5"/>
  <c r="R489" i="5"/>
  <c r="Q489" i="5"/>
  <c r="R563" i="5" s="1"/>
  <c r="P489" i="5"/>
  <c r="Q563" i="5" s="1"/>
  <c r="O489" i="5"/>
  <c r="P563" i="5" s="1"/>
  <c r="N489" i="5"/>
  <c r="O563" i="5" s="1"/>
  <c r="M489" i="5"/>
  <c r="L489" i="5"/>
  <c r="M563" i="5" s="1"/>
  <c r="K489" i="5"/>
  <c r="L563" i="5" s="1"/>
  <c r="J489" i="5"/>
  <c r="K563" i="5" s="1"/>
  <c r="I489" i="5"/>
  <c r="J563" i="5" s="1"/>
  <c r="H489" i="5"/>
  <c r="I563" i="5" s="1"/>
  <c r="G489" i="5"/>
  <c r="H563" i="5" s="1"/>
  <c r="F489" i="5"/>
  <c r="G563" i="5" s="1"/>
  <c r="E489" i="5"/>
  <c r="F563" i="5" s="1"/>
  <c r="D489" i="5"/>
  <c r="C489" i="5"/>
  <c r="B489" i="5"/>
  <c r="C563" i="5" s="1"/>
  <c r="AH488" i="5"/>
  <c r="AI562" i="5" s="1"/>
  <c r="AG488" i="5"/>
  <c r="AH562" i="5" s="1"/>
  <c r="AF488" i="5"/>
  <c r="AG562" i="5" s="1"/>
  <c r="AE488" i="5"/>
  <c r="AF562" i="5" s="1"/>
  <c r="AD488" i="5"/>
  <c r="AE562" i="5" s="1"/>
  <c r="AC488" i="5"/>
  <c r="AD562" i="5" s="1"/>
  <c r="S488" i="5"/>
  <c r="T562" i="5" s="1"/>
  <c r="R488" i="5"/>
  <c r="S562" i="5" s="1"/>
  <c r="Q488" i="5"/>
  <c r="R562" i="5" s="1"/>
  <c r="P488" i="5"/>
  <c r="Q562" i="5" s="1"/>
  <c r="O488" i="5"/>
  <c r="P562" i="5" s="1"/>
  <c r="N488" i="5"/>
  <c r="O562" i="5" s="1"/>
  <c r="M488" i="5"/>
  <c r="N562" i="5" s="1"/>
  <c r="L488" i="5"/>
  <c r="M562" i="5" s="1"/>
  <c r="K488" i="5"/>
  <c r="J488" i="5"/>
  <c r="I488" i="5"/>
  <c r="J562" i="5" s="1"/>
  <c r="H488" i="5"/>
  <c r="I562" i="5" s="1"/>
  <c r="G488" i="5"/>
  <c r="H562" i="5" s="1"/>
  <c r="F488" i="5"/>
  <c r="G562" i="5" s="1"/>
  <c r="E488" i="5"/>
  <c r="D488" i="5"/>
  <c r="E562" i="5" s="1"/>
  <c r="C488" i="5"/>
  <c r="D562" i="5" s="1"/>
  <c r="B488" i="5"/>
  <c r="AH487" i="5"/>
  <c r="AI561" i="5" s="1"/>
  <c r="AG487" i="5"/>
  <c r="AH561" i="5" s="1"/>
  <c r="AF487" i="5"/>
  <c r="AG561" i="5" s="1"/>
  <c r="AE487" i="5"/>
  <c r="AF561" i="5" s="1"/>
  <c r="AD487" i="5"/>
  <c r="AE561" i="5" s="1"/>
  <c r="AC487" i="5"/>
  <c r="AD561" i="5" s="1"/>
  <c r="AB487" i="5"/>
  <c r="AC561" i="5" s="1"/>
  <c r="AA487" i="5"/>
  <c r="Z487" i="5"/>
  <c r="P487" i="5"/>
  <c r="Q561" i="5" s="1"/>
  <c r="O487" i="5"/>
  <c r="P561" i="5" s="1"/>
  <c r="N487" i="5"/>
  <c r="O561" i="5" s="1"/>
  <c r="M487" i="5"/>
  <c r="N561" i="5" s="1"/>
  <c r="L487" i="5"/>
  <c r="M561" i="5" s="1"/>
  <c r="K487" i="5"/>
  <c r="J487" i="5"/>
  <c r="I487" i="5"/>
  <c r="J561" i="5" s="1"/>
  <c r="H487" i="5"/>
  <c r="I561" i="5" s="1"/>
  <c r="G487" i="5"/>
  <c r="H561" i="5" s="1"/>
  <c r="F487" i="5"/>
  <c r="G561" i="5" s="1"/>
  <c r="E487" i="5"/>
  <c r="F561" i="5" s="1"/>
  <c r="D487" i="5"/>
  <c r="E561" i="5" s="1"/>
  <c r="C487" i="5"/>
  <c r="B487" i="5"/>
  <c r="AH486" i="5"/>
  <c r="AG486" i="5"/>
  <c r="AH560" i="5" s="1"/>
  <c r="AF486" i="5"/>
  <c r="AG560" i="5" s="1"/>
  <c r="AE486" i="5"/>
  <c r="AF560" i="5" s="1"/>
  <c r="AD486" i="5"/>
  <c r="AE560" i="5" s="1"/>
  <c r="AC486" i="5"/>
  <c r="AD560" i="5" s="1"/>
  <c r="AB486" i="5"/>
  <c r="AC560" i="5" s="1"/>
  <c r="AA486" i="5"/>
  <c r="AB560" i="5" s="1"/>
  <c r="Z486" i="5"/>
  <c r="AA560" i="5" s="1"/>
  <c r="P486" i="5"/>
  <c r="Q560" i="5" s="1"/>
  <c r="O486" i="5"/>
  <c r="P560" i="5" s="1"/>
  <c r="N486" i="5"/>
  <c r="O560" i="5" s="1"/>
  <c r="M486" i="5"/>
  <c r="L486" i="5"/>
  <c r="M560" i="5" s="1"/>
  <c r="K486" i="5"/>
  <c r="J486" i="5"/>
  <c r="K560" i="5" s="1"/>
  <c r="I486" i="5"/>
  <c r="J560" i="5" s="1"/>
  <c r="H486" i="5"/>
  <c r="I560" i="5" s="1"/>
  <c r="G486" i="5"/>
  <c r="H560" i="5" s="1"/>
  <c r="F486" i="5"/>
  <c r="G560" i="5" s="1"/>
  <c r="E486" i="5"/>
  <c r="F560" i="5" s="1"/>
  <c r="D486" i="5"/>
  <c r="C486" i="5"/>
  <c r="B486" i="5"/>
  <c r="AH485" i="5"/>
  <c r="AI559" i="5" s="1"/>
  <c r="AG485" i="5"/>
  <c r="AH559" i="5" s="1"/>
  <c r="AF485" i="5"/>
  <c r="AE485" i="5"/>
  <c r="AF559" i="5" s="1"/>
  <c r="AD485" i="5"/>
  <c r="AC485" i="5"/>
  <c r="AD559" i="5" s="1"/>
  <c r="AB485" i="5"/>
  <c r="AC559" i="5" s="1"/>
  <c r="AA485" i="5"/>
  <c r="AB559" i="5" s="1"/>
  <c r="Z485" i="5"/>
  <c r="AA559" i="5" s="1"/>
  <c r="P485" i="5"/>
  <c r="Q559" i="5" s="1"/>
  <c r="O485" i="5"/>
  <c r="P559" i="5" s="1"/>
  <c r="N485" i="5"/>
  <c r="O559" i="5" s="1"/>
  <c r="M485" i="5"/>
  <c r="L485" i="5"/>
  <c r="M559" i="5" s="1"/>
  <c r="K485" i="5"/>
  <c r="L559" i="5" s="1"/>
  <c r="J485" i="5"/>
  <c r="K559" i="5" s="1"/>
  <c r="I485" i="5"/>
  <c r="J559" i="5" s="1"/>
  <c r="H485" i="5"/>
  <c r="I559" i="5" s="1"/>
  <c r="G485" i="5"/>
  <c r="H559" i="5" s="1"/>
  <c r="F485" i="5"/>
  <c r="G559" i="5" s="1"/>
  <c r="E485" i="5"/>
  <c r="F559" i="5" s="1"/>
  <c r="D485" i="5"/>
  <c r="E559" i="5" s="1"/>
  <c r="C485" i="5"/>
  <c r="D559" i="5" s="1"/>
  <c r="B485" i="5"/>
  <c r="C559" i="5" s="1"/>
  <c r="AH484" i="5"/>
  <c r="AI558" i="5" s="1"/>
  <c r="AG484" i="5"/>
  <c r="AH558" i="5" s="1"/>
  <c r="AF484" i="5"/>
  <c r="AG558" i="5" s="1"/>
  <c r="AE484" i="5"/>
  <c r="AF558" i="5" s="1"/>
  <c r="AD484" i="5"/>
  <c r="AC484" i="5"/>
  <c r="AB484" i="5"/>
  <c r="AC558" i="5" s="1"/>
  <c r="AA484" i="5"/>
  <c r="AB558" i="5" s="1"/>
  <c r="Z484" i="5"/>
  <c r="AA558" i="5" s="1"/>
  <c r="Y484" i="5"/>
  <c r="Z558" i="5" s="1"/>
  <c r="X484" i="5"/>
  <c r="W484" i="5"/>
  <c r="X558" i="5" s="1"/>
  <c r="M484" i="5"/>
  <c r="N558" i="5" s="1"/>
  <c r="L484" i="5"/>
  <c r="K484" i="5"/>
  <c r="L558" i="5" s="1"/>
  <c r="J484" i="5"/>
  <c r="I484" i="5"/>
  <c r="J558" i="5" s="1"/>
  <c r="H484" i="5"/>
  <c r="G484" i="5"/>
  <c r="H558" i="5" s="1"/>
  <c r="F484" i="5"/>
  <c r="G558" i="5" s="1"/>
  <c r="E484" i="5"/>
  <c r="D484" i="5"/>
  <c r="E558" i="5" s="1"/>
  <c r="C484" i="5"/>
  <c r="D558" i="5" s="1"/>
  <c r="B484" i="5"/>
  <c r="C558" i="5" s="1"/>
  <c r="AH483" i="5"/>
  <c r="AI557" i="5" s="1"/>
  <c r="AG483" i="5"/>
  <c r="AH557" i="5" s="1"/>
  <c r="AF483" i="5"/>
  <c r="AG557" i="5" s="1"/>
  <c r="AE483" i="5"/>
  <c r="AF557" i="5" s="1"/>
  <c r="AD483" i="5"/>
  <c r="AE557" i="5" s="1"/>
  <c r="AC483" i="5"/>
  <c r="AD557" i="5" s="1"/>
  <c r="AB483" i="5"/>
  <c r="AC557" i="5" s="1"/>
  <c r="AA483" i="5"/>
  <c r="AB557" i="5" s="1"/>
  <c r="Z483" i="5"/>
  <c r="Y483" i="5"/>
  <c r="X483" i="5"/>
  <c r="Y557" i="5" s="1"/>
  <c r="W483" i="5"/>
  <c r="M483" i="5"/>
  <c r="N557" i="5" s="1"/>
  <c r="L483" i="5"/>
  <c r="M557" i="5" s="1"/>
  <c r="K483" i="5"/>
  <c r="L557" i="5" s="1"/>
  <c r="J483" i="5"/>
  <c r="K557" i="5" s="1"/>
  <c r="I483" i="5"/>
  <c r="H483" i="5"/>
  <c r="I557" i="5" s="1"/>
  <c r="G483" i="5"/>
  <c r="H557" i="5" s="1"/>
  <c r="F483" i="5"/>
  <c r="E483" i="5"/>
  <c r="F557" i="5" s="1"/>
  <c r="D483" i="5"/>
  <c r="E557" i="5" s="1"/>
  <c r="C483" i="5"/>
  <c r="D557" i="5" s="1"/>
  <c r="B483" i="5"/>
  <c r="C557" i="5" s="1"/>
  <c r="AH482" i="5"/>
  <c r="AI556" i="5" s="1"/>
  <c r="AG482" i="5"/>
  <c r="AH556" i="5" s="1"/>
  <c r="AF482" i="5"/>
  <c r="AG556" i="5" s="1"/>
  <c r="AE482" i="5"/>
  <c r="AF556" i="5" s="1"/>
  <c r="AD482" i="5"/>
  <c r="AE556" i="5" s="1"/>
  <c r="AC482" i="5"/>
  <c r="AD556" i="5" s="1"/>
  <c r="AB482" i="5"/>
  <c r="AC556" i="5" s="1"/>
  <c r="AA482" i="5"/>
  <c r="AB556" i="5" s="1"/>
  <c r="Z482" i="5"/>
  <c r="Y482" i="5"/>
  <c r="Z556" i="5" s="1"/>
  <c r="X482" i="5"/>
  <c r="Y556" i="5" s="1"/>
  <c r="W482" i="5"/>
  <c r="X556" i="5" s="1"/>
  <c r="M482" i="5"/>
  <c r="N556" i="5" s="1"/>
  <c r="L482" i="5"/>
  <c r="M556" i="5" s="1"/>
  <c r="K482" i="5"/>
  <c r="L556" i="5" s="1"/>
  <c r="J482" i="5"/>
  <c r="K556" i="5" s="1"/>
  <c r="I482" i="5"/>
  <c r="J556" i="5" s="1"/>
  <c r="H482" i="5"/>
  <c r="I556" i="5" s="1"/>
  <c r="G482" i="5"/>
  <c r="H556" i="5" s="1"/>
  <c r="F482" i="5"/>
  <c r="E482" i="5"/>
  <c r="D482" i="5"/>
  <c r="E556" i="5" s="1"/>
  <c r="C482" i="5"/>
  <c r="D556" i="5" s="1"/>
  <c r="B482" i="5"/>
  <c r="C556" i="5" s="1"/>
  <c r="AH481" i="5"/>
  <c r="AG481" i="5"/>
  <c r="AF481" i="5"/>
  <c r="AG555" i="5" s="1"/>
  <c r="AE481" i="5"/>
  <c r="AF555" i="5" s="1"/>
  <c r="AD481" i="5"/>
  <c r="AE555" i="5" s="1"/>
  <c r="AC481" i="5"/>
  <c r="AD555" i="5" s="1"/>
  <c r="AB481" i="5"/>
  <c r="AC555" i="5" s="1"/>
  <c r="AA481" i="5"/>
  <c r="AB555" i="5" s="1"/>
  <c r="Z481" i="5"/>
  <c r="AA555" i="5" s="1"/>
  <c r="Y481" i="5"/>
  <c r="Z555" i="5" s="1"/>
  <c r="X481" i="5"/>
  <c r="W481" i="5"/>
  <c r="X555" i="5" s="1"/>
  <c r="V481" i="5"/>
  <c r="U481" i="5"/>
  <c r="V555" i="5" s="1"/>
  <c r="T481" i="5"/>
  <c r="U555" i="5" s="1"/>
  <c r="J481" i="5"/>
  <c r="K555" i="5" s="1"/>
  <c r="I481" i="5"/>
  <c r="J555" i="5" s="1"/>
  <c r="H481" i="5"/>
  <c r="G481" i="5"/>
  <c r="H555" i="5" s="1"/>
  <c r="F481" i="5"/>
  <c r="G555" i="5" s="1"/>
  <c r="E481" i="5"/>
  <c r="F555" i="5" s="1"/>
  <c r="D481" i="5"/>
  <c r="E555" i="5" s="1"/>
  <c r="C481" i="5"/>
  <c r="D555" i="5" s="1"/>
  <c r="B481" i="5"/>
  <c r="AH480" i="5"/>
  <c r="AI554" i="5" s="1"/>
  <c r="AG480" i="5"/>
  <c r="AH554" i="5" s="1"/>
  <c r="AF480" i="5"/>
  <c r="AG554" i="5" s="1"/>
  <c r="AE480" i="5"/>
  <c r="AF554" i="5" s="1"/>
  <c r="AD480" i="5"/>
  <c r="AE554" i="5" s="1"/>
  <c r="AC480" i="5"/>
  <c r="AD554" i="5" s="1"/>
  <c r="AB480" i="5"/>
  <c r="AC554" i="5" s="1"/>
  <c r="AA480" i="5"/>
  <c r="Z480" i="5"/>
  <c r="AA554" i="5" s="1"/>
  <c r="Y480" i="5"/>
  <c r="X480" i="5"/>
  <c r="Y554" i="5" s="1"/>
  <c r="W480" i="5"/>
  <c r="X554" i="5" s="1"/>
  <c r="V480" i="5"/>
  <c r="W554" i="5" s="1"/>
  <c r="U480" i="5"/>
  <c r="T480" i="5"/>
  <c r="U554" i="5" s="1"/>
  <c r="J480" i="5"/>
  <c r="I480" i="5"/>
  <c r="J554" i="5" s="1"/>
  <c r="H480" i="5"/>
  <c r="I554" i="5" s="1"/>
  <c r="G480" i="5"/>
  <c r="H554" i="5" s="1"/>
  <c r="F480" i="5"/>
  <c r="G554" i="5" s="1"/>
  <c r="E480" i="5"/>
  <c r="F554" i="5" s="1"/>
  <c r="D480" i="5"/>
  <c r="C480" i="5"/>
  <c r="D554" i="5" s="1"/>
  <c r="B480" i="5"/>
  <c r="C554" i="5" s="1"/>
  <c r="AH479" i="5"/>
  <c r="AI553" i="5" s="1"/>
  <c r="AG479" i="5"/>
  <c r="AH553" i="5" s="1"/>
  <c r="AF479" i="5"/>
  <c r="AG553" i="5" s="1"/>
  <c r="AE479" i="5"/>
  <c r="AF553" i="5" s="1"/>
  <c r="AD479" i="5"/>
  <c r="AC479" i="5"/>
  <c r="AB479" i="5"/>
  <c r="AC553" i="5" s="1"/>
  <c r="AA479" i="5"/>
  <c r="Z479" i="5"/>
  <c r="AA553" i="5" s="1"/>
  <c r="Y479" i="5"/>
  <c r="Z553" i="5" s="1"/>
  <c r="X479" i="5"/>
  <c r="Y553" i="5" s="1"/>
  <c r="W479" i="5"/>
  <c r="X553" i="5" s="1"/>
  <c r="V479" i="5"/>
  <c r="W553" i="5" s="1"/>
  <c r="U479" i="5"/>
  <c r="V553" i="5" s="1"/>
  <c r="T479" i="5"/>
  <c r="J479" i="5"/>
  <c r="I479" i="5"/>
  <c r="J553" i="5" s="1"/>
  <c r="H479" i="5"/>
  <c r="G479" i="5"/>
  <c r="H553" i="5" s="1"/>
  <c r="F479" i="5"/>
  <c r="G553" i="5" s="1"/>
  <c r="E479" i="5"/>
  <c r="F553" i="5" s="1"/>
  <c r="D479" i="5"/>
  <c r="E553" i="5" s="1"/>
  <c r="C479" i="5"/>
  <c r="D553" i="5" s="1"/>
  <c r="B479" i="5"/>
  <c r="C553" i="5" s="1"/>
  <c r="AH478" i="5"/>
  <c r="AG478" i="5"/>
  <c r="AH552" i="5" s="1"/>
  <c r="AF478" i="5"/>
  <c r="AG552" i="5" s="1"/>
  <c r="AE478" i="5"/>
  <c r="AF552" i="5" s="1"/>
  <c r="AD478" i="5"/>
  <c r="AC478" i="5"/>
  <c r="AD552" i="5" s="1"/>
  <c r="AB478" i="5"/>
  <c r="AA478" i="5"/>
  <c r="AB552" i="5" s="1"/>
  <c r="Z478" i="5"/>
  <c r="AA552" i="5" s="1"/>
  <c r="Y478" i="5"/>
  <c r="Z552" i="5" s="1"/>
  <c r="X478" i="5"/>
  <c r="Y552" i="5" s="1"/>
  <c r="W478" i="5"/>
  <c r="X552" i="5" s="1"/>
  <c r="V478" i="5"/>
  <c r="W552" i="5" s="1"/>
  <c r="U478" i="5"/>
  <c r="T478" i="5"/>
  <c r="U552" i="5" s="1"/>
  <c r="S478" i="5"/>
  <c r="T552" i="5" s="1"/>
  <c r="R478" i="5"/>
  <c r="S552" i="5" s="1"/>
  <c r="Q478" i="5"/>
  <c r="R552" i="5" s="1"/>
  <c r="G478" i="5"/>
  <c r="H552" i="5" s="1"/>
  <c r="F478" i="5"/>
  <c r="G552" i="5" s="1"/>
  <c r="E478" i="5"/>
  <c r="F552" i="5" s="1"/>
  <c r="D478" i="5"/>
  <c r="E552" i="5" s="1"/>
  <c r="C478" i="5"/>
  <c r="D552" i="5" s="1"/>
  <c r="B478" i="5"/>
  <c r="C552" i="5" s="1"/>
  <c r="AH477" i="5"/>
  <c r="AG477" i="5"/>
  <c r="AH551" i="5" s="1"/>
  <c r="AF477" i="5"/>
  <c r="AG551" i="5" s="1"/>
  <c r="AE477" i="5"/>
  <c r="AF551" i="5" s="1"/>
  <c r="AD477" i="5"/>
  <c r="AE551" i="5" s="1"/>
  <c r="AC477" i="5"/>
  <c r="AB477" i="5"/>
  <c r="AA477" i="5"/>
  <c r="AB551" i="5" s="1"/>
  <c r="Z477" i="5"/>
  <c r="Y477" i="5"/>
  <c r="Z551" i="5" s="1"/>
  <c r="X477" i="5"/>
  <c r="Y551" i="5" s="1"/>
  <c r="W477" i="5"/>
  <c r="X551" i="5" s="1"/>
  <c r="V477" i="5"/>
  <c r="W551" i="5" s="1"/>
  <c r="U477" i="5"/>
  <c r="V551" i="5" s="1"/>
  <c r="T477" i="5"/>
  <c r="U551" i="5" s="1"/>
  <c r="S477" i="5"/>
  <c r="T551" i="5" s="1"/>
  <c r="R477" i="5"/>
  <c r="S551" i="5" s="1"/>
  <c r="Q477" i="5"/>
  <c r="R551" i="5" s="1"/>
  <c r="G477" i="5"/>
  <c r="H551" i="5" s="1"/>
  <c r="F477" i="5"/>
  <c r="G551" i="5" s="1"/>
  <c r="E477" i="5"/>
  <c r="F551" i="5" s="1"/>
  <c r="D477" i="5"/>
  <c r="E551" i="5" s="1"/>
  <c r="C477" i="5"/>
  <c r="D551" i="5" s="1"/>
  <c r="B477" i="5"/>
  <c r="C551" i="5" s="1"/>
  <c r="AH476" i="5"/>
  <c r="AI550" i="5" s="1"/>
  <c r="AG476" i="5"/>
  <c r="AH550" i="5" s="1"/>
  <c r="AF476" i="5"/>
  <c r="AE476" i="5"/>
  <c r="AF550" i="5" s="1"/>
  <c r="AD476" i="5"/>
  <c r="AC476" i="5"/>
  <c r="AB476" i="5"/>
  <c r="AC550" i="5" s="1"/>
  <c r="AA476" i="5"/>
  <c r="AB550" i="5" s="1"/>
  <c r="Z476" i="5"/>
  <c r="AA550" i="5" s="1"/>
  <c r="Y476" i="5"/>
  <c r="Z550" i="5" s="1"/>
  <c r="X476" i="5"/>
  <c r="Y550" i="5" s="1"/>
  <c r="W476" i="5"/>
  <c r="X550" i="5" s="1"/>
  <c r="V476" i="5"/>
  <c r="W550" i="5" s="1"/>
  <c r="U476" i="5"/>
  <c r="V550" i="5" s="1"/>
  <c r="T476" i="5"/>
  <c r="U550" i="5" s="1"/>
  <c r="S476" i="5"/>
  <c r="T550" i="5" s="1"/>
  <c r="R476" i="5"/>
  <c r="S550" i="5" s="1"/>
  <c r="Q476" i="5"/>
  <c r="R550" i="5" s="1"/>
  <c r="G476" i="5"/>
  <c r="F476" i="5"/>
  <c r="G550" i="5" s="1"/>
  <c r="E476" i="5"/>
  <c r="F550" i="5" s="1"/>
  <c r="D476" i="5"/>
  <c r="E550" i="5" s="1"/>
  <c r="C476" i="5"/>
  <c r="D550" i="5" s="1"/>
  <c r="B476" i="5"/>
  <c r="C550" i="5" s="1"/>
  <c r="AH475" i="5"/>
  <c r="AI549" i="5" s="1"/>
  <c r="AG475" i="5"/>
  <c r="AF475" i="5"/>
  <c r="AE475" i="5"/>
  <c r="AF549" i="5" s="1"/>
  <c r="AD475" i="5"/>
  <c r="AE549" i="5" s="1"/>
  <c r="AC475" i="5"/>
  <c r="AD549" i="5" s="1"/>
  <c r="AB475" i="5"/>
  <c r="AC549" i="5" s="1"/>
  <c r="AA475" i="5"/>
  <c r="AB549" i="5" s="1"/>
  <c r="Z475" i="5"/>
  <c r="AA549" i="5" s="1"/>
  <c r="Y475" i="5"/>
  <c r="Z549" i="5" s="1"/>
  <c r="X475" i="5"/>
  <c r="W475" i="5"/>
  <c r="V475" i="5"/>
  <c r="W549" i="5" s="1"/>
  <c r="U475" i="5"/>
  <c r="V549" i="5" s="1"/>
  <c r="T475" i="5"/>
  <c r="U549" i="5" s="1"/>
  <c r="S475" i="5"/>
  <c r="T549" i="5" s="1"/>
  <c r="R475" i="5"/>
  <c r="S549" i="5" s="1"/>
  <c r="Q475" i="5"/>
  <c r="R549" i="5" s="1"/>
  <c r="P475" i="5"/>
  <c r="O475" i="5"/>
  <c r="N475" i="5"/>
  <c r="D475" i="5"/>
  <c r="E549" i="5" s="1"/>
  <c r="C475" i="5"/>
  <c r="D549" i="5" s="1"/>
  <c r="B475" i="5"/>
  <c r="C549" i="5" s="1"/>
  <c r="AH474" i="5"/>
  <c r="AG474" i="5"/>
  <c r="AH548" i="5" s="1"/>
  <c r="AF474" i="5"/>
  <c r="AG548" i="5" s="1"/>
  <c r="AE474" i="5"/>
  <c r="AF548" i="5" s="1"/>
  <c r="AD474" i="5"/>
  <c r="AE548" i="5" s="1"/>
  <c r="AC474" i="5"/>
  <c r="AB474" i="5"/>
  <c r="AA474" i="5"/>
  <c r="AB548" i="5" s="1"/>
  <c r="Z474" i="5"/>
  <c r="AA548" i="5" s="1"/>
  <c r="Y474" i="5"/>
  <c r="X474" i="5"/>
  <c r="Y548" i="5" s="1"/>
  <c r="W474" i="5"/>
  <c r="X548" i="5" s="1"/>
  <c r="V474" i="5"/>
  <c r="W548" i="5" s="1"/>
  <c r="U474" i="5"/>
  <c r="V548" i="5" s="1"/>
  <c r="T474" i="5"/>
  <c r="U548" i="5" s="1"/>
  <c r="S474" i="5"/>
  <c r="T548" i="5" s="1"/>
  <c r="R474" i="5"/>
  <c r="Q474" i="5"/>
  <c r="R548" i="5" s="1"/>
  <c r="P474" i="5"/>
  <c r="Q548" i="5" s="1"/>
  <c r="O474" i="5"/>
  <c r="P548" i="5" s="1"/>
  <c r="N474" i="5"/>
  <c r="D474" i="5"/>
  <c r="E548" i="5" s="1"/>
  <c r="C474" i="5"/>
  <c r="D548" i="5" s="1"/>
  <c r="B474" i="5"/>
  <c r="C548" i="5" s="1"/>
  <c r="AH473" i="5"/>
  <c r="AI547" i="5" s="1"/>
  <c r="AG473" i="5"/>
  <c r="AF473" i="5"/>
  <c r="AG547" i="5" s="1"/>
  <c r="AE473" i="5"/>
  <c r="AF547" i="5" s="1"/>
  <c r="AD473" i="5"/>
  <c r="AC473" i="5"/>
  <c r="AD547" i="5" s="1"/>
  <c r="AB473" i="5"/>
  <c r="AC547" i="5" s="1"/>
  <c r="AA473" i="5"/>
  <c r="AB547" i="5" s="1"/>
  <c r="Z473" i="5"/>
  <c r="AA547" i="5" s="1"/>
  <c r="Y473" i="5"/>
  <c r="Z547" i="5" s="1"/>
  <c r="X473" i="5"/>
  <c r="Y547" i="5" s="1"/>
  <c r="W473" i="5"/>
  <c r="X547" i="5" s="1"/>
  <c r="V473" i="5"/>
  <c r="W547" i="5" s="1"/>
  <c r="U473" i="5"/>
  <c r="V547" i="5" s="1"/>
  <c r="T473" i="5"/>
  <c r="U547" i="5" s="1"/>
  <c r="S473" i="5"/>
  <c r="T547" i="5" s="1"/>
  <c r="R473" i="5"/>
  <c r="S547" i="5" s="1"/>
  <c r="Q473" i="5"/>
  <c r="P473" i="5"/>
  <c r="Q547" i="5" s="1"/>
  <c r="O473" i="5"/>
  <c r="P547" i="5" s="1"/>
  <c r="N473" i="5"/>
  <c r="O547" i="5" s="1"/>
  <c r="D473" i="5"/>
  <c r="E547" i="5" s="1"/>
  <c r="C473" i="5"/>
  <c r="D547" i="5" s="1"/>
  <c r="B473" i="5"/>
  <c r="C547" i="5" s="1"/>
  <c r="AH472" i="5"/>
  <c r="AG472" i="5"/>
  <c r="AH546" i="5" s="1"/>
  <c r="AF472" i="5"/>
  <c r="AG546" i="5" s="1"/>
  <c r="AE472" i="5"/>
  <c r="AF546" i="5" s="1"/>
  <c r="AD472" i="5"/>
  <c r="AE546" i="5" s="1"/>
  <c r="AC472" i="5"/>
  <c r="AD546" i="5" s="1"/>
  <c r="AB472" i="5"/>
  <c r="AC546" i="5" s="1"/>
  <c r="AA472" i="5"/>
  <c r="Z472" i="5"/>
  <c r="AA546" i="5" s="1"/>
  <c r="Y472" i="5"/>
  <c r="X472" i="5"/>
  <c r="Y546" i="5" s="1"/>
  <c r="W472" i="5"/>
  <c r="X546" i="5" s="1"/>
  <c r="V472" i="5"/>
  <c r="W546" i="5" s="1"/>
  <c r="U472" i="5"/>
  <c r="V546" i="5" s="1"/>
  <c r="T472" i="5"/>
  <c r="U546" i="5" s="1"/>
  <c r="S472" i="5"/>
  <c r="T546" i="5" s="1"/>
  <c r="R472" i="5"/>
  <c r="Q472" i="5"/>
  <c r="P472" i="5"/>
  <c r="Q546" i="5" s="1"/>
  <c r="O472" i="5"/>
  <c r="P546" i="5" s="1"/>
  <c r="N472" i="5"/>
  <c r="M472" i="5"/>
  <c r="N546" i="5" s="1"/>
  <c r="L472" i="5"/>
  <c r="M546" i="5" s="1"/>
  <c r="K472" i="5"/>
  <c r="L546" i="5" s="1"/>
  <c r="AH471" i="5"/>
  <c r="AI545" i="5" s="1"/>
  <c r="AG471" i="5"/>
  <c r="AH545" i="5" s="1"/>
  <c r="AF471" i="5"/>
  <c r="AG545" i="5" s="1"/>
  <c r="AE471" i="5"/>
  <c r="AF545" i="5" s="1"/>
  <c r="AD471" i="5"/>
  <c r="AE545" i="5" s="1"/>
  <c r="AC471" i="5"/>
  <c r="AD545" i="5" s="1"/>
  <c r="AB471" i="5"/>
  <c r="AA471" i="5"/>
  <c r="AB545" i="5" s="1"/>
  <c r="Z471" i="5"/>
  <c r="AA545" i="5" s="1"/>
  <c r="Y471" i="5"/>
  <c r="Z545" i="5" s="1"/>
  <c r="X471" i="5"/>
  <c r="Y545" i="5" s="1"/>
  <c r="W471" i="5"/>
  <c r="X545" i="5" s="1"/>
  <c r="V471" i="5"/>
  <c r="W545" i="5" s="1"/>
  <c r="U471" i="5"/>
  <c r="T471" i="5"/>
  <c r="U545" i="5" s="1"/>
  <c r="S471" i="5"/>
  <c r="R471" i="5"/>
  <c r="Q471" i="5"/>
  <c r="R545" i="5" s="1"/>
  <c r="P471" i="5"/>
  <c r="Q545" i="5" s="1"/>
  <c r="O471" i="5"/>
  <c r="P545" i="5" s="1"/>
  <c r="N471" i="5"/>
  <c r="O545" i="5" s="1"/>
  <c r="M471" i="5"/>
  <c r="N545" i="5" s="1"/>
  <c r="L471" i="5"/>
  <c r="M545" i="5" s="1"/>
  <c r="K471" i="5"/>
  <c r="L545" i="5" s="1"/>
  <c r="AH470" i="5"/>
  <c r="AI544" i="5" s="1"/>
  <c r="AG470" i="5"/>
  <c r="AF470" i="5"/>
  <c r="AG544" i="5" s="1"/>
  <c r="AE470" i="5"/>
  <c r="AF544" i="5" s="1"/>
  <c r="AD470" i="5"/>
  <c r="AE544" i="5" s="1"/>
  <c r="AC470" i="5"/>
  <c r="AD544" i="5" s="1"/>
  <c r="AB470" i="5"/>
  <c r="AC544" i="5" s="1"/>
  <c r="AA470" i="5"/>
  <c r="AB544" i="5" s="1"/>
  <c r="Z470" i="5"/>
  <c r="AA544" i="5" s="1"/>
  <c r="Y470" i="5"/>
  <c r="Z544" i="5" s="1"/>
  <c r="X470" i="5"/>
  <c r="Y544" i="5" s="1"/>
  <c r="W470" i="5"/>
  <c r="X544" i="5" s="1"/>
  <c r="V470" i="5"/>
  <c r="W544" i="5" s="1"/>
  <c r="U470" i="5"/>
  <c r="V544" i="5" s="1"/>
  <c r="T470" i="5"/>
  <c r="S470" i="5"/>
  <c r="T544" i="5" s="1"/>
  <c r="R470" i="5"/>
  <c r="S544" i="5" s="1"/>
  <c r="Q470" i="5"/>
  <c r="R544" i="5" s="1"/>
  <c r="P470" i="5"/>
  <c r="Q544" i="5" s="1"/>
  <c r="O470" i="5"/>
  <c r="P544" i="5" s="1"/>
  <c r="N470" i="5"/>
  <c r="O544" i="5" s="1"/>
  <c r="M470" i="5"/>
  <c r="N544" i="5" s="1"/>
  <c r="L470" i="5"/>
  <c r="M544" i="5" s="1"/>
  <c r="K470" i="5"/>
  <c r="L544" i="5" s="1"/>
  <c r="AH469" i="5"/>
  <c r="AI543" i="5" s="1"/>
  <c r="AG469" i="5"/>
  <c r="AH543" i="5" s="1"/>
  <c r="AF469" i="5"/>
  <c r="AG543" i="5" s="1"/>
  <c r="AE469" i="5"/>
  <c r="AF543" i="5" s="1"/>
  <c r="AD469" i="5"/>
  <c r="AE543" i="5" s="1"/>
  <c r="AC469" i="5"/>
  <c r="AB469" i="5"/>
  <c r="AC543" i="5" s="1"/>
  <c r="AA469" i="5"/>
  <c r="Z469" i="5"/>
  <c r="AA543" i="5" s="1"/>
  <c r="Y469" i="5"/>
  <c r="Z543" i="5" s="1"/>
  <c r="X469" i="5"/>
  <c r="W469" i="5"/>
  <c r="X543" i="5" s="1"/>
  <c r="V469" i="5"/>
  <c r="W543" i="5" s="1"/>
  <c r="U469" i="5"/>
  <c r="V543" i="5" s="1"/>
  <c r="T469" i="5"/>
  <c r="U543" i="5" s="1"/>
  <c r="S469" i="5"/>
  <c r="T543" i="5" s="1"/>
  <c r="R469" i="5"/>
  <c r="S543" i="5" s="1"/>
  <c r="Q469" i="5"/>
  <c r="R543" i="5" s="1"/>
  <c r="P469" i="5"/>
  <c r="Q543" i="5" s="1"/>
  <c r="O469" i="5"/>
  <c r="P543" i="5" s="1"/>
  <c r="N469" i="5"/>
  <c r="O543" i="5" s="1"/>
  <c r="M469" i="5"/>
  <c r="N543" i="5" s="1"/>
  <c r="L469" i="5"/>
  <c r="M543" i="5" s="1"/>
  <c r="K469" i="5"/>
  <c r="L543" i="5" s="1"/>
  <c r="J469" i="5"/>
  <c r="K543" i="5" s="1"/>
  <c r="I469" i="5"/>
  <c r="H469" i="5"/>
  <c r="I543" i="5" s="1"/>
  <c r="AH468" i="5"/>
  <c r="AI542" i="5" s="1"/>
  <c r="AG468" i="5"/>
  <c r="AH542" i="5" s="1"/>
  <c r="AF468" i="5"/>
  <c r="AG542" i="5" s="1"/>
  <c r="AE468" i="5"/>
  <c r="AF542" i="5" s="1"/>
  <c r="AD468" i="5"/>
  <c r="AE542" i="5" s="1"/>
  <c r="AC468" i="5"/>
  <c r="AB468" i="5"/>
  <c r="AC542" i="5" s="1"/>
  <c r="AA468" i="5"/>
  <c r="AB542" i="5" s="1"/>
  <c r="Z468" i="5"/>
  <c r="AA542" i="5" s="1"/>
  <c r="Y468" i="5"/>
  <c r="Z542" i="5" s="1"/>
  <c r="X468" i="5"/>
  <c r="W468" i="5"/>
  <c r="X542" i="5" s="1"/>
  <c r="V468" i="5"/>
  <c r="U468" i="5"/>
  <c r="T468" i="5"/>
  <c r="U542" i="5" s="1"/>
  <c r="S468" i="5"/>
  <c r="T542" i="5" s="1"/>
  <c r="R468" i="5"/>
  <c r="S542" i="5" s="1"/>
  <c r="Q468" i="5"/>
  <c r="R542" i="5" s="1"/>
  <c r="P468" i="5"/>
  <c r="Q542" i="5" s="1"/>
  <c r="O468" i="5"/>
  <c r="P542" i="5" s="1"/>
  <c r="N468" i="5"/>
  <c r="O542" i="5" s="1"/>
  <c r="M468" i="5"/>
  <c r="N542" i="5" s="1"/>
  <c r="L468" i="5"/>
  <c r="M542" i="5" s="1"/>
  <c r="K468" i="5"/>
  <c r="L542" i="5" s="1"/>
  <c r="J468" i="5"/>
  <c r="K542" i="5" s="1"/>
  <c r="I468" i="5"/>
  <c r="J542" i="5" s="1"/>
  <c r="H468" i="5"/>
  <c r="I542" i="5" s="1"/>
  <c r="AH467" i="5"/>
  <c r="AI541" i="5" s="1"/>
  <c r="AG467" i="5"/>
  <c r="AH541" i="5" s="1"/>
  <c r="AF467" i="5"/>
  <c r="AG541" i="5" s="1"/>
  <c r="AE467" i="5"/>
  <c r="AF541" i="5" s="1"/>
  <c r="AD467" i="5"/>
  <c r="AE541" i="5" s="1"/>
  <c r="AC467" i="5"/>
  <c r="AD541" i="5" s="1"/>
  <c r="AB467" i="5"/>
  <c r="AC541" i="5" s="1"/>
  <c r="AA467" i="5"/>
  <c r="Z467" i="5"/>
  <c r="AA541" i="5" s="1"/>
  <c r="Y467" i="5"/>
  <c r="Z541" i="5" s="1"/>
  <c r="X467" i="5"/>
  <c r="Y541" i="5" s="1"/>
  <c r="W467" i="5"/>
  <c r="V467" i="5"/>
  <c r="U467" i="5"/>
  <c r="V541" i="5" s="1"/>
  <c r="T467" i="5"/>
  <c r="U541" i="5" s="1"/>
  <c r="S467" i="5"/>
  <c r="T541" i="5" s="1"/>
  <c r="R467" i="5"/>
  <c r="S541" i="5" s="1"/>
  <c r="Q467" i="5"/>
  <c r="R541" i="5" s="1"/>
  <c r="P467" i="5"/>
  <c r="Q541" i="5" s="1"/>
  <c r="O467" i="5"/>
  <c r="P541" i="5" s="1"/>
  <c r="N467" i="5"/>
  <c r="O541" i="5" s="1"/>
  <c r="M467" i="5"/>
  <c r="N541" i="5" s="1"/>
  <c r="L467" i="5"/>
  <c r="M541" i="5" s="1"/>
  <c r="K467" i="5"/>
  <c r="L541" i="5" s="1"/>
  <c r="J467" i="5"/>
  <c r="K541" i="5" s="1"/>
  <c r="I467" i="5"/>
  <c r="H467" i="5"/>
  <c r="AD457" i="5"/>
  <c r="D423" i="5"/>
  <c r="G426" i="5" s="1"/>
  <c r="C422" i="5"/>
  <c r="B423" i="5" s="1"/>
  <c r="D379" i="5"/>
  <c r="G341" i="5"/>
  <c r="AB370" i="5" s="1"/>
  <c r="G340" i="5"/>
  <c r="AB369" i="5" s="1"/>
  <c r="G338" i="5"/>
  <c r="AB367" i="5" s="1"/>
  <c r="AB490" i="5" s="1"/>
  <c r="AC564" i="5" s="1"/>
  <c r="D338" i="5"/>
  <c r="Y367" i="5" s="1"/>
  <c r="D337" i="5"/>
  <c r="B337" i="5"/>
  <c r="D336" i="5"/>
  <c r="C336" i="5"/>
  <c r="B336" i="5"/>
  <c r="G335" i="5"/>
  <c r="H341" i="5" s="1"/>
  <c r="E335" i="5"/>
  <c r="H339" i="5" s="1"/>
  <c r="G166" i="5"/>
  <c r="P183" i="5" s="1"/>
  <c r="P478" i="5" s="1"/>
  <c r="Q552" i="5" s="1"/>
  <c r="C165" i="5"/>
  <c r="B164" i="5"/>
  <c r="K181" i="5" s="1"/>
  <c r="F163" i="5"/>
  <c r="H168" i="5" s="1"/>
  <c r="D126" i="5"/>
  <c r="J140" i="5" s="1"/>
  <c r="J478" i="5" s="1"/>
  <c r="K552" i="5" s="1"/>
  <c r="G123" i="5"/>
  <c r="M137" i="5" s="1"/>
  <c r="M475" i="5" s="1"/>
  <c r="N549" i="5" s="1"/>
  <c r="E121" i="5"/>
  <c r="B124" i="5" s="1"/>
  <c r="H138" i="5" s="1"/>
  <c r="H476" i="5" s="1"/>
  <c r="I550" i="5" s="1"/>
  <c r="B121" i="5"/>
  <c r="E124" i="5" s="1"/>
  <c r="K138" i="5" s="1"/>
  <c r="K476" i="5" s="1"/>
  <c r="L550" i="5" s="1"/>
  <c r="G37" i="5"/>
  <c r="D40" i="5" s="1"/>
  <c r="D48" i="5" s="1"/>
  <c r="D472" i="5" s="1"/>
  <c r="E546" i="5" s="1"/>
  <c r="D36" i="5"/>
  <c r="G39" i="5" s="1"/>
  <c r="C35" i="5"/>
  <c r="F38" i="5" s="1"/>
  <c r="G34" i="5"/>
  <c r="H40" i="5" s="1"/>
  <c r="C30" i="5"/>
  <c r="B378" i="5" s="1"/>
  <c r="H379" i="5" s="1"/>
  <c r="H29" i="5"/>
  <c r="G29" i="5"/>
  <c r="F335" i="5" s="1"/>
  <c r="H340" i="5" s="1"/>
  <c r="F29" i="5"/>
  <c r="E29" i="5"/>
  <c r="D335" i="5" s="1"/>
  <c r="H338" i="5" s="1"/>
  <c r="D29" i="5"/>
  <c r="C335" i="5" s="1"/>
  <c r="H337" i="5" s="1"/>
  <c r="AP25" i="5"/>
  <c r="AQ25" i="5" s="1"/>
  <c r="AM25" i="5"/>
  <c r="G25" i="5"/>
  <c r="C25" i="5"/>
  <c r="B163" i="5" s="1"/>
  <c r="H164" i="5" s="1"/>
  <c r="C24" i="5"/>
  <c r="B120" i="5" s="1"/>
  <c r="H121" i="5" s="1"/>
  <c r="H22" i="5"/>
  <c r="E22" i="5"/>
  <c r="D34" i="5" s="1"/>
  <c r="H37" i="5" s="1"/>
  <c r="AM18" i="5"/>
  <c r="S18" i="5"/>
  <c r="Q18" i="5"/>
  <c r="O18" i="5"/>
  <c r="I18" i="5"/>
  <c r="H18" i="5"/>
  <c r="G18" i="5"/>
  <c r="M17" i="5"/>
  <c r="H17" i="5"/>
  <c r="G17" i="5"/>
  <c r="I17" i="5" s="1"/>
  <c r="C380" i="5" s="1"/>
  <c r="R16" i="5"/>
  <c r="P16" i="5"/>
  <c r="O16" i="5"/>
  <c r="N16" i="5"/>
  <c r="M16" i="5"/>
  <c r="K16" i="5"/>
  <c r="J16" i="5"/>
  <c r="I16" i="5"/>
  <c r="H16" i="5"/>
  <c r="G16" i="5"/>
  <c r="H15" i="5"/>
  <c r="G15" i="5"/>
  <c r="I15" i="5" s="1"/>
  <c r="AS14" i="5"/>
  <c r="AR14" i="5"/>
  <c r="AP14" i="5"/>
  <c r="AO14" i="5"/>
  <c r="M14" i="5"/>
  <c r="H14" i="5"/>
  <c r="G14" i="5"/>
  <c r="I14" i="5" s="1"/>
  <c r="D251" i="5" s="1"/>
  <c r="AW13" i="5"/>
  <c r="AP27" i="5" s="1"/>
  <c r="AQ27" i="5" s="1"/>
  <c r="AO13" i="5"/>
  <c r="H13" i="5"/>
  <c r="I13" i="5" s="1"/>
  <c r="G13" i="5"/>
  <c r="AW12" i="5"/>
  <c r="AU12" i="5"/>
  <c r="AS12" i="5"/>
  <c r="AR12" i="5"/>
  <c r="AO12" i="5"/>
  <c r="AP12" i="5" s="1"/>
  <c r="AN12" i="5"/>
  <c r="AM12" i="5" s="1"/>
  <c r="S12" i="5"/>
  <c r="L12" i="5"/>
  <c r="K12" i="5"/>
  <c r="I12" i="5"/>
  <c r="D25" i="5" s="1"/>
  <c r="C163" i="5" s="1"/>
  <c r="H165" i="5" s="1"/>
  <c r="H12" i="5"/>
  <c r="G12" i="5"/>
  <c r="AW11" i="5"/>
  <c r="AX11" i="5" s="1"/>
  <c r="AU11" i="5"/>
  <c r="AR11" i="5"/>
  <c r="AS11" i="5" s="1"/>
  <c r="AP11" i="5"/>
  <c r="AO11" i="5"/>
  <c r="P11" i="5"/>
  <c r="O11" i="5"/>
  <c r="J11" i="5"/>
  <c r="H11" i="5"/>
  <c r="G11" i="5"/>
  <c r="I11" i="5" s="1"/>
  <c r="AW10" i="5"/>
  <c r="AP24" i="5" s="1"/>
  <c r="AQ24" i="5" s="1"/>
  <c r="AO10" i="5"/>
  <c r="AR10" i="5" s="1"/>
  <c r="AS10" i="5" s="1"/>
  <c r="H10" i="5"/>
  <c r="I10" i="5" s="1"/>
  <c r="G10" i="5"/>
  <c r="AW9" i="5"/>
  <c r="AX9" i="5" s="1"/>
  <c r="AU9" i="5"/>
  <c r="AO9" i="5"/>
  <c r="AR9" i="5" s="1"/>
  <c r="AS9" i="5" s="1"/>
  <c r="L9" i="5"/>
  <c r="K9" i="5"/>
  <c r="H9" i="5"/>
  <c r="G9" i="5"/>
  <c r="I9" i="5" s="1"/>
  <c r="D35" i="5" s="1"/>
  <c r="AX8" i="5"/>
  <c r="AW8" i="5"/>
  <c r="AU8" i="5"/>
  <c r="AS8" i="5"/>
  <c r="AP8" i="5"/>
  <c r="AO8" i="5"/>
  <c r="AR8" i="5" s="1"/>
  <c r="AX7" i="5"/>
  <c r="AW7" i="5"/>
  <c r="AU7" i="5"/>
  <c r="AO7" i="5"/>
  <c r="AN7" i="5"/>
  <c r="AM7" i="5"/>
  <c r="AW6" i="5"/>
  <c r="AU6" i="5"/>
  <c r="AP6" i="5"/>
  <c r="AO6" i="5"/>
  <c r="AR6" i="5" s="1"/>
  <c r="AS6" i="5" s="1"/>
  <c r="AX5" i="5"/>
  <c r="AW5" i="5"/>
  <c r="AR5" i="5"/>
  <c r="AS5" i="5" s="1"/>
  <c r="AP5" i="5"/>
  <c r="AO5" i="5"/>
  <c r="AU5" i="5" s="1"/>
  <c r="C5" i="5"/>
  <c r="C4" i="5"/>
  <c r="Q573" i="4"/>
  <c r="P573" i="4"/>
  <c r="N573" i="4"/>
  <c r="L573" i="4"/>
  <c r="K573" i="4"/>
  <c r="A573" i="4"/>
  <c r="Z572" i="4"/>
  <c r="O572" i="4"/>
  <c r="H572" i="4"/>
  <c r="C572" i="4"/>
  <c r="A572" i="4"/>
  <c r="AQ571" i="4"/>
  <c r="R571" i="4"/>
  <c r="Q571" i="4"/>
  <c r="P571" i="4"/>
  <c r="F571" i="4"/>
  <c r="C571" i="4"/>
  <c r="A571" i="4"/>
  <c r="R570" i="4"/>
  <c r="P570" i="4"/>
  <c r="O570" i="4"/>
  <c r="C570" i="4"/>
  <c r="A570" i="4"/>
  <c r="S569" i="4"/>
  <c r="Q569" i="4"/>
  <c r="P569" i="4"/>
  <c r="A569" i="4"/>
  <c r="M568" i="4"/>
  <c r="H568" i="4"/>
  <c r="D568" i="4"/>
  <c r="A568" i="4"/>
  <c r="V567" i="4"/>
  <c r="U567" i="4"/>
  <c r="G567" i="4"/>
  <c r="A567" i="4"/>
  <c r="AI566" i="4"/>
  <c r="AG566" i="4"/>
  <c r="F566" i="4"/>
  <c r="C566" i="4"/>
  <c r="A566" i="4"/>
  <c r="AH565" i="4"/>
  <c r="W565" i="4"/>
  <c r="T565" i="4"/>
  <c r="S565" i="4"/>
  <c r="Q565" i="4"/>
  <c r="C565" i="4"/>
  <c r="A565" i="4"/>
  <c r="AD564" i="4"/>
  <c r="M564" i="4"/>
  <c r="L564" i="4"/>
  <c r="H564" i="4"/>
  <c r="E564" i="4"/>
  <c r="D564" i="4"/>
  <c r="C564" i="4"/>
  <c r="A564" i="4"/>
  <c r="AQ563" i="4"/>
  <c r="E563" i="4"/>
  <c r="D563" i="4"/>
  <c r="A563" i="4"/>
  <c r="AE562" i="4"/>
  <c r="AD562" i="4"/>
  <c r="J562" i="4"/>
  <c r="I562" i="4"/>
  <c r="F562" i="4"/>
  <c r="E562" i="4"/>
  <c r="A562" i="4"/>
  <c r="AA561" i="4"/>
  <c r="M561" i="4"/>
  <c r="H561" i="4"/>
  <c r="G561" i="4"/>
  <c r="A561" i="4"/>
  <c r="AG560" i="4"/>
  <c r="AC560" i="4"/>
  <c r="AB560" i="4"/>
  <c r="O560" i="4"/>
  <c r="N560" i="4"/>
  <c r="L560" i="4"/>
  <c r="K560" i="4"/>
  <c r="J560" i="4"/>
  <c r="H560" i="4"/>
  <c r="A560" i="4"/>
  <c r="I559" i="4"/>
  <c r="F559" i="4"/>
  <c r="A559" i="4"/>
  <c r="Z558" i="4"/>
  <c r="Y558" i="4"/>
  <c r="N558" i="4"/>
  <c r="L558" i="4"/>
  <c r="F558" i="4"/>
  <c r="A558" i="4"/>
  <c r="AD557" i="4"/>
  <c r="M557" i="4"/>
  <c r="L557" i="4"/>
  <c r="K557" i="4"/>
  <c r="I557" i="4"/>
  <c r="G557" i="4"/>
  <c r="A557" i="4"/>
  <c r="AF556" i="4"/>
  <c r="AD556" i="4"/>
  <c r="N556" i="4"/>
  <c r="L556" i="4"/>
  <c r="A556" i="4"/>
  <c r="AQ555" i="4"/>
  <c r="AC555" i="4"/>
  <c r="I555" i="4"/>
  <c r="A555" i="4"/>
  <c r="AC554" i="4"/>
  <c r="AB554" i="4"/>
  <c r="D554" i="4"/>
  <c r="A554" i="4"/>
  <c r="AQ553" i="4"/>
  <c r="AF553" i="4"/>
  <c r="AA553" i="4"/>
  <c r="X553" i="4"/>
  <c r="G553" i="4"/>
  <c r="F553" i="4"/>
  <c r="A553" i="4"/>
  <c r="AF552" i="4"/>
  <c r="Y552" i="4"/>
  <c r="X552" i="4"/>
  <c r="A552" i="4"/>
  <c r="AI551" i="4"/>
  <c r="AG551" i="4"/>
  <c r="X551" i="4"/>
  <c r="A551" i="4"/>
  <c r="AQ550" i="4"/>
  <c r="AG550" i="4"/>
  <c r="W550" i="4"/>
  <c r="R550" i="4"/>
  <c r="F550" i="4"/>
  <c r="A550" i="4"/>
  <c r="AA549" i="4"/>
  <c r="T549" i="4"/>
  <c r="S549" i="4"/>
  <c r="Q549" i="4"/>
  <c r="P549" i="4"/>
  <c r="D549" i="4"/>
  <c r="C549" i="4"/>
  <c r="A549" i="4"/>
  <c r="AF548" i="4"/>
  <c r="S548" i="4"/>
  <c r="D548" i="4"/>
  <c r="A548" i="4"/>
  <c r="AQ547" i="4"/>
  <c r="V547" i="4"/>
  <c r="C547" i="4"/>
  <c r="A547" i="4"/>
  <c r="Z546" i="4"/>
  <c r="V546" i="4"/>
  <c r="T546" i="4"/>
  <c r="A546" i="4"/>
  <c r="AQ545" i="4"/>
  <c r="AB545" i="4"/>
  <c r="AA545" i="4"/>
  <c r="W545" i="4"/>
  <c r="U545" i="4"/>
  <c r="A545" i="4"/>
  <c r="AF544" i="4"/>
  <c r="AC544" i="4"/>
  <c r="Y544" i="4"/>
  <c r="P544" i="4"/>
  <c r="N544" i="4"/>
  <c r="A544" i="4"/>
  <c r="AQ543" i="4"/>
  <c r="AG543" i="4"/>
  <c r="X543" i="4"/>
  <c r="O543" i="4"/>
  <c r="N543" i="4"/>
  <c r="K543" i="4"/>
  <c r="A543" i="4"/>
  <c r="AQ542" i="4"/>
  <c r="AE542" i="4"/>
  <c r="AA542" i="4"/>
  <c r="T542" i="4"/>
  <c r="N542" i="4"/>
  <c r="M542" i="4"/>
  <c r="A542" i="4"/>
  <c r="AQ541" i="4"/>
  <c r="AG541" i="4"/>
  <c r="AE541" i="4"/>
  <c r="AD541" i="4"/>
  <c r="Y541" i="4"/>
  <c r="J541" i="4"/>
  <c r="A541" i="4"/>
  <c r="K536" i="4"/>
  <c r="AQ573" i="4" s="1"/>
  <c r="K535" i="4"/>
  <c r="AQ572" i="4" s="1"/>
  <c r="K534" i="4"/>
  <c r="K533" i="4"/>
  <c r="AQ570" i="4" s="1"/>
  <c r="K532" i="4"/>
  <c r="AQ569" i="4" s="1"/>
  <c r="K531" i="4"/>
  <c r="AQ568" i="4" s="1"/>
  <c r="K530" i="4"/>
  <c r="AQ567" i="4" s="1"/>
  <c r="K529" i="4"/>
  <c r="AQ566" i="4" s="1"/>
  <c r="K528" i="4"/>
  <c r="AQ565" i="4" s="1"/>
  <c r="K527" i="4"/>
  <c r="AQ564" i="4" s="1"/>
  <c r="K526" i="4"/>
  <c r="K525" i="4"/>
  <c r="AQ562" i="4" s="1"/>
  <c r="K524" i="4"/>
  <c r="AQ561" i="4" s="1"/>
  <c r="K523" i="4"/>
  <c r="AQ560" i="4" s="1"/>
  <c r="K522" i="4"/>
  <c r="AQ559" i="4" s="1"/>
  <c r="K521" i="4"/>
  <c r="AQ558" i="4" s="1"/>
  <c r="K520" i="4"/>
  <c r="AQ557" i="4" s="1"/>
  <c r="K519" i="4"/>
  <c r="AQ556" i="4" s="1"/>
  <c r="K518" i="4"/>
  <c r="K517" i="4"/>
  <c r="AQ554" i="4" s="1"/>
  <c r="K516" i="4"/>
  <c r="K515" i="4"/>
  <c r="AQ552" i="4" s="1"/>
  <c r="K514" i="4"/>
  <c r="AQ551" i="4" s="1"/>
  <c r="K513" i="4"/>
  <c r="K512" i="4"/>
  <c r="AQ549" i="4" s="1"/>
  <c r="K511" i="4"/>
  <c r="AQ548" i="4" s="1"/>
  <c r="K510" i="4"/>
  <c r="K509" i="4"/>
  <c r="AQ546" i="4" s="1"/>
  <c r="K508" i="4"/>
  <c r="K507" i="4"/>
  <c r="AQ544" i="4" s="1"/>
  <c r="K506" i="4"/>
  <c r="AB499" i="4"/>
  <c r="AC573" i="4" s="1"/>
  <c r="AA499" i="4"/>
  <c r="AB573" i="4" s="1"/>
  <c r="Z499" i="4"/>
  <c r="AA573" i="4" s="1"/>
  <c r="Y499" i="4"/>
  <c r="Z573" i="4" s="1"/>
  <c r="X499" i="4"/>
  <c r="Y573" i="4" s="1"/>
  <c r="W499" i="4"/>
  <c r="X573" i="4" s="1"/>
  <c r="V499" i="4"/>
  <c r="W573" i="4" s="1"/>
  <c r="U499" i="4"/>
  <c r="V573" i="4" s="1"/>
  <c r="T499" i="4"/>
  <c r="U573" i="4" s="1"/>
  <c r="S499" i="4"/>
  <c r="T573" i="4" s="1"/>
  <c r="R499" i="4"/>
  <c r="S573" i="4" s="1"/>
  <c r="Q499" i="4"/>
  <c r="R573" i="4" s="1"/>
  <c r="P499" i="4"/>
  <c r="O499" i="4"/>
  <c r="N499" i="4"/>
  <c r="O573" i="4" s="1"/>
  <c r="M499" i="4"/>
  <c r="L499" i="4"/>
  <c r="M573" i="4" s="1"/>
  <c r="K499" i="4"/>
  <c r="J499" i="4"/>
  <c r="I499" i="4"/>
  <c r="J573" i="4" s="1"/>
  <c r="H499" i="4"/>
  <c r="I573" i="4" s="1"/>
  <c r="G499" i="4"/>
  <c r="H573" i="4" s="1"/>
  <c r="F499" i="4"/>
  <c r="G573" i="4" s="1"/>
  <c r="E499" i="4"/>
  <c r="F573" i="4" s="1"/>
  <c r="D499" i="4"/>
  <c r="E573" i="4" s="1"/>
  <c r="C499" i="4"/>
  <c r="D573" i="4" s="1"/>
  <c r="B499" i="4"/>
  <c r="C573" i="4" s="1"/>
  <c r="AB498" i="4"/>
  <c r="AC572" i="4" s="1"/>
  <c r="AA498" i="4"/>
  <c r="AB572" i="4" s="1"/>
  <c r="Z498" i="4"/>
  <c r="AA572" i="4" s="1"/>
  <c r="Y498" i="4"/>
  <c r="X498" i="4"/>
  <c r="Y572" i="4" s="1"/>
  <c r="W498" i="4"/>
  <c r="X572" i="4" s="1"/>
  <c r="V498" i="4"/>
  <c r="W572" i="4" s="1"/>
  <c r="U498" i="4"/>
  <c r="V572" i="4" s="1"/>
  <c r="T498" i="4"/>
  <c r="U572" i="4" s="1"/>
  <c r="S498" i="4"/>
  <c r="T572" i="4" s="1"/>
  <c r="R498" i="4"/>
  <c r="S572" i="4" s="1"/>
  <c r="Q498" i="4"/>
  <c r="R572" i="4" s="1"/>
  <c r="P498" i="4"/>
  <c r="Q572" i="4" s="1"/>
  <c r="O498" i="4"/>
  <c r="P572" i="4" s="1"/>
  <c r="N498" i="4"/>
  <c r="M498" i="4"/>
  <c r="N572" i="4" s="1"/>
  <c r="L498" i="4"/>
  <c r="M572" i="4" s="1"/>
  <c r="K498" i="4"/>
  <c r="L572" i="4" s="1"/>
  <c r="J498" i="4"/>
  <c r="K572" i="4" s="1"/>
  <c r="I498" i="4"/>
  <c r="J572" i="4" s="1"/>
  <c r="H498" i="4"/>
  <c r="I572" i="4" s="1"/>
  <c r="G498" i="4"/>
  <c r="F498" i="4"/>
  <c r="G572" i="4" s="1"/>
  <c r="E498" i="4"/>
  <c r="F572" i="4" s="1"/>
  <c r="D498" i="4"/>
  <c r="E572" i="4" s="1"/>
  <c r="C498" i="4"/>
  <c r="D572" i="4" s="1"/>
  <c r="B498" i="4"/>
  <c r="AB497" i="4"/>
  <c r="AC571" i="4" s="1"/>
  <c r="AA497" i="4"/>
  <c r="AB571" i="4" s="1"/>
  <c r="Z497" i="4"/>
  <c r="AA571" i="4" s="1"/>
  <c r="Y497" i="4"/>
  <c r="Z571" i="4" s="1"/>
  <c r="X497" i="4"/>
  <c r="Y571" i="4" s="1"/>
  <c r="W497" i="4"/>
  <c r="X571" i="4" s="1"/>
  <c r="V497" i="4"/>
  <c r="W571" i="4" s="1"/>
  <c r="U497" i="4"/>
  <c r="V571" i="4" s="1"/>
  <c r="T497" i="4"/>
  <c r="U571" i="4" s="1"/>
  <c r="S497" i="4"/>
  <c r="T571" i="4" s="1"/>
  <c r="R497" i="4"/>
  <c r="S571" i="4" s="1"/>
  <c r="Q497" i="4"/>
  <c r="P497" i="4"/>
  <c r="O497" i="4"/>
  <c r="N497" i="4"/>
  <c r="O571" i="4" s="1"/>
  <c r="M497" i="4"/>
  <c r="N571" i="4" s="1"/>
  <c r="L497" i="4"/>
  <c r="M571" i="4" s="1"/>
  <c r="K497" i="4"/>
  <c r="L571" i="4" s="1"/>
  <c r="J497" i="4"/>
  <c r="K571" i="4" s="1"/>
  <c r="I497" i="4"/>
  <c r="J571" i="4" s="1"/>
  <c r="H497" i="4"/>
  <c r="I571" i="4" s="1"/>
  <c r="G497" i="4"/>
  <c r="H571" i="4" s="1"/>
  <c r="F497" i="4"/>
  <c r="G571" i="4" s="1"/>
  <c r="E497" i="4"/>
  <c r="D497" i="4"/>
  <c r="E571" i="4" s="1"/>
  <c r="C497" i="4"/>
  <c r="D571" i="4" s="1"/>
  <c r="B497" i="4"/>
  <c r="Y496" i="4"/>
  <c r="Z570" i="4" s="1"/>
  <c r="X496" i="4"/>
  <c r="Y570" i="4" s="1"/>
  <c r="W496" i="4"/>
  <c r="X570" i="4" s="1"/>
  <c r="V496" i="4"/>
  <c r="W570" i="4" s="1"/>
  <c r="U496" i="4"/>
  <c r="V570" i="4" s="1"/>
  <c r="T496" i="4"/>
  <c r="U570" i="4" s="1"/>
  <c r="S496" i="4"/>
  <c r="T570" i="4" s="1"/>
  <c r="R496" i="4"/>
  <c r="S570" i="4" s="1"/>
  <c r="Q496" i="4"/>
  <c r="P496" i="4"/>
  <c r="Q570" i="4" s="1"/>
  <c r="O496" i="4"/>
  <c r="N496" i="4"/>
  <c r="M496" i="4"/>
  <c r="N570" i="4" s="1"/>
  <c r="L496" i="4"/>
  <c r="M570" i="4" s="1"/>
  <c r="K496" i="4"/>
  <c r="L570" i="4" s="1"/>
  <c r="J496" i="4"/>
  <c r="K570" i="4" s="1"/>
  <c r="I496" i="4"/>
  <c r="J570" i="4" s="1"/>
  <c r="H496" i="4"/>
  <c r="I570" i="4" s="1"/>
  <c r="G496" i="4"/>
  <c r="H570" i="4" s="1"/>
  <c r="F496" i="4"/>
  <c r="G570" i="4" s="1"/>
  <c r="E496" i="4"/>
  <c r="F570" i="4" s="1"/>
  <c r="D496" i="4"/>
  <c r="E570" i="4" s="1"/>
  <c r="C496" i="4"/>
  <c r="D570" i="4" s="1"/>
  <c r="B496" i="4"/>
  <c r="Y495" i="4"/>
  <c r="Z569" i="4" s="1"/>
  <c r="X495" i="4"/>
  <c r="Y569" i="4" s="1"/>
  <c r="W495" i="4"/>
  <c r="X569" i="4" s="1"/>
  <c r="V495" i="4"/>
  <c r="W569" i="4" s="1"/>
  <c r="U495" i="4"/>
  <c r="V569" i="4" s="1"/>
  <c r="T495" i="4"/>
  <c r="U569" i="4" s="1"/>
  <c r="S495" i="4"/>
  <c r="T569" i="4" s="1"/>
  <c r="R495" i="4"/>
  <c r="Q495" i="4"/>
  <c r="R569" i="4" s="1"/>
  <c r="P495" i="4"/>
  <c r="O495" i="4"/>
  <c r="N495" i="4"/>
  <c r="O569" i="4" s="1"/>
  <c r="M495" i="4"/>
  <c r="N569" i="4" s="1"/>
  <c r="L495" i="4"/>
  <c r="M569" i="4" s="1"/>
  <c r="K495" i="4"/>
  <c r="L569" i="4" s="1"/>
  <c r="J495" i="4"/>
  <c r="K569" i="4" s="1"/>
  <c r="I495" i="4"/>
  <c r="J569" i="4" s="1"/>
  <c r="H495" i="4"/>
  <c r="I569" i="4" s="1"/>
  <c r="G495" i="4"/>
  <c r="H569" i="4" s="1"/>
  <c r="F495" i="4"/>
  <c r="G569" i="4" s="1"/>
  <c r="E495" i="4"/>
  <c r="F569" i="4" s="1"/>
  <c r="D495" i="4"/>
  <c r="E569" i="4" s="1"/>
  <c r="C495" i="4"/>
  <c r="D569" i="4" s="1"/>
  <c r="B495" i="4"/>
  <c r="C569" i="4" s="1"/>
  <c r="Y494" i="4"/>
  <c r="Z568" i="4" s="1"/>
  <c r="X494" i="4"/>
  <c r="Y568" i="4" s="1"/>
  <c r="W494" i="4"/>
  <c r="X568" i="4" s="1"/>
  <c r="V494" i="4"/>
  <c r="W568" i="4" s="1"/>
  <c r="U494" i="4"/>
  <c r="V568" i="4" s="1"/>
  <c r="T494" i="4"/>
  <c r="U568" i="4" s="1"/>
  <c r="S494" i="4"/>
  <c r="T568" i="4" s="1"/>
  <c r="R494" i="4"/>
  <c r="S568" i="4" s="1"/>
  <c r="Q494" i="4"/>
  <c r="R568" i="4" s="1"/>
  <c r="P494" i="4"/>
  <c r="Q568" i="4" s="1"/>
  <c r="O494" i="4"/>
  <c r="P568" i="4" s="1"/>
  <c r="N494" i="4"/>
  <c r="O568" i="4" s="1"/>
  <c r="M494" i="4"/>
  <c r="N568" i="4" s="1"/>
  <c r="L494" i="4"/>
  <c r="K494" i="4"/>
  <c r="L568" i="4" s="1"/>
  <c r="J494" i="4"/>
  <c r="K568" i="4" s="1"/>
  <c r="I494" i="4"/>
  <c r="J568" i="4" s="1"/>
  <c r="H494" i="4"/>
  <c r="I568" i="4" s="1"/>
  <c r="G494" i="4"/>
  <c r="F494" i="4"/>
  <c r="G568" i="4" s="1"/>
  <c r="E494" i="4"/>
  <c r="F568" i="4" s="1"/>
  <c r="D494" i="4"/>
  <c r="E568" i="4" s="1"/>
  <c r="C494" i="4"/>
  <c r="B494" i="4"/>
  <c r="C568" i="4" s="1"/>
  <c r="AH493" i="4"/>
  <c r="AI567" i="4" s="1"/>
  <c r="AG493" i="4"/>
  <c r="AH567" i="4" s="1"/>
  <c r="AF493" i="4"/>
  <c r="AG567" i="4" s="1"/>
  <c r="V493" i="4"/>
  <c r="W567" i="4" s="1"/>
  <c r="U493" i="4"/>
  <c r="T493" i="4"/>
  <c r="S493" i="4"/>
  <c r="T567" i="4" s="1"/>
  <c r="R493" i="4"/>
  <c r="S567" i="4" s="1"/>
  <c r="Q493" i="4"/>
  <c r="R567" i="4" s="1"/>
  <c r="P493" i="4"/>
  <c r="Q567" i="4" s="1"/>
  <c r="O493" i="4"/>
  <c r="P567" i="4" s="1"/>
  <c r="N493" i="4"/>
  <c r="O567" i="4" s="1"/>
  <c r="M493" i="4"/>
  <c r="N567" i="4" s="1"/>
  <c r="L493" i="4"/>
  <c r="M567" i="4" s="1"/>
  <c r="K493" i="4"/>
  <c r="L567" i="4" s="1"/>
  <c r="J493" i="4"/>
  <c r="K567" i="4" s="1"/>
  <c r="I493" i="4"/>
  <c r="J567" i="4" s="1"/>
  <c r="H493" i="4"/>
  <c r="I567" i="4" s="1"/>
  <c r="G493" i="4"/>
  <c r="H567" i="4" s="1"/>
  <c r="F493" i="4"/>
  <c r="E493" i="4"/>
  <c r="F567" i="4" s="1"/>
  <c r="D493" i="4"/>
  <c r="E567" i="4" s="1"/>
  <c r="C493" i="4"/>
  <c r="D567" i="4" s="1"/>
  <c r="B493" i="4"/>
  <c r="C567" i="4" s="1"/>
  <c r="AH492" i="4"/>
  <c r="AG492" i="4"/>
  <c r="AH566" i="4" s="1"/>
  <c r="AF492" i="4"/>
  <c r="V492" i="4"/>
  <c r="W566" i="4" s="1"/>
  <c r="U492" i="4"/>
  <c r="V566" i="4" s="1"/>
  <c r="T492" i="4"/>
  <c r="U566" i="4" s="1"/>
  <c r="S492" i="4"/>
  <c r="T566" i="4" s="1"/>
  <c r="R492" i="4"/>
  <c r="S566" i="4" s="1"/>
  <c r="Q492" i="4"/>
  <c r="R566" i="4" s="1"/>
  <c r="P492" i="4"/>
  <c r="Q566" i="4" s="1"/>
  <c r="O492" i="4"/>
  <c r="P566" i="4" s="1"/>
  <c r="N492" i="4"/>
  <c r="O566" i="4" s="1"/>
  <c r="M492" i="4"/>
  <c r="N566" i="4" s="1"/>
  <c r="L492" i="4"/>
  <c r="M566" i="4" s="1"/>
  <c r="K492" i="4"/>
  <c r="L566" i="4" s="1"/>
  <c r="J492" i="4"/>
  <c r="K566" i="4" s="1"/>
  <c r="I492" i="4"/>
  <c r="J566" i="4" s="1"/>
  <c r="H492" i="4"/>
  <c r="I566" i="4" s="1"/>
  <c r="G492" i="4"/>
  <c r="H566" i="4" s="1"/>
  <c r="F492" i="4"/>
  <c r="G566" i="4" s="1"/>
  <c r="E492" i="4"/>
  <c r="D492" i="4"/>
  <c r="E566" i="4" s="1"/>
  <c r="C492" i="4"/>
  <c r="D566" i="4" s="1"/>
  <c r="B492" i="4"/>
  <c r="AH491" i="4"/>
  <c r="AI565" i="4" s="1"/>
  <c r="AG491" i="4"/>
  <c r="AF491" i="4"/>
  <c r="AG565" i="4" s="1"/>
  <c r="V491" i="4"/>
  <c r="U491" i="4"/>
  <c r="V565" i="4" s="1"/>
  <c r="T491" i="4"/>
  <c r="U565" i="4" s="1"/>
  <c r="S491" i="4"/>
  <c r="R491" i="4"/>
  <c r="Q491" i="4"/>
  <c r="R565" i="4" s="1"/>
  <c r="P491" i="4"/>
  <c r="O491" i="4"/>
  <c r="P565" i="4" s="1"/>
  <c r="N491" i="4"/>
  <c r="O565" i="4" s="1"/>
  <c r="M491" i="4"/>
  <c r="N565" i="4" s="1"/>
  <c r="L491" i="4"/>
  <c r="M565" i="4" s="1"/>
  <c r="K491" i="4"/>
  <c r="L565" i="4" s="1"/>
  <c r="J491" i="4"/>
  <c r="K565" i="4" s="1"/>
  <c r="I491" i="4"/>
  <c r="J565" i="4" s="1"/>
  <c r="H491" i="4"/>
  <c r="I565" i="4" s="1"/>
  <c r="G491" i="4"/>
  <c r="H565" i="4" s="1"/>
  <c r="F491" i="4"/>
  <c r="G565" i="4" s="1"/>
  <c r="E491" i="4"/>
  <c r="F565" i="4" s="1"/>
  <c r="D491" i="4"/>
  <c r="E565" i="4" s="1"/>
  <c r="C491" i="4"/>
  <c r="D565" i="4" s="1"/>
  <c r="B491" i="4"/>
  <c r="AH490" i="4"/>
  <c r="AI564" i="4" s="1"/>
  <c r="AG490" i="4"/>
  <c r="AH564" i="4" s="1"/>
  <c r="AF490" i="4"/>
  <c r="AG564" i="4" s="1"/>
  <c r="AE490" i="4"/>
  <c r="AF564" i="4" s="1"/>
  <c r="AD490" i="4"/>
  <c r="AE564" i="4" s="1"/>
  <c r="AC490" i="4"/>
  <c r="S490" i="4"/>
  <c r="T564" i="4" s="1"/>
  <c r="R490" i="4"/>
  <c r="S564" i="4" s="1"/>
  <c r="Q490" i="4"/>
  <c r="R564" i="4" s="1"/>
  <c r="P490" i="4"/>
  <c r="Q564" i="4" s="1"/>
  <c r="O490" i="4"/>
  <c r="P564" i="4" s="1"/>
  <c r="N490" i="4"/>
  <c r="O564" i="4" s="1"/>
  <c r="M490" i="4"/>
  <c r="N564" i="4" s="1"/>
  <c r="L490" i="4"/>
  <c r="K490" i="4"/>
  <c r="J490" i="4"/>
  <c r="K564" i="4" s="1"/>
  <c r="I490" i="4"/>
  <c r="J564" i="4" s="1"/>
  <c r="H490" i="4"/>
  <c r="I564" i="4" s="1"/>
  <c r="G490" i="4"/>
  <c r="F490" i="4"/>
  <c r="G564" i="4" s="1"/>
  <c r="E490" i="4"/>
  <c r="F564" i="4" s="1"/>
  <c r="D490" i="4"/>
  <c r="C490" i="4"/>
  <c r="B490" i="4"/>
  <c r="AH489" i="4"/>
  <c r="AI563" i="4" s="1"/>
  <c r="AG489" i="4"/>
  <c r="AH563" i="4" s="1"/>
  <c r="AF489" i="4"/>
  <c r="AG563" i="4" s="1"/>
  <c r="AE489" i="4"/>
  <c r="AF563" i="4" s="1"/>
  <c r="AD489" i="4"/>
  <c r="AE563" i="4" s="1"/>
  <c r="AC489" i="4"/>
  <c r="AD563" i="4" s="1"/>
  <c r="S489" i="4"/>
  <c r="T563" i="4" s="1"/>
  <c r="R489" i="4"/>
  <c r="S563" i="4" s="1"/>
  <c r="Q489" i="4"/>
  <c r="R563" i="4" s="1"/>
  <c r="P489" i="4"/>
  <c r="Q563" i="4" s="1"/>
  <c r="O489" i="4"/>
  <c r="P563" i="4" s="1"/>
  <c r="N489" i="4"/>
  <c r="O563" i="4" s="1"/>
  <c r="M489" i="4"/>
  <c r="N563" i="4" s="1"/>
  <c r="L489" i="4"/>
  <c r="M563" i="4" s="1"/>
  <c r="K489" i="4"/>
  <c r="L563" i="4" s="1"/>
  <c r="J489" i="4"/>
  <c r="K563" i="4" s="1"/>
  <c r="I489" i="4"/>
  <c r="J563" i="4" s="1"/>
  <c r="H489" i="4"/>
  <c r="I563" i="4" s="1"/>
  <c r="G489" i="4"/>
  <c r="H563" i="4" s="1"/>
  <c r="F489" i="4"/>
  <c r="G563" i="4" s="1"/>
  <c r="E489" i="4"/>
  <c r="F563" i="4" s="1"/>
  <c r="D489" i="4"/>
  <c r="C489" i="4"/>
  <c r="B489" i="4"/>
  <c r="C563" i="4" s="1"/>
  <c r="AH488" i="4"/>
  <c r="AI562" i="4" s="1"/>
  <c r="AG488" i="4"/>
  <c r="AH562" i="4" s="1"/>
  <c r="AF488" i="4"/>
  <c r="AG562" i="4" s="1"/>
  <c r="AE488" i="4"/>
  <c r="AF562" i="4" s="1"/>
  <c r="AD488" i="4"/>
  <c r="AC488" i="4"/>
  <c r="S488" i="4"/>
  <c r="T562" i="4" s="1"/>
  <c r="R488" i="4"/>
  <c r="S562" i="4" s="1"/>
  <c r="Q488" i="4"/>
  <c r="R562" i="4" s="1"/>
  <c r="P488" i="4"/>
  <c r="Q562" i="4" s="1"/>
  <c r="O488" i="4"/>
  <c r="P562" i="4" s="1"/>
  <c r="N488" i="4"/>
  <c r="O562" i="4" s="1"/>
  <c r="M488" i="4"/>
  <c r="N562" i="4" s="1"/>
  <c r="L488" i="4"/>
  <c r="M562" i="4" s="1"/>
  <c r="K488" i="4"/>
  <c r="L562" i="4" s="1"/>
  <c r="J488" i="4"/>
  <c r="K562" i="4" s="1"/>
  <c r="I488" i="4"/>
  <c r="H488" i="4"/>
  <c r="G488" i="4"/>
  <c r="H562" i="4" s="1"/>
  <c r="F488" i="4"/>
  <c r="G562" i="4" s="1"/>
  <c r="E488" i="4"/>
  <c r="D488" i="4"/>
  <c r="C488" i="4"/>
  <c r="D562" i="4" s="1"/>
  <c r="B488" i="4"/>
  <c r="C562" i="4" s="1"/>
  <c r="AH487" i="4"/>
  <c r="AI561" i="4" s="1"/>
  <c r="AG487" i="4"/>
  <c r="AH561" i="4" s="1"/>
  <c r="AF487" i="4"/>
  <c r="AG561" i="4" s="1"/>
  <c r="AE487" i="4"/>
  <c r="AF561" i="4" s="1"/>
  <c r="AD487" i="4"/>
  <c r="AE561" i="4" s="1"/>
  <c r="AC487" i="4"/>
  <c r="AD561" i="4" s="1"/>
  <c r="AB487" i="4"/>
  <c r="AC561" i="4" s="1"/>
  <c r="AA487" i="4"/>
  <c r="AB561" i="4" s="1"/>
  <c r="Z487" i="4"/>
  <c r="P487" i="4"/>
  <c r="Q561" i="4" s="1"/>
  <c r="O487" i="4"/>
  <c r="P561" i="4" s="1"/>
  <c r="N487" i="4"/>
  <c r="O561" i="4" s="1"/>
  <c r="M487" i="4"/>
  <c r="N561" i="4" s="1"/>
  <c r="L487" i="4"/>
  <c r="K487" i="4"/>
  <c r="L561" i="4" s="1"/>
  <c r="J487" i="4"/>
  <c r="K561" i="4" s="1"/>
  <c r="I487" i="4"/>
  <c r="J561" i="4" s="1"/>
  <c r="H487" i="4"/>
  <c r="I561" i="4" s="1"/>
  <c r="G487" i="4"/>
  <c r="F487" i="4"/>
  <c r="E487" i="4"/>
  <c r="F561" i="4" s="1"/>
  <c r="D487" i="4"/>
  <c r="E561" i="4" s="1"/>
  <c r="C487" i="4"/>
  <c r="D561" i="4" s="1"/>
  <c r="B487" i="4"/>
  <c r="C561" i="4" s="1"/>
  <c r="AH486" i="4"/>
  <c r="AI560" i="4" s="1"/>
  <c r="AG486" i="4"/>
  <c r="AH560" i="4" s="1"/>
  <c r="AF486" i="4"/>
  <c r="AE486" i="4"/>
  <c r="AF560" i="4" s="1"/>
  <c r="AD486" i="4"/>
  <c r="AE560" i="4" s="1"/>
  <c r="AC486" i="4"/>
  <c r="AD560" i="4" s="1"/>
  <c r="AB486" i="4"/>
  <c r="AA486" i="4"/>
  <c r="Z486" i="4"/>
  <c r="AA560" i="4" s="1"/>
  <c r="P486" i="4"/>
  <c r="Q560" i="4" s="1"/>
  <c r="O486" i="4"/>
  <c r="P560" i="4" s="1"/>
  <c r="N486" i="4"/>
  <c r="M486" i="4"/>
  <c r="L486" i="4"/>
  <c r="M560" i="4" s="1"/>
  <c r="K486" i="4"/>
  <c r="J486" i="4"/>
  <c r="I486" i="4"/>
  <c r="H486" i="4"/>
  <c r="I560" i="4" s="1"/>
  <c r="G486" i="4"/>
  <c r="F486" i="4"/>
  <c r="G560" i="4" s="1"/>
  <c r="E486" i="4"/>
  <c r="F560" i="4" s="1"/>
  <c r="D486" i="4"/>
  <c r="E560" i="4" s="1"/>
  <c r="C486" i="4"/>
  <c r="D560" i="4" s="1"/>
  <c r="B486" i="4"/>
  <c r="C560" i="4" s="1"/>
  <c r="AH485" i="4"/>
  <c r="AI559" i="4" s="1"/>
  <c r="AG485" i="4"/>
  <c r="AH559" i="4" s="1"/>
  <c r="AF485" i="4"/>
  <c r="AG559" i="4" s="1"/>
  <c r="AE485" i="4"/>
  <c r="AF559" i="4" s="1"/>
  <c r="AD485" i="4"/>
  <c r="AE559" i="4" s="1"/>
  <c r="AC485" i="4"/>
  <c r="AD559" i="4" s="1"/>
  <c r="AB485" i="4"/>
  <c r="AC559" i="4" s="1"/>
  <c r="AA485" i="4"/>
  <c r="AB559" i="4" s="1"/>
  <c r="Z485" i="4"/>
  <c r="AA559" i="4" s="1"/>
  <c r="P485" i="4"/>
  <c r="Q559" i="4" s="1"/>
  <c r="O485" i="4"/>
  <c r="P559" i="4" s="1"/>
  <c r="N485" i="4"/>
  <c r="O559" i="4" s="1"/>
  <c r="M485" i="4"/>
  <c r="N559" i="4" s="1"/>
  <c r="L485" i="4"/>
  <c r="M559" i="4" s="1"/>
  <c r="K485" i="4"/>
  <c r="L559" i="4" s="1"/>
  <c r="J485" i="4"/>
  <c r="K559" i="4" s="1"/>
  <c r="I485" i="4"/>
  <c r="J559" i="4" s="1"/>
  <c r="H485" i="4"/>
  <c r="G485" i="4"/>
  <c r="H559" i="4" s="1"/>
  <c r="F485" i="4"/>
  <c r="G559" i="4" s="1"/>
  <c r="E485" i="4"/>
  <c r="D485" i="4"/>
  <c r="E559" i="4" s="1"/>
  <c r="C485" i="4"/>
  <c r="D559" i="4" s="1"/>
  <c r="B485" i="4"/>
  <c r="C559" i="4" s="1"/>
  <c r="AH484" i="4"/>
  <c r="AI558" i="4" s="1"/>
  <c r="AG484" i="4"/>
  <c r="AH558" i="4" s="1"/>
  <c r="AF484" i="4"/>
  <c r="AG558" i="4" s="1"/>
  <c r="AE484" i="4"/>
  <c r="AF558" i="4" s="1"/>
  <c r="AD484" i="4"/>
  <c r="AE558" i="4" s="1"/>
  <c r="AC484" i="4"/>
  <c r="AD558" i="4" s="1"/>
  <c r="AB484" i="4"/>
  <c r="AC558" i="4" s="1"/>
  <c r="AA484" i="4"/>
  <c r="AB558" i="4" s="1"/>
  <c r="Z484" i="4"/>
  <c r="AA558" i="4" s="1"/>
  <c r="Y484" i="4"/>
  <c r="X484" i="4"/>
  <c r="W484" i="4"/>
  <c r="X558" i="4" s="1"/>
  <c r="M484" i="4"/>
  <c r="L484" i="4"/>
  <c r="M558" i="4" s="1"/>
  <c r="K484" i="4"/>
  <c r="J484" i="4"/>
  <c r="K558" i="4" s="1"/>
  <c r="I484" i="4"/>
  <c r="J558" i="4" s="1"/>
  <c r="H484" i="4"/>
  <c r="I558" i="4" s="1"/>
  <c r="G484" i="4"/>
  <c r="H558" i="4" s="1"/>
  <c r="F484" i="4"/>
  <c r="G558" i="4" s="1"/>
  <c r="E484" i="4"/>
  <c r="D484" i="4"/>
  <c r="E558" i="4" s="1"/>
  <c r="C484" i="4"/>
  <c r="D558" i="4" s="1"/>
  <c r="B484" i="4"/>
  <c r="C558" i="4" s="1"/>
  <c r="AH483" i="4"/>
  <c r="AI557" i="4" s="1"/>
  <c r="AG483" i="4"/>
  <c r="AH557" i="4" s="1"/>
  <c r="AF483" i="4"/>
  <c r="AG557" i="4" s="1"/>
  <c r="AE483" i="4"/>
  <c r="AF557" i="4" s="1"/>
  <c r="AD483" i="4"/>
  <c r="AE557" i="4" s="1"/>
  <c r="AC483" i="4"/>
  <c r="AB483" i="4"/>
  <c r="AC557" i="4" s="1"/>
  <c r="AA483" i="4"/>
  <c r="AB557" i="4" s="1"/>
  <c r="Z483" i="4"/>
  <c r="AA557" i="4" s="1"/>
  <c r="Y483" i="4"/>
  <c r="Z557" i="4" s="1"/>
  <c r="X483" i="4"/>
  <c r="Y557" i="4" s="1"/>
  <c r="W483" i="4"/>
  <c r="X557" i="4" s="1"/>
  <c r="M483" i="4"/>
  <c r="N557" i="4" s="1"/>
  <c r="L483" i="4"/>
  <c r="K483" i="4"/>
  <c r="J483" i="4"/>
  <c r="I483" i="4"/>
  <c r="J557" i="4" s="1"/>
  <c r="H483" i="4"/>
  <c r="G483" i="4"/>
  <c r="H557" i="4" s="1"/>
  <c r="F483" i="4"/>
  <c r="E483" i="4"/>
  <c r="F557" i="4" s="1"/>
  <c r="D483" i="4"/>
  <c r="E557" i="4" s="1"/>
  <c r="C483" i="4"/>
  <c r="D557" i="4" s="1"/>
  <c r="B483" i="4"/>
  <c r="C557" i="4" s="1"/>
  <c r="AH482" i="4"/>
  <c r="AI556" i="4" s="1"/>
  <c r="AG482" i="4"/>
  <c r="AH556" i="4" s="1"/>
  <c r="AF482" i="4"/>
  <c r="AG556" i="4" s="1"/>
  <c r="AE482" i="4"/>
  <c r="AD482" i="4"/>
  <c r="AE556" i="4" s="1"/>
  <c r="AC482" i="4"/>
  <c r="AB482" i="4"/>
  <c r="AC556" i="4" s="1"/>
  <c r="AA482" i="4"/>
  <c r="AB556" i="4" s="1"/>
  <c r="Z482" i="4"/>
  <c r="AA556" i="4" s="1"/>
  <c r="Y482" i="4"/>
  <c r="Z556" i="4" s="1"/>
  <c r="X482" i="4"/>
  <c r="Y556" i="4" s="1"/>
  <c r="W482" i="4"/>
  <c r="X556" i="4" s="1"/>
  <c r="M482" i="4"/>
  <c r="L482" i="4"/>
  <c r="M556" i="4" s="1"/>
  <c r="K482" i="4"/>
  <c r="J482" i="4"/>
  <c r="K556" i="4" s="1"/>
  <c r="I482" i="4"/>
  <c r="J556" i="4" s="1"/>
  <c r="H482" i="4"/>
  <c r="I556" i="4" s="1"/>
  <c r="G482" i="4"/>
  <c r="H556" i="4" s="1"/>
  <c r="F482" i="4"/>
  <c r="G556" i="4" s="1"/>
  <c r="E482" i="4"/>
  <c r="F556" i="4" s="1"/>
  <c r="D482" i="4"/>
  <c r="E556" i="4" s="1"/>
  <c r="C482" i="4"/>
  <c r="D556" i="4" s="1"/>
  <c r="B482" i="4"/>
  <c r="C556" i="4" s="1"/>
  <c r="AH481" i="4"/>
  <c r="AI555" i="4" s="1"/>
  <c r="AG481" i="4"/>
  <c r="AH555" i="4" s="1"/>
  <c r="AF481" i="4"/>
  <c r="AG555" i="4" s="1"/>
  <c r="AE481" i="4"/>
  <c r="AF555" i="4" s="1"/>
  <c r="AD481" i="4"/>
  <c r="AE555" i="4" s="1"/>
  <c r="AC481" i="4"/>
  <c r="AD555" i="4" s="1"/>
  <c r="AB481" i="4"/>
  <c r="AA481" i="4"/>
  <c r="AB555" i="4" s="1"/>
  <c r="Z481" i="4"/>
  <c r="AA555" i="4" s="1"/>
  <c r="Y481" i="4"/>
  <c r="Z555" i="4" s="1"/>
  <c r="X481" i="4"/>
  <c r="Y555" i="4" s="1"/>
  <c r="W481" i="4"/>
  <c r="X555" i="4" s="1"/>
  <c r="V481" i="4"/>
  <c r="W555" i="4" s="1"/>
  <c r="U481" i="4"/>
  <c r="V555" i="4" s="1"/>
  <c r="T481" i="4"/>
  <c r="U555" i="4" s="1"/>
  <c r="J481" i="4"/>
  <c r="K555" i="4" s="1"/>
  <c r="I481" i="4"/>
  <c r="J555" i="4" s="1"/>
  <c r="H481" i="4"/>
  <c r="G481" i="4"/>
  <c r="H555" i="4" s="1"/>
  <c r="F481" i="4"/>
  <c r="G555" i="4" s="1"/>
  <c r="E481" i="4"/>
  <c r="F555" i="4" s="1"/>
  <c r="D481" i="4"/>
  <c r="E555" i="4" s="1"/>
  <c r="C481" i="4"/>
  <c r="D555" i="4" s="1"/>
  <c r="B481" i="4"/>
  <c r="C555" i="4" s="1"/>
  <c r="AH480" i="4"/>
  <c r="AI554" i="4" s="1"/>
  <c r="AG480" i="4"/>
  <c r="AH554" i="4" s="1"/>
  <c r="AF480" i="4"/>
  <c r="AG554" i="4" s="1"/>
  <c r="AE480" i="4"/>
  <c r="AF554" i="4" s="1"/>
  <c r="AD480" i="4"/>
  <c r="AE554" i="4" s="1"/>
  <c r="AC480" i="4"/>
  <c r="AD554" i="4" s="1"/>
  <c r="AB480" i="4"/>
  <c r="AA480" i="4"/>
  <c r="Z480" i="4"/>
  <c r="AA554" i="4" s="1"/>
  <c r="Y480" i="4"/>
  <c r="Z554" i="4" s="1"/>
  <c r="X480" i="4"/>
  <c r="Y554" i="4" s="1"/>
  <c r="W480" i="4"/>
  <c r="X554" i="4" s="1"/>
  <c r="V480" i="4"/>
  <c r="W554" i="4" s="1"/>
  <c r="U480" i="4"/>
  <c r="V554" i="4" s="1"/>
  <c r="T480" i="4"/>
  <c r="U554" i="4" s="1"/>
  <c r="J480" i="4"/>
  <c r="K554" i="4" s="1"/>
  <c r="I480" i="4"/>
  <c r="J554" i="4" s="1"/>
  <c r="H480" i="4"/>
  <c r="I554" i="4" s="1"/>
  <c r="G480" i="4"/>
  <c r="H554" i="4" s="1"/>
  <c r="F480" i="4"/>
  <c r="G554" i="4" s="1"/>
  <c r="E480" i="4"/>
  <c r="F554" i="4" s="1"/>
  <c r="D480" i="4"/>
  <c r="E554" i="4" s="1"/>
  <c r="C480" i="4"/>
  <c r="B480" i="4"/>
  <c r="C554" i="4" s="1"/>
  <c r="AH479" i="4"/>
  <c r="AI553" i="4" s="1"/>
  <c r="AG479" i="4"/>
  <c r="AH553" i="4" s="1"/>
  <c r="AF479" i="4"/>
  <c r="AG553" i="4" s="1"/>
  <c r="AE479" i="4"/>
  <c r="AD479" i="4"/>
  <c r="AE553" i="4" s="1"/>
  <c r="AC479" i="4"/>
  <c r="AD553" i="4" s="1"/>
  <c r="AB479" i="4"/>
  <c r="AC553" i="4" s="1"/>
  <c r="AA479" i="4"/>
  <c r="AB553" i="4" s="1"/>
  <c r="Z479" i="4"/>
  <c r="Y479" i="4"/>
  <c r="Z553" i="4" s="1"/>
  <c r="X479" i="4"/>
  <c r="Y553" i="4" s="1"/>
  <c r="W479" i="4"/>
  <c r="V479" i="4"/>
  <c r="W553" i="4" s="1"/>
  <c r="U479" i="4"/>
  <c r="V553" i="4" s="1"/>
  <c r="T479" i="4"/>
  <c r="U553" i="4" s="1"/>
  <c r="J479" i="4"/>
  <c r="K553" i="4" s="1"/>
  <c r="I479" i="4"/>
  <c r="J553" i="4" s="1"/>
  <c r="H479" i="4"/>
  <c r="I553" i="4" s="1"/>
  <c r="G479" i="4"/>
  <c r="H553" i="4" s="1"/>
  <c r="F479" i="4"/>
  <c r="E479" i="4"/>
  <c r="D479" i="4"/>
  <c r="E553" i="4" s="1"/>
  <c r="C479" i="4"/>
  <c r="D553" i="4" s="1"/>
  <c r="B479" i="4"/>
  <c r="C553" i="4" s="1"/>
  <c r="AH478" i="4"/>
  <c r="AI552" i="4" s="1"/>
  <c r="AG478" i="4"/>
  <c r="AH552" i="4" s="1"/>
  <c r="AF478" i="4"/>
  <c r="AG552" i="4" s="1"/>
  <c r="AE478" i="4"/>
  <c r="AD478" i="4"/>
  <c r="AE552" i="4" s="1"/>
  <c r="AC478" i="4"/>
  <c r="AD552" i="4" s="1"/>
  <c r="AB478" i="4"/>
  <c r="AC552" i="4" s="1"/>
  <c r="AA478" i="4"/>
  <c r="AB552" i="4" s="1"/>
  <c r="Z478" i="4"/>
  <c r="AA552" i="4" s="1"/>
  <c r="Y478" i="4"/>
  <c r="Z552" i="4" s="1"/>
  <c r="X478" i="4"/>
  <c r="W478" i="4"/>
  <c r="V478" i="4"/>
  <c r="W552" i="4" s="1"/>
  <c r="U478" i="4"/>
  <c r="V552" i="4" s="1"/>
  <c r="T478" i="4"/>
  <c r="U552" i="4" s="1"/>
  <c r="S478" i="4"/>
  <c r="T552" i="4" s="1"/>
  <c r="R478" i="4"/>
  <c r="S552" i="4" s="1"/>
  <c r="Q478" i="4"/>
  <c r="R552" i="4" s="1"/>
  <c r="G478" i="4"/>
  <c r="H552" i="4" s="1"/>
  <c r="F478" i="4"/>
  <c r="G552" i="4" s="1"/>
  <c r="E478" i="4"/>
  <c r="F552" i="4" s="1"/>
  <c r="D478" i="4"/>
  <c r="E552" i="4" s="1"/>
  <c r="C478" i="4"/>
  <c r="D552" i="4" s="1"/>
  <c r="B478" i="4"/>
  <c r="C552" i="4" s="1"/>
  <c r="AH477" i="4"/>
  <c r="AG477" i="4"/>
  <c r="AH551" i="4" s="1"/>
  <c r="AF477" i="4"/>
  <c r="AE477" i="4"/>
  <c r="AF551" i="4" s="1"/>
  <c r="AD477" i="4"/>
  <c r="AE551" i="4" s="1"/>
  <c r="AC477" i="4"/>
  <c r="AD551" i="4" s="1"/>
  <c r="AB477" i="4"/>
  <c r="AC551" i="4" s="1"/>
  <c r="AA477" i="4"/>
  <c r="AB551" i="4" s="1"/>
  <c r="Z477" i="4"/>
  <c r="AA551" i="4" s="1"/>
  <c r="Y477" i="4"/>
  <c r="Z551" i="4" s="1"/>
  <c r="X477" i="4"/>
  <c r="Y551" i="4" s="1"/>
  <c r="W477" i="4"/>
  <c r="V477" i="4"/>
  <c r="W551" i="4" s="1"/>
  <c r="U477" i="4"/>
  <c r="V551" i="4" s="1"/>
  <c r="T477" i="4"/>
  <c r="U551" i="4" s="1"/>
  <c r="S477" i="4"/>
  <c r="T551" i="4" s="1"/>
  <c r="R477" i="4"/>
  <c r="S551" i="4" s="1"/>
  <c r="Q477" i="4"/>
  <c r="R551" i="4" s="1"/>
  <c r="G477" i="4"/>
  <c r="H551" i="4" s="1"/>
  <c r="F477" i="4"/>
  <c r="G551" i="4" s="1"/>
  <c r="E477" i="4"/>
  <c r="F551" i="4" s="1"/>
  <c r="D477" i="4"/>
  <c r="E551" i="4" s="1"/>
  <c r="C477" i="4"/>
  <c r="D551" i="4" s="1"/>
  <c r="B477" i="4"/>
  <c r="C551" i="4" s="1"/>
  <c r="AH476" i="4"/>
  <c r="AI550" i="4" s="1"/>
  <c r="AG476" i="4"/>
  <c r="AH550" i="4" s="1"/>
  <c r="AF476" i="4"/>
  <c r="AE476" i="4"/>
  <c r="AF550" i="4" s="1"/>
  <c r="AD476" i="4"/>
  <c r="AE550" i="4" s="1"/>
  <c r="AC476" i="4"/>
  <c r="AD550" i="4" s="1"/>
  <c r="AB476" i="4"/>
  <c r="AC550" i="4" s="1"/>
  <c r="AA476" i="4"/>
  <c r="AB550" i="4" s="1"/>
  <c r="Z476" i="4"/>
  <c r="AA550" i="4" s="1"/>
  <c r="Y476" i="4"/>
  <c r="Z550" i="4" s="1"/>
  <c r="X476" i="4"/>
  <c r="Y550" i="4" s="1"/>
  <c r="W476" i="4"/>
  <c r="X550" i="4" s="1"/>
  <c r="V476" i="4"/>
  <c r="U476" i="4"/>
  <c r="V550" i="4" s="1"/>
  <c r="T476" i="4"/>
  <c r="U550" i="4" s="1"/>
  <c r="S476" i="4"/>
  <c r="T550" i="4" s="1"/>
  <c r="R476" i="4"/>
  <c r="S550" i="4" s="1"/>
  <c r="Q476" i="4"/>
  <c r="G476" i="4"/>
  <c r="H550" i="4" s="1"/>
  <c r="F476" i="4"/>
  <c r="G550" i="4" s="1"/>
  <c r="E476" i="4"/>
  <c r="D476" i="4"/>
  <c r="E550" i="4" s="1"/>
  <c r="C476" i="4"/>
  <c r="D550" i="4" s="1"/>
  <c r="B476" i="4"/>
  <c r="C550" i="4" s="1"/>
  <c r="AH475" i="4"/>
  <c r="AI549" i="4" s="1"/>
  <c r="AG475" i="4"/>
  <c r="AH549" i="4" s="1"/>
  <c r="AF475" i="4"/>
  <c r="AG549" i="4" s="1"/>
  <c r="AE475" i="4"/>
  <c r="AF549" i="4" s="1"/>
  <c r="AD475" i="4"/>
  <c r="AE549" i="4" s="1"/>
  <c r="AC475" i="4"/>
  <c r="AD549" i="4" s="1"/>
  <c r="AB475" i="4"/>
  <c r="AC549" i="4" s="1"/>
  <c r="AA475" i="4"/>
  <c r="AB549" i="4" s="1"/>
  <c r="Z475" i="4"/>
  <c r="Y475" i="4"/>
  <c r="Z549" i="4" s="1"/>
  <c r="X475" i="4"/>
  <c r="Y549" i="4" s="1"/>
  <c r="W475" i="4"/>
  <c r="X549" i="4" s="1"/>
  <c r="V475" i="4"/>
  <c r="W549" i="4" s="1"/>
  <c r="U475" i="4"/>
  <c r="V549" i="4" s="1"/>
  <c r="T475" i="4"/>
  <c r="U549" i="4" s="1"/>
  <c r="S475" i="4"/>
  <c r="R475" i="4"/>
  <c r="Q475" i="4"/>
  <c r="R549" i="4" s="1"/>
  <c r="P475" i="4"/>
  <c r="O475" i="4"/>
  <c r="N475" i="4"/>
  <c r="O549" i="4" s="1"/>
  <c r="D475" i="4"/>
  <c r="E549" i="4" s="1"/>
  <c r="C475" i="4"/>
  <c r="B475" i="4"/>
  <c r="AH474" i="4"/>
  <c r="AI548" i="4" s="1"/>
  <c r="AG474" i="4"/>
  <c r="AH548" i="4" s="1"/>
  <c r="AF474" i="4"/>
  <c r="AG548" i="4" s="1"/>
  <c r="AE474" i="4"/>
  <c r="AD474" i="4"/>
  <c r="AE548" i="4" s="1"/>
  <c r="AC474" i="4"/>
  <c r="AD548" i="4" s="1"/>
  <c r="AB474" i="4"/>
  <c r="AC548" i="4" s="1"/>
  <c r="AA474" i="4"/>
  <c r="AB548" i="4" s="1"/>
  <c r="Z474" i="4"/>
  <c r="AA548" i="4" s="1"/>
  <c r="Y474" i="4"/>
  <c r="Z548" i="4" s="1"/>
  <c r="X474" i="4"/>
  <c r="Y548" i="4" s="1"/>
  <c r="W474" i="4"/>
  <c r="X548" i="4" s="1"/>
  <c r="V474" i="4"/>
  <c r="W548" i="4" s="1"/>
  <c r="U474" i="4"/>
  <c r="V548" i="4" s="1"/>
  <c r="T474" i="4"/>
  <c r="U548" i="4" s="1"/>
  <c r="S474" i="4"/>
  <c r="T548" i="4" s="1"/>
  <c r="R474" i="4"/>
  <c r="Q474" i="4"/>
  <c r="R548" i="4" s="1"/>
  <c r="P474" i="4"/>
  <c r="Q548" i="4" s="1"/>
  <c r="O474" i="4"/>
  <c r="P548" i="4" s="1"/>
  <c r="N474" i="4"/>
  <c r="O548" i="4" s="1"/>
  <c r="D474" i="4"/>
  <c r="E548" i="4" s="1"/>
  <c r="C474" i="4"/>
  <c r="B474" i="4"/>
  <c r="C548" i="4" s="1"/>
  <c r="AH473" i="4"/>
  <c r="AI547" i="4" s="1"/>
  <c r="AG473" i="4"/>
  <c r="AH547" i="4" s="1"/>
  <c r="AF473" i="4"/>
  <c r="AG547" i="4" s="1"/>
  <c r="AE473" i="4"/>
  <c r="AF547" i="4" s="1"/>
  <c r="AD473" i="4"/>
  <c r="AE547" i="4" s="1"/>
  <c r="AC473" i="4"/>
  <c r="AD547" i="4" s="1"/>
  <c r="AB473" i="4"/>
  <c r="AC547" i="4" s="1"/>
  <c r="AA473" i="4"/>
  <c r="AB547" i="4" s="1"/>
  <c r="Z473" i="4"/>
  <c r="AA547" i="4" s="1"/>
  <c r="Y473" i="4"/>
  <c r="Z547" i="4" s="1"/>
  <c r="X473" i="4"/>
  <c r="Y547" i="4" s="1"/>
  <c r="W473" i="4"/>
  <c r="X547" i="4" s="1"/>
  <c r="V473" i="4"/>
  <c r="W547" i="4" s="1"/>
  <c r="U473" i="4"/>
  <c r="T473" i="4"/>
  <c r="U547" i="4" s="1"/>
  <c r="S473" i="4"/>
  <c r="T547" i="4" s="1"/>
  <c r="R473" i="4"/>
  <c r="S547" i="4" s="1"/>
  <c r="Q473" i="4"/>
  <c r="R547" i="4" s="1"/>
  <c r="P473" i="4"/>
  <c r="Q547" i="4" s="1"/>
  <c r="O473" i="4"/>
  <c r="P547" i="4" s="1"/>
  <c r="N473" i="4"/>
  <c r="O547" i="4" s="1"/>
  <c r="D473" i="4"/>
  <c r="E547" i="4" s="1"/>
  <c r="C473" i="4"/>
  <c r="D547" i="4" s="1"/>
  <c r="B473" i="4"/>
  <c r="AH472" i="4"/>
  <c r="AI546" i="4" s="1"/>
  <c r="AG472" i="4"/>
  <c r="AH546" i="4" s="1"/>
  <c r="AF472" i="4"/>
  <c r="AG546" i="4" s="1"/>
  <c r="AE472" i="4"/>
  <c r="AF546" i="4" s="1"/>
  <c r="AD472" i="4"/>
  <c r="AE546" i="4" s="1"/>
  <c r="AC472" i="4"/>
  <c r="AD546" i="4" s="1"/>
  <c r="AB472" i="4"/>
  <c r="AC546" i="4" s="1"/>
  <c r="AA472" i="4"/>
  <c r="AB546" i="4" s="1"/>
  <c r="Z472" i="4"/>
  <c r="AA546" i="4" s="1"/>
  <c r="Y472" i="4"/>
  <c r="X472" i="4"/>
  <c r="Y546" i="4" s="1"/>
  <c r="W472" i="4"/>
  <c r="X546" i="4" s="1"/>
  <c r="V472" i="4"/>
  <c r="W546" i="4" s="1"/>
  <c r="U472" i="4"/>
  <c r="T472" i="4"/>
  <c r="U546" i="4" s="1"/>
  <c r="S472" i="4"/>
  <c r="R472" i="4"/>
  <c r="S546" i="4" s="1"/>
  <c r="Q472" i="4"/>
  <c r="R546" i="4" s="1"/>
  <c r="P472" i="4"/>
  <c r="Q546" i="4" s="1"/>
  <c r="O472" i="4"/>
  <c r="P546" i="4" s="1"/>
  <c r="N472" i="4"/>
  <c r="O546" i="4" s="1"/>
  <c r="M472" i="4"/>
  <c r="N546" i="4" s="1"/>
  <c r="L472" i="4"/>
  <c r="M546" i="4" s="1"/>
  <c r="K472" i="4"/>
  <c r="L546" i="4" s="1"/>
  <c r="AH471" i="4"/>
  <c r="AI545" i="4" s="1"/>
  <c r="AG471" i="4"/>
  <c r="AH545" i="4" s="1"/>
  <c r="AF471" i="4"/>
  <c r="AG545" i="4" s="1"/>
  <c r="AE471" i="4"/>
  <c r="AF545" i="4" s="1"/>
  <c r="AD471" i="4"/>
  <c r="AE545" i="4" s="1"/>
  <c r="AC471" i="4"/>
  <c r="AD545" i="4" s="1"/>
  <c r="AB471" i="4"/>
  <c r="AC545" i="4" s="1"/>
  <c r="AA471" i="4"/>
  <c r="Z471" i="4"/>
  <c r="Y471" i="4"/>
  <c r="Z545" i="4" s="1"/>
  <c r="X471" i="4"/>
  <c r="Y545" i="4" s="1"/>
  <c r="W471" i="4"/>
  <c r="X545" i="4" s="1"/>
  <c r="V471" i="4"/>
  <c r="U471" i="4"/>
  <c r="V545" i="4" s="1"/>
  <c r="T471" i="4"/>
  <c r="S471" i="4"/>
  <c r="T545" i="4" s="1"/>
  <c r="R471" i="4"/>
  <c r="S545" i="4" s="1"/>
  <c r="Q471" i="4"/>
  <c r="R545" i="4" s="1"/>
  <c r="P471" i="4"/>
  <c r="Q545" i="4" s="1"/>
  <c r="O471" i="4"/>
  <c r="P545" i="4" s="1"/>
  <c r="N471" i="4"/>
  <c r="O545" i="4" s="1"/>
  <c r="M471" i="4"/>
  <c r="N545" i="4" s="1"/>
  <c r="L471" i="4"/>
  <c r="M545" i="4" s="1"/>
  <c r="K471" i="4"/>
  <c r="L545" i="4" s="1"/>
  <c r="AH470" i="4"/>
  <c r="AI544" i="4" s="1"/>
  <c r="AG470" i="4"/>
  <c r="AH544" i="4" s="1"/>
  <c r="AF470" i="4"/>
  <c r="AG544" i="4" s="1"/>
  <c r="AE470" i="4"/>
  <c r="AD470" i="4"/>
  <c r="AE544" i="4" s="1"/>
  <c r="AC470" i="4"/>
  <c r="AD544" i="4" s="1"/>
  <c r="AB470" i="4"/>
  <c r="AA470" i="4"/>
  <c r="AB544" i="4" s="1"/>
  <c r="Z470" i="4"/>
  <c r="AA544" i="4" s="1"/>
  <c r="Y470" i="4"/>
  <c r="Z544" i="4" s="1"/>
  <c r="X470" i="4"/>
  <c r="W470" i="4"/>
  <c r="X544" i="4" s="1"/>
  <c r="V470" i="4"/>
  <c r="W544" i="4" s="1"/>
  <c r="U470" i="4"/>
  <c r="V544" i="4" s="1"/>
  <c r="T470" i="4"/>
  <c r="U544" i="4" s="1"/>
  <c r="S470" i="4"/>
  <c r="T544" i="4" s="1"/>
  <c r="R470" i="4"/>
  <c r="S544" i="4" s="1"/>
  <c r="Q470" i="4"/>
  <c r="R544" i="4" s="1"/>
  <c r="P470" i="4"/>
  <c r="Q544" i="4" s="1"/>
  <c r="O470" i="4"/>
  <c r="N470" i="4"/>
  <c r="O544" i="4" s="1"/>
  <c r="M470" i="4"/>
  <c r="L470" i="4"/>
  <c r="M544" i="4" s="1"/>
  <c r="K470" i="4"/>
  <c r="L544" i="4" s="1"/>
  <c r="AH469" i="4"/>
  <c r="AI543" i="4" s="1"/>
  <c r="AG469" i="4"/>
  <c r="AH543" i="4" s="1"/>
  <c r="AF469" i="4"/>
  <c r="AE469" i="4"/>
  <c r="AF543" i="4" s="1"/>
  <c r="AD469" i="4"/>
  <c r="AE543" i="4" s="1"/>
  <c r="AC469" i="4"/>
  <c r="AD543" i="4" s="1"/>
  <c r="AB469" i="4"/>
  <c r="AC543" i="4" s="1"/>
  <c r="AA469" i="4"/>
  <c r="AB543" i="4" s="1"/>
  <c r="Z469" i="4"/>
  <c r="AA543" i="4" s="1"/>
  <c r="Y469" i="4"/>
  <c r="Z543" i="4" s="1"/>
  <c r="X469" i="4"/>
  <c r="Y543" i="4" s="1"/>
  <c r="W469" i="4"/>
  <c r="V469" i="4"/>
  <c r="W543" i="4" s="1"/>
  <c r="U469" i="4"/>
  <c r="V543" i="4" s="1"/>
  <c r="T469" i="4"/>
  <c r="U543" i="4" s="1"/>
  <c r="S469" i="4"/>
  <c r="T543" i="4" s="1"/>
  <c r="R469" i="4"/>
  <c r="S543" i="4" s="1"/>
  <c r="Q469" i="4"/>
  <c r="R543" i="4" s="1"/>
  <c r="P469" i="4"/>
  <c r="Q543" i="4" s="1"/>
  <c r="O469" i="4"/>
  <c r="P543" i="4" s="1"/>
  <c r="N469" i="4"/>
  <c r="M469" i="4"/>
  <c r="L469" i="4"/>
  <c r="M543" i="4" s="1"/>
  <c r="K469" i="4"/>
  <c r="L543" i="4" s="1"/>
  <c r="J469" i="4"/>
  <c r="I469" i="4"/>
  <c r="J543" i="4" s="1"/>
  <c r="H469" i="4"/>
  <c r="I543" i="4" s="1"/>
  <c r="AH468" i="4"/>
  <c r="AI542" i="4" s="1"/>
  <c r="AG468" i="4"/>
  <c r="AH542" i="4" s="1"/>
  <c r="AF468" i="4"/>
  <c r="AG542" i="4" s="1"/>
  <c r="AE468" i="4"/>
  <c r="AF542" i="4" s="1"/>
  <c r="AD468" i="4"/>
  <c r="AC468" i="4"/>
  <c r="AD542" i="4" s="1"/>
  <c r="AB468" i="4"/>
  <c r="AC542" i="4" s="1"/>
  <c r="AA468" i="4"/>
  <c r="AB542" i="4" s="1"/>
  <c r="Z468" i="4"/>
  <c r="Y468" i="4"/>
  <c r="Z542" i="4" s="1"/>
  <c r="X468" i="4"/>
  <c r="Y542" i="4" s="1"/>
  <c r="W468" i="4"/>
  <c r="X542" i="4" s="1"/>
  <c r="V468" i="4"/>
  <c r="W542" i="4" s="1"/>
  <c r="U468" i="4"/>
  <c r="V542" i="4" s="1"/>
  <c r="T468" i="4"/>
  <c r="U542" i="4" s="1"/>
  <c r="S468" i="4"/>
  <c r="R468" i="4"/>
  <c r="S542" i="4" s="1"/>
  <c r="Q468" i="4"/>
  <c r="R542" i="4" s="1"/>
  <c r="P468" i="4"/>
  <c r="Q542" i="4" s="1"/>
  <c r="O468" i="4"/>
  <c r="P542" i="4" s="1"/>
  <c r="N468" i="4"/>
  <c r="O542" i="4" s="1"/>
  <c r="M468" i="4"/>
  <c r="L468" i="4"/>
  <c r="K468" i="4"/>
  <c r="L542" i="4" s="1"/>
  <c r="J468" i="4"/>
  <c r="K542" i="4" s="1"/>
  <c r="I468" i="4"/>
  <c r="J542" i="4" s="1"/>
  <c r="H468" i="4"/>
  <c r="I542" i="4" s="1"/>
  <c r="AH467" i="4"/>
  <c r="AI541" i="4" s="1"/>
  <c r="AG467" i="4"/>
  <c r="AH541" i="4" s="1"/>
  <c r="AF467" i="4"/>
  <c r="AE467" i="4"/>
  <c r="AF541" i="4" s="1"/>
  <c r="AD467" i="4"/>
  <c r="AC467" i="4"/>
  <c r="AB467" i="4"/>
  <c r="AC541" i="4" s="1"/>
  <c r="AA467" i="4"/>
  <c r="AB541" i="4" s="1"/>
  <c r="Z467" i="4"/>
  <c r="AA541" i="4" s="1"/>
  <c r="Y467" i="4"/>
  <c r="Z541" i="4" s="1"/>
  <c r="X467" i="4"/>
  <c r="W467" i="4"/>
  <c r="X541" i="4" s="1"/>
  <c r="V467" i="4"/>
  <c r="W541" i="4" s="1"/>
  <c r="U467" i="4"/>
  <c r="V541" i="4" s="1"/>
  <c r="T467" i="4"/>
  <c r="U541" i="4" s="1"/>
  <c r="S467" i="4"/>
  <c r="T541" i="4" s="1"/>
  <c r="R467" i="4"/>
  <c r="S541" i="4" s="1"/>
  <c r="Q467" i="4"/>
  <c r="R541" i="4" s="1"/>
  <c r="P467" i="4"/>
  <c r="Q541" i="4" s="1"/>
  <c r="O467" i="4"/>
  <c r="P541" i="4" s="1"/>
  <c r="N467" i="4"/>
  <c r="O541" i="4" s="1"/>
  <c r="M467" i="4"/>
  <c r="N541" i="4" s="1"/>
  <c r="L467" i="4"/>
  <c r="M541" i="4" s="1"/>
  <c r="K467" i="4"/>
  <c r="L541" i="4" s="1"/>
  <c r="J467" i="4"/>
  <c r="K541" i="4" s="1"/>
  <c r="I467" i="4"/>
  <c r="H467" i="4"/>
  <c r="I541" i="4" s="1"/>
  <c r="C294" i="4"/>
  <c r="B293" i="4"/>
  <c r="T319" i="4" s="1"/>
  <c r="G123" i="4"/>
  <c r="D126" i="4" s="1"/>
  <c r="J140" i="4" s="1"/>
  <c r="J478" i="4" s="1"/>
  <c r="K552" i="4" s="1"/>
  <c r="D122" i="4"/>
  <c r="C123" i="4" s="1"/>
  <c r="E28" i="4"/>
  <c r="D292" i="4" s="1"/>
  <c r="H295" i="4" s="1"/>
  <c r="D28" i="4"/>
  <c r="C292" i="4" s="1"/>
  <c r="H294" i="4" s="1"/>
  <c r="AS25" i="4"/>
  <c r="AR25" i="4"/>
  <c r="AQ25" i="4"/>
  <c r="AP25" i="4"/>
  <c r="AO25" i="4"/>
  <c r="AS24" i="4"/>
  <c r="AR24" i="4"/>
  <c r="AQ24" i="4"/>
  <c r="AP24" i="4"/>
  <c r="AO24" i="4"/>
  <c r="H24" i="4"/>
  <c r="G120" i="4" s="1"/>
  <c r="H126" i="4" s="1"/>
  <c r="AS23" i="4"/>
  <c r="AR23" i="4"/>
  <c r="AQ23" i="4"/>
  <c r="AP23" i="4"/>
  <c r="AO23" i="4"/>
  <c r="AS22" i="4"/>
  <c r="AR22" i="4"/>
  <c r="AQ22" i="4"/>
  <c r="AP22" i="4"/>
  <c r="AO22" i="4"/>
  <c r="AS21" i="4"/>
  <c r="AR21" i="4"/>
  <c r="AQ21" i="4"/>
  <c r="AP21" i="4"/>
  <c r="AO21" i="4"/>
  <c r="AS20" i="4"/>
  <c r="AR20" i="4"/>
  <c r="AQ20" i="4"/>
  <c r="AP20" i="4"/>
  <c r="AO20" i="4"/>
  <c r="AS19" i="4"/>
  <c r="AR19" i="4"/>
  <c r="AQ19" i="4"/>
  <c r="AP19" i="4"/>
  <c r="AO19" i="4"/>
  <c r="AS18" i="4"/>
  <c r="AR18" i="4"/>
  <c r="AQ18" i="4"/>
  <c r="AP18" i="4"/>
  <c r="AO18" i="4"/>
  <c r="H18" i="4"/>
  <c r="I18" i="4" s="1"/>
  <c r="G18" i="4"/>
  <c r="AS17" i="4"/>
  <c r="AR17" i="4"/>
  <c r="AQ17" i="4"/>
  <c r="AP17" i="4"/>
  <c r="AO17" i="4"/>
  <c r="H17" i="4"/>
  <c r="I17" i="4" s="1"/>
  <c r="G17" i="4"/>
  <c r="AS16" i="4"/>
  <c r="AR16" i="4"/>
  <c r="AQ16" i="4"/>
  <c r="AP16" i="4"/>
  <c r="AO16" i="4"/>
  <c r="H16" i="4"/>
  <c r="I16" i="4" s="1"/>
  <c r="G16" i="4"/>
  <c r="S15" i="4"/>
  <c r="P15" i="4"/>
  <c r="M15" i="4"/>
  <c r="J15" i="4"/>
  <c r="H15" i="4"/>
  <c r="I15" i="4" s="1"/>
  <c r="G15" i="4"/>
  <c r="R14" i="4"/>
  <c r="H14" i="4"/>
  <c r="G14" i="4"/>
  <c r="I14" i="4" s="1"/>
  <c r="R13" i="4"/>
  <c r="I13" i="4"/>
  <c r="H13" i="4"/>
  <c r="G13" i="4"/>
  <c r="AR12" i="4"/>
  <c r="AP12" i="4"/>
  <c r="AO12" i="4"/>
  <c r="AN12" i="4"/>
  <c r="H12" i="4"/>
  <c r="G12" i="4"/>
  <c r="AR11" i="4"/>
  <c r="AP11" i="4"/>
  <c r="AO11" i="4"/>
  <c r="AN11" i="4"/>
  <c r="S11" i="4"/>
  <c r="Q11" i="4"/>
  <c r="N11" i="4"/>
  <c r="M11" i="4"/>
  <c r="I11" i="4"/>
  <c r="D123" i="4" s="1"/>
  <c r="H11" i="4"/>
  <c r="G11" i="4"/>
  <c r="AR10" i="4"/>
  <c r="AP10" i="4"/>
  <c r="AO10" i="4"/>
  <c r="AN10" i="4"/>
  <c r="L10" i="4"/>
  <c r="H10" i="4"/>
  <c r="G10" i="4"/>
  <c r="I10" i="4" s="1"/>
  <c r="D80" i="4" s="1"/>
  <c r="AR9" i="4"/>
  <c r="AP9" i="4"/>
  <c r="AO9" i="4"/>
  <c r="AN9" i="4"/>
  <c r="H9" i="4"/>
  <c r="G9" i="4"/>
  <c r="I9" i="4" s="1"/>
  <c r="AR8" i="4"/>
  <c r="AP8" i="4"/>
  <c r="AO8" i="4"/>
  <c r="AN8" i="4"/>
  <c r="AR7" i="4"/>
  <c r="AP7" i="4"/>
  <c r="AO7" i="4"/>
  <c r="AN7" i="4"/>
  <c r="AR6" i="4"/>
  <c r="AP6" i="4"/>
  <c r="AO6" i="4"/>
  <c r="AN6" i="4"/>
  <c r="AR5" i="4"/>
  <c r="AP5" i="4"/>
  <c r="AO5" i="4"/>
  <c r="AN5" i="4"/>
  <c r="C5" i="4"/>
  <c r="AR4" i="4"/>
  <c r="AP4" i="4"/>
  <c r="AO4" i="4"/>
  <c r="AN4" i="4"/>
  <c r="C4" i="4"/>
  <c r="AR3" i="4"/>
  <c r="AP3" i="4"/>
  <c r="AO3" i="4"/>
  <c r="AN3" i="4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AL274" i="2"/>
  <c r="AK274" i="2"/>
  <c r="AJ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AL273" i="2"/>
  <c r="AK273" i="2"/>
  <c r="AJ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L272" i="2"/>
  <c r="AK272" i="2"/>
  <c r="AJ272" i="2"/>
  <c r="AI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AL271" i="2"/>
  <c r="AK271" i="2"/>
  <c r="AJ271" i="2"/>
  <c r="AI271" i="2"/>
  <c r="AH271" i="2"/>
  <c r="AG271" i="2"/>
  <c r="AD271" i="2"/>
  <c r="AC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L270" i="2"/>
  <c r="AK270" i="2"/>
  <c r="AJ270" i="2"/>
  <c r="AI270" i="2"/>
  <c r="AH270" i="2"/>
  <c r="AG270" i="2"/>
  <c r="AF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AL269" i="2"/>
  <c r="AK269" i="2"/>
  <c r="AJ269" i="2"/>
  <c r="AI269" i="2"/>
  <c r="AH269" i="2"/>
  <c r="AG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AL268" i="2"/>
  <c r="AK268" i="2"/>
  <c r="AJ268" i="2"/>
  <c r="AI268" i="2"/>
  <c r="AH268" i="2"/>
  <c r="AG268" i="2"/>
  <c r="AF268" i="2"/>
  <c r="AE268" i="2"/>
  <c r="AD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AL267" i="2"/>
  <c r="AK267" i="2"/>
  <c r="AJ267" i="2"/>
  <c r="AI267" i="2"/>
  <c r="AH267" i="2"/>
  <c r="AG267" i="2"/>
  <c r="AF267" i="2"/>
  <c r="AE267" i="2"/>
  <c r="AD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L266" i="2"/>
  <c r="AK266" i="2"/>
  <c r="AJ266" i="2"/>
  <c r="AI266" i="2"/>
  <c r="AH266" i="2"/>
  <c r="AG266" i="2"/>
  <c r="AF266" i="2"/>
  <c r="AE266" i="2"/>
  <c r="AD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K259" i="2"/>
  <c r="J259" i="2"/>
  <c r="I259" i="2"/>
  <c r="H259" i="2"/>
  <c r="G259" i="2"/>
  <c r="F259" i="2"/>
  <c r="E259" i="2"/>
  <c r="D259" i="2"/>
  <c r="C259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K258" i="2"/>
  <c r="J258" i="2"/>
  <c r="I258" i="2"/>
  <c r="H258" i="2"/>
  <c r="G258" i="2"/>
  <c r="F258" i="2"/>
  <c r="E258" i="2"/>
  <c r="D258" i="2"/>
  <c r="C258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K257" i="2"/>
  <c r="J257" i="2"/>
  <c r="I257" i="2"/>
  <c r="H257" i="2"/>
  <c r="G257" i="2"/>
  <c r="F257" i="2"/>
  <c r="E257" i="2"/>
  <c r="D257" i="2"/>
  <c r="C257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H256" i="2"/>
  <c r="G256" i="2"/>
  <c r="F256" i="2"/>
  <c r="E256" i="2"/>
  <c r="D256" i="2"/>
  <c r="C256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H255" i="2"/>
  <c r="G255" i="2"/>
  <c r="F255" i="2"/>
  <c r="E255" i="2"/>
  <c r="D255" i="2"/>
  <c r="C255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AL239" i="2"/>
  <c r="AL280" i="2" s="1"/>
  <c r="H231" i="2"/>
  <c r="H228" i="2"/>
  <c r="E228" i="2"/>
  <c r="AI236" i="2" s="1"/>
  <c r="E226" i="2"/>
  <c r="C226" i="2"/>
  <c r="F229" i="2" s="1"/>
  <c r="AJ237" i="2" s="1"/>
  <c r="AJ278" i="2" s="1"/>
  <c r="AM218" i="2"/>
  <c r="AI217" i="2"/>
  <c r="AF217" i="2"/>
  <c r="I214" i="2"/>
  <c r="AM222" i="2" s="1"/>
  <c r="H212" i="2"/>
  <c r="AI220" i="2" s="1"/>
  <c r="C211" i="2"/>
  <c r="AD219" i="2" s="1"/>
  <c r="I210" i="2"/>
  <c r="E210" i="2"/>
  <c r="D210" i="2"/>
  <c r="I209" i="2"/>
  <c r="AM217" i="2" s="1"/>
  <c r="H209" i="2"/>
  <c r="C214" i="2" s="1"/>
  <c r="AD222" i="2" s="1"/>
  <c r="AD277" i="2" s="1"/>
  <c r="E209" i="2"/>
  <c r="F211" i="2" s="1"/>
  <c r="H208" i="2"/>
  <c r="G208" i="2"/>
  <c r="I213" i="2" s="1"/>
  <c r="AM221" i="2" s="1"/>
  <c r="C208" i="2"/>
  <c r="AF201" i="2"/>
  <c r="AC201" i="2"/>
  <c r="AB201" i="2"/>
  <c r="H197" i="2"/>
  <c r="AF205" i="2" s="1"/>
  <c r="G196" i="2"/>
  <c r="AE204" i="2" s="1"/>
  <c r="E195" i="2"/>
  <c r="AC203" i="2" s="1"/>
  <c r="AC272" i="2" s="1"/>
  <c r="H194" i="2"/>
  <c r="G194" i="2"/>
  <c r="F194" i="2"/>
  <c r="AD202" i="2" s="1"/>
  <c r="E194" i="2"/>
  <c r="AC202" i="2" s="1"/>
  <c r="D194" i="2"/>
  <c r="AB202" i="2" s="1"/>
  <c r="E193" i="2"/>
  <c r="H193" i="2" s="1"/>
  <c r="D197" i="2" s="1"/>
  <c r="AB205" i="2" s="1"/>
  <c r="AB274" i="2" s="1"/>
  <c r="D193" i="2"/>
  <c r="G193" i="2" s="1"/>
  <c r="E192" i="2"/>
  <c r="D192" i="2"/>
  <c r="C192" i="2"/>
  <c r="AA200" i="2" s="1"/>
  <c r="H191" i="2"/>
  <c r="I197" i="2" s="1"/>
  <c r="AM205" i="2" s="1"/>
  <c r="Z184" i="2"/>
  <c r="Z183" i="2"/>
  <c r="I178" i="2"/>
  <c r="AM186" i="2" s="1"/>
  <c r="F177" i="2"/>
  <c r="E178" i="2" s="1"/>
  <c r="Z186" i="2" s="1"/>
  <c r="Z269" i="2" s="1"/>
  <c r="E177" i="2"/>
  <c r="H180" i="2" s="1"/>
  <c r="AC188" i="2" s="1"/>
  <c r="H176" i="2"/>
  <c r="E176" i="2"/>
  <c r="E175" i="2"/>
  <c r="D175" i="2"/>
  <c r="C175" i="2"/>
  <c r="Z170" i="2"/>
  <c r="W170" i="2"/>
  <c r="W267" i="2" s="1"/>
  <c r="AM169" i="2"/>
  <c r="Y168" i="2"/>
  <c r="Y265" i="2" s="1"/>
  <c r="W168" i="2"/>
  <c r="W167" i="2"/>
  <c r="W166" i="2"/>
  <c r="U166" i="2"/>
  <c r="H163" i="2"/>
  <c r="Z171" i="2" s="1"/>
  <c r="G163" i="2"/>
  <c r="Y171" i="2" s="1"/>
  <c r="F161" i="2"/>
  <c r="X169" i="2" s="1"/>
  <c r="H160" i="2"/>
  <c r="E160" i="2"/>
  <c r="H159" i="2"/>
  <c r="H162" i="2" s="1"/>
  <c r="E159" i="2"/>
  <c r="G160" i="2" s="1"/>
  <c r="E162" i="2" s="1"/>
  <c r="D159" i="2"/>
  <c r="H158" i="2"/>
  <c r="F158" i="2"/>
  <c r="C158" i="2"/>
  <c r="F157" i="2"/>
  <c r="I161" i="2" s="1"/>
  <c r="AM103" i="2"/>
  <c r="I92" i="2"/>
  <c r="AM100" i="2" s="1"/>
  <c r="I91" i="2"/>
  <c r="AM99" i="2" s="1"/>
  <c r="E89" i="2"/>
  <c r="U38" i="2"/>
  <c r="W38" i="2" s="1"/>
  <c r="S38" i="2"/>
  <c r="R38" i="2"/>
  <c r="T38" i="2" s="1"/>
  <c r="V38" i="2" s="1"/>
  <c r="H38" i="2"/>
  <c r="H225" i="2" s="1"/>
  <c r="I231" i="2" s="1"/>
  <c r="AM239" i="2" s="1"/>
  <c r="E38" i="2"/>
  <c r="E225" i="2" s="1"/>
  <c r="I228" i="2" s="1"/>
  <c r="AM236" i="2" s="1"/>
  <c r="B38" i="2"/>
  <c r="S37" i="2"/>
  <c r="U37" i="2" s="1"/>
  <c r="W37" i="2" s="1"/>
  <c r="R37" i="2"/>
  <c r="T37" i="2" s="1"/>
  <c r="V37" i="2" s="1"/>
  <c r="H37" i="2"/>
  <c r="G37" i="2"/>
  <c r="F37" i="2"/>
  <c r="F208" i="2" s="1"/>
  <c r="I212" i="2" s="1"/>
  <c r="AM220" i="2" s="1"/>
  <c r="E37" i="2"/>
  <c r="E208" i="2" s="1"/>
  <c r="I211" i="2" s="1"/>
  <c r="AM219" i="2" s="1"/>
  <c r="C37" i="2"/>
  <c r="B37" i="2"/>
  <c r="S36" i="2"/>
  <c r="U36" i="2" s="1"/>
  <c r="W36" i="2" s="1"/>
  <c r="R36" i="2"/>
  <c r="T36" i="2" s="1"/>
  <c r="V36" i="2" s="1"/>
  <c r="H36" i="2"/>
  <c r="G36" i="2"/>
  <c r="G191" i="2" s="1"/>
  <c r="I196" i="2" s="1"/>
  <c r="AM204" i="2" s="1"/>
  <c r="F36" i="2"/>
  <c r="F191" i="2" s="1"/>
  <c r="I195" i="2" s="1"/>
  <c r="AM203" i="2" s="1"/>
  <c r="E36" i="2"/>
  <c r="E191" i="2" s="1"/>
  <c r="I194" i="2" s="1"/>
  <c r="AM202" i="2" s="1"/>
  <c r="D36" i="2"/>
  <c r="D191" i="2" s="1"/>
  <c r="I193" i="2" s="1"/>
  <c r="AM201" i="2" s="1"/>
  <c r="C36" i="2"/>
  <c r="C191" i="2" s="1"/>
  <c r="I192" i="2" s="1"/>
  <c r="AM200" i="2" s="1"/>
  <c r="B36" i="2"/>
  <c r="F35" i="2"/>
  <c r="F174" i="2" s="1"/>
  <c r="H34" i="2"/>
  <c r="H157" i="2" s="1"/>
  <c r="I163" i="2" s="1"/>
  <c r="AM171" i="2" s="1"/>
  <c r="G34" i="2"/>
  <c r="G157" i="2" s="1"/>
  <c r="I162" i="2" s="1"/>
  <c r="AM170" i="2" s="1"/>
  <c r="F34" i="2"/>
  <c r="E34" i="2"/>
  <c r="E157" i="2" s="1"/>
  <c r="I160" i="2" s="1"/>
  <c r="AM168" i="2" s="1"/>
  <c r="D34" i="2"/>
  <c r="D157" i="2" s="1"/>
  <c r="I159" i="2" s="1"/>
  <c r="AM167" i="2" s="1"/>
  <c r="C34" i="2"/>
  <c r="C157" i="2" s="1"/>
  <c r="I158" i="2" s="1"/>
  <c r="AM166" i="2" s="1"/>
  <c r="B34" i="2"/>
  <c r="W32" i="2"/>
  <c r="V32" i="2"/>
  <c r="S32" i="2"/>
  <c r="R32" i="2"/>
  <c r="Q32" i="2"/>
  <c r="C32" i="2"/>
  <c r="C123" i="2" s="1"/>
  <c r="I124" i="2" s="1"/>
  <c r="AM132" i="2" s="1"/>
  <c r="V31" i="2"/>
  <c r="Q31" i="2"/>
  <c r="H31" i="2"/>
  <c r="H106" i="2" s="1"/>
  <c r="I112" i="2" s="1"/>
  <c r="AM120" i="2" s="1"/>
  <c r="G31" i="2"/>
  <c r="G106" i="2" s="1"/>
  <c r="I111" i="2" s="1"/>
  <c r="AM119" i="2" s="1"/>
  <c r="W30" i="2"/>
  <c r="V30" i="2"/>
  <c r="S30" i="2"/>
  <c r="Q30" i="2"/>
  <c r="R30" i="2" s="1"/>
  <c r="H30" i="2"/>
  <c r="H89" i="2" s="1"/>
  <c r="I95" i="2" s="1"/>
  <c r="E30" i="2"/>
  <c r="D30" i="2"/>
  <c r="D89" i="2" s="1"/>
  <c r="C30" i="2"/>
  <c r="C89" i="2" s="1"/>
  <c r="I90" i="2" s="1"/>
  <c r="AM98" i="2" s="1"/>
  <c r="B30" i="2"/>
  <c r="Q29" i="2"/>
  <c r="H29" i="2"/>
  <c r="H72" i="2" s="1"/>
  <c r="I78" i="2" s="1"/>
  <c r="AM86" i="2" s="1"/>
  <c r="G29" i="2"/>
  <c r="G72" i="2" s="1"/>
  <c r="I77" i="2" s="1"/>
  <c r="AM85" i="2" s="1"/>
  <c r="W28" i="2"/>
  <c r="S28" i="2"/>
  <c r="R28" i="2"/>
  <c r="V28" i="2" s="1"/>
  <c r="Q28" i="2"/>
  <c r="Y24" i="2"/>
  <c r="S24" i="2"/>
  <c r="R24" i="2"/>
  <c r="Q24" i="2"/>
  <c r="P24" i="2"/>
  <c r="N24" i="2"/>
  <c r="K24" i="2"/>
  <c r="J24" i="2"/>
  <c r="I24" i="2"/>
  <c r="H24" i="2"/>
  <c r="G24" i="2"/>
  <c r="Z23" i="2"/>
  <c r="Y23" i="2"/>
  <c r="X23" i="2"/>
  <c r="W23" i="2"/>
  <c r="S23" i="2"/>
  <c r="R23" i="2"/>
  <c r="Q23" i="2"/>
  <c r="P23" i="2"/>
  <c r="O23" i="2"/>
  <c r="N23" i="2"/>
  <c r="M23" i="2"/>
  <c r="L23" i="2"/>
  <c r="K23" i="2"/>
  <c r="J23" i="2"/>
  <c r="I23" i="2"/>
  <c r="D37" i="2" s="1"/>
  <c r="D208" i="2" s="1"/>
  <c r="H23" i="2"/>
  <c r="G23" i="2"/>
  <c r="X22" i="2"/>
  <c r="W22" i="2"/>
  <c r="S22" i="2"/>
  <c r="R22" i="2"/>
  <c r="Q22" i="2"/>
  <c r="P22" i="2"/>
  <c r="O22" i="2"/>
  <c r="N22" i="2"/>
  <c r="M22" i="2"/>
  <c r="L22" i="2"/>
  <c r="K22" i="2"/>
  <c r="I22" i="2"/>
  <c r="J22" i="2" s="1"/>
  <c r="H22" i="2"/>
  <c r="G22" i="2"/>
  <c r="Y21" i="2"/>
  <c r="X21" i="2"/>
  <c r="W21" i="2"/>
  <c r="S21" i="2"/>
  <c r="Q21" i="2"/>
  <c r="P21" i="2"/>
  <c r="O21" i="2"/>
  <c r="N21" i="2"/>
  <c r="M21" i="2"/>
  <c r="L21" i="2"/>
  <c r="I21" i="2"/>
  <c r="B35" i="2" s="1"/>
  <c r="H21" i="2"/>
  <c r="G21" i="2"/>
  <c r="Z20" i="2"/>
  <c r="Y20" i="2"/>
  <c r="X20" i="2"/>
  <c r="W20" i="2"/>
  <c r="S20" i="2"/>
  <c r="R20" i="2"/>
  <c r="Q20" i="2"/>
  <c r="P20" i="2"/>
  <c r="O20" i="2"/>
  <c r="N20" i="2"/>
  <c r="M20" i="2"/>
  <c r="K20" i="2"/>
  <c r="J20" i="2"/>
  <c r="I20" i="2"/>
  <c r="E158" i="2" s="1"/>
  <c r="H20" i="2"/>
  <c r="G20" i="2"/>
  <c r="H19" i="2"/>
  <c r="G19" i="2"/>
  <c r="H18" i="2"/>
  <c r="G18" i="2"/>
  <c r="I18" i="2" s="1"/>
  <c r="H17" i="2"/>
  <c r="G17" i="2"/>
  <c r="I17" i="2" s="1"/>
  <c r="Y16" i="2"/>
  <c r="X16" i="2"/>
  <c r="W16" i="2"/>
  <c r="N16" i="2"/>
  <c r="K16" i="2"/>
  <c r="J16" i="2"/>
  <c r="I16" i="2"/>
  <c r="H16" i="2"/>
  <c r="G16" i="2"/>
  <c r="K15" i="2"/>
  <c r="J15" i="2"/>
  <c r="I15" i="2"/>
  <c r="H15" i="2"/>
  <c r="G15" i="2"/>
  <c r="H14" i="2"/>
  <c r="G14" i="2"/>
  <c r="I14" i="2" s="1"/>
  <c r="R9" i="2"/>
  <c r="U8" i="2"/>
  <c r="R8" i="2"/>
  <c r="W7" i="2"/>
  <c r="V7" i="2"/>
  <c r="T7" i="2"/>
  <c r="S7" i="2"/>
  <c r="R7" i="2"/>
  <c r="U7" i="2" s="1"/>
  <c r="B7" i="2"/>
  <c r="R6" i="2"/>
  <c r="B6" i="2"/>
  <c r="W5" i="2"/>
  <c r="V5" i="2"/>
  <c r="S5" i="2"/>
  <c r="R5" i="2"/>
  <c r="U5" i="2" s="1"/>
  <c r="D5" i="2"/>
  <c r="B5" i="2"/>
  <c r="U4" i="2"/>
  <c r="S4" i="2"/>
  <c r="R4" i="2"/>
  <c r="G4" i="2"/>
  <c r="D4" i="2"/>
  <c r="B4" i="2"/>
  <c r="R3" i="2"/>
  <c r="G3" i="2"/>
  <c r="G2" i="2"/>
  <c r="D660" i="6" l="1"/>
  <c r="C660" i="6"/>
  <c r="S13" i="6"/>
  <c r="D209" i="6"/>
  <c r="C26" i="6"/>
  <c r="B206" i="6" s="1"/>
  <c r="H207" i="6" s="1"/>
  <c r="M13" i="6"/>
  <c r="C207" i="6"/>
  <c r="P13" i="6"/>
  <c r="R13" i="6"/>
  <c r="H26" i="6"/>
  <c r="G206" i="6" s="1"/>
  <c r="H212" i="6" s="1"/>
  <c r="Q13" i="6"/>
  <c r="G26" i="6"/>
  <c r="F206" i="6" s="1"/>
  <c r="H211" i="6" s="1"/>
  <c r="F26" i="6"/>
  <c r="E206" i="6" s="1"/>
  <c r="H210" i="6" s="1"/>
  <c r="O13" i="6"/>
  <c r="E26" i="6"/>
  <c r="D206" i="6" s="1"/>
  <c r="H209" i="6" s="1"/>
  <c r="N13" i="6"/>
  <c r="D208" i="6"/>
  <c r="D26" i="6"/>
  <c r="C206" i="6" s="1"/>
  <c r="H208" i="6" s="1"/>
  <c r="L13" i="6"/>
  <c r="C208" i="6"/>
  <c r="K13" i="6"/>
  <c r="J13" i="6"/>
  <c r="AN20" i="6"/>
  <c r="AM20" i="6" s="1"/>
  <c r="D207" i="6"/>
  <c r="B207" i="6"/>
  <c r="G209" i="6"/>
  <c r="C664" i="6"/>
  <c r="D664" i="6"/>
  <c r="D381" i="6"/>
  <c r="C379" i="6"/>
  <c r="F30" i="6"/>
  <c r="E378" i="6" s="1"/>
  <c r="H382" i="6" s="1"/>
  <c r="P17" i="6"/>
  <c r="O17" i="6"/>
  <c r="N17" i="6"/>
  <c r="M17" i="6"/>
  <c r="G381" i="6"/>
  <c r="L17" i="6"/>
  <c r="K17" i="6"/>
  <c r="J17" i="6"/>
  <c r="D380" i="6"/>
  <c r="H30" i="6"/>
  <c r="G378" i="6" s="1"/>
  <c r="H384" i="6" s="1"/>
  <c r="AN24" i="6"/>
  <c r="AM24" i="6" s="1"/>
  <c r="C380" i="6"/>
  <c r="G30" i="6"/>
  <c r="F378" i="6" s="1"/>
  <c r="H383" i="6" s="1"/>
  <c r="Q17" i="6"/>
  <c r="E30" i="6"/>
  <c r="D378" i="6" s="1"/>
  <c r="H381" i="6" s="1"/>
  <c r="D30" i="6"/>
  <c r="C378" i="6" s="1"/>
  <c r="H380" i="6" s="1"/>
  <c r="C30" i="6"/>
  <c r="B378" i="6" s="1"/>
  <c r="H379" i="6" s="1"/>
  <c r="S17" i="6"/>
  <c r="B379" i="6"/>
  <c r="D379" i="6"/>
  <c r="R17" i="6"/>
  <c r="D661" i="6"/>
  <c r="C661" i="6"/>
  <c r="G252" i="6"/>
  <c r="AN21" i="6"/>
  <c r="AM21" i="6" s="1"/>
  <c r="B250" i="6"/>
  <c r="Q14" i="6"/>
  <c r="M14" i="6"/>
  <c r="C250" i="6"/>
  <c r="D27" i="6"/>
  <c r="C249" i="6" s="1"/>
  <c r="H251" i="6" s="1"/>
  <c r="C27" i="6"/>
  <c r="B249" i="6" s="1"/>
  <c r="H250" i="6" s="1"/>
  <c r="D252" i="6"/>
  <c r="S14" i="6"/>
  <c r="R14" i="6"/>
  <c r="P14" i="6"/>
  <c r="D251" i="6"/>
  <c r="O14" i="6"/>
  <c r="C251" i="6"/>
  <c r="N14" i="6"/>
  <c r="L14" i="6"/>
  <c r="E27" i="6"/>
  <c r="D249" i="6" s="1"/>
  <c r="H252" i="6" s="1"/>
  <c r="H27" i="6"/>
  <c r="G249" i="6" s="1"/>
  <c r="H255" i="6" s="1"/>
  <c r="K14" i="6"/>
  <c r="D250" i="6"/>
  <c r="G27" i="6"/>
  <c r="F249" i="6" s="1"/>
  <c r="H254" i="6" s="1"/>
  <c r="J14" i="6"/>
  <c r="F27" i="6"/>
  <c r="E249" i="6" s="1"/>
  <c r="H253" i="6" s="1"/>
  <c r="C658" i="6"/>
  <c r="D658" i="6"/>
  <c r="C122" i="6"/>
  <c r="O11" i="6"/>
  <c r="D123" i="6"/>
  <c r="C24" i="6"/>
  <c r="B120" i="6" s="1"/>
  <c r="H121" i="6" s="1"/>
  <c r="S11" i="6"/>
  <c r="R11" i="6"/>
  <c r="Q11" i="6"/>
  <c r="P11" i="6"/>
  <c r="N11" i="6"/>
  <c r="M11" i="6"/>
  <c r="D122" i="6"/>
  <c r="L11" i="6"/>
  <c r="K11" i="6"/>
  <c r="J11" i="6"/>
  <c r="D24" i="6"/>
  <c r="C120" i="6" s="1"/>
  <c r="H122" i="6" s="1"/>
  <c r="AN18" i="6"/>
  <c r="AM18" i="6" s="1"/>
  <c r="D121" i="6"/>
  <c r="C121" i="6"/>
  <c r="H24" i="6"/>
  <c r="G120" i="6" s="1"/>
  <c r="H126" i="6" s="1"/>
  <c r="B121" i="6"/>
  <c r="G24" i="6"/>
  <c r="F120" i="6" s="1"/>
  <c r="H125" i="6" s="1"/>
  <c r="G123" i="6"/>
  <c r="F24" i="6"/>
  <c r="E120" i="6" s="1"/>
  <c r="H124" i="6" s="1"/>
  <c r="E24" i="6"/>
  <c r="D120" i="6" s="1"/>
  <c r="H123" i="6" s="1"/>
  <c r="G298" i="6"/>
  <c r="Y324" i="6" s="1"/>
  <c r="V321" i="6"/>
  <c r="AO36" i="6"/>
  <c r="AO37" i="6"/>
  <c r="C656" i="6"/>
  <c r="D656" i="6"/>
  <c r="G37" i="6"/>
  <c r="B35" i="6"/>
  <c r="Q9" i="6"/>
  <c r="H22" i="6"/>
  <c r="G34" i="6" s="1"/>
  <c r="H40" i="6" s="1"/>
  <c r="AN16" i="6"/>
  <c r="AM16" i="6" s="1"/>
  <c r="S9" i="6"/>
  <c r="D36" i="6"/>
  <c r="R9" i="6"/>
  <c r="O9" i="6"/>
  <c r="C36" i="6"/>
  <c r="P9" i="6"/>
  <c r="G4" i="6"/>
  <c r="G5" i="6" s="1"/>
  <c r="N9" i="6"/>
  <c r="D37" i="6"/>
  <c r="M9" i="6"/>
  <c r="G22" i="6"/>
  <c r="F34" i="6" s="1"/>
  <c r="H39" i="6" s="1"/>
  <c r="L9" i="6"/>
  <c r="F22" i="6"/>
  <c r="E34" i="6" s="1"/>
  <c r="H38" i="6" s="1"/>
  <c r="K9" i="6"/>
  <c r="E22" i="6"/>
  <c r="D34" i="6" s="1"/>
  <c r="H37" i="6" s="1"/>
  <c r="J9" i="6"/>
  <c r="D22" i="6"/>
  <c r="C34" i="6" s="1"/>
  <c r="H36" i="6" s="1"/>
  <c r="C22" i="6"/>
  <c r="B34" i="6" s="1"/>
  <c r="H35" i="6" s="1"/>
  <c r="C35" i="6"/>
  <c r="D35" i="6"/>
  <c r="AB367" i="6"/>
  <c r="AB490" i="6" s="1"/>
  <c r="AC564" i="6" s="1"/>
  <c r="D341" i="6"/>
  <c r="Y370" i="6" s="1"/>
  <c r="Y493" i="6" s="1"/>
  <c r="Z567" i="6" s="1"/>
  <c r="D665" i="6"/>
  <c r="C665" i="6"/>
  <c r="G424" i="6"/>
  <c r="C31" i="6"/>
  <c r="B421" i="6" s="1"/>
  <c r="H422" i="6" s="1"/>
  <c r="P18" i="6"/>
  <c r="B422" i="6"/>
  <c r="N18" i="6"/>
  <c r="D424" i="6"/>
  <c r="F31" i="6"/>
  <c r="E421" i="6" s="1"/>
  <c r="H425" i="6" s="1"/>
  <c r="J18" i="6"/>
  <c r="E31" i="6"/>
  <c r="D421" i="6" s="1"/>
  <c r="H424" i="6" s="1"/>
  <c r="L18" i="6"/>
  <c r="D31" i="6"/>
  <c r="C421" i="6" s="1"/>
  <c r="H423" i="6" s="1"/>
  <c r="K18" i="6"/>
  <c r="D423" i="6"/>
  <c r="C423" i="6"/>
  <c r="G31" i="6"/>
  <c r="F421" i="6" s="1"/>
  <c r="H426" i="6" s="1"/>
  <c r="D422" i="6"/>
  <c r="C422" i="6"/>
  <c r="S18" i="6"/>
  <c r="M18" i="6"/>
  <c r="AN25" i="6"/>
  <c r="AM25" i="6" s="1"/>
  <c r="R18" i="6"/>
  <c r="Q18" i="6"/>
  <c r="H31" i="6"/>
  <c r="G421" i="6" s="1"/>
  <c r="H427" i="6" s="1"/>
  <c r="O18" i="6"/>
  <c r="D659" i="6"/>
  <c r="C659" i="6"/>
  <c r="C165" i="6"/>
  <c r="N12" i="6"/>
  <c r="D166" i="6"/>
  <c r="F25" i="6"/>
  <c r="E163" i="6" s="1"/>
  <c r="H167" i="6" s="1"/>
  <c r="S12" i="6"/>
  <c r="E25" i="6"/>
  <c r="D163" i="6" s="1"/>
  <c r="H166" i="6" s="1"/>
  <c r="AN19" i="6"/>
  <c r="AM19" i="6" s="1"/>
  <c r="R12" i="6"/>
  <c r="D25" i="6"/>
  <c r="C163" i="6" s="1"/>
  <c r="H165" i="6" s="1"/>
  <c r="Q12" i="6"/>
  <c r="C25" i="6"/>
  <c r="B163" i="6" s="1"/>
  <c r="H164" i="6" s="1"/>
  <c r="P12" i="6"/>
  <c r="D165" i="6"/>
  <c r="O12" i="6"/>
  <c r="M12" i="6"/>
  <c r="L12" i="6"/>
  <c r="K12" i="6"/>
  <c r="J12" i="6"/>
  <c r="D164" i="6"/>
  <c r="C164" i="6"/>
  <c r="B164" i="6"/>
  <c r="G166" i="6"/>
  <c r="H25" i="6"/>
  <c r="G163" i="6" s="1"/>
  <c r="H169" i="6" s="1"/>
  <c r="G25" i="6"/>
  <c r="F163" i="6" s="1"/>
  <c r="H168" i="6" s="1"/>
  <c r="D657" i="6"/>
  <c r="C657" i="6"/>
  <c r="G80" i="6"/>
  <c r="C78" i="6"/>
  <c r="P10" i="6"/>
  <c r="D80" i="6"/>
  <c r="S10" i="6"/>
  <c r="R10" i="6"/>
  <c r="Q10" i="6"/>
  <c r="O10" i="6"/>
  <c r="N10" i="6"/>
  <c r="M10" i="6"/>
  <c r="D79" i="6"/>
  <c r="L10" i="6"/>
  <c r="C79" i="6"/>
  <c r="H23" i="6"/>
  <c r="G77" i="6" s="1"/>
  <c r="H83" i="6" s="1"/>
  <c r="K10" i="6"/>
  <c r="G23" i="6"/>
  <c r="F77" i="6" s="1"/>
  <c r="H82" i="6" s="1"/>
  <c r="J10" i="6"/>
  <c r="F23" i="6"/>
  <c r="E77" i="6" s="1"/>
  <c r="H81" i="6" s="1"/>
  <c r="E23" i="6"/>
  <c r="D77" i="6" s="1"/>
  <c r="H80" i="6" s="1"/>
  <c r="D23" i="6"/>
  <c r="C77" i="6" s="1"/>
  <c r="H79" i="6" s="1"/>
  <c r="D78" i="6"/>
  <c r="C23" i="6"/>
  <c r="B77" i="6" s="1"/>
  <c r="H78" i="6" s="1"/>
  <c r="AN17" i="6"/>
  <c r="AM17" i="6" s="1"/>
  <c r="B78" i="6"/>
  <c r="AX16" i="6"/>
  <c r="AQ30" i="6"/>
  <c r="AR30" i="6" s="1"/>
  <c r="AS30" i="6" s="1"/>
  <c r="O15" i="6"/>
  <c r="AS19" i="6"/>
  <c r="P15" i="6"/>
  <c r="AX22" i="6"/>
  <c r="D294" i="6"/>
  <c r="R15" i="6"/>
  <c r="AP16" i="6"/>
  <c r="AN29" i="6" s="1"/>
  <c r="AO29" i="6" s="1"/>
  <c r="D338" i="6"/>
  <c r="S15" i="6"/>
  <c r="AR16" i="6"/>
  <c r="E28" i="6"/>
  <c r="D292" i="6" s="1"/>
  <c r="H295" i="6" s="1"/>
  <c r="AU16" i="6"/>
  <c r="AN30" i="6" s="1"/>
  <c r="AO30" i="6" s="1"/>
  <c r="AP25" i="6"/>
  <c r="F28" i="6"/>
  <c r="E292" i="6" s="1"/>
  <c r="H296" i="6" s="1"/>
  <c r="AU25" i="6"/>
  <c r="AN39" i="6" s="1"/>
  <c r="AO39" i="6" s="1"/>
  <c r="G28" i="6"/>
  <c r="F292" i="6" s="1"/>
  <c r="H297" i="6" s="1"/>
  <c r="C663" i="6"/>
  <c r="D663" i="6"/>
  <c r="L16" i="6"/>
  <c r="D336" i="6"/>
  <c r="C29" i="6"/>
  <c r="B335" i="6" s="1"/>
  <c r="H336" i="6" s="1"/>
  <c r="AQ39" i="6"/>
  <c r="AR39" i="6" s="1"/>
  <c r="AS39" i="6" s="1"/>
  <c r="J16" i="6"/>
  <c r="AP18" i="6"/>
  <c r="AN31" i="6" s="1"/>
  <c r="AO31" i="6" s="1"/>
  <c r="AP20" i="6"/>
  <c r="AN33" i="6" s="1"/>
  <c r="AO33" i="6" s="1"/>
  <c r="D29" i="6"/>
  <c r="C335" i="6" s="1"/>
  <c r="H337" i="6" s="1"/>
  <c r="B336" i="6"/>
  <c r="K16" i="6"/>
  <c r="AR18" i="6"/>
  <c r="AS18" i="6" s="1"/>
  <c r="AR20" i="6"/>
  <c r="AN23" i="6"/>
  <c r="AM23" i="6" s="1"/>
  <c r="E29" i="6"/>
  <c r="D335" i="6" s="1"/>
  <c r="H338" i="6" s="1"/>
  <c r="C336" i="6"/>
  <c r="D662" i="6"/>
  <c r="C662" i="6"/>
  <c r="C28" i="6"/>
  <c r="B292" i="6" s="1"/>
  <c r="H293" i="6" s="1"/>
  <c r="G295" i="6"/>
  <c r="D293" i="6"/>
  <c r="H28" i="6"/>
  <c r="G292" i="6" s="1"/>
  <c r="H298" i="6" s="1"/>
  <c r="C294" i="6"/>
  <c r="D28" i="6"/>
  <c r="C292" i="6" s="1"/>
  <c r="H294" i="6" s="1"/>
  <c r="Q15" i="6"/>
  <c r="AN38" i="6"/>
  <c r="AO38" i="6" s="1"/>
  <c r="AN22" i="6"/>
  <c r="AM22" i="6" s="1"/>
  <c r="AR23" i="6"/>
  <c r="AS23" i="6" s="1"/>
  <c r="B293" i="6"/>
  <c r="J15" i="6"/>
  <c r="AU23" i="6"/>
  <c r="AN37" i="6" s="1"/>
  <c r="C293" i="6"/>
  <c r="K15" i="6"/>
  <c r="AW23" i="6"/>
  <c r="C337" i="6"/>
  <c r="L15" i="6"/>
  <c r="Q16" i="6"/>
  <c r="D337" i="6"/>
  <c r="M15" i="6"/>
  <c r="R16" i="6"/>
  <c r="AW24" i="6"/>
  <c r="D662" i="5"/>
  <c r="C662" i="5"/>
  <c r="C294" i="5"/>
  <c r="D28" i="5"/>
  <c r="C292" i="5" s="1"/>
  <c r="H294" i="5" s="1"/>
  <c r="N15" i="5"/>
  <c r="R15" i="5"/>
  <c r="C293" i="5"/>
  <c r="H28" i="5"/>
  <c r="G292" i="5" s="1"/>
  <c r="H298" i="5" s="1"/>
  <c r="P15" i="5"/>
  <c r="G295" i="5"/>
  <c r="B293" i="5"/>
  <c r="G28" i="5"/>
  <c r="F292" i="5" s="1"/>
  <c r="H297" i="5" s="1"/>
  <c r="O15" i="5"/>
  <c r="AN11" i="5"/>
  <c r="AM11" i="5" s="1"/>
  <c r="Q15" i="5"/>
  <c r="M15" i="5"/>
  <c r="D293" i="5"/>
  <c r="S15" i="5"/>
  <c r="L15" i="5"/>
  <c r="K15" i="5"/>
  <c r="J15" i="5"/>
  <c r="D295" i="5"/>
  <c r="F28" i="5"/>
  <c r="E292" i="5" s="1"/>
  <c r="H296" i="5" s="1"/>
  <c r="E28" i="5"/>
  <c r="D292" i="5" s="1"/>
  <c r="H295" i="5" s="1"/>
  <c r="D294" i="5"/>
  <c r="C28" i="5"/>
  <c r="B292" i="5" s="1"/>
  <c r="H293" i="5" s="1"/>
  <c r="AM22" i="5"/>
  <c r="B37" i="5"/>
  <c r="D43" i="5"/>
  <c r="D467" i="5" s="1"/>
  <c r="E541" i="5" s="1"/>
  <c r="G35" i="5"/>
  <c r="G38" i="5"/>
  <c r="AP26" i="5"/>
  <c r="AQ26" i="5" s="1"/>
  <c r="F46" i="5"/>
  <c r="E39" i="5"/>
  <c r="E47" i="5" s="1"/>
  <c r="G47" i="5"/>
  <c r="F40" i="5"/>
  <c r="F48" i="5" s="1"/>
  <c r="AP20" i="5"/>
  <c r="AQ20" i="5" s="1"/>
  <c r="D660" i="5"/>
  <c r="C660" i="5"/>
  <c r="Q13" i="5"/>
  <c r="P13" i="5"/>
  <c r="D209" i="5"/>
  <c r="B207" i="5"/>
  <c r="F26" i="5"/>
  <c r="E206" i="5" s="1"/>
  <c r="H210" i="5" s="1"/>
  <c r="J13" i="5"/>
  <c r="G26" i="5"/>
  <c r="F206" i="5" s="1"/>
  <c r="H211" i="5" s="1"/>
  <c r="E26" i="5"/>
  <c r="D206" i="5" s="1"/>
  <c r="H209" i="5" s="1"/>
  <c r="D207" i="5"/>
  <c r="L13" i="5"/>
  <c r="C207" i="5"/>
  <c r="O13" i="5"/>
  <c r="D208" i="5"/>
  <c r="N13" i="5"/>
  <c r="M13" i="5"/>
  <c r="K13" i="5"/>
  <c r="C208" i="5"/>
  <c r="H26" i="5"/>
  <c r="G206" i="5" s="1"/>
  <c r="H212" i="5" s="1"/>
  <c r="D26" i="5"/>
  <c r="C206" i="5" s="1"/>
  <c r="H208" i="5" s="1"/>
  <c r="C26" i="5"/>
  <c r="B206" i="5" s="1"/>
  <c r="H207" i="5" s="1"/>
  <c r="R13" i="5"/>
  <c r="G209" i="5"/>
  <c r="S13" i="5"/>
  <c r="AN9" i="5"/>
  <c r="AM9" i="5" s="1"/>
  <c r="S274" i="5"/>
  <c r="G251" i="5"/>
  <c r="C252" i="5"/>
  <c r="G254" i="5"/>
  <c r="C657" i="5"/>
  <c r="D657" i="5"/>
  <c r="G80" i="5"/>
  <c r="H23" i="5"/>
  <c r="G77" i="5" s="1"/>
  <c r="H83" i="5" s="1"/>
  <c r="S10" i="5"/>
  <c r="D78" i="5"/>
  <c r="G23" i="5"/>
  <c r="F77" i="5" s="1"/>
  <c r="H82" i="5" s="1"/>
  <c r="R10" i="5"/>
  <c r="D79" i="5"/>
  <c r="O10" i="5"/>
  <c r="M10" i="5"/>
  <c r="L10" i="5"/>
  <c r="AN6" i="5"/>
  <c r="AM6" i="5" s="1"/>
  <c r="E23" i="5"/>
  <c r="D77" i="5" s="1"/>
  <c r="H80" i="5" s="1"/>
  <c r="D80" i="5"/>
  <c r="C79" i="5"/>
  <c r="Q10" i="5"/>
  <c r="N10" i="5"/>
  <c r="K10" i="5"/>
  <c r="P10" i="5"/>
  <c r="J10" i="5"/>
  <c r="C78" i="5"/>
  <c r="F23" i="5"/>
  <c r="E77" i="5" s="1"/>
  <c r="H81" i="5" s="1"/>
  <c r="B78" i="5"/>
  <c r="D23" i="5"/>
  <c r="C77" i="5" s="1"/>
  <c r="H79" i="5" s="1"/>
  <c r="C23" i="5"/>
  <c r="B77" i="5" s="1"/>
  <c r="H78" i="5" s="1"/>
  <c r="F383" i="5"/>
  <c r="AD415" i="5" s="1"/>
  <c r="AA412" i="5"/>
  <c r="F380" i="5"/>
  <c r="F427" i="5"/>
  <c r="AG462" i="5" s="1"/>
  <c r="AG499" i="5" s="1"/>
  <c r="AH573" i="5" s="1"/>
  <c r="AH461" i="5"/>
  <c r="AH498" i="5" s="1"/>
  <c r="AI572" i="5" s="1"/>
  <c r="F165" i="5"/>
  <c r="L182" i="5"/>
  <c r="B381" i="5"/>
  <c r="G379" i="5"/>
  <c r="AP19" i="5"/>
  <c r="AQ19" i="5" s="1"/>
  <c r="AP10" i="5"/>
  <c r="AM23" i="5" s="1"/>
  <c r="G22" i="5"/>
  <c r="F34" i="5" s="1"/>
  <c r="H39" i="5" s="1"/>
  <c r="B250" i="5"/>
  <c r="AU13" i="5"/>
  <c r="AM27" i="5" s="1"/>
  <c r="AP13" i="5"/>
  <c r="AM26" i="5" s="1"/>
  <c r="C665" i="5"/>
  <c r="D665" i="5"/>
  <c r="G424" i="5"/>
  <c r="F31" i="5"/>
  <c r="E421" i="5" s="1"/>
  <c r="H425" i="5" s="1"/>
  <c r="N18" i="5"/>
  <c r="D422" i="5"/>
  <c r="E31" i="5"/>
  <c r="D421" i="5" s="1"/>
  <c r="H424" i="5" s="1"/>
  <c r="M18" i="5"/>
  <c r="P18" i="5"/>
  <c r="AN14" i="5"/>
  <c r="AM14" i="5" s="1"/>
  <c r="D424" i="5"/>
  <c r="H31" i="5"/>
  <c r="G421" i="5" s="1"/>
  <c r="H427" i="5" s="1"/>
  <c r="L18" i="5"/>
  <c r="G31" i="5"/>
  <c r="F421" i="5" s="1"/>
  <c r="H426" i="5" s="1"/>
  <c r="K18" i="5"/>
  <c r="C423" i="5"/>
  <c r="C250" i="5"/>
  <c r="F425" i="5"/>
  <c r="AP9" i="5"/>
  <c r="AU10" i="5"/>
  <c r="AM24" i="5" s="1"/>
  <c r="AR13" i="5"/>
  <c r="AS13" i="5" s="1"/>
  <c r="J18" i="5"/>
  <c r="AB411" i="5"/>
  <c r="AX10" i="5"/>
  <c r="B36" i="5"/>
  <c r="C43" i="5"/>
  <c r="C467" i="5" s="1"/>
  <c r="D541" i="5" s="1"/>
  <c r="AP22" i="5"/>
  <c r="AQ22" i="5" s="1"/>
  <c r="C658" i="5"/>
  <c r="D658" i="5"/>
  <c r="M11" i="5"/>
  <c r="L11" i="5"/>
  <c r="C122" i="5"/>
  <c r="H24" i="5"/>
  <c r="G120" i="5" s="1"/>
  <c r="H126" i="5" s="1"/>
  <c r="G24" i="5"/>
  <c r="F120" i="5" s="1"/>
  <c r="H125" i="5" s="1"/>
  <c r="K11" i="5"/>
  <c r="D121" i="5"/>
  <c r="E24" i="5"/>
  <c r="D120" i="5" s="1"/>
  <c r="H123" i="5" s="1"/>
  <c r="C121" i="5"/>
  <c r="D24" i="5"/>
  <c r="C120" i="5" s="1"/>
  <c r="H122" i="5" s="1"/>
  <c r="D123" i="5"/>
  <c r="AX13" i="5"/>
  <c r="R18" i="5"/>
  <c r="D122" i="5"/>
  <c r="H135" i="5"/>
  <c r="W365" i="5"/>
  <c r="E339" i="5"/>
  <c r="Z368" i="5" s="1"/>
  <c r="B422" i="5"/>
  <c r="C661" i="5"/>
  <c r="D661" i="5"/>
  <c r="G252" i="5"/>
  <c r="D27" i="5"/>
  <c r="C249" i="5" s="1"/>
  <c r="H251" i="5" s="1"/>
  <c r="K14" i="5"/>
  <c r="D250" i="5"/>
  <c r="C27" i="5"/>
  <c r="B249" i="5" s="1"/>
  <c r="H250" i="5" s="1"/>
  <c r="J14" i="5"/>
  <c r="C251" i="5"/>
  <c r="R14" i="5"/>
  <c r="Q14" i="5"/>
  <c r="D252" i="5"/>
  <c r="F35" i="5"/>
  <c r="X365" i="5"/>
  <c r="F336" i="5"/>
  <c r="F339" i="5"/>
  <c r="E423" i="5"/>
  <c r="AC458" i="5"/>
  <c r="D656" i="5"/>
  <c r="C656" i="5"/>
  <c r="D37" i="5"/>
  <c r="B35" i="5"/>
  <c r="F22" i="5"/>
  <c r="E34" i="5" s="1"/>
  <c r="H38" i="5" s="1"/>
  <c r="S9" i="5"/>
  <c r="D22" i="5"/>
  <c r="C34" i="5" s="1"/>
  <c r="H36" i="5" s="1"/>
  <c r="Q9" i="5"/>
  <c r="C22" i="5"/>
  <c r="B34" i="5" s="1"/>
  <c r="H35" i="5" s="1"/>
  <c r="P9" i="5"/>
  <c r="J9" i="5"/>
  <c r="C659" i="5"/>
  <c r="D659" i="5"/>
  <c r="F25" i="5"/>
  <c r="E163" i="5" s="1"/>
  <c r="H167" i="5" s="1"/>
  <c r="E25" i="5"/>
  <c r="D163" i="5" s="1"/>
  <c r="H166" i="5" s="1"/>
  <c r="P12" i="5"/>
  <c r="D166" i="5"/>
  <c r="AN8" i="5"/>
  <c r="AM8" i="5" s="1"/>
  <c r="D165" i="5"/>
  <c r="H25" i="5"/>
  <c r="G163" i="5" s="1"/>
  <c r="H169" i="5" s="1"/>
  <c r="O12" i="5"/>
  <c r="AX12" i="5"/>
  <c r="G45" i="5"/>
  <c r="G469" i="5" s="1"/>
  <c r="H543" i="5" s="1"/>
  <c r="K135" i="5"/>
  <c r="K473" i="5" s="1"/>
  <c r="L547" i="5" s="1"/>
  <c r="G339" i="5"/>
  <c r="B338" i="5"/>
  <c r="G336" i="5"/>
  <c r="D341" i="5"/>
  <c r="Y370" i="5" s="1"/>
  <c r="Y493" i="5" s="1"/>
  <c r="Z567" i="5" s="1"/>
  <c r="F422" i="5"/>
  <c r="C664" i="5"/>
  <c r="D664" i="5"/>
  <c r="D380" i="5"/>
  <c r="K17" i="5"/>
  <c r="J17" i="5"/>
  <c r="D381" i="5"/>
  <c r="B379" i="5"/>
  <c r="E30" i="5"/>
  <c r="D378" i="5" s="1"/>
  <c r="H381" i="5" s="1"/>
  <c r="AN13" i="5"/>
  <c r="AM13" i="5" s="1"/>
  <c r="D30" i="5"/>
  <c r="C378" i="5" s="1"/>
  <c r="H380" i="5" s="1"/>
  <c r="R17" i="5"/>
  <c r="G381" i="5"/>
  <c r="G4" i="5"/>
  <c r="G5" i="5" s="1"/>
  <c r="AX6" i="5"/>
  <c r="N11" i="5"/>
  <c r="J12" i="5"/>
  <c r="L14" i="5"/>
  <c r="L17" i="5"/>
  <c r="AP18" i="5"/>
  <c r="AQ18" i="5" s="1"/>
  <c r="AP23" i="5"/>
  <c r="AQ23" i="5" s="1"/>
  <c r="C36" i="5"/>
  <c r="E167" i="5"/>
  <c r="N184" i="5" s="1"/>
  <c r="E336" i="5"/>
  <c r="F341" i="5"/>
  <c r="AA370" i="5" s="1"/>
  <c r="G36" i="5"/>
  <c r="D44" i="5"/>
  <c r="D468" i="5" s="1"/>
  <c r="E542" i="5" s="1"/>
  <c r="AE458" i="5"/>
  <c r="G423" i="5"/>
  <c r="C424" i="5"/>
  <c r="N14" i="5"/>
  <c r="N17" i="5"/>
  <c r="C338" i="5"/>
  <c r="Y366" i="5"/>
  <c r="M9" i="5"/>
  <c r="Q11" i="5"/>
  <c r="M12" i="5"/>
  <c r="O14" i="5"/>
  <c r="O17" i="5"/>
  <c r="F24" i="5"/>
  <c r="E120" i="5" s="1"/>
  <c r="H124" i="5" s="1"/>
  <c r="F27" i="5"/>
  <c r="E249" i="5" s="1"/>
  <c r="H253" i="5" s="1"/>
  <c r="G30" i="5"/>
  <c r="F378" i="5" s="1"/>
  <c r="H383" i="5" s="1"/>
  <c r="C164" i="5"/>
  <c r="F168" i="5"/>
  <c r="O185" i="5" s="1"/>
  <c r="G337" i="5"/>
  <c r="Y365" i="5"/>
  <c r="AN5" i="5"/>
  <c r="AM5" i="5" s="1"/>
  <c r="N9" i="5"/>
  <c r="R11" i="5"/>
  <c r="N12" i="5"/>
  <c r="P14" i="5"/>
  <c r="P17" i="5"/>
  <c r="G27" i="5"/>
  <c r="F249" i="5" s="1"/>
  <c r="H254" i="5" s="1"/>
  <c r="H30" i="5"/>
  <c r="G378" i="5" s="1"/>
  <c r="H384" i="5" s="1"/>
  <c r="C37" i="5"/>
  <c r="D164" i="5"/>
  <c r="E27" i="5"/>
  <c r="D249" i="5" s="1"/>
  <c r="H252" i="5" s="1"/>
  <c r="G382" i="5"/>
  <c r="AM21" i="5"/>
  <c r="O9" i="5"/>
  <c r="S11" i="5"/>
  <c r="Q12" i="5"/>
  <c r="S14" i="5"/>
  <c r="Q17" i="5"/>
  <c r="H27" i="5"/>
  <c r="G249" i="5" s="1"/>
  <c r="H255" i="5" s="1"/>
  <c r="C31" i="5"/>
  <c r="B421" i="5" s="1"/>
  <c r="H422" i="5" s="1"/>
  <c r="E164" i="5"/>
  <c r="D169" i="5"/>
  <c r="M186" i="5" s="1"/>
  <c r="M481" i="5" s="1"/>
  <c r="N555" i="5" s="1"/>
  <c r="E337" i="5"/>
  <c r="W366" i="5"/>
  <c r="F30" i="5"/>
  <c r="E378" i="5" s="1"/>
  <c r="H382" i="5" s="1"/>
  <c r="AP21" i="5"/>
  <c r="AQ21" i="5" s="1"/>
  <c r="R9" i="5"/>
  <c r="AN10" i="5"/>
  <c r="AM10" i="5" s="1"/>
  <c r="R12" i="5"/>
  <c r="AW14" i="5"/>
  <c r="AU14" i="5"/>
  <c r="AM28" i="5" s="1"/>
  <c r="D663" i="5"/>
  <c r="C663" i="5"/>
  <c r="Q16" i="5"/>
  <c r="C29" i="5"/>
  <c r="B335" i="5" s="1"/>
  <c r="H336" i="5" s="1"/>
  <c r="S16" i="5"/>
  <c r="C337" i="5"/>
  <c r="L16" i="5"/>
  <c r="S17" i="5"/>
  <c r="D31" i="5"/>
  <c r="C421" i="5" s="1"/>
  <c r="H423" i="5" s="1"/>
  <c r="C379" i="5"/>
  <c r="AM19" i="5"/>
  <c r="AR7" i="5"/>
  <c r="AS7" i="5" s="1"/>
  <c r="AP7" i="5"/>
  <c r="AM20" i="5" s="1"/>
  <c r="C665" i="4"/>
  <c r="D665" i="4"/>
  <c r="M18" i="4"/>
  <c r="D423" i="4"/>
  <c r="K18" i="4"/>
  <c r="C423" i="4"/>
  <c r="R18" i="4"/>
  <c r="P18" i="4"/>
  <c r="C422" i="4"/>
  <c r="N18" i="4"/>
  <c r="B422" i="4"/>
  <c r="H31" i="4"/>
  <c r="G421" i="4" s="1"/>
  <c r="H427" i="4" s="1"/>
  <c r="L18" i="4"/>
  <c r="D424" i="4"/>
  <c r="D31" i="4"/>
  <c r="C421" i="4" s="1"/>
  <c r="H423" i="4" s="1"/>
  <c r="G31" i="4"/>
  <c r="F421" i="4" s="1"/>
  <c r="H426" i="4" s="1"/>
  <c r="F31" i="4"/>
  <c r="E421" i="4" s="1"/>
  <c r="H425" i="4" s="1"/>
  <c r="D422" i="4"/>
  <c r="E31" i="4"/>
  <c r="D421" i="4" s="1"/>
  <c r="H424" i="4" s="1"/>
  <c r="C31" i="4"/>
  <c r="B421" i="4" s="1"/>
  <c r="H422" i="4" s="1"/>
  <c r="S18" i="4"/>
  <c r="Q18" i="4"/>
  <c r="O18" i="4"/>
  <c r="J18" i="4"/>
  <c r="G424" i="4"/>
  <c r="D663" i="4"/>
  <c r="C663" i="4"/>
  <c r="G338" i="4"/>
  <c r="Q16" i="4"/>
  <c r="D336" i="4"/>
  <c r="C336" i="4"/>
  <c r="H29" i="4"/>
  <c r="G335" i="4" s="1"/>
  <c r="H341" i="4" s="1"/>
  <c r="O16" i="4"/>
  <c r="D337" i="4"/>
  <c r="F29" i="4"/>
  <c r="E335" i="4" s="1"/>
  <c r="H339" i="4" s="1"/>
  <c r="R16" i="4"/>
  <c r="B336" i="4"/>
  <c r="D29" i="4"/>
  <c r="C335" i="4" s="1"/>
  <c r="H337" i="4" s="1"/>
  <c r="N16" i="4"/>
  <c r="L16" i="4"/>
  <c r="K16" i="4"/>
  <c r="S16" i="4"/>
  <c r="P16" i="4"/>
  <c r="M16" i="4"/>
  <c r="J16" i="4"/>
  <c r="D338" i="4"/>
  <c r="G29" i="4"/>
  <c r="F335" i="4" s="1"/>
  <c r="H340" i="4" s="1"/>
  <c r="C337" i="4"/>
  <c r="E29" i="4"/>
  <c r="D335" i="4" s="1"/>
  <c r="H338" i="4" s="1"/>
  <c r="C29" i="4"/>
  <c r="B335" i="4" s="1"/>
  <c r="H336" i="4" s="1"/>
  <c r="G126" i="4"/>
  <c r="M140" i="4" s="1"/>
  <c r="J137" i="4"/>
  <c r="C656" i="4"/>
  <c r="D656" i="4"/>
  <c r="H22" i="4"/>
  <c r="G34" i="4" s="1"/>
  <c r="H40" i="4" s="1"/>
  <c r="L9" i="4"/>
  <c r="F22" i="4"/>
  <c r="E34" i="4" s="1"/>
  <c r="H38" i="4" s="1"/>
  <c r="J9" i="4"/>
  <c r="C35" i="4"/>
  <c r="S9" i="4"/>
  <c r="Q9" i="4"/>
  <c r="D37" i="4"/>
  <c r="O9" i="4"/>
  <c r="N9" i="4"/>
  <c r="C36" i="4"/>
  <c r="D22" i="4"/>
  <c r="C34" i="4" s="1"/>
  <c r="H36" i="4" s="1"/>
  <c r="D35" i="4"/>
  <c r="B35" i="4"/>
  <c r="G22" i="4"/>
  <c r="F34" i="4" s="1"/>
  <c r="H39" i="4" s="1"/>
  <c r="E22" i="4"/>
  <c r="D34" i="4" s="1"/>
  <c r="H37" i="4" s="1"/>
  <c r="C22" i="4"/>
  <c r="B34" i="4" s="1"/>
  <c r="H35" i="4" s="1"/>
  <c r="R9" i="4"/>
  <c r="P9" i="4"/>
  <c r="M9" i="4"/>
  <c r="G37" i="4"/>
  <c r="K9" i="4"/>
  <c r="D36" i="4"/>
  <c r="D664" i="4"/>
  <c r="C664" i="4"/>
  <c r="D30" i="4"/>
  <c r="C378" i="4" s="1"/>
  <c r="H380" i="4" s="1"/>
  <c r="O17" i="4"/>
  <c r="C30" i="4"/>
  <c r="B378" i="4" s="1"/>
  <c r="H379" i="4" s="1"/>
  <c r="M17" i="4"/>
  <c r="D380" i="4"/>
  <c r="G30" i="4"/>
  <c r="F378" i="4" s="1"/>
  <c r="H383" i="4" s="1"/>
  <c r="E30" i="4"/>
  <c r="D378" i="4" s="1"/>
  <c r="H381" i="4" s="1"/>
  <c r="R17" i="4"/>
  <c r="P17" i="4"/>
  <c r="C379" i="4"/>
  <c r="L17" i="4"/>
  <c r="B379" i="4"/>
  <c r="K17" i="4"/>
  <c r="D381" i="4"/>
  <c r="N17" i="4"/>
  <c r="G381" i="4"/>
  <c r="S17" i="4"/>
  <c r="Q17" i="4"/>
  <c r="C380" i="4"/>
  <c r="H30" i="4"/>
  <c r="G378" i="4" s="1"/>
  <c r="H384" i="4" s="1"/>
  <c r="J17" i="4"/>
  <c r="F30" i="4"/>
  <c r="E378" i="4" s="1"/>
  <c r="H382" i="4" s="1"/>
  <c r="D379" i="4"/>
  <c r="G91" i="4"/>
  <c r="G83" i="4"/>
  <c r="J94" i="4" s="1"/>
  <c r="J475" i="4" s="1"/>
  <c r="K549" i="4" s="1"/>
  <c r="I137" i="4"/>
  <c r="F123" i="4"/>
  <c r="U320" i="4"/>
  <c r="F297" i="4"/>
  <c r="X323" i="4" s="1"/>
  <c r="M10" i="4"/>
  <c r="N10" i="4"/>
  <c r="D662" i="4"/>
  <c r="C662" i="4"/>
  <c r="N15" i="4"/>
  <c r="L15" i="4"/>
  <c r="C293" i="4"/>
  <c r="D294" i="4"/>
  <c r="Q15" i="4"/>
  <c r="O15" i="4"/>
  <c r="D293" i="4"/>
  <c r="K15" i="4"/>
  <c r="H28" i="4"/>
  <c r="G292" i="4" s="1"/>
  <c r="H298" i="4" s="1"/>
  <c r="D295" i="4"/>
  <c r="G28" i="4"/>
  <c r="F292" i="4" s="1"/>
  <c r="H297" i="4" s="1"/>
  <c r="C28" i="4"/>
  <c r="B292" i="4" s="1"/>
  <c r="H293" i="4" s="1"/>
  <c r="F28" i="4"/>
  <c r="E292" i="4" s="1"/>
  <c r="H296" i="4" s="1"/>
  <c r="F294" i="4"/>
  <c r="Q10" i="4"/>
  <c r="D660" i="4"/>
  <c r="C660" i="4"/>
  <c r="D208" i="4"/>
  <c r="G26" i="4"/>
  <c r="F206" i="4" s="1"/>
  <c r="H211" i="4" s="1"/>
  <c r="C207" i="4"/>
  <c r="E26" i="4"/>
  <c r="D206" i="4" s="1"/>
  <c r="H209" i="4" s="1"/>
  <c r="S13" i="4"/>
  <c r="G209" i="4"/>
  <c r="C26" i="4"/>
  <c r="B206" i="4" s="1"/>
  <c r="H207" i="4" s="1"/>
  <c r="Q13" i="4"/>
  <c r="O13" i="4"/>
  <c r="D209" i="4"/>
  <c r="N13" i="4"/>
  <c r="C208" i="4"/>
  <c r="J13" i="4"/>
  <c r="C23" i="4"/>
  <c r="B77" i="4" s="1"/>
  <c r="H78" i="4" s="1"/>
  <c r="K13" i="4"/>
  <c r="C78" i="4"/>
  <c r="D78" i="4"/>
  <c r="S10" i="4"/>
  <c r="E23" i="4"/>
  <c r="D77" i="4" s="1"/>
  <c r="H80" i="4" s="1"/>
  <c r="L13" i="4"/>
  <c r="G23" i="4"/>
  <c r="F77" i="4" s="1"/>
  <c r="H82" i="4" s="1"/>
  <c r="M137" i="4"/>
  <c r="M475" i="4" s="1"/>
  <c r="N549" i="4" s="1"/>
  <c r="M13" i="4"/>
  <c r="R15" i="4"/>
  <c r="B207" i="4"/>
  <c r="G295" i="4"/>
  <c r="P13" i="4"/>
  <c r="D207" i="4"/>
  <c r="E296" i="4"/>
  <c r="W322" i="4" s="1"/>
  <c r="D661" i="4"/>
  <c r="C661" i="4"/>
  <c r="F27" i="4"/>
  <c r="E249" i="4" s="1"/>
  <c r="H253" i="4" s="1"/>
  <c r="K14" i="4"/>
  <c r="E27" i="4"/>
  <c r="D249" i="4" s="1"/>
  <c r="H252" i="4" s="1"/>
  <c r="D251" i="4"/>
  <c r="D27" i="4"/>
  <c r="C249" i="4" s="1"/>
  <c r="H251" i="4" s="1"/>
  <c r="C27" i="4"/>
  <c r="B249" i="4" s="1"/>
  <c r="H250" i="4" s="1"/>
  <c r="L14" i="4"/>
  <c r="C250" i="4"/>
  <c r="G252" i="4"/>
  <c r="D252" i="4"/>
  <c r="S14" i="4"/>
  <c r="O14" i="4"/>
  <c r="B250" i="4"/>
  <c r="D658" i="4"/>
  <c r="C658" i="4"/>
  <c r="J11" i="4"/>
  <c r="C122" i="4"/>
  <c r="G24" i="4"/>
  <c r="F120" i="4" s="1"/>
  <c r="H125" i="4" s="1"/>
  <c r="R11" i="4"/>
  <c r="E24" i="4"/>
  <c r="D120" i="4" s="1"/>
  <c r="H123" i="4" s="1"/>
  <c r="P11" i="4"/>
  <c r="D121" i="4"/>
  <c r="D24" i="4"/>
  <c r="C120" i="4" s="1"/>
  <c r="H122" i="4" s="1"/>
  <c r="O11" i="4"/>
  <c r="K11" i="4"/>
  <c r="J14" i="4"/>
  <c r="C24" i="4"/>
  <c r="B120" i="4" s="1"/>
  <c r="H121" i="4" s="1"/>
  <c r="D26" i="4"/>
  <c r="C206" i="4" s="1"/>
  <c r="H208" i="4" s="1"/>
  <c r="B121" i="4"/>
  <c r="D250" i="4"/>
  <c r="L11" i="4"/>
  <c r="M14" i="4"/>
  <c r="F24" i="4"/>
  <c r="E120" i="4" s="1"/>
  <c r="H124" i="4" s="1"/>
  <c r="F26" i="4"/>
  <c r="E206" i="4" s="1"/>
  <c r="H210" i="4" s="1"/>
  <c r="C121" i="4"/>
  <c r="N14" i="4"/>
  <c r="H26" i="4"/>
  <c r="G206" i="4" s="1"/>
  <c r="H212" i="4" s="1"/>
  <c r="C657" i="4"/>
  <c r="D657" i="4"/>
  <c r="K10" i="4"/>
  <c r="D79" i="4"/>
  <c r="G80" i="4"/>
  <c r="B78" i="4"/>
  <c r="H23" i="4"/>
  <c r="G77" i="4" s="1"/>
  <c r="H83" i="4" s="1"/>
  <c r="F23" i="4"/>
  <c r="E77" i="4" s="1"/>
  <c r="H81" i="4" s="1"/>
  <c r="D23" i="4"/>
  <c r="C77" i="4" s="1"/>
  <c r="H79" i="4" s="1"/>
  <c r="R10" i="4"/>
  <c r="C79" i="4"/>
  <c r="P10" i="4"/>
  <c r="O10" i="4"/>
  <c r="J10" i="4"/>
  <c r="P14" i="4"/>
  <c r="G27" i="4"/>
  <c r="F249" i="4" s="1"/>
  <c r="H254" i="4" s="1"/>
  <c r="G125" i="4"/>
  <c r="J136" i="4"/>
  <c r="G122" i="4"/>
  <c r="C251" i="4"/>
  <c r="Q14" i="4"/>
  <c r="H27" i="4"/>
  <c r="G249" i="4" s="1"/>
  <c r="H255" i="4" s="1"/>
  <c r="E293" i="4"/>
  <c r="I12" i="4"/>
  <c r="V9" i="2"/>
  <c r="U9" i="2"/>
  <c r="W9" i="2"/>
  <c r="T9" i="2"/>
  <c r="W29" i="2"/>
  <c r="S29" i="2"/>
  <c r="C161" i="2"/>
  <c r="U169" i="2" s="1"/>
  <c r="U266" i="2" s="1"/>
  <c r="X166" i="2"/>
  <c r="X263" i="2" s="1"/>
  <c r="AC184" i="2"/>
  <c r="AC267" i="2" s="1"/>
  <c r="D180" i="2"/>
  <c r="Y188" i="2" s="1"/>
  <c r="Y271" i="2" s="1"/>
  <c r="H179" i="2"/>
  <c r="AB200" i="2"/>
  <c r="F193" i="2"/>
  <c r="C193" i="2"/>
  <c r="AA201" i="2" s="1"/>
  <c r="G195" i="2"/>
  <c r="S9" i="2"/>
  <c r="R29" i="2"/>
  <c r="AE218" i="2"/>
  <c r="G213" i="2"/>
  <c r="AH221" i="2" s="1"/>
  <c r="G210" i="2"/>
  <c r="AE273" i="2"/>
  <c r="AF218" i="2"/>
  <c r="G211" i="2"/>
  <c r="D211" i="2"/>
  <c r="AE219" i="2" s="1"/>
  <c r="H210" i="2"/>
  <c r="B28" i="2"/>
  <c r="N14" i="2"/>
  <c r="Z14" i="2"/>
  <c r="Y14" i="2"/>
  <c r="H28" i="2"/>
  <c r="H55" i="2" s="1"/>
  <c r="I61" i="2" s="1"/>
  <c r="AM69" i="2" s="1"/>
  <c r="X14" i="2"/>
  <c r="W14" i="2"/>
  <c r="G28" i="2"/>
  <c r="G55" i="2" s="1"/>
  <c r="I60" i="2" s="1"/>
  <c r="AM68" i="2" s="1"/>
  <c r="F28" i="2"/>
  <c r="F55" i="2" s="1"/>
  <c r="I59" i="2" s="1"/>
  <c r="AM67" i="2" s="1"/>
  <c r="M14" i="2"/>
  <c r="O14" i="2" s="1"/>
  <c r="E28" i="2"/>
  <c r="E55" i="2" s="1"/>
  <c r="I58" i="2" s="1"/>
  <c r="AM66" i="2" s="1"/>
  <c r="L14" i="2"/>
  <c r="D28" i="2"/>
  <c r="D55" i="2" s="1"/>
  <c r="I57" i="2" s="1"/>
  <c r="AM65" i="2" s="1"/>
  <c r="K14" i="2"/>
  <c r="J14" i="2"/>
  <c r="C28" i="2"/>
  <c r="C55" i="2" s="1"/>
  <c r="I56" i="2" s="1"/>
  <c r="AM64" i="2" s="1"/>
  <c r="G192" i="2"/>
  <c r="T6" i="2"/>
  <c r="W6" i="2"/>
  <c r="V6" i="2"/>
  <c r="U6" i="2"/>
  <c r="S6" i="2"/>
  <c r="F29" i="2"/>
  <c r="F72" i="2" s="1"/>
  <c r="I76" i="2" s="1"/>
  <c r="AM84" i="2" s="1"/>
  <c r="Q15" i="2"/>
  <c r="E75" i="2" s="1"/>
  <c r="E29" i="2"/>
  <c r="E72" i="2" s="1"/>
  <c r="I75" i="2" s="1"/>
  <c r="AM83" i="2" s="1"/>
  <c r="C29" i="2"/>
  <c r="C72" i="2" s="1"/>
  <c r="I73" i="2" s="1"/>
  <c r="AM81" i="2" s="1"/>
  <c r="N15" i="2"/>
  <c r="B29" i="2"/>
  <c r="M15" i="2"/>
  <c r="O15" i="2" s="1"/>
  <c r="D29" i="2"/>
  <c r="D72" i="2" s="1"/>
  <c r="I74" i="2" s="1"/>
  <c r="AM82" i="2" s="1"/>
  <c r="Y15" i="2"/>
  <c r="Z15" i="2"/>
  <c r="X15" i="2"/>
  <c r="W15" i="2"/>
  <c r="V29" i="2"/>
  <c r="Z166" i="2"/>
  <c r="Z263" i="2" s="1"/>
  <c r="C163" i="2"/>
  <c r="U171" i="2" s="1"/>
  <c r="U268" i="2" s="1"/>
  <c r="H161" i="2"/>
  <c r="F192" i="2"/>
  <c r="AG234" i="2"/>
  <c r="F226" i="2"/>
  <c r="AI234" i="2"/>
  <c r="C228" i="2"/>
  <c r="AG236" i="2" s="1"/>
  <c r="H226" i="2"/>
  <c r="F228" i="2"/>
  <c r="N17" i="2"/>
  <c r="Q17" i="2" s="1"/>
  <c r="E109" i="2" s="1"/>
  <c r="L17" i="2"/>
  <c r="K17" i="2"/>
  <c r="E31" i="2"/>
  <c r="E106" i="2" s="1"/>
  <c r="I109" i="2" s="1"/>
  <c r="AM117" i="2" s="1"/>
  <c r="Y17" i="2"/>
  <c r="B31" i="2"/>
  <c r="S17" i="2"/>
  <c r="C31" i="2"/>
  <c r="C106" i="2" s="1"/>
  <c r="I107" i="2" s="1"/>
  <c r="AM115" i="2" s="1"/>
  <c r="Z17" i="2"/>
  <c r="X17" i="2"/>
  <c r="W17" i="2"/>
  <c r="M17" i="2"/>
  <c r="J17" i="2"/>
  <c r="L15" i="2"/>
  <c r="Z267" i="2"/>
  <c r="Z185" i="2"/>
  <c r="Z268" i="2" s="1"/>
  <c r="B32" i="2"/>
  <c r="N18" i="2"/>
  <c r="M18" i="2"/>
  <c r="K18" i="2"/>
  <c r="J18" i="2"/>
  <c r="X18" i="2"/>
  <c r="Z18" i="2"/>
  <c r="Y18" i="2"/>
  <c r="H32" i="2"/>
  <c r="H123" i="2" s="1"/>
  <c r="I129" i="2" s="1"/>
  <c r="AM137" i="2" s="1"/>
  <c r="W18" i="2"/>
  <c r="E32" i="2"/>
  <c r="E123" i="2" s="1"/>
  <c r="I126" i="2" s="1"/>
  <c r="AM134" i="2" s="1"/>
  <c r="G32" i="2"/>
  <c r="G123" i="2" s="1"/>
  <c r="I128" i="2" s="1"/>
  <c r="AM136" i="2" s="1"/>
  <c r="F32" i="2"/>
  <c r="F123" i="2" s="1"/>
  <c r="I127" i="2" s="1"/>
  <c r="AM135" i="2" s="1"/>
  <c r="D32" i="2"/>
  <c r="D123" i="2" s="1"/>
  <c r="I125" i="2" s="1"/>
  <c r="AM133" i="2" s="1"/>
  <c r="D31" i="2"/>
  <c r="D106" i="2" s="1"/>
  <c r="I108" i="2" s="1"/>
  <c r="AM116" i="2" s="1"/>
  <c r="Y268" i="2"/>
  <c r="F195" i="2"/>
  <c r="AD203" i="2" s="1"/>
  <c r="L18" i="2"/>
  <c r="S18" i="2" s="1"/>
  <c r="F31" i="2"/>
  <c r="F106" i="2" s="1"/>
  <c r="I110" i="2" s="1"/>
  <c r="AM118" i="2" s="1"/>
  <c r="W31" i="2"/>
  <c r="S31" i="2"/>
  <c r="R31" i="2"/>
  <c r="V167" i="2"/>
  <c r="G162" i="2"/>
  <c r="Y170" i="2" s="1"/>
  <c r="G159" i="2"/>
  <c r="AA185" i="2"/>
  <c r="AA268" i="2" s="1"/>
  <c r="AI275" i="2"/>
  <c r="Z168" i="2"/>
  <c r="Z265" i="2" s="1"/>
  <c r="E163" i="2"/>
  <c r="W171" i="2" s="1"/>
  <c r="W268" i="2" s="1"/>
  <c r="F178" i="2"/>
  <c r="AA186" i="2" s="1"/>
  <c r="AA269" i="2" s="1"/>
  <c r="X183" i="2"/>
  <c r="X266" i="2" s="1"/>
  <c r="C176" i="2"/>
  <c r="X184" i="2" s="1"/>
  <c r="G175" i="2"/>
  <c r="G178" i="2"/>
  <c r="H175" i="2"/>
  <c r="C177" i="2"/>
  <c r="X185" i="2" s="1"/>
  <c r="E196" i="2"/>
  <c r="AC204" i="2" s="1"/>
  <c r="AC273" i="2" s="1"/>
  <c r="AE202" i="2"/>
  <c r="AE271" i="2" s="1"/>
  <c r="AL236" i="2"/>
  <c r="AL277" i="2" s="1"/>
  <c r="E231" i="2"/>
  <c r="AI239" i="2" s="1"/>
  <c r="AI280" i="2" s="1"/>
  <c r="V8" i="2"/>
  <c r="W8" i="2"/>
  <c r="F175" i="2"/>
  <c r="AF202" i="2"/>
  <c r="AF271" i="2" s="1"/>
  <c r="E197" i="2"/>
  <c r="AC205" i="2" s="1"/>
  <c r="AC274" i="2" s="1"/>
  <c r="AG219" i="2"/>
  <c r="AG274" i="2" s="1"/>
  <c r="E212" i="2"/>
  <c r="AF220" i="2" s="1"/>
  <c r="AF275" i="2" s="1"/>
  <c r="S8" i="2"/>
  <c r="D177" i="2"/>
  <c r="Y185" i="2" s="1"/>
  <c r="G177" i="2"/>
  <c r="Y183" i="2"/>
  <c r="F214" i="2"/>
  <c r="AG222" i="2" s="1"/>
  <c r="T8" i="2"/>
  <c r="F176" i="2"/>
  <c r="G38" i="2"/>
  <c r="G225" i="2" s="1"/>
  <c r="I230" i="2" s="1"/>
  <c r="AM238" i="2" s="1"/>
  <c r="F38" i="2"/>
  <c r="F225" i="2" s="1"/>
  <c r="I229" i="2" s="1"/>
  <c r="AM237" i="2" s="1"/>
  <c r="Z24" i="2"/>
  <c r="E227" i="2"/>
  <c r="D38" i="2"/>
  <c r="D225" i="2" s="1"/>
  <c r="I227" i="2" s="1"/>
  <c r="AM235" i="2" s="1"/>
  <c r="X24" i="2"/>
  <c r="D227" i="2"/>
  <c r="C38" i="2"/>
  <c r="C225" i="2" s="1"/>
  <c r="I226" i="2" s="1"/>
  <c r="AM234" i="2" s="1"/>
  <c r="W24" i="2"/>
  <c r="O24" i="2"/>
  <c r="Z167" i="2"/>
  <c r="Z264" i="2" s="1"/>
  <c r="C194" i="2"/>
  <c r="AA202" i="2" s="1"/>
  <c r="AC200" i="2"/>
  <c r="H192" i="2"/>
  <c r="D226" i="2"/>
  <c r="L24" i="2"/>
  <c r="H196" i="2"/>
  <c r="T4" i="2"/>
  <c r="G30" i="2"/>
  <c r="G89" i="2" s="1"/>
  <c r="I94" i="2" s="1"/>
  <c r="AM102" i="2" s="1"/>
  <c r="M16" i="2"/>
  <c r="O16" i="2" s="1"/>
  <c r="F30" i="2"/>
  <c r="F89" i="2" s="1"/>
  <c r="I93" i="2" s="1"/>
  <c r="AM101" i="2" s="1"/>
  <c r="L16" i="2"/>
  <c r="Z16" i="2"/>
  <c r="F160" i="2"/>
  <c r="C160" i="2"/>
  <c r="U168" i="2" s="1"/>
  <c r="D176" i="2"/>
  <c r="H35" i="2"/>
  <c r="H174" i="2" s="1"/>
  <c r="I180" i="2" s="1"/>
  <c r="AM188" i="2" s="1"/>
  <c r="K21" i="2"/>
  <c r="G35" i="2"/>
  <c r="G174" i="2" s="1"/>
  <c r="I179" i="2" s="1"/>
  <c r="AM187" i="2" s="1"/>
  <c r="J21" i="2"/>
  <c r="E35" i="2"/>
  <c r="E174" i="2" s="1"/>
  <c r="I177" i="2" s="1"/>
  <c r="AM185" i="2" s="1"/>
  <c r="D35" i="2"/>
  <c r="D174" i="2" s="1"/>
  <c r="I176" i="2" s="1"/>
  <c r="AM184" i="2" s="1"/>
  <c r="Z21" i="2"/>
  <c r="R21" i="2"/>
  <c r="M24" i="2"/>
  <c r="C35" i="2"/>
  <c r="C174" i="2" s="1"/>
  <c r="I175" i="2" s="1"/>
  <c r="AM183" i="2" s="1"/>
  <c r="D163" i="2"/>
  <c r="V171" i="2" s="1"/>
  <c r="V268" i="2" s="1"/>
  <c r="H177" i="2"/>
  <c r="D196" i="2"/>
  <c r="AB204" i="2" s="1"/>
  <c r="AB273" i="2" s="1"/>
  <c r="AE201" i="2"/>
  <c r="AE270" i="2" s="1"/>
  <c r="I19" i="2"/>
  <c r="G6" i="2" s="1"/>
  <c r="Y22" i="2"/>
  <c r="C209" i="2"/>
  <c r="E211" i="2"/>
  <c r="S3" i="2"/>
  <c r="T3" i="2" s="1"/>
  <c r="Z22" i="2"/>
  <c r="D160" i="2"/>
  <c r="V168" i="2" s="1"/>
  <c r="D209" i="2"/>
  <c r="U3" i="2"/>
  <c r="T5" i="2"/>
  <c r="R10" i="2"/>
  <c r="D158" i="2"/>
  <c r="H211" i="2"/>
  <c r="L20" i="2"/>
  <c r="AQ38" i="6" l="1"/>
  <c r="AR38" i="6" s="1"/>
  <c r="AS38" i="6" s="1"/>
  <c r="AX24" i="6"/>
  <c r="E336" i="6"/>
  <c r="E339" i="6"/>
  <c r="Z368" i="6" s="1"/>
  <c r="W365" i="6"/>
  <c r="L181" i="6"/>
  <c r="F167" i="6"/>
  <c r="B165" i="6"/>
  <c r="F164" i="6"/>
  <c r="G425" i="6"/>
  <c r="G422" i="6"/>
  <c r="AE457" i="6"/>
  <c r="B424" i="6"/>
  <c r="B166" i="6"/>
  <c r="G167" i="6"/>
  <c r="G164" i="6"/>
  <c r="M181" i="6"/>
  <c r="M183" i="6"/>
  <c r="G169" i="6"/>
  <c r="P186" i="6" s="1"/>
  <c r="E638" i="6"/>
  <c r="E622" i="6"/>
  <c r="E633" i="6"/>
  <c r="N532" i="6"/>
  <c r="N524" i="6"/>
  <c r="N516" i="6"/>
  <c r="N508" i="6"/>
  <c r="E649" i="6"/>
  <c r="E632" i="6"/>
  <c r="E647" i="6"/>
  <c r="E630" i="6"/>
  <c r="E641" i="6"/>
  <c r="E624" i="6"/>
  <c r="E640" i="6"/>
  <c r="E623" i="6"/>
  <c r="E637" i="6"/>
  <c r="E620" i="6"/>
  <c r="E639" i="6"/>
  <c r="N530" i="6"/>
  <c r="N513" i="6"/>
  <c r="N504" i="6"/>
  <c r="E635" i="6"/>
  <c r="E634" i="6"/>
  <c r="E627" i="6"/>
  <c r="E626" i="6"/>
  <c r="N521" i="6"/>
  <c r="N512" i="6"/>
  <c r="E645" i="6"/>
  <c r="E643" i="6"/>
  <c r="E617" i="6"/>
  <c r="N511" i="6"/>
  <c r="E648" i="6"/>
  <c r="N509" i="6"/>
  <c r="E646" i="6"/>
  <c r="N536" i="6"/>
  <c r="N527" i="6"/>
  <c r="N518" i="6"/>
  <c r="E644" i="6"/>
  <c r="E642" i="6"/>
  <c r="E629" i="6"/>
  <c r="N533" i="6"/>
  <c r="N523" i="6"/>
  <c r="E631" i="6"/>
  <c r="N510" i="6"/>
  <c r="E625" i="6"/>
  <c r="N529" i="6"/>
  <c r="E619" i="6"/>
  <c r="N528" i="6"/>
  <c r="N507" i="6"/>
  <c r="E618" i="6"/>
  <c r="D655" i="6" s="1"/>
  <c r="N517" i="6"/>
  <c r="N506" i="6"/>
  <c r="N519" i="6"/>
  <c r="E636" i="6"/>
  <c r="N505" i="6"/>
  <c r="E628" i="6"/>
  <c r="E621" i="6"/>
  <c r="N526" i="6"/>
  <c r="N515" i="6"/>
  <c r="N525" i="6"/>
  <c r="N514" i="6"/>
  <c r="N535" i="6"/>
  <c r="N522" i="6"/>
  <c r="N534" i="6"/>
  <c r="N520" i="6"/>
  <c r="N531" i="6"/>
  <c r="AQ31" i="6"/>
  <c r="AR31" i="6" s="1"/>
  <c r="AS31" i="6" s="1"/>
  <c r="B380" i="6"/>
  <c r="F379" i="6"/>
  <c r="AA411" i="6"/>
  <c r="F382" i="6"/>
  <c r="B80" i="6"/>
  <c r="G81" i="6"/>
  <c r="G78" i="6"/>
  <c r="G89" i="6"/>
  <c r="G384" i="6"/>
  <c r="AE416" i="6" s="1"/>
  <c r="AE496" i="6" s="1"/>
  <c r="AF570" i="6" s="1"/>
  <c r="AB413" i="6"/>
  <c r="G340" i="6"/>
  <c r="Y366" i="6"/>
  <c r="G337" i="6"/>
  <c r="C338" i="6"/>
  <c r="G83" i="6"/>
  <c r="J94" i="6" s="1"/>
  <c r="G91" i="6"/>
  <c r="G423" i="6"/>
  <c r="G426" i="6"/>
  <c r="C424" i="6"/>
  <c r="AE458" i="6"/>
  <c r="C123" i="6"/>
  <c r="G125" i="6"/>
  <c r="G122" i="6"/>
  <c r="J136" i="6"/>
  <c r="G296" i="6"/>
  <c r="G293" i="6"/>
  <c r="V319" i="6"/>
  <c r="B295" i="6"/>
  <c r="Y367" i="6"/>
  <c r="G341" i="6"/>
  <c r="AB370" i="6" s="1"/>
  <c r="B37" i="6"/>
  <c r="G38" i="6"/>
  <c r="G35" i="6"/>
  <c r="D43" i="6"/>
  <c r="D467" i="6" s="1"/>
  <c r="E541" i="6" s="1"/>
  <c r="AA412" i="6"/>
  <c r="F380" i="6"/>
  <c r="F383" i="6"/>
  <c r="AD415" i="6" s="1"/>
  <c r="B252" i="6"/>
  <c r="S273" i="6"/>
  <c r="G253" i="6"/>
  <c r="G250" i="6"/>
  <c r="Y321" i="6"/>
  <c r="Y487" i="6" s="1"/>
  <c r="Z561" i="6" s="1"/>
  <c r="D298" i="6"/>
  <c r="V324" i="6" s="1"/>
  <c r="V490" i="6" s="1"/>
  <c r="W564" i="6" s="1"/>
  <c r="B79" i="6"/>
  <c r="F81" i="6"/>
  <c r="F78" i="6"/>
  <c r="F89" i="6"/>
  <c r="F38" i="6"/>
  <c r="B36" i="6"/>
  <c r="C43" i="6"/>
  <c r="C467" i="6" s="1"/>
  <c r="D541" i="6" s="1"/>
  <c r="F35" i="6"/>
  <c r="Y490" i="6"/>
  <c r="Z564" i="6" s="1"/>
  <c r="E250" i="6"/>
  <c r="Q273" i="6"/>
  <c r="E253" i="6"/>
  <c r="T276" i="6" s="1"/>
  <c r="T485" i="6" s="1"/>
  <c r="U559" i="6" s="1"/>
  <c r="S229" i="6"/>
  <c r="S481" i="6" s="1"/>
  <c r="T555" i="6" s="1"/>
  <c r="D212" i="6"/>
  <c r="P232" i="6" s="1"/>
  <c r="P484" i="6" s="1"/>
  <c r="Q558" i="6" s="1"/>
  <c r="U320" i="6"/>
  <c r="F294" i="6"/>
  <c r="F297" i="6"/>
  <c r="X323" i="6" s="1"/>
  <c r="F423" i="6"/>
  <c r="F426" i="6"/>
  <c r="AG461" i="6" s="1"/>
  <c r="AG498" i="6" s="1"/>
  <c r="AH572" i="6" s="1"/>
  <c r="AD458" i="6"/>
  <c r="R273" i="6"/>
  <c r="B251" i="6"/>
  <c r="F253" i="6"/>
  <c r="F250" i="6"/>
  <c r="F337" i="6"/>
  <c r="F340" i="6"/>
  <c r="AA369" i="6" s="1"/>
  <c r="AA492" i="6" s="1"/>
  <c r="AB566" i="6" s="1"/>
  <c r="X366" i="6"/>
  <c r="D83" i="6"/>
  <c r="G94" i="6" s="1"/>
  <c r="G475" i="6" s="1"/>
  <c r="H549" i="6" s="1"/>
  <c r="J91" i="6"/>
  <c r="J472" i="6" s="1"/>
  <c r="K546" i="6" s="1"/>
  <c r="C37" i="6"/>
  <c r="D44" i="6"/>
  <c r="D468" i="6" s="1"/>
  <c r="E542" i="6" s="1"/>
  <c r="G39" i="6"/>
  <c r="G36" i="6"/>
  <c r="E207" i="6"/>
  <c r="E210" i="6"/>
  <c r="Q230" i="6" s="1"/>
  <c r="N227" i="6"/>
  <c r="AQ29" i="6"/>
  <c r="AR29" i="6" s="1"/>
  <c r="AS29" i="6" s="1"/>
  <c r="AS16" i="6"/>
  <c r="F165" i="6"/>
  <c r="F168" i="6"/>
  <c r="O185" i="6" s="1"/>
  <c r="L182" i="6"/>
  <c r="F36" i="6"/>
  <c r="C44" i="6"/>
  <c r="C468" i="6" s="1"/>
  <c r="D542" i="6" s="1"/>
  <c r="F39" i="6"/>
  <c r="F47" i="6" s="1"/>
  <c r="F471" i="6" s="1"/>
  <c r="G545" i="6" s="1"/>
  <c r="AX23" i="6"/>
  <c r="AQ37" i="6"/>
  <c r="AR37" i="6" s="1"/>
  <c r="AS37" i="6" s="1"/>
  <c r="C295" i="6"/>
  <c r="G294" i="6"/>
  <c r="G297" i="6"/>
  <c r="V320" i="6"/>
  <c r="G168" i="6"/>
  <c r="C166" i="6"/>
  <c r="G165" i="6"/>
  <c r="M182" i="6"/>
  <c r="V275" i="6"/>
  <c r="V484" i="6" s="1"/>
  <c r="W558" i="6" s="1"/>
  <c r="D255" i="6"/>
  <c r="S278" i="6" s="1"/>
  <c r="S487" i="6" s="1"/>
  <c r="T561" i="6" s="1"/>
  <c r="G383" i="6"/>
  <c r="G380" i="6"/>
  <c r="C381" i="6"/>
  <c r="AB412" i="6"/>
  <c r="P227" i="6"/>
  <c r="G207" i="6"/>
  <c r="B209" i="6"/>
  <c r="G210" i="6"/>
  <c r="B208" i="6"/>
  <c r="F210" i="6"/>
  <c r="F207" i="6"/>
  <c r="O227" i="6"/>
  <c r="F296" i="6"/>
  <c r="F293" i="6"/>
  <c r="U319" i="6"/>
  <c r="B294" i="6"/>
  <c r="X365" i="6"/>
  <c r="B337" i="6"/>
  <c r="F336" i="6"/>
  <c r="F339" i="6"/>
  <c r="F251" i="6"/>
  <c r="F254" i="6"/>
  <c r="U277" i="6" s="1"/>
  <c r="R274" i="6"/>
  <c r="F82" i="6"/>
  <c r="I93" i="6" s="1"/>
  <c r="F79" i="6"/>
  <c r="F90" i="6"/>
  <c r="G427" i="6"/>
  <c r="AH462" i="6" s="1"/>
  <c r="AH499" i="6" s="1"/>
  <c r="AI573" i="6" s="1"/>
  <c r="AE459" i="6"/>
  <c r="E124" i="6"/>
  <c r="K138" i="6" s="1"/>
  <c r="K476" i="6" s="1"/>
  <c r="L550" i="6" s="1"/>
  <c r="E121" i="6"/>
  <c r="H135" i="6"/>
  <c r="B43" i="6"/>
  <c r="B467" i="6" s="1"/>
  <c r="C541" i="6" s="1"/>
  <c r="E38" i="6"/>
  <c r="E46" i="6" s="1"/>
  <c r="E35" i="6"/>
  <c r="J137" i="6"/>
  <c r="G126" i="6"/>
  <c r="M140" i="6" s="1"/>
  <c r="M478" i="6" s="1"/>
  <c r="N552" i="6" s="1"/>
  <c r="G254" i="6"/>
  <c r="C252" i="6"/>
  <c r="G251" i="6"/>
  <c r="S274" i="6"/>
  <c r="AE413" i="6"/>
  <c r="AE493" i="6" s="1"/>
  <c r="AF567" i="6" s="1"/>
  <c r="D384" i="6"/>
  <c r="AB416" i="6" s="1"/>
  <c r="AB496" i="6" s="1"/>
  <c r="AC570" i="6" s="1"/>
  <c r="F211" i="6"/>
  <c r="R231" i="6" s="1"/>
  <c r="F208" i="6"/>
  <c r="O228" i="6"/>
  <c r="G212" i="6"/>
  <c r="S232" i="6" s="1"/>
  <c r="S484" i="6" s="1"/>
  <c r="T558" i="6" s="1"/>
  <c r="P229" i="6"/>
  <c r="E296" i="6"/>
  <c r="W322" i="6" s="1"/>
  <c r="W488" i="6" s="1"/>
  <c r="X562" i="6" s="1"/>
  <c r="E293" i="6"/>
  <c r="T319" i="6"/>
  <c r="AS20" i="6"/>
  <c r="AQ33" i="6"/>
  <c r="AR33" i="6" s="1"/>
  <c r="AS33" i="6" s="1"/>
  <c r="G90" i="6"/>
  <c r="C80" i="6"/>
  <c r="G82" i="6"/>
  <c r="G79" i="6"/>
  <c r="E422" i="6"/>
  <c r="AC457" i="6"/>
  <c r="E425" i="6"/>
  <c r="AF460" i="6" s="1"/>
  <c r="AF497" i="6" s="1"/>
  <c r="AG571" i="6" s="1"/>
  <c r="G45" i="6"/>
  <c r="G469" i="6" s="1"/>
  <c r="H543" i="6" s="1"/>
  <c r="D40" i="6"/>
  <c r="D48" i="6" s="1"/>
  <c r="D472" i="6" s="1"/>
  <c r="E546" i="6" s="1"/>
  <c r="B381" i="6"/>
  <c r="AB411" i="6"/>
  <c r="G379" i="6"/>
  <c r="G382" i="6"/>
  <c r="J135" i="6"/>
  <c r="G124" i="6"/>
  <c r="B123" i="6"/>
  <c r="G121" i="6"/>
  <c r="E382" i="6"/>
  <c r="AC414" i="6" s="1"/>
  <c r="AC494" i="6" s="1"/>
  <c r="AD568" i="6" s="1"/>
  <c r="Z411" i="6"/>
  <c r="E379" i="6"/>
  <c r="AQ36" i="6"/>
  <c r="AR36" i="6" s="1"/>
  <c r="AS36" i="6" s="1"/>
  <c r="P183" i="6"/>
  <c r="P478" i="6" s="1"/>
  <c r="Q552" i="6" s="1"/>
  <c r="D169" i="6"/>
  <c r="M186" i="6" s="1"/>
  <c r="M481" i="6" s="1"/>
  <c r="N555" i="6" s="1"/>
  <c r="P228" i="6"/>
  <c r="G211" i="6"/>
  <c r="C209" i="6"/>
  <c r="G208" i="6"/>
  <c r="B338" i="6"/>
  <c r="G339" i="6"/>
  <c r="G336" i="6"/>
  <c r="Y365" i="6"/>
  <c r="M137" i="6"/>
  <c r="M475" i="6" s="1"/>
  <c r="N549" i="6" s="1"/>
  <c r="D126" i="6"/>
  <c r="J140" i="6" s="1"/>
  <c r="J478" i="6" s="1"/>
  <c r="K552" i="6" s="1"/>
  <c r="B122" i="6"/>
  <c r="F124" i="6"/>
  <c r="F121" i="6"/>
  <c r="I135" i="6"/>
  <c r="F125" i="6"/>
  <c r="L139" i="6" s="1"/>
  <c r="F122" i="6"/>
  <c r="I136" i="6"/>
  <c r="E78" i="6"/>
  <c r="E81" i="6"/>
  <c r="H92" i="6" s="1"/>
  <c r="H473" i="6" s="1"/>
  <c r="I547" i="6" s="1"/>
  <c r="E89" i="6"/>
  <c r="K181" i="6"/>
  <c r="E167" i="6"/>
  <c r="N184" i="6" s="1"/>
  <c r="E164" i="6"/>
  <c r="AD457" i="6"/>
  <c r="B423" i="6"/>
  <c r="F422" i="6"/>
  <c r="F425" i="6"/>
  <c r="D427" i="6"/>
  <c r="AE462" i="6" s="1"/>
  <c r="AE499" i="6" s="1"/>
  <c r="AF573" i="6" s="1"/>
  <c r="AH459" i="6"/>
  <c r="AH496" i="6" s="1"/>
  <c r="AI570" i="6" s="1"/>
  <c r="G40" i="6"/>
  <c r="G48" i="6" s="1"/>
  <c r="G472" i="6" s="1"/>
  <c r="H546" i="6" s="1"/>
  <c r="D45" i="6"/>
  <c r="D469" i="6" s="1"/>
  <c r="E543" i="6" s="1"/>
  <c r="G255" i="6"/>
  <c r="V278" i="6" s="1"/>
  <c r="V487" i="6" s="1"/>
  <c r="W561" i="6" s="1"/>
  <c r="S275" i="6"/>
  <c r="AA368" i="5"/>
  <c r="E340" i="5"/>
  <c r="Z369" i="5" s="1"/>
  <c r="E422" i="5"/>
  <c r="AC457" i="5"/>
  <c r="E425" i="5"/>
  <c r="AF460" i="5" s="1"/>
  <c r="AF497" i="5" s="1"/>
  <c r="AG571" i="5" s="1"/>
  <c r="F125" i="5"/>
  <c r="L139" i="5" s="1"/>
  <c r="L477" i="5" s="1"/>
  <c r="M551" i="5" s="1"/>
  <c r="F122" i="5"/>
  <c r="I136" i="5"/>
  <c r="AD458" i="5"/>
  <c r="F423" i="5"/>
  <c r="F426" i="5"/>
  <c r="AG461" i="5" s="1"/>
  <c r="AG498" i="5" s="1"/>
  <c r="AH572" i="5" s="1"/>
  <c r="G90" i="5"/>
  <c r="G471" i="5" s="1"/>
  <c r="H545" i="5" s="1"/>
  <c r="G79" i="5"/>
  <c r="C80" i="5"/>
  <c r="G82" i="5"/>
  <c r="B426" i="5"/>
  <c r="AC461" i="5" s="1"/>
  <c r="AC498" i="5" s="1"/>
  <c r="AD572" i="5" s="1"/>
  <c r="AG457" i="5"/>
  <c r="AG494" i="5" s="1"/>
  <c r="AH568" i="5" s="1"/>
  <c r="AA365" i="5"/>
  <c r="AA488" i="5" s="1"/>
  <c r="AB562" i="5" s="1"/>
  <c r="B340" i="5"/>
  <c r="W369" i="5" s="1"/>
  <c r="W492" i="5" s="1"/>
  <c r="X566" i="5" s="1"/>
  <c r="E78" i="5"/>
  <c r="E89" i="5"/>
  <c r="E81" i="5"/>
  <c r="H92" i="5" s="1"/>
  <c r="H473" i="5" s="1"/>
  <c r="I547" i="5" s="1"/>
  <c r="E426" i="5"/>
  <c r="AF461" i="5" s="1"/>
  <c r="AF498" i="5" s="1"/>
  <c r="AG572" i="5" s="1"/>
  <c r="AG460" i="5"/>
  <c r="AG497" i="5" s="1"/>
  <c r="AH571" i="5" s="1"/>
  <c r="D212" i="5"/>
  <c r="P232" i="5" s="1"/>
  <c r="P484" i="5" s="1"/>
  <c r="Q558" i="5" s="1"/>
  <c r="S229" i="5"/>
  <c r="S481" i="5" s="1"/>
  <c r="T555" i="5" s="1"/>
  <c r="F424" i="5"/>
  <c r="AD459" i="5"/>
  <c r="E250" i="5"/>
  <c r="E253" i="5"/>
  <c r="T276" i="5" s="1"/>
  <c r="T485" i="5" s="1"/>
  <c r="U559" i="5" s="1"/>
  <c r="Q273" i="5"/>
  <c r="N227" i="5"/>
  <c r="E207" i="5"/>
  <c r="E210" i="5"/>
  <c r="Q230" i="5" s="1"/>
  <c r="B45" i="5"/>
  <c r="B469" i="5" s="1"/>
  <c r="C543" i="5" s="1"/>
  <c r="E37" i="5"/>
  <c r="AD495" i="5"/>
  <c r="AE569" i="5" s="1"/>
  <c r="B40" i="5"/>
  <c r="B48" i="5" s="1"/>
  <c r="B472" i="5" s="1"/>
  <c r="C546" i="5" s="1"/>
  <c r="G43" i="5"/>
  <c r="G467" i="5" s="1"/>
  <c r="H541" i="5" s="1"/>
  <c r="C341" i="5"/>
  <c r="X370" i="5" s="1"/>
  <c r="X493" i="5" s="1"/>
  <c r="Y567" i="5" s="1"/>
  <c r="AB366" i="5"/>
  <c r="AB489" i="5" s="1"/>
  <c r="AC563" i="5" s="1"/>
  <c r="AH458" i="5"/>
  <c r="AH495" i="5" s="1"/>
  <c r="AI569" i="5" s="1"/>
  <c r="C427" i="5"/>
  <c r="AD462" i="5" s="1"/>
  <c r="AD499" i="5" s="1"/>
  <c r="AE573" i="5" s="1"/>
  <c r="E637" i="5"/>
  <c r="E621" i="5"/>
  <c r="E645" i="5"/>
  <c r="E629" i="5"/>
  <c r="E632" i="5"/>
  <c r="E648" i="5"/>
  <c r="E630" i="5"/>
  <c r="E647" i="5"/>
  <c r="E628" i="5"/>
  <c r="E641" i="5"/>
  <c r="E619" i="5"/>
  <c r="E640" i="5"/>
  <c r="E618" i="5"/>
  <c r="D655" i="5" s="1"/>
  <c r="E633" i="5"/>
  <c r="E636" i="5"/>
  <c r="E634" i="5"/>
  <c r="E631" i="5"/>
  <c r="N530" i="5"/>
  <c r="N522" i="5"/>
  <c r="N514" i="5"/>
  <c r="N506" i="5"/>
  <c r="E624" i="5"/>
  <c r="E649" i="5"/>
  <c r="E622" i="5"/>
  <c r="E646" i="5"/>
  <c r="E620" i="5"/>
  <c r="N513" i="5"/>
  <c r="N504" i="5"/>
  <c r="E635" i="5"/>
  <c r="E627" i="5"/>
  <c r="N526" i="5"/>
  <c r="E644" i="5"/>
  <c r="N534" i="5"/>
  <c r="N517" i="5"/>
  <c r="N508" i="5"/>
  <c r="E643" i="5"/>
  <c r="N525" i="5"/>
  <c r="E642" i="5"/>
  <c r="N533" i="5"/>
  <c r="N516" i="5"/>
  <c r="N507" i="5"/>
  <c r="E626" i="5"/>
  <c r="N523" i="5"/>
  <c r="N505" i="5"/>
  <c r="E617" i="5"/>
  <c r="N521" i="5"/>
  <c r="N512" i="5"/>
  <c r="N529" i="5"/>
  <c r="N520" i="5"/>
  <c r="N511" i="5"/>
  <c r="E639" i="5"/>
  <c r="N532" i="5"/>
  <c r="N509" i="5"/>
  <c r="E625" i="5"/>
  <c r="N531" i="5"/>
  <c r="N519" i="5"/>
  <c r="E623" i="5"/>
  <c r="N518" i="5"/>
  <c r="N528" i="5"/>
  <c r="N536" i="5"/>
  <c r="N535" i="5"/>
  <c r="N524" i="5"/>
  <c r="E638" i="5"/>
  <c r="N515" i="5"/>
  <c r="N527" i="5"/>
  <c r="N510" i="5"/>
  <c r="B341" i="5"/>
  <c r="W370" i="5" s="1"/>
  <c r="W493" i="5" s="1"/>
  <c r="X567" i="5" s="1"/>
  <c r="AB365" i="5"/>
  <c r="AB488" i="5" s="1"/>
  <c r="AC562" i="5" s="1"/>
  <c r="B39" i="5"/>
  <c r="B47" i="5" s="1"/>
  <c r="B471" i="5" s="1"/>
  <c r="C545" i="5" s="1"/>
  <c r="F43" i="5"/>
  <c r="F467" i="5" s="1"/>
  <c r="G541" i="5" s="1"/>
  <c r="B79" i="5"/>
  <c r="F81" i="5"/>
  <c r="F89" i="5"/>
  <c r="F78" i="5"/>
  <c r="G89" i="5"/>
  <c r="G81" i="5"/>
  <c r="B80" i="5"/>
  <c r="G78" i="5"/>
  <c r="G212" i="5"/>
  <c r="S232" i="5" s="1"/>
  <c r="P229" i="5"/>
  <c r="E296" i="5"/>
  <c r="W322" i="5" s="1"/>
  <c r="W488" i="5" s="1"/>
  <c r="X562" i="5" s="1"/>
  <c r="T319" i="5"/>
  <c r="E293" i="5"/>
  <c r="X367" i="5"/>
  <c r="F338" i="5"/>
  <c r="E40" i="5"/>
  <c r="E48" i="5" s="1"/>
  <c r="G46" i="5"/>
  <c r="AP28" i="5"/>
  <c r="AQ28" i="5" s="1"/>
  <c r="AX14" i="5"/>
  <c r="O480" i="5"/>
  <c r="P554" i="5" s="1"/>
  <c r="AE413" i="5"/>
  <c r="AE493" i="5" s="1"/>
  <c r="AF567" i="5" s="1"/>
  <c r="D384" i="5"/>
  <c r="AB416" i="5" s="1"/>
  <c r="AB496" i="5" s="1"/>
  <c r="AC570" i="5" s="1"/>
  <c r="E338" i="5"/>
  <c r="W367" i="5"/>
  <c r="S275" i="5"/>
  <c r="G255" i="5"/>
  <c r="V278" i="5" s="1"/>
  <c r="C123" i="5"/>
  <c r="G125" i="5"/>
  <c r="G122" i="5"/>
  <c r="J136" i="5"/>
  <c r="Y321" i="5"/>
  <c r="Y487" i="5" s="1"/>
  <c r="Z561" i="5" s="1"/>
  <c r="D298" i="5"/>
  <c r="V324" i="5" s="1"/>
  <c r="V490" i="5" s="1"/>
  <c r="W564" i="5" s="1"/>
  <c r="C381" i="5"/>
  <c r="G383" i="5"/>
  <c r="G380" i="5"/>
  <c r="AB412" i="5"/>
  <c r="AB492" i="5" s="1"/>
  <c r="AC566" i="5" s="1"/>
  <c r="F211" i="5"/>
  <c r="R231" i="5" s="1"/>
  <c r="F208" i="5"/>
  <c r="O228" i="5"/>
  <c r="E384" i="5"/>
  <c r="AC416" i="5" s="1"/>
  <c r="AE414" i="5"/>
  <c r="B384" i="5"/>
  <c r="Z416" i="5" s="1"/>
  <c r="Z496" i="5" s="1"/>
  <c r="AA570" i="5" s="1"/>
  <c r="AE411" i="5"/>
  <c r="AE491" i="5" s="1"/>
  <c r="AF565" i="5" s="1"/>
  <c r="J91" i="5"/>
  <c r="J472" i="5" s="1"/>
  <c r="K546" i="5" s="1"/>
  <c r="D83" i="5"/>
  <c r="G94" i="5" s="1"/>
  <c r="G475" i="5" s="1"/>
  <c r="H549" i="5" s="1"/>
  <c r="AF458" i="5"/>
  <c r="AF495" i="5" s="1"/>
  <c r="AG569" i="5" s="1"/>
  <c r="C425" i="5"/>
  <c r="AD460" i="5" s="1"/>
  <c r="AD497" i="5" s="1"/>
  <c r="AE571" i="5" s="1"/>
  <c r="L181" i="5"/>
  <c r="F164" i="5"/>
  <c r="B165" i="5"/>
  <c r="F167" i="5"/>
  <c r="E341" i="5"/>
  <c r="Z370" i="5" s="1"/>
  <c r="Z493" i="5" s="1"/>
  <c r="AA567" i="5" s="1"/>
  <c r="AB368" i="5"/>
  <c r="AB491" i="5" s="1"/>
  <c r="AC565" i="5" s="1"/>
  <c r="G427" i="5"/>
  <c r="AH462" i="5" s="1"/>
  <c r="AH499" i="5" s="1"/>
  <c r="AI573" i="5" s="1"/>
  <c r="AE459" i="5"/>
  <c r="C295" i="5"/>
  <c r="V320" i="5"/>
  <c r="G297" i="5"/>
  <c r="G294" i="5"/>
  <c r="G44" i="5"/>
  <c r="G468" i="5" s="1"/>
  <c r="H542" i="5" s="1"/>
  <c r="C40" i="5"/>
  <c r="C48" i="5" s="1"/>
  <c r="C472" i="5" s="1"/>
  <c r="D546" i="5" s="1"/>
  <c r="R274" i="5"/>
  <c r="F251" i="5"/>
  <c r="F254" i="5"/>
  <c r="U277" i="5" s="1"/>
  <c r="U486" i="5" s="1"/>
  <c r="V560" i="5" s="1"/>
  <c r="B44" i="5"/>
  <c r="B468" i="5" s="1"/>
  <c r="C542" i="5" s="1"/>
  <c r="E36" i="5"/>
  <c r="Z413" i="5"/>
  <c r="E381" i="5"/>
  <c r="F293" i="5"/>
  <c r="F296" i="5"/>
  <c r="U319" i="5"/>
  <c r="B294" i="5"/>
  <c r="G167" i="5"/>
  <c r="G164" i="5"/>
  <c r="B166" i="5"/>
  <c r="M181" i="5"/>
  <c r="F382" i="5"/>
  <c r="B380" i="5"/>
  <c r="F379" i="5"/>
  <c r="AA411" i="5"/>
  <c r="C45" i="5"/>
  <c r="C469" i="5" s="1"/>
  <c r="D543" i="5" s="1"/>
  <c r="F37" i="5"/>
  <c r="N479" i="5"/>
  <c r="O553" i="5" s="1"/>
  <c r="E382" i="5"/>
  <c r="AC414" i="5" s="1"/>
  <c r="AC494" i="5" s="1"/>
  <c r="AD568" i="5" s="1"/>
  <c r="Z411" i="5"/>
  <c r="Z491" i="5" s="1"/>
  <c r="AA565" i="5" s="1"/>
  <c r="E379" i="5"/>
  <c r="E38" i="5"/>
  <c r="E46" i="5" s="1"/>
  <c r="E35" i="5"/>
  <c r="B43" i="5"/>
  <c r="B467" i="5" s="1"/>
  <c r="C541" i="5" s="1"/>
  <c r="S273" i="5"/>
  <c r="G250" i="5"/>
  <c r="G253" i="5"/>
  <c r="B252" i="5"/>
  <c r="I135" i="5"/>
  <c r="F121" i="5"/>
  <c r="F124" i="5"/>
  <c r="B122" i="5"/>
  <c r="G422" i="5"/>
  <c r="AE457" i="5"/>
  <c r="B424" i="5"/>
  <c r="G425" i="5"/>
  <c r="G83" i="5"/>
  <c r="J94" i="5" s="1"/>
  <c r="G91" i="5"/>
  <c r="F252" i="5"/>
  <c r="R275" i="5"/>
  <c r="J137" i="5"/>
  <c r="G126" i="5"/>
  <c r="M140" i="5" s="1"/>
  <c r="V321" i="5"/>
  <c r="G298" i="5"/>
  <c r="Y324" i="5" s="1"/>
  <c r="Y490" i="5" s="1"/>
  <c r="Z564" i="5" s="1"/>
  <c r="Z365" i="5"/>
  <c r="Z488" i="5" s="1"/>
  <c r="AA562" i="5" s="1"/>
  <c r="B339" i="5"/>
  <c r="W368" i="5" s="1"/>
  <c r="W491" i="5" s="1"/>
  <c r="X565" i="5" s="1"/>
  <c r="O182" i="5"/>
  <c r="O477" i="5" s="1"/>
  <c r="P551" i="5" s="1"/>
  <c r="C168" i="5"/>
  <c r="L185" i="5" s="1"/>
  <c r="L480" i="5" s="1"/>
  <c r="M554" i="5" s="1"/>
  <c r="F90" i="5"/>
  <c r="F79" i="5"/>
  <c r="F82" i="5"/>
  <c r="I93" i="5" s="1"/>
  <c r="I474" i="5" s="1"/>
  <c r="J548" i="5" s="1"/>
  <c r="F255" i="5"/>
  <c r="U278" i="5" s="1"/>
  <c r="V277" i="5"/>
  <c r="V486" i="5" s="1"/>
  <c r="W560" i="5" s="1"/>
  <c r="G211" i="5"/>
  <c r="P228" i="5"/>
  <c r="C209" i="5"/>
  <c r="G208" i="5"/>
  <c r="Z366" i="5"/>
  <c r="Z489" i="5" s="1"/>
  <c r="AA563" i="5" s="1"/>
  <c r="C339" i="5"/>
  <c r="X368" i="5" s="1"/>
  <c r="X491" i="5" s="1"/>
  <c r="Y565" i="5" s="1"/>
  <c r="F39" i="5"/>
  <c r="F47" i="5" s="1"/>
  <c r="F471" i="5" s="1"/>
  <c r="G545" i="5" s="1"/>
  <c r="F36" i="5"/>
  <c r="C44" i="5"/>
  <c r="C468" i="5" s="1"/>
  <c r="D542" i="5" s="1"/>
  <c r="G384" i="5"/>
  <c r="AE416" i="5" s="1"/>
  <c r="AB413" i="5"/>
  <c r="AB493" i="5" s="1"/>
  <c r="AC567" i="5" s="1"/>
  <c r="C166" i="5"/>
  <c r="G168" i="5"/>
  <c r="M182" i="5"/>
  <c r="G165" i="5"/>
  <c r="G40" i="5"/>
  <c r="G48" i="5" s="1"/>
  <c r="G472" i="5" s="1"/>
  <c r="H546" i="5" s="1"/>
  <c r="D45" i="5"/>
  <c r="D469" i="5" s="1"/>
  <c r="E543" i="5" s="1"/>
  <c r="C255" i="5"/>
  <c r="R278" i="5" s="1"/>
  <c r="R487" i="5" s="1"/>
  <c r="S561" i="5" s="1"/>
  <c r="V274" i="5"/>
  <c r="V483" i="5" s="1"/>
  <c r="W557" i="5" s="1"/>
  <c r="B208" i="5"/>
  <c r="F210" i="5"/>
  <c r="F207" i="5"/>
  <c r="O227" i="5"/>
  <c r="F297" i="5"/>
  <c r="X323" i="5" s="1"/>
  <c r="X489" i="5" s="1"/>
  <c r="Y563" i="5" s="1"/>
  <c r="F294" i="5"/>
  <c r="U320" i="5"/>
  <c r="F253" i="5"/>
  <c r="R273" i="5"/>
  <c r="B251" i="5"/>
  <c r="F250" i="5"/>
  <c r="B123" i="5"/>
  <c r="G124" i="5"/>
  <c r="J135" i="5"/>
  <c r="G121" i="5"/>
  <c r="C383" i="5"/>
  <c r="AA415" i="5" s="1"/>
  <c r="AA495" i="5" s="1"/>
  <c r="AB569" i="5" s="1"/>
  <c r="AD412" i="5"/>
  <c r="AD492" i="5" s="1"/>
  <c r="AE566" i="5" s="1"/>
  <c r="F337" i="5"/>
  <c r="X366" i="5"/>
  <c r="F340" i="5"/>
  <c r="AA369" i="5" s="1"/>
  <c r="AA492" i="5" s="1"/>
  <c r="AB566" i="5" s="1"/>
  <c r="B167" i="5"/>
  <c r="K184" i="5" s="1"/>
  <c r="K479" i="5" s="1"/>
  <c r="L553" i="5" s="1"/>
  <c r="N181" i="5"/>
  <c r="N476" i="5" s="1"/>
  <c r="O550" i="5" s="1"/>
  <c r="M183" i="5"/>
  <c r="G169" i="5"/>
  <c r="P186" i="5" s="1"/>
  <c r="P481" i="5" s="1"/>
  <c r="Q555" i="5" s="1"/>
  <c r="D255" i="5"/>
  <c r="S278" i="5" s="1"/>
  <c r="S487" i="5" s="1"/>
  <c r="T561" i="5" s="1"/>
  <c r="V275" i="5"/>
  <c r="V484" i="5" s="1"/>
  <c r="W558" i="5" s="1"/>
  <c r="D427" i="5"/>
  <c r="AE462" i="5" s="1"/>
  <c r="AE499" i="5" s="1"/>
  <c r="AF573" i="5" s="1"/>
  <c r="AH459" i="5"/>
  <c r="AH496" i="5" s="1"/>
  <c r="AI570" i="5" s="1"/>
  <c r="P227" i="5"/>
  <c r="B209" i="5"/>
  <c r="G207" i="5"/>
  <c r="G210" i="5"/>
  <c r="F470" i="5"/>
  <c r="G544" i="5" s="1"/>
  <c r="B295" i="5"/>
  <c r="G293" i="5"/>
  <c r="G296" i="5"/>
  <c r="V319" i="5"/>
  <c r="AE413" i="4"/>
  <c r="AE493" i="4" s="1"/>
  <c r="AF567" i="4" s="1"/>
  <c r="D384" i="4"/>
  <c r="AB416" i="4" s="1"/>
  <c r="AB496" i="4" s="1"/>
  <c r="AC570" i="4" s="1"/>
  <c r="X366" i="4"/>
  <c r="F340" i="4"/>
  <c r="AA369" i="4" s="1"/>
  <c r="F337" i="4"/>
  <c r="W488" i="4"/>
  <c r="X562" i="4" s="1"/>
  <c r="B337" i="4"/>
  <c r="F339" i="4"/>
  <c r="X365" i="4"/>
  <c r="F336" i="4"/>
  <c r="D659" i="4"/>
  <c r="C659" i="4"/>
  <c r="G166" i="4"/>
  <c r="G25" i="4"/>
  <c r="F163" i="4" s="1"/>
  <c r="H168" i="4" s="1"/>
  <c r="D164" i="4"/>
  <c r="C164" i="4"/>
  <c r="E25" i="4"/>
  <c r="D163" i="4" s="1"/>
  <c r="H166" i="4" s="1"/>
  <c r="D165" i="4"/>
  <c r="B164" i="4"/>
  <c r="R12" i="4"/>
  <c r="P12" i="4"/>
  <c r="D166" i="4"/>
  <c r="O12" i="4"/>
  <c r="F25" i="4"/>
  <c r="E163" i="4" s="1"/>
  <c r="H167" i="4" s="1"/>
  <c r="K12" i="4"/>
  <c r="L12" i="4"/>
  <c r="S12" i="4"/>
  <c r="Q12" i="4"/>
  <c r="N12" i="4"/>
  <c r="M12" i="4"/>
  <c r="J12" i="4"/>
  <c r="H25" i="4"/>
  <c r="G163" i="4" s="1"/>
  <c r="H169" i="4" s="1"/>
  <c r="C165" i="4"/>
  <c r="D25" i="4"/>
  <c r="C163" i="4" s="1"/>
  <c r="H165" i="4" s="1"/>
  <c r="C25" i="4"/>
  <c r="B163" i="4" s="1"/>
  <c r="H164" i="4" s="1"/>
  <c r="E121" i="4"/>
  <c r="E124" i="4"/>
  <c r="K138" i="4" s="1"/>
  <c r="H135" i="4"/>
  <c r="Q273" i="4"/>
  <c r="E253" i="4"/>
  <c r="T276" i="4" s="1"/>
  <c r="T485" i="4" s="1"/>
  <c r="U559" i="4" s="1"/>
  <c r="E250" i="4"/>
  <c r="B209" i="4"/>
  <c r="G210" i="4"/>
  <c r="G207" i="4"/>
  <c r="P227" i="4"/>
  <c r="O228" i="4"/>
  <c r="F211" i="4"/>
  <c r="R231" i="4" s="1"/>
  <c r="R483" i="4" s="1"/>
  <c r="S557" i="4" s="1"/>
  <c r="F208" i="4"/>
  <c r="G384" i="4"/>
  <c r="AE416" i="4" s="1"/>
  <c r="AB413" i="4"/>
  <c r="C37" i="4"/>
  <c r="G36" i="4"/>
  <c r="G39" i="4"/>
  <c r="D44" i="4"/>
  <c r="D468" i="4" s="1"/>
  <c r="E542" i="4" s="1"/>
  <c r="D45" i="4"/>
  <c r="D469" i="4" s="1"/>
  <c r="E543" i="4" s="1"/>
  <c r="G40" i="4"/>
  <c r="G48" i="4" s="1"/>
  <c r="G472" i="4" s="1"/>
  <c r="H546" i="4" s="1"/>
  <c r="G341" i="4"/>
  <c r="AB370" i="4" s="1"/>
  <c r="AB493" i="4" s="1"/>
  <c r="AC567" i="4" s="1"/>
  <c r="Y367" i="4"/>
  <c r="G336" i="4"/>
  <c r="G339" i="4"/>
  <c r="B338" i="4"/>
  <c r="Y365" i="4"/>
  <c r="G427" i="4"/>
  <c r="AH462" i="4" s="1"/>
  <c r="AH499" i="4" s="1"/>
  <c r="AI573" i="4" s="1"/>
  <c r="AE459" i="4"/>
  <c r="G253" i="4"/>
  <c r="G250" i="4"/>
  <c r="S273" i="4"/>
  <c r="B252" i="4"/>
  <c r="B296" i="4"/>
  <c r="T322" i="4" s="1"/>
  <c r="T488" i="4" s="1"/>
  <c r="U562" i="4" s="1"/>
  <c r="W319" i="4"/>
  <c r="W485" i="4" s="1"/>
  <c r="X559" i="4" s="1"/>
  <c r="X489" i="4"/>
  <c r="Y563" i="4" s="1"/>
  <c r="D298" i="4"/>
  <c r="V324" i="4" s="1"/>
  <c r="V490" i="4" s="1"/>
  <c r="W564" i="4" s="1"/>
  <c r="Y321" i="4"/>
  <c r="Y487" i="4" s="1"/>
  <c r="Z561" i="4" s="1"/>
  <c r="P229" i="4"/>
  <c r="G212" i="4"/>
  <c r="S232" i="4" s="1"/>
  <c r="S484" i="4" s="1"/>
  <c r="T558" i="4" s="1"/>
  <c r="E379" i="4"/>
  <c r="Z411" i="4"/>
  <c r="E382" i="4"/>
  <c r="AC414" i="4" s="1"/>
  <c r="AC494" i="4" s="1"/>
  <c r="AD568" i="4" s="1"/>
  <c r="D40" i="4"/>
  <c r="D48" i="4" s="1"/>
  <c r="D472" i="4" s="1"/>
  <c r="E546" i="4" s="1"/>
  <c r="G45" i="4"/>
  <c r="G469" i="4" s="1"/>
  <c r="H543" i="4" s="1"/>
  <c r="AB367" i="4"/>
  <c r="AB490" i="4" s="1"/>
  <c r="AC564" i="4" s="1"/>
  <c r="D341" i="4"/>
  <c r="Y370" i="4" s="1"/>
  <c r="Y493" i="4" s="1"/>
  <c r="Z567" i="4" s="1"/>
  <c r="M136" i="4"/>
  <c r="M474" i="4" s="1"/>
  <c r="N548" i="4" s="1"/>
  <c r="C126" i="4"/>
  <c r="I140" i="4" s="1"/>
  <c r="I478" i="4" s="1"/>
  <c r="J552" i="4" s="1"/>
  <c r="J91" i="4"/>
  <c r="J472" i="4" s="1"/>
  <c r="K546" i="4" s="1"/>
  <c r="D83" i="4"/>
  <c r="G94" i="4" s="1"/>
  <c r="G475" i="4" s="1"/>
  <c r="H549" i="4" s="1"/>
  <c r="G255" i="4"/>
  <c r="V278" i="4" s="1"/>
  <c r="V487" i="4" s="1"/>
  <c r="W561" i="4" s="1"/>
  <c r="S275" i="4"/>
  <c r="E207" i="4"/>
  <c r="N227" i="4"/>
  <c r="E210" i="4"/>
  <c r="Q230" i="4" s="1"/>
  <c r="G298" i="4"/>
  <c r="Y324" i="4" s="1"/>
  <c r="Y490" i="4" s="1"/>
  <c r="Z564" i="4" s="1"/>
  <c r="V321" i="4"/>
  <c r="L137" i="4"/>
  <c r="L475" i="4" s="1"/>
  <c r="M549" i="4" s="1"/>
  <c r="D125" i="4"/>
  <c r="J139" i="4" s="1"/>
  <c r="J477" i="4" s="1"/>
  <c r="K551" i="4" s="1"/>
  <c r="C43" i="4"/>
  <c r="C467" i="4" s="1"/>
  <c r="D541" i="4" s="1"/>
  <c r="F35" i="4"/>
  <c r="F38" i="4"/>
  <c r="B36" i="4"/>
  <c r="AC457" i="4"/>
  <c r="E425" i="4"/>
  <c r="AF460" i="4" s="1"/>
  <c r="AF497" i="4" s="1"/>
  <c r="AG571" i="4" s="1"/>
  <c r="E422" i="4"/>
  <c r="C297" i="4"/>
  <c r="U323" i="4" s="1"/>
  <c r="U489" i="4" s="1"/>
  <c r="V563" i="4" s="1"/>
  <c r="X320" i="4"/>
  <c r="X486" i="4" s="1"/>
  <c r="Y560" i="4" s="1"/>
  <c r="E89" i="4"/>
  <c r="E78" i="4"/>
  <c r="E81" i="4"/>
  <c r="H92" i="4" s="1"/>
  <c r="F251" i="4"/>
  <c r="R274" i="4"/>
  <c r="F254" i="4"/>
  <c r="U277" i="4" s="1"/>
  <c r="U486" i="4" s="1"/>
  <c r="V560" i="4" s="1"/>
  <c r="C80" i="4"/>
  <c r="G90" i="4"/>
  <c r="G79" i="4"/>
  <c r="G82" i="4"/>
  <c r="V275" i="4"/>
  <c r="V484" i="4" s="1"/>
  <c r="W558" i="4" s="1"/>
  <c r="D255" i="4"/>
  <c r="S278" i="4" s="1"/>
  <c r="S487" i="4" s="1"/>
  <c r="T561" i="4" s="1"/>
  <c r="F382" i="4"/>
  <c r="B380" i="4"/>
  <c r="AA411" i="4"/>
  <c r="F379" i="4"/>
  <c r="AD457" i="4"/>
  <c r="F425" i="4"/>
  <c r="B423" i="4"/>
  <c r="F422" i="4"/>
  <c r="D212" i="4"/>
  <c r="P232" i="4" s="1"/>
  <c r="P484" i="4" s="1"/>
  <c r="Q558" i="4" s="1"/>
  <c r="S229" i="4"/>
  <c r="S481" i="4" s="1"/>
  <c r="T555" i="4" s="1"/>
  <c r="G293" i="4"/>
  <c r="G296" i="4"/>
  <c r="B295" i="4"/>
  <c r="V319" i="4"/>
  <c r="M139" i="4"/>
  <c r="F126" i="4"/>
  <c r="L140" i="4" s="1"/>
  <c r="G121" i="4"/>
  <c r="B123" i="4"/>
  <c r="J135" i="4"/>
  <c r="G124" i="4"/>
  <c r="B381" i="4"/>
  <c r="G382" i="4"/>
  <c r="G379" i="4"/>
  <c r="AB411" i="4"/>
  <c r="G4" i="4"/>
  <c r="G5" i="4" s="1"/>
  <c r="G251" i="4"/>
  <c r="S274" i="4"/>
  <c r="G254" i="4"/>
  <c r="C252" i="4"/>
  <c r="F210" i="4"/>
  <c r="B208" i="4"/>
  <c r="O227" i="4"/>
  <c r="F207" i="4"/>
  <c r="B122" i="4"/>
  <c r="F124" i="4"/>
  <c r="I135" i="4"/>
  <c r="F121" i="4"/>
  <c r="B294" i="4"/>
  <c r="F293" i="4"/>
  <c r="F296" i="4"/>
  <c r="U319" i="4"/>
  <c r="E38" i="4"/>
  <c r="E46" i="4" s="1"/>
  <c r="E470" i="4" s="1"/>
  <c r="F544" i="4" s="1"/>
  <c r="E35" i="4"/>
  <c r="B43" i="4"/>
  <c r="B467" i="4" s="1"/>
  <c r="G426" i="4"/>
  <c r="C424" i="4"/>
  <c r="AE458" i="4"/>
  <c r="G423" i="4"/>
  <c r="F423" i="4"/>
  <c r="AD458" i="4"/>
  <c r="F426" i="4"/>
  <c r="AG461" i="4" s="1"/>
  <c r="AG498" i="4" s="1"/>
  <c r="AH572" i="4" s="1"/>
  <c r="G297" i="4"/>
  <c r="V320" i="4"/>
  <c r="G294" i="4"/>
  <c r="C295" i="4"/>
  <c r="C381" i="4"/>
  <c r="G383" i="4"/>
  <c r="G380" i="4"/>
  <c r="AB412" i="4"/>
  <c r="E336" i="4"/>
  <c r="E339" i="4"/>
  <c r="Z368" i="4" s="1"/>
  <c r="Z491" i="4" s="1"/>
  <c r="AA565" i="4" s="1"/>
  <c r="W365" i="4"/>
  <c r="G81" i="4"/>
  <c r="G89" i="4"/>
  <c r="B80" i="4"/>
  <c r="G78" i="4"/>
  <c r="C209" i="4"/>
  <c r="G208" i="4"/>
  <c r="P228" i="4"/>
  <c r="G211" i="4"/>
  <c r="AA412" i="4"/>
  <c r="F380" i="4"/>
  <c r="F383" i="4"/>
  <c r="AD415" i="4" s="1"/>
  <c r="B37" i="4"/>
  <c r="G35" i="4"/>
  <c r="G38" i="4"/>
  <c r="D43" i="4"/>
  <c r="D467" i="4" s="1"/>
  <c r="E541" i="4" s="1"/>
  <c r="R273" i="4"/>
  <c r="F253" i="4"/>
  <c r="B251" i="4"/>
  <c r="F250" i="4"/>
  <c r="AH459" i="4"/>
  <c r="AH496" i="4" s="1"/>
  <c r="AI570" i="4" s="1"/>
  <c r="D427" i="4"/>
  <c r="AE462" i="4" s="1"/>
  <c r="AE499" i="4" s="1"/>
  <c r="AF573" i="4" s="1"/>
  <c r="F122" i="4"/>
  <c r="F125" i="4"/>
  <c r="L139" i="4" s="1"/>
  <c r="I136" i="4"/>
  <c r="F89" i="4"/>
  <c r="F81" i="4"/>
  <c r="B79" i="4"/>
  <c r="F78" i="4"/>
  <c r="Y366" i="4"/>
  <c r="G340" i="4"/>
  <c r="G337" i="4"/>
  <c r="C338" i="4"/>
  <c r="G425" i="4"/>
  <c r="G422" i="4"/>
  <c r="AE457" i="4"/>
  <c r="B424" i="4"/>
  <c r="F79" i="4"/>
  <c r="F82" i="4"/>
  <c r="I93" i="4" s="1"/>
  <c r="I474" i="4" s="1"/>
  <c r="J548" i="4" s="1"/>
  <c r="F90" i="4"/>
  <c r="C44" i="4"/>
  <c r="C468" i="4" s="1"/>
  <c r="D542" i="4" s="1"/>
  <c r="F39" i="4"/>
  <c r="F47" i="4" s="1"/>
  <c r="F471" i="4" s="1"/>
  <c r="G545" i="4" s="1"/>
  <c r="F36" i="4"/>
  <c r="N117" i="2"/>
  <c r="H112" i="2"/>
  <c r="Q120" i="2" s="1"/>
  <c r="G7" i="2"/>
  <c r="H83" i="2"/>
  <c r="H78" i="2"/>
  <c r="K86" i="2" s="1"/>
  <c r="H227" i="2"/>
  <c r="G228" i="2"/>
  <c r="AI235" i="2"/>
  <c r="D228" i="2"/>
  <c r="AH236" i="2" s="1"/>
  <c r="C178" i="2"/>
  <c r="X186" i="2" s="1"/>
  <c r="X269" i="2" s="1"/>
  <c r="AA183" i="2"/>
  <c r="AA266" i="2" s="1"/>
  <c r="S15" i="2"/>
  <c r="AJ236" i="2"/>
  <c r="AJ277" i="2" s="1"/>
  <c r="E229" i="2"/>
  <c r="AI237" i="2" s="1"/>
  <c r="AI278" i="2" s="1"/>
  <c r="R14" i="2"/>
  <c r="H58" i="2" s="1"/>
  <c r="G209" i="2"/>
  <c r="AE217" i="2"/>
  <c r="G212" i="2"/>
  <c r="F210" i="2"/>
  <c r="C210" i="2"/>
  <c r="AD218" i="2" s="1"/>
  <c r="P14" i="2"/>
  <c r="P16" i="2"/>
  <c r="G180" i="2"/>
  <c r="AB188" i="2" s="1"/>
  <c r="AB271" i="2" s="1"/>
  <c r="AC187" i="2"/>
  <c r="AC270" i="2" s="1"/>
  <c r="T10" i="2"/>
  <c r="S10" i="2" s="1"/>
  <c r="P18" i="2"/>
  <c r="O18" i="2"/>
  <c r="D124" i="2" s="1"/>
  <c r="R18" i="2"/>
  <c r="H126" i="2" s="1"/>
  <c r="P17" i="2"/>
  <c r="D214" i="2"/>
  <c r="AE222" i="2" s="1"/>
  <c r="AE277" i="2" s="1"/>
  <c r="H213" i="2"/>
  <c r="AI218" i="2"/>
  <c r="AI273" i="2" s="1"/>
  <c r="O17" i="2"/>
  <c r="Q14" i="2"/>
  <c r="E58" i="2" s="1"/>
  <c r="AJ234" i="2"/>
  <c r="AJ275" i="2" s="1"/>
  <c r="C229" i="2"/>
  <c r="AG237" i="2" s="1"/>
  <c r="AG278" i="2" s="1"/>
  <c r="AH234" i="2"/>
  <c r="F227" i="2"/>
  <c r="G229" i="2"/>
  <c r="C227" i="2"/>
  <c r="AG235" i="2" s="1"/>
  <c r="G226" i="2"/>
  <c r="R15" i="2"/>
  <c r="H75" i="2" s="1"/>
  <c r="R17" i="2"/>
  <c r="H109" i="2" s="1"/>
  <c r="AD201" i="2"/>
  <c r="AD270" i="2" s="1"/>
  <c r="D195" i="2"/>
  <c r="AB203" i="2" s="1"/>
  <c r="AB272" i="2" s="1"/>
  <c r="AE200" i="2"/>
  <c r="AE269" i="2" s="1"/>
  <c r="C196" i="2"/>
  <c r="AA204" i="2" s="1"/>
  <c r="AA273" i="2" s="1"/>
  <c r="AG277" i="2"/>
  <c r="F209" i="2"/>
  <c r="AD217" i="2"/>
  <c r="AD272" i="2" s="1"/>
  <c r="F212" i="2"/>
  <c r="AG220" i="2" s="1"/>
  <c r="AG275" i="2" s="1"/>
  <c r="E213" i="2"/>
  <c r="AF221" i="2" s="1"/>
  <c r="AF276" i="2" s="1"/>
  <c r="AH219" i="2"/>
  <c r="AH274" i="2" s="1"/>
  <c r="S14" i="2"/>
  <c r="F163" i="2"/>
  <c r="X171" i="2" s="1"/>
  <c r="X268" i="2" s="1"/>
  <c r="Z169" i="2"/>
  <c r="Z266" i="2" s="1"/>
  <c r="D213" i="2"/>
  <c r="AE221" i="2" s="1"/>
  <c r="AE276" i="2" s="1"/>
  <c r="AH218" i="2"/>
  <c r="AH273" i="2" s="1"/>
  <c r="G227" i="2"/>
  <c r="AH235" i="2"/>
  <c r="AH276" i="2" s="1"/>
  <c r="G230" i="2"/>
  <c r="AK238" i="2" s="1"/>
  <c r="AK279" i="2" s="1"/>
  <c r="F196" i="2"/>
  <c r="AD204" i="2" s="1"/>
  <c r="AE203" i="2"/>
  <c r="H214" i="2"/>
  <c r="AI222" i="2" s="1"/>
  <c r="AI277" i="2" s="1"/>
  <c r="AF219" i="2"/>
  <c r="AF274" i="2" s="1"/>
  <c r="Q18" i="2"/>
  <c r="E126" i="2" s="1"/>
  <c r="G179" i="2"/>
  <c r="AB187" i="2" s="1"/>
  <c r="AB270" i="2" s="1"/>
  <c r="Y184" i="2"/>
  <c r="G176" i="2"/>
  <c r="X168" i="2"/>
  <c r="X265" i="2" s="1"/>
  <c r="E161" i="2"/>
  <c r="W169" i="2" s="1"/>
  <c r="W266" i="2" s="1"/>
  <c r="E179" i="2"/>
  <c r="Z187" i="2" s="1"/>
  <c r="Z270" i="2" s="1"/>
  <c r="AB185" i="2"/>
  <c r="AB268" i="2" s="1"/>
  <c r="AC183" i="2"/>
  <c r="AC266" i="2" s="1"/>
  <c r="H178" i="2"/>
  <c r="C180" i="2"/>
  <c r="X188" i="2" s="1"/>
  <c r="X271" i="2" s="1"/>
  <c r="AL234" i="2"/>
  <c r="AL275" i="2" s="1"/>
  <c r="H229" i="2"/>
  <c r="C231" i="2"/>
  <c r="AG239" i="2" s="1"/>
  <c r="AG280" i="2" s="1"/>
  <c r="AF204" i="2"/>
  <c r="AF273" i="2" s="1"/>
  <c r="G197" i="2"/>
  <c r="AE205" i="2" s="1"/>
  <c r="AE274" i="2" s="1"/>
  <c r="Y267" i="2"/>
  <c r="H195" i="2"/>
  <c r="C197" i="2"/>
  <c r="AA205" i="2" s="1"/>
  <c r="AA274" i="2" s="1"/>
  <c r="AF200" i="2"/>
  <c r="AF269" i="2" s="1"/>
  <c r="AD200" i="2"/>
  <c r="AD269" i="2" s="1"/>
  <c r="C195" i="2"/>
  <c r="AA203" i="2" s="1"/>
  <c r="AA272" i="2" s="1"/>
  <c r="E180" i="2"/>
  <c r="Z188" i="2" s="1"/>
  <c r="Z271" i="2" s="1"/>
  <c r="AC185" i="2"/>
  <c r="AC268" i="2" s="1"/>
  <c r="R16" i="2"/>
  <c r="H92" i="2" s="1"/>
  <c r="Q16" i="2"/>
  <c r="E92" i="2" s="1"/>
  <c r="S16" i="2"/>
  <c r="Y167" i="2"/>
  <c r="Y264" i="2" s="1"/>
  <c r="D162" i="2"/>
  <c r="V170" i="2" s="1"/>
  <c r="V267" i="2" s="1"/>
  <c r="D178" i="2"/>
  <c r="Y186" i="2" s="1"/>
  <c r="Y269" i="2" s="1"/>
  <c r="AA184" i="2"/>
  <c r="AA267" i="2" s="1"/>
  <c r="F33" i="2"/>
  <c r="F140" i="2" s="1"/>
  <c r="I144" i="2" s="1"/>
  <c r="AM152" i="2" s="1"/>
  <c r="M19" i="2"/>
  <c r="E33" i="2"/>
  <c r="E140" i="2" s="1"/>
  <c r="I143" i="2" s="1"/>
  <c r="AM151" i="2" s="1"/>
  <c r="L19" i="2"/>
  <c r="C33" i="2"/>
  <c r="C140" i="2" s="1"/>
  <c r="I141" i="2" s="1"/>
  <c r="AM149" i="2" s="1"/>
  <c r="J19" i="2"/>
  <c r="B33" i="2"/>
  <c r="W19" i="2"/>
  <c r="Y19" i="2"/>
  <c r="D33" i="2"/>
  <c r="D140" i="2" s="1"/>
  <c r="I142" i="2" s="1"/>
  <c r="AM150" i="2" s="1"/>
  <c r="Z19" i="2"/>
  <c r="X19" i="2"/>
  <c r="S19" i="2"/>
  <c r="N19" i="2"/>
  <c r="O19" i="2" s="1"/>
  <c r="D142" i="2" s="1"/>
  <c r="K19" i="2"/>
  <c r="H33" i="2"/>
  <c r="H140" i="2" s="1"/>
  <c r="I146" i="2" s="1"/>
  <c r="AM154" i="2" s="1"/>
  <c r="G33" i="2"/>
  <c r="G140" i="2" s="1"/>
  <c r="I145" i="2" s="1"/>
  <c r="AM153" i="2" s="1"/>
  <c r="D107" i="2"/>
  <c r="E214" i="2"/>
  <c r="AF222" i="2" s="1"/>
  <c r="AF277" i="2" s="1"/>
  <c r="AI219" i="2"/>
  <c r="AI274" i="2" s="1"/>
  <c r="F179" i="2"/>
  <c r="AA187" i="2" s="1"/>
  <c r="AA270" i="2" s="1"/>
  <c r="AB186" i="2"/>
  <c r="AB269" i="2" s="1"/>
  <c r="P15" i="2"/>
  <c r="U10" i="2"/>
  <c r="G161" i="2"/>
  <c r="F159" i="2"/>
  <c r="C159" i="2"/>
  <c r="U167" i="2" s="1"/>
  <c r="V166" i="2"/>
  <c r="G158" i="2"/>
  <c r="AB183" i="2"/>
  <c r="AB266" i="2" s="1"/>
  <c r="C179" i="2"/>
  <c r="X187" i="2" s="1"/>
  <c r="X270" i="2" s="1"/>
  <c r="J93" i="6" l="1"/>
  <c r="J474" i="6" s="1"/>
  <c r="K548" i="6" s="1"/>
  <c r="F83" i="6"/>
  <c r="I94" i="6" s="1"/>
  <c r="E209" i="6"/>
  <c r="N229" i="6"/>
  <c r="P181" i="6"/>
  <c r="P476" i="6" s="1"/>
  <c r="Q550" i="6" s="1"/>
  <c r="B169" i="6"/>
  <c r="K186" i="6" s="1"/>
  <c r="K481" i="6" s="1"/>
  <c r="L555" i="6" s="1"/>
  <c r="AG460" i="6"/>
  <c r="AG497" i="6" s="1"/>
  <c r="AH571" i="6" s="1"/>
  <c r="E426" i="6"/>
  <c r="AF461" i="6" s="1"/>
  <c r="AF498" i="6" s="1"/>
  <c r="AG572" i="6" s="1"/>
  <c r="E122" i="6"/>
  <c r="H136" i="6"/>
  <c r="F91" i="6"/>
  <c r="F80" i="6"/>
  <c r="F252" i="6"/>
  <c r="R275" i="6"/>
  <c r="U486" i="6"/>
  <c r="V560" i="6" s="1"/>
  <c r="B212" i="6"/>
  <c r="N232" i="6" s="1"/>
  <c r="N484" i="6" s="1"/>
  <c r="O558" i="6" s="1"/>
  <c r="S227" i="6"/>
  <c r="S479" i="6" s="1"/>
  <c r="T553" i="6" s="1"/>
  <c r="C45" i="6"/>
  <c r="C469" i="6" s="1"/>
  <c r="D543" i="6" s="1"/>
  <c r="F37" i="6"/>
  <c r="B255" i="6"/>
  <c r="Q278" i="6" s="1"/>
  <c r="Q487" i="6" s="1"/>
  <c r="R561" i="6" s="1"/>
  <c r="V273" i="6"/>
  <c r="V482" i="6" s="1"/>
  <c r="W556" i="6" s="1"/>
  <c r="Y322" i="6"/>
  <c r="Y488" i="6" s="1"/>
  <c r="Z562" i="6" s="1"/>
  <c r="E298" i="6"/>
  <c r="W324" i="6" s="1"/>
  <c r="W490" i="6" s="1"/>
  <c r="X564" i="6" s="1"/>
  <c r="AE599" i="6"/>
  <c r="O599" i="6"/>
  <c r="AH599" i="6"/>
  <c r="Q599" i="6"/>
  <c r="AG599" i="6"/>
  <c r="P599" i="6"/>
  <c r="AD599" i="6"/>
  <c r="M599" i="6"/>
  <c r="X599" i="6"/>
  <c r="G599" i="6"/>
  <c r="W599" i="6"/>
  <c r="F599" i="6"/>
  <c r="AF599" i="6"/>
  <c r="H599" i="6"/>
  <c r="AB599" i="6"/>
  <c r="D599" i="6"/>
  <c r="AA599" i="6"/>
  <c r="C599" i="6"/>
  <c r="Z599" i="6"/>
  <c r="Y599" i="6"/>
  <c r="L599" i="6"/>
  <c r="J599" i="6"/>
  <c r="R599" i="6"/>
  <c r="E599" i="6"/>
  <c r="B599" i="6"/>
  <c r="AJ599" i="6"/>
  <c r="AC599" i="6"/>
  <c r="T599" i="6"/>
  <c r="N599" i="6"/>
  <c r="I599" i="6"/>
  <c r="U599" i="6"/>
  <c r="S599" i="6"/>
  <c r="K599" i="6"/>
  <c r="V599" i="6"/>
  <c r="AC584" i="6"/>
  <c r="M584" i="6"/>
  <c r="AF584" i="6"/>
  <c r="O584" i="6"/>
  <c r="AE584" i="6"/>
  <c r="N584" i="6"/>
  <c r="AJ584" i="6"/>
  <c r="P584" i="6"/>
  <c r="AG584" i="6"/>
  <c r="K584" i="6"/>
  <c r="AD584" i="6"/>
  <c r="J584" i="6"/>
  <c r="W584" i="6"/>
  <c r="V584" i="6"/>
  <c r="I584" i="6"/>
  <c r="AH584" i="6"/>
  <c r="G584" i="6"/>
  <c r="U584" i="6"/>
  <c r="Q584" i="6"/>
  <c r="L584" i="6"/>
  <c r="F584" i="6"/>
  <c r="R584" i="6"/>
  <c r="H584" i="6"/>
  <c r="C584" i="6"/>
  <c r="AB584" i="6"/>
  <c r="AA584" i="6"/>
  <c r="T584" i="6"/>
  <c r="S584" i="6"/>
  <c r="E584" i="6"/>
  <c r="D584" i="6"/>
  <c r="Y584" i="6"/>
  <c r="Z584" i="6"/>
  <c r="X584" i="6"/>
  <c r="B584" i="6"/>
  <c r="P184" i="6"/>
  <c r="P479" i="6" s="1"/>
  <c r="Q553" i="6" s="1"/>
  <c r="E169" i="6"/>
  <c r="N186" i="6" s="1"/>
  <c r="N481" i="6" s="1"/>
  <c r="O555" i="6" s="1"/>
  <c r="B426" i="6"/>
  <c r="AC461" i="6" s="1"/>
  <c r="AC498" i="6" s="1"/>
  <c r="AD572" i="6" s="1"/>
  <c r="AG457" i="6"/>
  <c r="AG494" i="6" s="1"/>
  <c r="AH568" i="6" s="1"/>
  <c r="M135" i="6"/>
  <c r="M473" i="6" s="1"/>
  <c r="N547" i="6" s="1"/>
  <c r="B126" i="6"/>
  <c r="H140" i="6" s="1"/>
  <c r="H478" i="6" s="1"/>
  <c r="I552" i="6" s="1"/>
  <c r="F255" i="6"/>
  <c r="U278" i="6" s="1"/>
  <c r="V277" i="6"/>
  <c r="V486" i="6" s="1"/>
  <c r="W560" i="6" s="1"/>
  <c r="U274" i="6"/>
  <c r="U483" i="6" s="1"/>
  <c r="V557" i="6" s="1"/>
  <c r="C254" i="6"/>
  <c r="R277" i="6" s="1"/>
  <c r="R486" i="6" s="1"/>
  <c r="S560" i="6" s="1"/>
  <c r="V276" i="6"/>
  <c r="V485" i="6" s="1"/>
  <c r="W559" i="6" s="1"/>
  <c r="E255" i="6"/>
  <c r="T278" i="6" s="1"/>
  <c r="T487" i="6" s="1"/>
  <c r="U561" i="6" s="1"/>
  <c r="AJ589" i="6"/>
  <c r="S589" i="6"/>
  <c r="C589" i="6"/>
  <c r="AF589" i="6"/>
  <c r="O589" i="6"/>
  <c r="AE589" i="6"/>
  <c r="N589" i="6"/>
  <c r="U589" i="6"/>
  <c r="R589" i="6"/>
  <c r="Q589" i="6"/>
  <c r="W589" i="6"/>
  <c r="V589" i="6"/>
  <c r="AG589" i="6"/>
  <c r="I589" i="6"/>
  <c r="AC589" i="6"/>
  <c r="G589" i="6"/>
  <c r="K589" i="6"/>
  <c r="E589" i="6"/>
  <c r="AH589" i="6"/>
  <c r="D589" i="6"/>
  <c r="AB589" i="6"/>
  <c r="M589" i="6"/>
  <c r="L589" i="6"/>
  <c r="F589" i="6"/>
  <c r="AD589" i="6"/>
  <c r="AA589" i="6"/>
  <c r="B589" i="6"/>
  <c r="Z589" i="6"/>
  <c r="T589" i="6"/>
  <c r="H589" i="6"/>
  <c r="X589" i="6"/>
  <c r="P589" i="6"/>
  <c r="J589" i="6"/>
  <c r="Y589" i="6"/>
  <c r="Y586" i="6"/>
  <c r="I586" i="6"/>
  <c r="AF586" i="6"/>
  <c r="O586" i="6"/>
  <c r="AE586" i="6"/>
  <c r="N586" i="6"/>
  <c r="X586" i="6"/>
  <c r="E586" i="6"/>
  <c r="V586" i="6"/>
  <c r="C586" i="6"/>
  <c r="U586" i="6"/>
  <c r="B586" i="6"/>
  <c r="AB586" i="6"/>
  <c r="D586" i="6"/>
  <c r="AA586" i="6"/>
  <c r="P586" i="6"/>
  <c r="L586" i="6"/>
  <c r="R586" i="6"/>
  <c r="J586" i="6"/>
  <c r="H586" i="6"/>
  <c r="AJ586" i="6"/>
  <c r="F586" i="6"/>
  <c r="AD586" i="6"/>
  <c r="AC586" i="6"/>
  <c r="T586" i="6"/>
  <c r="Q586" i="6"/>
  <c r="K586" i="6"/>
  <c r="G586" i="6"/>
  <c r="Z586" i="6"/>
  <c r="W586" i="6"/>
  <c r="S586" i="6"/>
  <c r="M586" i="6"/>
  <c r="AH586" i="6"/>
  <c r="AG586" i="6"/>
  <c r="K183" i="6"/>
  <c r="E166" i="6"/>
  <c r="E423" i="6"/>
  <c r="AC458" i="6"/>
  <c r="H137" i="6"/>
  <c r="E123" i="6"/>
  <c r="C126" i="6"/>
  <c r="I140" i="6" s="1"/>
  <c r="I478" i="6" s="1"/>
  <c r="J552" i="6" s="1"/>
  <c r="M136" i="6"/>
  <c r="M474" i="6" s="1"/>
  <c r="N548" i="6" s="1"/>
  <c r="W595" i="6"/>
  <c r="G595" i="6"/>
  <c r="AG595" i="6"/>
  <c r="P595" i="6"/>
  <c r="AF595" i="6"/>
  <c r="O595" i="6"/>
  <c r="AD595" i="6"/>
  <c r="M595" i="6"/>
  <c r="X595" i="6"/>
  <c r="F595" i="6"/>
  <c r="V595" i="6"/>
  <c r="E595" i="6"/>
  <c r="S595" i="6"/>
  <c r="Q595" i="6"/>
  <c r="N595" i="6"/>
  <c r="J595" i="6"/>
  <c r="I595" i="6"/>
  <c r="AA595" i="6"/>
  <c r="Y595" i="6"/>
  <c r="AC595" i="6"/>
  <c r="T595" i="6"/>
  <c r="R595" i="6"/>
  <c r="K595" i="6"/>
  <c r="C595" i="6"/>
  <c r="B595" i="6"/>
  <c r="AH595" i="6"/>
  <c r="AE595" i="6"/>
  <c r="AB595" i="6"/>
  <c r="Z595" i="6"/>
  <c r="U595" i="6"/>
  <c r="L595" i="6"/>
  <c r="H595" i="6"/>
  <c r="D595" i="6"/>
  <c r="AJ595" i="6"/>
  <c r="AE607" i="6"/>
  <c r="O607" i="6"/>
  <c r="AJ607" i="6"/>
  <c r="R607" i="6"/>
  <c r="AH607" i="6"/>
  <c r="Q607" i="6"/>
  <c r="AF607" i="6"/>
  <c r="N607" i="6"/>
  <c r="Y607" i="6"/>
  <c r="H607" i="6"/>
  <c r="X607" i="6"/>
  <c r="G607" i="6"/>
  <c r="V607" i="6"/>
  <c r="E607" i="6"/>
  <c r="W607" i="6"/>
  <c r="T607" i="6"/>
  <c r="S607" i="6"/>
  <c r="L607" i="6"/>
  <c r="K607" i="6"/>
  <c r="AD607" i="6"/>
  <c r="AB607" i="6"/>
  <c r="C607" i="6"/>
  <c r="AG607" i="6"/>
  <c r="AA607" i="6"/>
  <c r="Z607" i="6"/>
  <c r="P607" i="6"/>
  <c r="M607" i="6"/>
  <c r="J607" i="6"/>
  <c r="U607" i="6"/>
  <c r="I607" i="6"/>
  <c r="F607" i="6"/>
  <c r="D607" i="6"/>
  <c r="B607" i="6"/>
  <c r="AC607" i="6"/>
  <c r="N181" i="6"/>
  <c r="N476" i="6" s="1"/>
  <c r="O550" i="6" s="1"/>
  <c r="B167" i="6"/>
  <c r="K184" i="6" s="1"/>
  <c r="K479" i="6" s="1"/>
  <c r="L553" i="6" s="1"/>
  <c r="AB365" i="6"/>
  <c r="AB488" i="6" s="1"/>
  <c r="AC562" i="6" s="1"/>
  <c r="B341" i="6"/>
  <c r="W370" i="6" s="1"/>
  <c r="W493" i="6" s="1"/>
  <c r="X567" i="6" s="1"/>
  <c r="B38" i="6"/>
  <c r="B46" i="6" s="1"/>
  <c r="B470" i="6" s="1"/>
  <c r="C544" i="6" s="1"/>
  <c r="E43" i="6"/>
  <c r="E467" i="6" s="1"/>
  <c r="F541" i="6" s="1"/>
  <c r="W366" i="6"/>
  <c r="E337" i="6"/>
  <c r="C384" i="6"/>
  <c r="AA416" i="6" s="1"/>
  <c r="AA496" i="6" s="1"/>
  <c r="AB570" i="6" s="1"/>
  <c r="AE412" i="6"/>
  <c r="AE492" i="6" s="1"/>
  <c r="AF566" i="6" s="1"/>
  <c r="F44" i="6"/>
  <c r="F468" i="6" s="1"/>
  <c r="G542" i="6" s="1"/>
  <c r="C39" i="6"/>
  <c r="C47" i="6" s="1"/>
  <c r="C471" i="6" s="1"/>
  <c r="D545" i="6" s="1"/>
  <c r="T273" i="6"/>
  <c r="T482" i="6" s="1"/>
  <c r="U556" i="6" s="1"/>
  <c r="B253" i="6"/>
  <c r="Q276" i="6" s="1"/>
  <c r="Q485" i="6" s="1"/>
  <c r="R559" i="6" s="1"/>
  <c r="AD495" i="6"/>
  <c r="AE569" i="6" s="1"/>
  <c r="I137" i="6"/>
  <c r="F123" i="6"/>
  <c r="E91" i="6"/>
  <c r="E80" i="6"/>
  <c r="B427" i="6"/>
  <c r="AC462" i="6" s="1"/>
  <c r="AC499" i="6" s="1"/>
  <c r="AD573" i="6" s="1"/>
  <c r="AH457" i="6"/>
  <c r="AH494" i="6" s="1"/>
  <c r="AI568" i="6" s="1"/>
  <c r="B83" i="6"/>
  <c r="E94" i="6" s="1"/>
  <c r="E475" i="6" s="1"/>
  <c r="F549" i="6" s="1"/>
  <c r="J89" i="6"/>
  <c r="J470" i="6" s="1"/>
  <c r="K544" i="6" s="1"/>
  <c r="M138" i="6"/>
  <c r="M476" i="6" s="1"/>
  <c r="N550" i="6" s="1"/>
  <c r="E126" i="6"/>
  <c r="K140" i="6" s="1"/>
  <c r="K478" i="6" s="1"/>
  <c r="L552" i="6" s="1"/>
  <c r="AA413" i="6"/>
  <c r="F381" i="6"/>
  <c r="N479" i="6"/>
  <c r="O553" i="6" s="1"/>
  <c r="AB368" i="6"/>
  <c r="AB491" i="6" s="1"/>
  <c r="AC565" i="6" s="1"/>
  <c r="E341" i="6"/>
  <c r="Z370" i="6" s="1"/>
  <c r="AE414" i="6"/>
  <c r="AE494" i="6" s="1"/>
  <c r="AF568" i="6" s="1"/>
  <c r="E384" i="6"/>
  <c r="AC416" i="6" s="1"/>
  <c r="W319" i="6"/>
  <c r="W485" i="6" s="1"/>
  <c r="X559" i="6" s="1"/>
  <c r="B296" i="6"/>
  <c r="T322" i="6" s="1"/>
  <c r="T488" i="6" s="1"/>
  <c r="U562" i="6" s="1"/>
  <c r="E470" i="6"/>
  <c r="F544" i="6" s="1"/>
  <c r="AE415" i="6"/>
  <c r="AE495" i="6" s="1"/>
  <c r="AF569" i="6" s="1"/>
  <c r="F384" i="6"/>
  <c r="AD416" i="6" s="1"/>
  <c r="AD496" i="6" s="1"/>
  <c r="AE570" i="6" s="1"/>
  <c r="AA366" i="6"/>
  <c r="AA489" i="6" s="1"/>
  <c r="AB563" i="6" s="1"/>
  <c r="C340" i="6"/>
  <c r="X369" i="6" s="1"/>
  <c r="X492" i="6" s="1"/>
  <c r="Y566" i="6" s="1"/>
  <c r="AD412" i="6"/>
  <c r="AD492" i="6" s="1"/>
  <c r="AE566" i="6" s="1"/>
  <c r="C383" i="6"/>
  <c r="AA415" i="6" s="1"/>
  <c r="AA495" i="6" s="1"/>
  <c r="AB569" i="6" s="1"/>
  <c r="AD414" i="6"/>
  <c r="AD494" i="6" s="1"/>
  <c r="AE568" i="6" s="1"/>
  <c r="E383" i="6"/>
  <c r="AC415" i="6" s="1"/>
  <c r="W579" i="6"/>
  <c r="G579" i="6"/>
  <c r="AE579" i="6"/>
  <c r="N579" i="6"/>
  <c r="AD579" i="6"/>
  <c r="M579" i="6"/>
  <c r="AB579" i="6"/>
  <c r="I579" i="6"/>
  <c r="Z579" i="6"/>
  <c r="F579" i="6"/>
  <c r="Y579" i="6"/>
  <c r="E579" i="6"/>
  <c r="X579" i="6"/>
  <c r="V579" i="6"/>
  <c r="O579" i="6"/>
  <c r="AJ579" i="6"/>
  <c r="K579" i="6"/>
  <c r="AG579" i="6"/>
  <c r="U579" i="6"/>
  <c r="T579" i="6"/>
  <c r="R579" i="6"/>
  <c r="L579" i="6"/>
  <c r="J579" i="6"/>
  <c r="C579" i="6"/>
  <c r="AH579" i="6"/>
  <c r="AF579" i="6"/>
  <c r="AC579" i="6"/>
  <c r="AA579" i="6"/>
  <c r="S579" i="6"/>
  <c r="P579" i="6"/>
  <c r="H579" i="6"/>
  <c r="D579" i="6"/>
  <c r="B579" i="6"/>
  <c r="Q579" i="6"/>
  <c r="AG582" i="6"/>
  <c r="Q582" i="6"/>
  <c r="AE582" i="6"/>
  <c r="N582" i="6"/>
  <c r="AD582" i="6"/>
  <c r="M582" i="6"/>
  <c r="X582" i="6"/>
  <c r="E582" i="6"/>
  <c r="V582" i="6"/>
  <c r="C582" i="6"/>
  <c r="U582" i="6"/>
  <c r="B582" i="6"/>
  <c r="S582" i="6"/>
  <c r="R582" i="6"/>
  <c r="AF582" i="6"/>
  <c r="H582" i="6"/>
  <c r="AB582" i="6"/>
  <c r="F582" i="6"/>
  <c r="Z582" i="6"/>
  <c r="P582" i="6"/>
  <c r="O582" i="6"/>
  <c r="K582" i="6"/>
  <c r="AC582" i="6"/>
  <c r="Y582" i="6"/>
  <c r="T582" i="6"/>
  <c r="L582" i="6"/>
  <c r="J582" i="6"/>
  <c r="G582" i="6"/>
  <c r="D582" i="6"/>
  <c r="AH582" i="6"/>
  <c r="I582" i="6"/>
  <c r="W582" i="6"/>
  <c r="AJ582" i="6"/>
  <c r="AA582" i="6"/>
  <c r="AH460" i="6"/>
  <c r="AH497" i="6" s="1"/>
  <c r="AI571" i="6" s="1"/>
  <c r="E427" i="6"/>
  <c r="AF462" i="6" s="1"/>
  <c r="AF499" i="6" s="1"/>
  <c r="AG573" i="6" s="1"/>
  <c r="C255" i="6"/>
  <c r="R278" i="6" s="1"/>
  <c r="R487" i="6" s="1"/>
  <c r="S561" i="6" s="1"/>
  <c r="V274" i="6"/>
  <c r="V483" i="6" s="1"/>
  <c r="W557" i="6" s="1"/>
  <c r="E340" i="6"/>
  <c r="Z369" i="6" s="1"/>
  <c r="AA368" i="6"/>
  <c r="AA491" i="6" s="1"/>
  <c r="AB565" i="6" s="1"/>
  <c r="AC600" i="6"/>
  <c r="M600" i="6"/>
  <c r="AH600" i="6"/>
  <c r="Q600" i="6"/>
  <c r="AG600" i="6"/>
  <c r="P600" i="6"/>
  <c r="AE600" i="6"/>
  <c r="N600" i="6"/>
  <c r="X600" i="6"/>
  <c r="G600" i="6"/>
  <c r="W600" i="6"/>
  <c r="F600" i="6"/>
  <c r="V600" i="6"/>
  <c r="T600" i="6"/>
  <c r="S600" i="6"/>
  <c r="Z600" i="6"/>
  <c r="Y600" i="6"/>
  <c r="I600" i="6"/>
  <c r="E600" i="6"/>
  <c r="U600" i="6"/>
  <c r="K600" i="6"/>
  <c r="J600" i="6"/>
  <c r="D600" i="6"/>
  <c r="AF600" i="6"/>
  <c r="AB600" i="6"/>
  <c r="AA600" i="6"/>
  <c r="R600" i="6"/>
  <c r="AJ600" i="6"/>
  <c r="AD600" i="6"/>
  <c r="L600" i="6"/>
  <c r="C600" i="6"/>
  <c r="B600" i="6"/>
  <c r="H600" i="6"/>
  <c r="O600" i="6"/>
  <c r="AC459" i="6"/>
  <c r="E424" i="6"/>
  <c r="AA365" i="6"/>
  <c r="AA488" i="6" s="1"/>
  <c r="AB562" i="6" s="1"/>
  <c r="B340" i="6"/>
  <c r="W369" i="6" s="1"/>
  <c r="W492" i="6" s="1"/>
  <c r="X566" i="6" s="1"/>
  <c r="E252" i="6"/>
  <c r="Q275" i="6"/>
  <c r="F126" i="6"/>
  <c r="L140" i="6" s="1"/>
  <c r="L478" i="6" s="1"/>
  <c r="M552" i="6" s="1"/>
  <c r="M139" i="6"/>
  <c r="M477" i="6" s="1"/>
  <c r="N551" i="6" s="1"/>
  <c r="E83" i="6"/>
  <c r="H94" i="6" s="1"/>
  <c r="H475" i="6" s="1"/>
  <c r="I549" i="6" s="1"/>
  <c r="J92" i="6"/>
  <c r="J473" i="6" s="1"/>
  <c r="K547" i="6" s="1"/>
  <c r="W367" i="6"/>
  <c r="E338" i="6"/>
  <c r="AE411" i="6"/>
  <c r="AE491" i="6" s="1"/>
  <c r="AF565" i="6" s="1"/>
  <c r="B384" i="6"/>
  <c r="Z416" i="6" s="1"/>
  <c r="Z496" i="6" s="1"/>
  <c r="AA570" i="6" s="1"/>
  <c r="T320" i="6"/>
  <c r="E294" i="6"/>
  <c r="O480" i="6"/>
  <c r="P554" i="6" s="1"/>
  <c r="B254" i="6"/>
  <c r="Q277" i="6" s="1"/>
  <c r="Q486" i="6" s="1"/>
  <c r="R560" i="6" s="1"/>
  <c r="U273" i="6"/>
  <c r="U482" i="6" s="1"/>
  <c r="V556" i="6" s="1"/>
  <c r="B39" i="6"/>
  <c r="B47" i="6" s="1"/>
  <c r="B471" i="6" s="1"/>
  <c r="C545" i="6" s="1"/>
  <c r="F43" i="6"/>
  <c r="F467" i="6" s="1"/>
  <c r="G541" i="6" s="1"/>
  <c r="AD459" i="6"/>
  <c r="F424" i="6"/>
  <c r="AG590" i="6"/>
  <c r="Q590" i="6"/>
  <c r="AF590" i="6"/>
  <c r="O590" i="6"/>
  <c r="AE590" i="6"/>
  <c r="N590" i="6"/>
  <c r="Y590" i="6"/>
  <c r="F590" i="6"/>
  <c r="W590" i="6"/>
  <c r="D590" i="6"/>
  <c r="V590" i="6"/>
  <c r="C590" i="6"/>
  <c r="K590" i="6"/>
  <c r="AJ590" i="6"/>
  <c r="J590" i="6"/>
  <c r="X590" i="6"/>
  <c r="T590" i="6"/>
  <c r="I590" i="6"/>
  <c r="AH590" i="6"/>
  <c r="B590" i="6"/>
  <c r="AD590" i="6"/>
  <c r="AB590" i="6"/>
  <c r="U590" i="6"/>
  <c r="S590" i="6"/>
  <c r="M590" i="6"/>
  <c r="H590" i="6"/>
  <c r="E590" i="6"/>
  <c r="AC590" i="6"/>
  <c r="AA590" i="6"/>
  <c r="R590" i="6"/>
  <c r="P590" i="6"/>
  <c r="L590" i="6"/>
  <c r="G590" i="6"/>
  <c r="Z590" i="6"/>
  <c r="B168" i="6"/>
  <c r="K185" i="6" s="1"/>
  <c r="K480" i="6" s="1"/>
  <c r="L554" i="6" s="1"/>
  <c r="O181" i="6"/>
  <c r="O476" i="6" s="1"/>
  <c r="P550" i="6" s="1"/>
  <c r="E125" i="6"/>
  <c r="K139" i="6" s="1"/>
  <c r="K477" i="6" s="1"/>
  <c r="L551" i="6" s="1"/>
  <c r="L138" i="6"/>
  <c r="L476" i="6" s="1"/>
  <c r="M550" i="6" s="1"/>
  <c r="AJ597" i="6"/>
  <c r="S597" i="6"/>
  <c r="C597" i="6"/>
  <c r="AG597" i="6"/>
  <c r="P597" i="6"/>
  <c r="AF597" i="6"/>
  <c r="O597" i="6"/>
  <c r="AD597" i="6"/>
  <c r="M597" i="6"/>
  <c r="X597" i="6"/>
  <c r="G597" i="6"/>
  <c r="W597" i="6"/>
  <c r="F597" i="6"/>
  <c r="Z597" i="6"/>
  <c r="V597" i="6"/>
  <c r="U597" i="6"/>
  <c r="E597" i="6"/>
  <c r="AH597" i="6"/>
  <c r="D597" i="6"/>
  <c r="R597" i="6"/>
  <c r="N597" i="6"/>
  <c r="B597" i="6"/>
  <c r="AE597" i="6"/>
  <c r="AC597" i="6"/>
  <c r="AA597" i="6"/>
  <c r="Y597" i="6"/>
  <c r="Q597" i="6"/>
  <c r="L597" i="6"/>
  <c r="K597" i="6"/>
  <c r="I597" i="6"/>
  <c r="AB597" i="6"/>
  <c r="T597" i="6"/>
  <c r="J597" i="6"/>
  <c r="H597" i="6"/>
  <c r="C212" i="6"/>
  <c r="O232" i="6" s="1"/>
  <c r="O484" i="6" s="1"/>
  <c r="P558" i="6" s="1"/>
  <c r="S228" i="6"/>
  <c r="S480" i="6" s="1"/>
  <c r="T554" i="6" s="1"/>
  <c r="C168" i="6"/>
  <c r="L185" i="6" s="1"/>
  <c r="L480" i="6" s="1"/>
  <c r="M554" i="6" s="1"/>
  <c r="O182" i="6"/>
  <c r="O477" i="6" s="1"/>
  <c r="P551" i="6" s="1"/>
  <c r="U276" i="6"/>
  <c r="U485" i="6" s="1"/>
  <c r="V559" i="6" s="1"/>
  <c r="E254" i="6"/>
  <c r="T277" i="6" s="1"/>
  <c r="F427" i="6"/>
  <c r="AG462" i="6" s="1"/>
  <c r="AG499" i="6" s="1"/>
  <c r="AH573" i="6" s="1"/>
  <c r="AH461" i="6"/>
  <c r="AH498" i="6" s="1"/>
  <c r="AI572" i="6" s="1"/>
  <c r="AD411" i="6"/>
  <c r="AD491" i="6" s="1"/>
  <c r="AE565" i="6" s="1"/>
  <c r="B383" i="6"/>
  <c r="Z415" i="6" s="1"/>
  <c r="Z495" i="6" s="1"/>
  <c r="AA569" i="6" s="1"/>
  <c r="AA593" i="6"/>
  <c r="K593" i="6"/>
  <c r="AG593" i="6"/>
  <c r="P593" i="6"/>
  <c r="AF593" i="6"/>
  <c r="O593" i="6"/>
  <c r="AD593" i="6"/>
  <c r="M593" i="6"/>
  <c r="W593" i="6"/>
  <c r="F593" i="6"/>
  <c r="V593" i="6"/>
  <c r="E593" i="6"/>
  <c r="L593" i="6"/>
  <c r="AJ593" i="6"/>
  <c r="I593" i="6"/>
  <c r="AH593" i="6"/>
  <c r="H593" i="6"/>
  <c r="S593" i="6"/>
  <c r="R593" i="6"/>
  <c r="AE593" i="6"/>
  <c r="B593" i="6"/>
  <c r="AB593" i="6"/>
  <c r="Q593" i="6"/>
  <c r="D593" i="6"/>
  <c r="C593" i="6"/>
  <c r="U593" i="6"/>
  <c r="T593" i="6"/>
  <c r="G593" i="6"/>
  <c r="Z593" i="6"/>
  <c r="Y593" i="6"/>
  <c r="X593" i="6"/>
  <c r="N593" i="6"/>
  <c r="AC593" i="6"/>
  <c r="J593" i="6"/>
  <c r="AC592" i="6"/>
  <c r="M592" i="6"/>
  <c r="AG592" i="6"/>
  <c r="P592" i="6"/>
  <c r="AF592" i="6"/>
  <c r="O592" i="6"/>
  <c r="AD592" i="6"/>
  <c r="L592" i="6"/>
  <c r="W592" i="6"/>
  <c r="F592" i="6"/>
  <c r="V592" i="6"/>
  <c r="E592" i="6"/>
  <c r="U592" i="6"/>
  <c r="S592" i="6"/>
  <c r="R592" i="6"/>
  <c r="X592" i="6"/>
  <c r="T592" i="6"/>
  <c r="G592" i="6"/>
  <c r="AH592" i="6"/>
  <c r="C592" i="6"/>
  <c r="I592" i="6"/>
  <c r="AE592" i="6"/>
  <c r="B592" i="6"/>
  <c r="AB592" i="6"/>
  <c r="Z592" i="6"/>
  <c r="Y592" i="6"/>
  <c r="Q592" i="6"/>
  <c r="AJ592" i="6"/>
  <c r="AA592" i="6"/>
  <c r="N592" i="6"/>
  <c r="K592" i="6"/>
  <c r="J592" i="6"/>
  <c r="H592" i="6"/>
  <c r="D592" i="6"/>
  <c r="AC578" i="6"/>
  <c r="M578" i="6"/>
  <c r="AE578" i="6"/>
  <c r="N578" i="6"/>
  <c r="AD578" i="6"/>
  <c r="L578" i="6"/>
  <c r="AH578" i="6"/>
  <c r="O578" i="6"/>
  <c r="AB578" i="6"/>
  <c r="I578" i="6"/>
  <c r="AJ578" i="6"/>
  <c r="J578" i="6"/>
  <c r="AG578" i="6"/>
  <c r="H578" i="6"/>
  <c r="V578" i="6"/>
  <c r="T578" i="6"/>
  <c r="G578" i="6"/>
  <c r="AF578" i="6"/>
  <c r="C578" i="6"/>
  <c r="AA578" i="6"/>
  <c r="B578" i="6"/>
  <c r="Y578" i="6"/>
  <c r="Z578" i="6"/>
  <c r="U578" i="6"/>
  <c r="R578" i="6"/>
  <c r="P578" i="6"/>
  <c r="K578" i="6"/>
  <c r="F578" i="6"/>
  <c r="X578" i="6"/>
  <c r="W578" i="6"/>
  <c r="Q578" i="6"/>
  <c r="S578" i="6"/>
  <c r="E578" i="6"/>
  <c r="D578" i="6"/>
  <c r="AG598" i="6"/>
  <c r="Q598" i="6"/>
  <c r="AH598" i="6"/>
  <c r="P598" i="6"/>
  <c r="AF598" i="6"/>
  <c r="O598" i="6"/>
  <c r="AD598" i="6"/>
  <c r="M598" i="6"/>
  <c r="X598" i="6"/>
  <c r="G598" i="6"/>
  <c r="W598" i="6"/>
  <c r="F598" i="6"/>
  <c r="R598" i="6"/>
  <c r="L598" i="6"/>
  <c r="K598" i="6"/>
  <c r="AC598" i="6"/>
  <c r="B598" i="6"/>
  <c r="AB598" i="6"/>
  <c r="S598" i="6"/>
  <c r="J598" i="6"/>
  <c r="H598" i="6"/>
  <c r="AE598" i="6"/>
  <c r="N598" i="6"/>
  <c r="I598" i="6"/>
  <c r="C598" i="6"/>
  <c r="AJ598" i="6"/>
  <c r="AA598" i="6"/>
  <c r="Z598" i="6"/>
  <c r="V598" i="6"/>
  <c r="U598" i="6"/>
  <c r="T598" i="6"/>
  <c r="E598" i="6"/>
  <c r="D598" i="6"/>
  <c r="Y598" i="6"/>
  <c r="E165" i="6"/>
  <c r="K182" i="6"/>
  <c r="O229" i="6"/>
  <c r="F209" i="6"/>
  <c r="E381" i="6"/>
  <c r="Z413" i="6"/>
  <c r="B124" i="6"/>
  <c r="H138" i="6" s="1"/>
  <c r="H476" i="6" s="1"/>
  <c r="I550" i="6" s="1"/>
  <c r="K135" i="6"/>
  <c r="K473" i="6" s="1"/>
  <c r="L547" i="6" s="1"/>
  <c r="X319" i="6"/>
  <c r="X485" i="6" s="1"/>
  <c r="Y559" i="6" s="1"/>
  <c r="B297" i="6"/>
  <c r="T323" i="6" s="1"/>
  <c r="T489" i="6" s="1"/>
  <c r="U563" i="6" s="1"/>
  <c r="E251" i="6"/>
  <c r="Q274" i="6"/>
  <c r="E36" i="6"/>
  <c r="B44" i="6"/>
  <c r="B468" i="6" s="1"/>
  <c r="C542" i="6" s="1"/>
  <c r="G43" i="6"/>
  <c r="G467" i="6" s="1"/>
  <c r="H541" i="6" s="1"/>
  <c r="B40" i="6"/>
  <c r="B48" i="6" s="1"/>
  <c r="B472" i="6" s="1"/>
  <c r="C546" i="6" s="1"/>
  <c r="C427" i="6"/>
  <c r="AD462" i="6" s="1"/>
  <c r="AD499" i="6" s="1"/>
  <c r="AE573" i="6" s="1"/>
  <c r="AH458" i="6"/>
  <c r="AH495" i="6" s="1"/>
  <c r="AI569" i="6" s="1"/>
  <c r="Z412" i="6"/>
  <c r="E380" i="6"/>
  <c r="U580" i="6"/>
  <c r="E580" i="6"/>
  <c r="AE580" i="6"/>
  <c r="N580" i="6"/>
  <c r="AD580" i="6"/>
  <c r="M580" i="6"/>
  <c r="AH580" i="6"/>
  <c r="O580" i="6"/>
  <c r="AF580" i="6"/>
  <c r="K580" i="6"/>
  <c r="AC580" i="6"/>
  <c r="J580" i="6"/>
  <c r="Q580" i="6"/>
  <c r="P580" i="6"/>
  <c r="Z580" i="6"/>
  <c r="C580" i="6"/>
  <c r="X580" i="6"/>
  <c r="AB580" i="6"/>
  <c r="V580" i="6"/>
  <c r="T580" i="6"/>
  <c r="R580" i="6"/>
  <c r="W580" i="6"/>
  <c r="S580" i="6"/>
  <c r="H580" i="6"/>
  <c r="F580" i="6"/>
  <c r="B580" i="6"/>
  <c r="D580" i="6"/>
  <c r="AJ580" i="6"/>
  <c r="Y580" i="6"/>
  <c r="AG580" i="6"/>
  <c r="AA580" i="6"/>
  <c r="L580" i="6"/>
  <c r="I580" i="6"/>
  <c r="G580" i="6"/>
  <c r="AA601" i="6"/>
  <c r="K601" i="6"/>
  <c r="AH601" i="6"/>
  <c r="Q601" i="6"/>
  <c r="AG601" i="6"/>
  <c r="P601" i="6"/>
  <c r="AE601" i="6"/>
  <c r="N601" i="6"/>
  <c r="X601" i="6"/>
  <c r="G601" i="6"/>
  <c r="W601" i="6"/>
  <c r="F601" i="6"/>
  <c r="M601" i="6"/>
  <c r="J601" i="6"/>
  <c r="AJ601" i="6"/>
  <c r="I601" i="6"/>
  <c r="U601" i="6"/>
  <c r="T601" i="6"/>
  <c r="D601" i="6"/>
  <c r="AD601" i="6"/>
  <c r="B601" i="6"/>
  <c r="AB601" i="6"/>
  <c r="S601" i="6"/>
  <c r="R601" i="6"/>
  <c r="L601" i="6"/>
  <c r="V601" i="6"/>
  <c r="O601" i="6"/>
  <c r="C601" i="6"/>
  <c r="AF601" i="6"/>
  <c r="AC601" i="6"/>
  <c r="Y601" i="6"/>
  <c r="H601" i="6"/>
  <c r="E601" i="6"/>
  <c r="Z601" i="6"/>
  <c r="W587" i="6"/>
  <c r="G587" i="6"/>
  <c r="AF587" i="6"/>
  <c r="O587" i="6"/>
  <c r="AE587" i="6"/>
  <c r="N587" i="6"/>
  <c r="AC587" i="6"/>
  <c r="J587" i="6"/>
  <c r="AA587" i="6"/>
  <c r="H587" i="6"/>
  <c r="Z587" i="6"/>
  <c r="F587" i="6"/>
  <c r="R587" i="6"/>
  <c r="Q587" i="6"/>
  <c r="AD587" i="6"/>
  <c r="D587" i="6"/>
  <c r="Y587" i="6"/>
  <c r="B587" i="6"/>
  <c r="P587" i="6"/>
  <c r="I587" i="6"/>
  <c r="E587" i="6"/>
  <c r="AJ587" i="6"/>
  <c r="AB587" i="6"/>
  <c r="V587" i="6"/>
  <c r="T587" i="6"/>
  <c r="S587" i="6"/>
  <c r="M587" i="6"/>
  <c r="AH587" i="6"/>
  <c r="AG587" i="6"/>
  <c r="X587" i="6"/>
  <c r="U587" i="6"/>
  <c r="L587" i="6"/>
  <c r="K587" i="6"/>
  <c r="C587" i="6"/>
  <c r="AG606" i="6"/>
  <c r="Q606" i="6"/>
  <c r="AJ606" i="6"/>
  <c r="R606" i="6"/>
  <c r="AH606" i="6"/>
  <c r="P606" i="6"/>
  <c r="AE606" i="6"/>
  <c r="N606" i="6"/>
  <c r="Y606" i="6"/>
  <c r="H606" i="6"/>
  <c r="X606" i="6"/>
  <c r="G606" i="6"/>
  <c r="V606" i="6"/>
  <c r="E606" i="6"/>
  <c r="AC606" i="6"/>
  <c r="C606" i="6"/>
  <c r="AA606" i="6"/>
  <c r="Z606" i="6"/>
  <c r="M606" i="6"/>
  <c r="L606" i="6"/>
  <c r="AF606" i="6"/>
  <c r="AB606" i="6"/>
  <c r="U606" i="6"/>
  <c r="T606" i="6"/>
  <c r="O606" i="6"/>
  <c r="W606" i="6"/>
  <c r="S606" i="6"/>
  <c r="I606" i="6"/>
  <c r="D606" i="6"/>
  <c r="K606" i="6"/>
  <c r="J606" i="6"/>
  <c r="AD606" i="6"/>
  <c r="F606" i="6"/>
  <c r="B606" i="6"/>
  <c r="E168" i="6"/>
  <c r="N185" i="6" s="1"/>
  <c r="O184" i="6"/>
  <c r="O479" i="6" s="1"/>
  <c r="P553" i="6" s="1"/>
  <c r="F295" i="6"/>
  <c r="U321" i="6"/>
  <c r="H89" i="6"/>
  <c r="H470" i="6" s="1"/>
  <c r="I544" i="6" s="1"/>
  <c r="B81" i="6"/>
  <c r="E92" i="6" s="1"/>
  <c r="E473" i="6" s="1"/>
  <c r="F547" i="6" s="1"/>
  <c r="E297" i="6"/>
  <c r="W323" i="6" s="1"/>
  <c r="W489" i="6" s="1"/>
  <c r="X563" i="6" s="1"/>
  <c r="X322" i="6"/>
  <c r="X488" i="6" s="1"/>
  <c r="Y562" i="6" s="1"/>
  <c r="C169" i="6"/>
  <c r="L186" i="6" s="1"/>
  <c r="L481" i="6" s="1"/>
  <c r="M555" i="6" s="1"/>
  <c r="P182" i="6"/>
  <c r="P477" i="6" s="1"/>
  <c r="Q551" i="6" s="1"/>
  <c r="F46" i="6"/>
  <c r="F470" i="6" s="1"/>
  <c r="G544" i="6" s="1"/>
  <c r="E39" i="6"/>
  <c r="E47" i="6" s="1"/>
  <c r="E471" i="6" s="1"/>
  <c r="F545" i="6" s="1"/>
  <c r="E40" i="6"/>
  <c r="E48" i="6" s="1"/>
  <c r="E472" i="6" s="1"/>
  <c r="F546" i="6" s="1"/>
  <c r="G46" i="6"/>
  <c r="G470" i="6" s="1"/>
  <c r="H544" i="6" s="1"/>
  <c r="AE591" i="6"/>
  <c r="O591" i="6"/>
  <c r="AG591" i="6"/>
  <c r="P591" i="6"/>
  <c r="AF591" i="6"/>
  <c r="N591" i="6"/>
  <c r="V591" i="6"/>
  <c r="AD591" i="6"/>
  <c r="J591" i="6"/>
  <c r="AB591" i="6"/>
  <c r="H591" i="6"/>
  <c r="AA591" i="6"/>
  <c r="G591" i="6"/>
  <c r="Y591" i="6"/>
  <c r="B591" i="6"/>
  <c r="X591" i="6"/>
  <c r="M591" i="6"/>
  <c r="K591" i="6"/>
  <c r="F591" i="6"/>
  <c r="AJ591" i="6"/>
  <c r="AH591" i="6"/>
  <c r="Z591" i="6"/>
  <c r="AC591" i="6"/>
  <c r="T591" i="6"/>
  <c r="R591" i="6"/>
  <c r="L591" i="6"/>
  <c r="I591" i="6"/>
  <c r="E591" i="6"/>
  <c r="D591" i="6"/>
  <c r="C591" i="6"/>
  <c r="Q591" i="6"/>
  <c r="W591" i="6"/>
  <c r="U591" i="6"/>
  <c r="S591" i="6"/>
  <c r="Y610" i="6"/>
  <c r="I610" i="6"/>
  <c r="AJ610" i="6"/>
  <c r="R610" i="6"/>
  <c r="AH610" i="6"/>
  <c r="Q610" i="6"/>
  <c r="AF610" i="6"/>
  <c r="O610" i="6"/>
  <c r="Z610" i="6"/>
  <c r="H610" i="6"/>
  <c r="X610" i="6"/>
  <c r="G610" i="6"/>
  <c r="V610" i="6"/>
  <c r="E610" i="6"/>
  <c r="AD610" i="6"/>
  <c r="C610" i="6"/>
  <c r="AB610" i="6"/>
  <c r="AA610" i="6"/>
  <c r="M610" i="6"/>
  <c r="L610" i="6"/>
  <c r="AE610" i="6"/>
  <c r="W610" i="6"/>
  <c r="T610" i="6"/>
  <c r="S610" i="6"/>
  <c r="N610" i="6"/>
  <c r="F610" i="6"/>
  <c r="D610" i="6"/>
  <c r="AG610" i="6"/>
  <c r="U610" i="6"/>
  <c r="P610" i="6"/>
  <c r="K610" i="6"/>
  <c r="J610" i="6"/>
  <c r="B610" i="6"/>
  <c r="AC610" i="6"/>
  <c r="U604" i="6"/>
  <c r="E604" i="6"/>
  <c r="AH604" i="6"/>
  <c r="Q604" i="6"/>
  <c r="AG604" i="6"/>
  <c r="P604" i="6"/>
  <c r="AE604" i="6"/>
  <c r="N604" i="6"/>
  <c r="Y604" i="6"/>
  <c r="H604" i="6"/>
  <c r="X604" i="6"/>
  <c r="G604" i="6"/>
  <c r="V604" i="6"/>
  <c r="D604" i="6"/>
  <c r="O604" i="6"/>
  <c r="L604" i="6"/>
  <c r="K604" i="6"/>
  <c r="R604" i="6"/>
  <c r="M604" i="6"/>
  <c r="AD604" i="6"/>
  <c r="AB604" i="6"/>
  <c r="J604" i="6"/>
  <c r="B604" i="6"/>
  <c r="AC604" i="6"/>
  <c r="AA604" i="6"/>
  <c r="T604" i="6"/>
  <c r="I604" i="6"/>
  <c r="C604" i="6"/>
  <c r="AJ604" i="6"/>
  <c r="AF604" i="6"/>
  <c r="W604" i="6"/>
  <c r="S604" i="6"/>
  <c r="F604" i="6"/>
  <c r="Z604" i="6"/>
  <c r="L183" i="6"/>
  <c r="F166" i="6"/>
  <c r="E37" i="6"/>
  <c r="B45" i="6"/>
  <c r="B469" i="6" s="1"/>
  <c r="C543" i="6" s="1"/>
  <c r="AJ605" i="6"/>
  <c r="S605" i="6"/>
  <c r="C605" i="6"/>
  <c r="AH605" i="6"/>
  <c r="Q605" i="6"/>
  <c r="AG605" i="6"/>
  <c r="P605" i="6"/>
  <c r="AE605" i="6"/>
  <c r="N605" i="6"/>
  <c r="Y605" i="6"/>
  <c r="H605" i="6"/>
  <c r="X605" i="6"/>
  <c r="G605" i="6"/>
  <c r="V605" i="6"/>
  <c r="E605" i="6"/>
  <c r="J605" i="6"/>
  <c r="AF605" i="6"/>
  <c r="F605" i="6"/>
  <c r="AD605" i="6"/>
  <c r="D605" i="6"/>
  <c r="O605" i="6"/>
  <c r="M605" i="6"/>
  <c r="AC605" i="6"/>
  <c r="AA605" i="6"/>
  <c r="W605" i="6"/>
  <c r="L605" i="6"/>
  <c r="K605" i="6"/>
  <c r="B605" i="6"/>
  <c r="AB605" i="6"/>
  <c r="Z605" i="6"/>
  <c r="U605" i="6"/>
  <c r="R605" i="6"/>
  <c r="I605" i="6"/>
  <c r="T605" i="6"/>
  <c r="Y319" i="6"/>
  <c r="Y485" i="6" s="1"/>
  <c r="Z559" i="6" s="1"/>
  <c r="B298" i="6"/>
  <c r="T324" i="6" s="1"/>
  <c r="T490" i="6" s="1"/>
  <c r="U564" i="6" s="1"/>
  <c r="L136" i="6"/>
  <c r="L474" i="6" s="1"/>
  <c r="M548" i="6" s="1"/>
  <c r="C125" i="6"/>
  <c r="I139" i="6" s="1"/>
  <c r="I477" i="6" s="1"/>
  <c r="J551" i="6" s="1"/>
  <c r="R483" i="6"/>
  <c r="S557" i="6" s="1"/>
  <c r="P185" i="6"/>
  <c r="P480" i="6" s="1"/>
  <c r="Q554" i="6" s="1"/>
  <c r="F169" i="6"/>
  <c r="O186" i="6" s="1"/>
  <c r="Q482" i="6"/>
  <c r="R556" i="6" s="1"/>
  <c r="B82" i="6"/>
  <c r="E93" i="6" s="1"/>
  <c r="E474" i="6" s="1"/>
  <c r="F548" i="6" s="1"/>
  <c r="I89" i="6"/>
  <c r="I470" i="6" s="1"/>
  <c r="J544" i="6" s="1"/>
  <c r="AB493" i="6"/>
  <c r="AC567" i="6" s="1"/>
  <c r="F338" i="6"/>
  <c r="X367" i="6"/>
  <c r="Y594" i="6"/>
  <c r="I594" i="6"/>
  <c r="AG594" i="6"/>
  <c r="P594" i="6"/>
  <c r="AF594" i="6"/>
  <c r="O594" i="6"/>
  <c r="AD594" i="6"/>
  <c r="M594" i="6"/>
  <c r="W594" i="6"/>
  <c r="F594" i="6"/>
  <c r="V594" i="6"/>
  <c r="E594" i="6"/>
  <c r="AB594" i="6"/>
  <c r="C594" i="6"/>
  <c r="Z594" i="6"/>
  <c r="X594" i="6"/>
  <c r="N594" i="6"/>
  <c r="L594" i="6"/>
  <c r="AE594" i="6"/>
  <c r="AA594" i="6"/>
  <c r="T594" i="6"/>
  <c r="K594" i="6"/>
  <c r="J594" i="6"/>
  <c r="G594" i="6"/>
  <c r="AC594" i="6"/>
  <c r="S594" i="6"/>
  <c r="Q594" i="6"/>
  <c r="H594" i="6"/>
  <c r="D594" i="6"/>
  <c r="AJ594" i="6"/>
  <c r="R594" i="6"/>
  <c r="AH594" i="6"/>
  <c r="U594" i="6"/>
  <c r="B594" i="6"/>
  <c r="AJ581" i="6"/>
  <c r="S581" i="6"/>
  <c r="C581" i="6"/>
  <c r="AE581" i="6"/>
  <c r="N581" i="6"/>
  <c r="AD581" i="6"/>
  <c r="M581" i="6"/>
  <c r="T581" i="6"/>
  <c r="Q581" i="6"/>
  <c r="P581" i="6"/>
  <c r="AB581" i="6"/>
  <c r="F581" i="6"/>
  <c r="AA581" i="6"/>
  <c r="E581" i="6"/>
  <c r="R581" i="6"/>
  <c r="L581" i="6"/>
  <c r="Z581" i="6"/>
  <c r="V581" i="6"/>
  <c r="U581" i="6"/>
  <c r="K581" i="6"/>
  <c r="AF581" i="6"/>
  <c r="AC581" i="6"/>
  <c r="W581" i="6"/>
  <c r="J581" i="6"/>
  <c r="H581" i="6"/>
  <c r="G581" i="6"/>
  <c r="D581" i="6"/>
  <c r="AH581" i="6"/>
  <c r="AG581" i="6"/>
  <c r="X581" i="6"/>
  <c r="O581" i="6"/>
  <c r="I581" i="6"/>
  <c r="B581" i="6"/>
  <c r="Y581" i="6"/>
  <c r="AE583" i="6"/>
  <c r="O583" i="6"/>
  <c r="AF583" i="6"/>
  <c r="N583" i="6"/>
  <c r="AD583" i="6"/>
  <c r="M583" i="6"/>
  <c r="AB583" i="6"/>
  <c r="I583" i="6"/>
  <c r="Z583" i="6"/>
  <c r="G583" i="6"/>
  <c r="Y583" i="6"/>
  <c r="F583" i="6"/>
  <c r="AJ583" i="6"/>
  <c r="J583" i="6"/>
  <c r="AH583" i="6"/>
  <c r="H583" i="6"/>
  <c r="U583" i="6"/>
  <c r="S583" i="6"/>
  <c r="W583" i="6"/>
  <c r="Q583" i="6"/>
  <c r="P583" i="6"/>
  <c r="K583" i="6"/>
  <c r="C583" i="6"/>
  <c r="B583" i="6"/>
  <c r="AG583" i="6"/>
  <c r="AA583" i="6"/>
  <c r="X583" i="6"/>
  <c r="V583" i="6"/>
  <c r="AC583" i="6"/>
  <c r="T583" i="6"/>
  <c r="R583" i="6"/>
  <c r="L583" i="6"/>
  <c r="E583" i="6"/>
  <c r="D583" i="6"/>
  <c r="Z491" i="6"/>
  <c r="AA565" i="6" s="1"/>
  <c r="S231" i="6"/>
  <c r="S483" i="6" s="1"/>
  <c r="T557" i="6" s="1"/>
  <c r="F212" i="6"/>
  <c r="R232" i="6" s="1"/>
  <c r="R484" i="6" s="1"/>
  <c r="S558" i="6" s="1"/>
  <c r="R228" i="6"/>
  <c r="R480" i="6" s="1"/>
  <c r="S554" i="6" s="1"/>
  <c r="C211" i="6"/>
  <c r="O231" i="6" s="1"/>
  <c r="O483" i="6" s="1"/>
  <c r="P557" i="6" s="1"/>
  <c r="J475" i="6"/>
  <c r="K549" i="6" s="1"/>
  <c r="B211" i="6"/>
  <c r="N231" i="6" s="1"/>
  <c r="N483" i="6" s="1"/>
  <c r="O557" i="6" s="1"/>
  <c r="R227" i="6"/>
  <c r="R479" i="6" s="1"/>
  <c r="S553" i="6" s="1"/>
  <c r="L477" i="6"/>
  <c r="M551" i="6" s="1"/>
  <c r="R230" i="6"/>
  <c r="R482" i="6" s="1"/>
  <c r="S556" i="6" s="1"/>
  <c r="E211" i="6"/>
  <c r="Q231" i="6" s="1"/>
  <c r="Q483" i="6" s="1"/>
  <c r="R557" i="6" s="1"/>
  <c r="Q227" i="6"/>
  <c r="Q479" i="6" s="1"/>
  <c r="R553" i="6" s="1"/>
  <c r="B210" i="6"/>
  <c r="N230" i="6" s="1"/>
  <c r="N482" i="6" s="1"/>
  <c r="O556" i="6" s="1"/>
  <c r="C426" i="6"/>
  <c r="AD461" i="6" s="1"/>
  <c r="AD498" i="6" s="1"/>
  <c r="AE572" i="6" s="1"/>
  <c r="AG458" i="6"/>
  <c r="AG495" i="6" s="1"/>
  <c r="AH569" i="6" s="1"/>
  <c r="E82" i="6"/>
  <c r="H93" i="6" s="1"/>
  <c r="H474" i="6" s="1"/>
  <c r="I548" i="6" s="1"/>
  <c r="I92" i="6"/>
  <c r="I473" i="6" s="1"/>
  <c r="J547" i="6" s="1"/>
  <c r="AB366" i="6"/>
  <c r="AB489" i="6" s="1"/>
  <c r="AC563" i="6" s="1"/>
  <c r="C341" i="6"/>
  <c r="X370" i="6" s="1"/>
  <c r="X493" i="6" s="1"/>
  <c r="Y567" i="6" s="1"/>
  <c r="AC608" i="6"/>
  <c r="M608" i="6"/>
  <c r="AJ608" i="6"/>
  <c r="R608" i="6"/>
  <c r="AH608" i="6"/>
  <c r="Q608" i="6"/>
  <c r="AF608" i="6"/>
  <c r="O608" i="6"/>
  <c r="Y608" i="6"/>
  <c r="H608" i="6"/>
  <c r="X608" i="6"/>
  <c r="G608" i="6"/>
  <c r="V608" i="6"/>
  <c r="E608" i="6"/>
  <c r="P608" i="6"/>
  <c r="L608" i="6"/>
  <c r="K608" i="6"/>
  <c r="N608" i="6"/>
  <c r="J608" i="6"/>
  <c r="AD608" i="6"/>
  <c r="AA608" i="6"/>
  <c r="I608" i="6"/>
  <c r="B608" i="6"/>
  <c r="T608" i="6"/>
  <c r="S608" i="6"/>
  <c r="C608" i="6"/>
  <c r="AG608" i="6"/>
  <c r="W608" i="6"/>
  <c r="U608" i="6"/>
  <c r="F608" i="6"/>
  <c r="D608" i="6"/>
  <c r="AE608" i="6"/>
  <c r="AB608" i="6"/>
  <c r="Z608" i="6"/>
  <c r="Y602" i="6"/>
  <c r="I602" i="6"/>
  <c r="AH602" i="6"/>
  <c r="Q602" i="6"/>
  <c r="AG602" i="6"/>
  <c r="P602" i="6"/>
  <c r="AE602" i="6"/>
  <c r="N602" i="6"/>
  <c r="X602" i="6"/>
  <c r="G602" i="6"/>
  <c r="W602" i="6"/>
  <c r="F602" i="6"/>
  <c r="AC602" i="6"/>
  <c r="D602" i="6"/>
  <c r="AA602" i="6"/>
  <c r="B602" i="6"/>
  <c r="Z602" i="6"/>
  <c r="R602" i="6"/>
  <c r="O602" i="6"/>
  <c r="AJ602" i="6"/>
  <c r="C602" i="6"/>
  <c r="AD602" i="6"/>
  <c r="V602" i="6"/>
  <c r="U602" i="6"/>
  <c r="S602" i="6"/>
  <c r="AB602" i="6"/>
  <c r="M602" i="6"/>
  <c r="K602" i="6"/>
  <c r="J602" i="6"/>
  <c r="H602" i="6"/>
  <c r="L602" i="6"/>
  <c r="E602" i="6"/>
  <c r="T602" i="6"/>
  <c r="AF602" i="6"/>
  <c r="P481" i="6"/>
  <c r="Q555" i="6" s="1"/>
  <c r="Z365" i="6"/>
  <c r="Z488" i="6" s="1"/>
  <c r="AA562" i="6" s="1"/>
  <c r="B339" i="6"/>
  <c r="W368" i="6" s="1"/>
  <c r="W491" i="6" s="1"/>
  <c r="X565" i="6" s="1"/>
  <c r="U588" i="6"/>
  <c r="E588" i="6"/>
  <c r="AF588" i="6"/>
  <c r="O588" i="6"/>
  <c r="AE588" i="6"/>
  <c r="N588" i="6"/>
  <c r="AJ588" i="6"/>
  <c r="P588" i="6"/>
  <c r="AG588" i="6"/>
  <c r="L588" i="6"/>
  <c r="AD588" i="6"/>
  <c r="K588" i="6"/>
  <c r="AC588" i="6"/>
  <c r="G588" i="6"/>
  <c r="AB588" i="6"/>
  <c r="F588" i="6"/>
  <c r="T588" i="6"/>
  <c r="R588" i="6"/>
  <c r="M588" i="6"/>
  <c r="D588" i="6"/>
  <c r="C588" i="6"/>
  <c r="AH588" i="6"/>
  <c r="H588" i="6"/>
  <c r="B588" i="6"/>
  <c r="AA588" i="6"/>
  <c r="Y588" i="6"/>
  <c r="X588" i="6"/>
  <c r="W588" i="6"/>
  <c r="Z588" i="6"/>
  <c r="V588" i="6"/>
  <c r="S588" i="6"/>
  <c r="J588" i="6"/>
  <c r="I588" i="6"/>
  <c r="Q588" i="6"/>
  <c r="B425" i="6"/>
  <c r="AC460" i="6" s="1"/>
  <c r="AC497" i="6" s="1"/>
  <c r="AD571" i="6" s="1"/>
  <c r="AF457" i="6"/>
  <c r="AF494" i="6" s="1"/>
  <c r="AG568" i="6" s="1"/>
  <c r="I90" i="6"/>
  <c r="I471" i="6" s="1"/>
  <c r="J545" i="6" s="1"/>
  <c r="C82" i="6"/>
  <c r="F93" i="6" s="1"/>
  <c r="F474" i="6" s="1"/>
  <c r="G548" i="6" s="1"/>
  <c r="E208" i="6"/>
  <c r="N228" i="6"/>
  <c r="Y323" i="6"/>
  <c r="Y489" i="6" s="1"/>
  <c r="Z563" i="6" s="1"/>
  <c r="F298" i="6"/>
  <c r="X324" i="6" s="1"/>
  <c r="C40" i="6"/>
  <c r="C48" i="6" s="1"/>
  <c r="C472" i="6" s="1"/>
  <c r="D546" i="6" s="1"/>
  <c r="G44" i="6"/>
  <c r="G468" i="6" s="1"/>
  <c r="H542" i="6" s="1"/>
  <c r="X489" i="6"/>
  <c r="Y563" i="6" s="1"/>
  <c r="E79" i="6"/>
  <c r="E90" i="6"/>
  <c r="E295" i="6"/>
  <c r="T321" i="6"/>
  <c r="U596" i="6"/>
  <c r="E596" i="6"/>
  <c r="AG596" i="6"/>
  <c r="P596" i="6"/>
  <c r="AF596" i="6"/>
  <c r="O596" i="6"/>
  <c r="AD596" i="6"/>
  <c r="M596" i="6"/>
  <c r="X596" i="6"/>
  <c r="G596" i="6"/>
  <c r="W596" i="6"/>
  <c r="F596" i="6"/>
  <c r="AJ596" i="6"/>
  <c r="J596" i="6"/>
  <c r="AE596" i="6"/>
  <c r="H596" i="6"/>
  <c r="AC596" i="6"/>
  <c r="D596" i="6"/>
  <c r="I596" i="6"/>
  <c r="C596" i="6"/>
  <c r="V596" i="6"/>
  <c r="S596" i="6"/>
  <c r="Z596" i="6"/>
  <c r="Y596" i="6"/>
  <c r="R596" i="6"/>
  <c r="AA596" i="6"/>
  <c r="T596" i="6"/>
  <c r="L596" i="6"/>
  <c r="B596" i="6"/>
  <c r="AB596" i="6"/>
  <c r="Q596" i="6"/>
  <c r="N596" i="6"/>
  <c r="K596" i="6"/>
  <c r="AH596" i="6"/>
  <c r="AA585" i="6"/>
  <c r="K585" i="6"/>
  <c r="AF585" i="6"/>
  <c r="O585" i="6"/>
  <c r="AE585" i="6"/>
  <c r="N585" i="6"/>
  <c r="T585" i="6"/>
  <c r="R585" i="6"/>
  <c r="Q585" i="6"/>
  <c r="L585" i="6"/>
  <c r="AJ585" i="6"/>
  <c r="J585" i="6"/>
  <c r="Y585" i="6"/>
  <c r="C585" i="6"/>
  <c r="W585" i="6"/>
  <c r="U585" i="6"/>
  <c r="I585" i="6"/>
  <c r="H585" i="6"/>
  <c r="F585" i="6"/>
  <c r="X585" i="6"/>
  <c r="V585" i="6"/>
  <c r="M585" i="6"/>
  <c r="E585" i="6"/>
  <c r="B585" i="6"/>
  <c r="AH585" i="6"/>
  <c r="AD585" i="6"/>
  <c r="AC585" i="6"/>
  <c r="AB585" i="6"/>
  <c r="Z585" i="6"/>
  <c r="S585" i="6"/>
  <c r="P585" i="6"/>
  <c r="AG585" i="6"/>
  <c r="G585" i="6"/>
  <c r="D585" i="6"/>
  <c r="B125" i="6"/>
  <c r="H139" i="6" s="1"/>
  <c r="H477" i="6" s="1"/>
  <c r="I551" i="6" s="1"/>
  <c r="L135" i="6"/>
  <c r="L473" i="6" s="1"/>
  <c r="M547" i="6" s="1"/>
  <c r="B382" i="6"/>
  <c r="Z414" i="6" s="1"/>
  <c r="Z494" i="6" s="1"/>
  <c r="AA568" i="6" s="1"/>
  <c r="AC411" i="6"/>
  <c r="AC491" i="6" s="1"/>
  <c r="AD565" i="6" s="1"/>
  <c r="C83" i="6"/>
  <c r="F94" i="6" s="1"/>
  <c r="F475" i="6" s="1"/>
  <c r="G549" i="6" s="1"/>
  <c r="J90" i="6"/>
  <c r="J471" i="6" s="1"/>
  <c r="K545" i="6" s="1"/>
  <c r="I474" i="6"/>
  <c r="J548" i="6" s="1"/>
  <c r="E212" i="6"/>
  <c r="Q232" i="6" s="1"/>
  <c r="Q484" i="6" s="1"/>
  <c r="R558" i="6" s="1"/>
  <c r="S230" i="6"/>
  <c r="S482" i="6" s="1"/>
  <c r="T556" i="6" s="1"/>
  <c r="Y320" i="6"/>
  <c r="Y486" i="6" s="1"/>
  <c r="Z560" i="6" s="1"/>
  <c r="C298" i="6"/>
  <c r="U324" i="6" s="1"/>
  <c r="U490" i="6" s="1"/>
  <c r="V564" i="6" s="1"/>
  <c r="G47" i="6"/>
  <c r="G471" i="6" s="1"/>
  <c r="H545" i="6" s="1"/>
  <c r="F40" i="6"/>
  <c r="F48" i="6" s="1"/>
  <c r="F472" i="6" s="1"/>
  <c r="G546" i="6" s="1"/>
  <c r="C297" i="6"/>
  <c r="U323" i="6" s="1"/>
  <c r="U489" i="6" s="1"/>
  <c r="V563" i="6" s="1"/>
  <c r="X320" i="6"/>
  <c r="X486" i="6" s="1"/>
  <c r="Y560" i="6" s="1"/>
  <c r="AB369" i="6"/>
  <c r="AB492" i="6" s="1"/>
  <c r="AC566" i="6" s="1"/>
  <c r="F341" i="6"/>
  <c r="AA370" i="6" s="1"/>
  <c r="AA493" i="6" s="1"/>
  <c r="AB567" i="6" s="1"/>
  <c r="AA609" i="6"/>
  <c r="K609" i="6"/>
  <c r="AJ609" i="6"/>
  <c r="R609" i="6"/>
  <c r="AH609" i="6"/>
  <c r="Q609" i="6"/>
  <c r="AF609" i="6"/>
  <c r="O609" i="6"/>
  <c r="Y609" i="6"/>
  <c r="H609" i="6"/>
  <c r="X609" i="6"/>
  <c r="G609" i="6"/>
  <c r="V609" i="6"/>
  <c r="E609" i="6"/>
  <c r="J609" i="6"/>
  <c r="AG609" i="6"/>
  <c r="F609" i="6"/>
  <c r="AE609" i="6"/>
  <c r="D609" i="6"/>
  <c r="N609" i="6"/>
  <c r="M609" i="6"/>
  <c r="AC609" i="6"/>
  <c r="Z609" i="6"/>
  <c r="U609" i="6"/>
  <c r="L609" i="6"/>
  <c r="I609" i="6"/>
  <c r="B609" i="6"/>
  <c r="AB609" i="6"/>
  <c r="T609" i="6"/>
  <c r="P609" i="6"/>
  <c r="C609" i="6"/>
  <c r="AD609" i="6"/>
  <c r="W609" i="6"/>
  <c r="S609" i="6"/>
  <c r="W603" i="6"/>
  <c r="G603" i="6"/>
  <c r="AH603" i="6"/>
  <c r="Q603" i="6"/>
  <c r="AG603" i="6"/>
  <c r="P603" i="6"/>
  <c r="AE603" i="6"/>
  <c r="N603" i="6"/>
  <c r="Y603" i="6"/>
  <c r="H603" i="6"/>
  <c r="X603" i="6"/>
  <c r="F603" i="6"/>
  <c r="U603" i="6"/>
  <c r="D603" i="6"/>
  <c r="V603" i="6"/>
  <c r="S603" i="6"/>
  <c r="R603" i="6"/>
  <c r="M603" i="6"/>
  <c r="L603" i="6"/>
  <c r="AF603" i="6"/>
  <c r="AC603" i="6"/>
  <c r="C603" i="6"/>
  <c r="AJ603" i="6"/>
  <c r="AB603" i="6"/>
  <c r="I603" i="6"/>
  <c r="E603" i="6"/>
  <c r="AD603" i="6"/>
  <c r="AA603" i="6"/>
  <c r="Z603" i="6"/>
  <c r="T603" i="6"/>
  <c r="K603" i="6"/>
  <c r="O603" i="6"/>
  <c r="J603" i="6"/>
  <c r="B603" i="6"/>
  <c r="T588" i="5"/>
  <c r="D588" i="5"/>
  <c r="Z588" i="5"/>
  <c r="I588" i="5"/>
  <c r="Y588" i="5"/>
  <c r="H588" i="5"/>
  <c r="S588" i="5"/>
  <c r="R588" i="5"/>
  <c r="AB588" i="5"/>
  <c r="E588" i="5"/>
  <c r="X588" i="5"/>
  <c r="B588" i="5"/>
  <c r="W588" i="5"/>
  <c r="P588" i="5"/>
  <c r="AJ588" i="5"/>
  <c r="N588" i="5"/>
  <c r="AF588" i="5"/>
  <c r="AD588" i="5"/>
  <c r="AC588" i="5"/>
  <c r="L588" i="5"/>
  <c r="K588" i="5"/>
  <c r="J588" i="5"/>
  <c r="G588" i="5"/>
  <c r="AE588" i="5"/>
  <c r="AA588" i="5"/>
  <c r="V588" i="5"/>
  <c r="F588" i="5"/>
  <c r="AH588" i="5"/>
  <c r="U588" i="5"/>
  <c r="Q588" i="5"/>
  <c r="AG588" i="5"/>
  <c r="O588" i="5"/>
  <c r="C588" i="5"/>
  <c r="M588" i="5"/>
  <c r="E212" i="5"/>
  <c r="Q232" i="5" s="1"/>
  <c r="S230" i="5"/>
  <c r="S482" i="5" s="1"/>
  <c r="T556" i="5" s="1"/>
  <c r="R227" i="5"/>
  <c r="R479" i="5" s="1"/>
  <c r="S553" i="5" s="1"/>
  <c r="B211" i="5"/>
  <c r="N231" i="5" s="1"/>
  <c r="N483" i="5" s="1"/>
  <c r="O557" i="5" s="1"/>
  <c r="M136" i="5"/>
  <c r="M474" i="5" s="1"/>
  <c r="N548" i="5" s="1"/>
  <c r="C126" i="5"/>
  <c r="I140" i="5" s="1"/>
  <c r="I478" i="5" s="1"/>
  <c r="J552" i="5" s="1"/>
  <c r="B296" i="5"/>
  <c r="T322" i="5" s="1"/>
  <c r="T488" i="5" s="1"/>
  <c r="U562" i="5" s="1"/>
  <c r="W319" i="5"/>
  <c r="W485" i="5" s="1"/>
  <c r="X559" i="5" s="1"/>
  <c r="AF582" i="5"/>
  <c r="P582" i="5"/>
  <c r="Y582" i="5"/>
  <c r="H582" i="5"/>
  <c r="X582" i="5"/>
  <c r="G582" i="5"/>
  <c r="AC582" i="5"/>
  <c r="J582" i="5"/>
  <c r="AB582" i="5"/>
  <c r="I582" i="5"/>
  <c r="AE582" i="5"/>
  <c r="F582" i="5"/>
  <c r="AA582" i="5"/>
  <c r="D582" i="5"/>
  <c r="Z582" i="5"/>
  <c r="C582" i="5"/>
  <c r="R582" i="5"/>
  <c r="T582" i="5"/>
  <c r="Q582" i="5"/>
  <c r="O582" i="5"/>
  <c r="AD582" i="5"/>
  <c r="W582" i="5"/>
  <c r="V582" i="5"/>
  <c r="U582" i="5"/>
  <c r="M582" i="5"/>
  <c r="E582" i="5"/>
  <c r="B582" i="5"/>
  <c r="AJ582" i="5"/>
  <c r="AH582" i="5"/>
  <c r="AG582" i="5"/>
  <c r="N582" i="5"/>
  <c r="L582" i="5"/>
  <c r="K582" i="5"/>
  <c r="S582" i="5"/>
  <c r="T596" i="5"/>
  <c r="D596" i="5"/>
  <c r="AA596" i="5"/>
  <c r="J596" i="5"/>
  <c r="Z596" i="5"/>
  <c r="I596" i="5"/>
  <c r="U596" i="5"/>
  <c r="S596" i="5"/>
  <c r="W596" i="5"/>
  <c r="R596" i="5"/>
  <c r="Q596" i="5"/>
  <c r="AH596" i="5"/>
  <c r="M596" i="5"/>
  <c r="AF596" i="5"/>
  <c r="K596" i="5"/>
  <c r="AE596" i="5"/>
  <c r="H596" i="5"/>
  <c r="G596" i="5"/>
  <c r="E596" i="5"/>
  <c r="C596" i="5"/>
  <c r="X596" i="5"/>
  <c r="O596" i="5"/>
  <c r="N596" i="5"/>
  <c r="L596" i="5"/>
  <c r="F596" i="5"/>
  <c r="AG596" i="5"/>
  <c r="AD596" i="5"/>
  <c r="AC596" i="5"/>
  <c r="B596" i="5"/>
  <c r="AB596" i="5"/>
  <c r="Y596" i="5"/>
  <c r="AJ596" i="5"/>
  <c r="P596" i="5"/>
  <c r="V596" i="5"/>
  <c r="J93" i="5"/>
  <c r="J474" i="5" s="1"/>
  <c r="K548" i="5" s="1"/>
  <c r="F83" i="5"/>
  <c r="I94" i="5" s="1"/>
  <c r="I475" i="5" s="1"/>
  <c r="J549" i="5" s="1"/>
  <c r="S227" i="5"/>
  <c r="S479" i="5" s="1"/>
  <c r="T553" i="5" s="1"/>
  <c r="B212" i="5"/>
  <c r="N232" i="5" s="1"/>
  <c r="N484" i="5" s="1"/>
  <c r="O558" i="5" s="1"/>
  <c r="R230" i="5"/>
  <c r="R482" i="5" s="1"/>
  <c r="S556" i="5" s="1"/>
  <c r="E211" i="5"/>
  <c r="Q231" i="5" s="1"/>
  <c r="M478" i="5"/>
  <c r="N552" i="5" s="1"/>
  <c r="E255" i="5"/>
  <c r="T278" i="5" s="1"/>
  <c r="V276" i="5"/>
  <c r="V485" i="5" s="1"/>
  <c r="W559" i="5" s="1"/>
  <c r="F126" i="5"/>
  <c r="L140" i="5" s="1"/>
  <c r="M139" i="5"/>
  <c r="M477" i="5" s="1"/>
  <c r="N551" i="5" s="1"/>
  <c r="AB584" i="5"/>
  <c r="L584" i="5"/>
  <c r="Y584" i="5"/>
  <c r="H584" i="5"/>
  <c r="X584" i="5"/>
  <c r="G584" i="5"/>
  <c r="S584" i="5"/>
  <c r="R584" i="5"/>
  <c r="AD584" i="5"/>
  <c r="F584" i="5"/>
  <c r="AA584" i="5"/>
  <c r="D584" i="5"/>
  <c r="Z584" i="5"/>
  <c r="C584" i="5"/>
  <c r="P584" i="5"/>
  <c r="M584" i="5"/>
  <c r="J584" i="5"/>
  <c r="AJ584" i="5"/>
  <c r="I584" i="5"/>
  <c r="AF584" i="5"/>
  <c r="AE584" i="5"/>
  <c r="AC584" i="5"/>
  <c r="W584" i="5"/>
  <c r="T584" i="5"/>
  <c r="N584" i="5"/>
  <c r="K584" i="5"/>
  <c r="E584" i="5"/>
  <c r="AH584" i="5"/>
  <c r="AG584" i="5"/>
  <c r="U584" i="5"/>
  <c r="Q584" i="5"/>
  <c r="B584" i="5"/>
  <c r="V584" i="5"/>
  <c r="O584" i="5"/>
  <c r="Z585" i="5"/>
  <c r="J585" i="5"/>
  <c r="Y585" i="5"/>
  <c r="H585" i="5"/>
  <c r="X585" i="5"/>
  <c r="G585" i="5"/>
  <c r="W585" i="5"/>
  <c r="D585" i="5"/>
  <c r="V585" i="5"/>
  <c r="C585" i="5"/>
  <c r="Q585" i="5"/>
  <c r="O585" i="5"/>
  <c r="AJ585" i="5"/>
  <c r="N585" i="5"/>
  <c r="AC585" i="5"/>
  <c r="E585" i="5"/>
  <c r="I585" i="5"/>
  <c r="AG585" i="5"/>
  <c r="B585" i="5"/>
  <c r="AF585" i="5"/>
  <c r="AH585" i="5"/>
  <c r="AE585" i="5"/>
  <c r="AD585" i="5"/>
  <c r="AB585" i="5"/>
  <c r="T585" i="5"/>
  <c r="P585" i="5"/>
  <c r="M585" i="5"/>
  <c r="L585" i="5"/>
  <c r="AA585" i="5"/>
  <c r="S585" i="5"/>
  <c r="R585" i="5"/>
  <c r="K585" i="5"/>
  <c r="F585" i="5"/>
  <c r="U585" i="5"/>
  <c r="AD591" i="5"/>
  <c r="N591" i="5"/>
  <c r="Z591" i="5"/>
  <c r="I591" i="5"/>
  <c r="Y591" i="5"/>
  <c r="H591" i="5"/>
  <c r="AJ591" i="5"/>
  <c r="P591" i="5"/>
  <c r="AH591" i="5"/>
  <c r="O591" i="5"/>
  <c r="M591" i="5"/>
  <c r="AG591" i="5"/>
  <c r="K591" i="5"/>
  <c r="AF591" i="5"/>
  <c r="J591" i="5"/>
  <c r="AA591" i="5"/>
  <c r="D591" i="5"/>
  <c r="W591" i="5"/>
  <c r="B591" i="5"/>
  <c r="V591" i="5"/>
  <c r="AE591" i="5"/>
  <c r="AC591" i="5"/>
  <c r="Q591" i="5"/>
  <c r="U591" i="5"/>
  <c r="R591" i="5"/>
  <c r="L591" i="5"/>
  <c r="G591" i="5"/>
  <c r="X591" i="5"/>
  <c r="T591" i="5"/>
  <c r="F591" i="5"/>
  <c r="E591" i="5"/>
  <c r="S591" i="5"/>
  <c r="C591" i="5"/>
  <c r="AB591" i="5"/>
  <c r="T604" i="5"/>
  <c r="D604" i="5"/>
  <c r="AD604" i="5"/>
  <c r="M604" i="5"/>
  <c r="AB604" i="5"/>
  <c r="K604" i="5"/>
  <c r="AA604" i="5"/>
  <c r="J604" i="5"/>
  <c r="AE604" i="5"/>
  <c r="H604" i="5"/>
  <c r="AC604" i="5"/>
  <c r="G604" i="5"/>
  <c r="X604" i="5"/>
  <c r="V604" i="5"/>
  <c r="U604" i="5"/>
  <c r="P604" i="5"/>
  <c r="N604" i="5"/>
  <c r="AJ604" i="5"/>
  <c r="L604" i="5"/>
  <c r="AF604" i="5"/>
  <c r="Y604" i="5"/>
  <c r="W604" i="5"/>
  <c r="E604" i="5"/>
  <c r="AH604" i="5"/>
  <c r="AG604" i="5"/>
  <c r="Z604" i="5"/>
  <c r="Q604" i="5"/>
  <c r="F604" i="5"/>
  <c r="C604" i="5"/>
  <c r="B604" i="5"/>
  <c r="S604" i="5"/>
  <c r="O604" i="5"/>
  <c r="I604" i="5"/>
  <c r="R604" i="5"/>
  <c r="T273" i="5"/>
  <c r="T482" i="5" s="1"/>
  <c r="U556" i="5" s="1"/>
  <c r="B253" i="5"/>
  <c r="Q276" i="5" s="1"/>
  <c r="Q485" i="5" s="1"/>
  <c r="R559" i="5" s="1"/>
  <c r="F80" i="5"/>
  <c r="F91" i="5"/>
  <c r="F472" i="5" s="1"/>
  <c r="G546" i="5" s="1"/>
  <c r="AD414" i="5"/>
  <c r="AD494" i="5" s="1"/>
  <c r="AE568" i="5" s="1"/>
  <c r="E383" i="5"/>
  <c r="AC415" i="5" s="1"/>
  <c r="AC495" i="5" s="1"/>
  <c r="AD569" i="5" s="1"/>
  <c r="C212" i="5"/>
  <c r="O232" i="5" s="1"/>
  <c r="O484" i="5" s="1"/>
  <c r="P558" i="5" s="1"/>
  <c r="S228" i="5"/>
  <c r="S480" i="5" s="1"/>
  <c r="T554" i="5" s="1"/>
  <c r="B255" i="5"/>
  <c r="Q278" i="5" s="1"/>
  <c r="Q487" i="5" s="1"/>
  <c r="R561" i="5" s="1"/>
  <c r="V273" i="5"/>
  <c r="V482" i="5" s="1"/>
  <c r="W556" i="5" s="1"/>
  <c r="Y320" i="5"/>
  <c r="Y486" i="5" s="1"/>
  <c r="Z560" i="5" s="1"/>
  <c r="C298" i="5"/>
  <c r="U324" i="5" s="1"/>
  <c r="U490" i="5" s="1"/>
  <c r="V564" i="5" s="1"/>
  <c r="I137" i="5"/>
  <c r="F123" i="5"/>
  <c r="X594" i="5"/>
  <c r="H594" i="5"/>
  <c r="AA594" i="5"/>
  <c r="J594" i="5"/>
  <c r="Z594" i="5"/>
  <c r="I594" i="5"/>
  <c r="AE594" i="5"/>
  <c r="L594" i="5"/>
  <c r="AD594" i="5"/>
  <c r="K594" i="5"/>
  <c r="V594" i="5"/>
  <c r="T594" i="5"/>
  <c r="S594" i="5"/>
  <c r="O594" i="5"/>
  <c r="AH594" i="5"/>
  <c r="M594" i="5"/>
  <c r="AG594" i="5"/>
  <c r="G594" i="5"/>
  <c r="D594" i="5"/>
  <c r="B594" i="5"/>
  <c r="AJ594" i="5"/>
  <c r="R594" i="5"/>
  <c r="AF594" i="5"/>
  <c r="AC594" i="5"/>
  <c r="AB594" i="5"/>
  <c r="Y594" i="5"/>
  <c r="Q594" i="5"/>
  <c r="F594" i="5"/>
  <c r="E594" i="5"/>
  <c r="C594" i="5"/>
  <c r="U594" i="5"/>
  <c r="P594" i="5"/>
  <c r="N594" i="5"/>
  <c r="W594" i="5"/>
  <c r="O229" i="5"/>
  <c r="F209" i="5"/>
  <c r="B169" i="5"/>
  <c r="K186" i="5" s="1"/>
  <c r="K481" i="5" s="1"/>
  <c r="L555" i="5" s="1"/>
  <c r="P181" i="5"/>
  <c r="P476" i="5" s="1"/>
  <c r="Q550" i="5" s="1"/>
  <c r="F298" i="5"/>
  <c r="X324" i="5" s="1"/>
  <c r="X490" i="5" s="1"/>
  <c r="Y564" i="5" s="1"/>
  <c r="Y323" i="5"/>
  <c r="Y489" i="5" s="1"/>
  <c r="Z563" i="5" s="1"/>
  <c r="V487" i="5"/>
  <c r="W561" i="5" s="1"/>
  <c r="AH589" i="5"/>
  <c r="R589" i="5"/>
  <c r="B589" i="5"/>
  <c r="Z589" i="5"/>
  <c r="I589" i="5"/>
  <c r="Y589" i="5"/>
  <c r="H589" i="5"/>
  <c r="X589" i="5"/>
  <c r="E589" i="5"/>
  <c r="W589" i="5"/>
  <c r="D589" i="5"/>
  <c r="O589" i="5"/>
  <c r="AJ589" i="5"/>
  <c r="M589" i="5"/>
  <c r="AG589" i="5"/>
  <c r="L589" i="5"/>
  <c r="AC589" i="5"/>
  <c r="F589" i="5"/>
  <c r="AA589" i="5"/>
  <c r="V589" i="5"/>
  <c r="AF589" i="5"/>
  <c r="AD589" i="5"/>
  <c r="AB589" i="5"/>
  <c r="Q589" i="5"/>
  <c r="P589" i="5"/>
  <c r="N589" i="5"/>
  <c r="K589" i="5"/>
  <c r="C589" i="5"/>
  <c r="AE589" i="5"/>
  <c r="U589" i="5"/>
  <c r="T589" i="5"/>
  <c r="S589" i="5"/>
  <c r="G589" i="5"/>
  <c r="J589" i="5"/>
  <c r="V603" i="5"/>
  <c r="F603" i="5"/>
  <c r="AD603" i="5"/>
  <c r="M603" i="5"/>
  <c r="AB603" i="5"/>
  <c r="K603" i="5"/>
  <c r="AA603" i="5"/>
  <c r="J603" i="5"/>
  <c r="U603" i="5"/>
  <c r="T603" i="5"/>
  <c r="AJ603" i="5"/>
  <c r="L603" i="5"/>
  <c r="AG603" i="5"/>
  <c r="H603" i="5"/>
  <c r="AF603" i="5"/>
  <c r="G603" i="5"/>
  <c r="Y603" i="5"/>
  <c r="B603" i="5"/>
  <c r="W603" i="5"/>
  <c r="S603" i="5"/>
  <c r="Z603" i="5"/>
  <c r="R603" i="5"/>
  <c r="Q603" i="5"/>
  <c r="C603" i="5"/>
  <c r="P603" i="5"/>
  <c r="O603" i="5"/>
  <c r="N603" i="5"/>
  <c r="I603" i="5"/>
  <c r="AH603" i="5"/>
  <c r="AE603" i="5"/>
  <c r="AC603" i="5"/>
  <c r="X603" i="5"/>
  <c r="D603" i="5"/>
  <c r="E603" i="5"/>
  <c r="AG459" i="5"/>
  <c r="AG496" i="5" s="1"/>
  <c r="AH570" i="5" s="1"/>
  <c r="D426" i="5"/>
  <c r="AE461" i="5" s="1"/>
  <c r="AE498" i="5" s="1"/>
  <c r="AF572" i="5" s="1"/>
  <c r="M135" i="5"/>
  <c r="M473" i="5" s="1"/>
  <c r="N547" i="5" s="1"/>
  <c r="B126" i="5"/>
  <c r="H140" i="5" s="1"/>
  <c r="H478" i="5" s="1"/>
  <c r="I552" i="5" s="1"/>
  <c r="Z601" i="5"/>
  <c r="J601" i="5"/>
  <c r="AD601" i="5"/>
  <c r="AB601" i="5"/>
  <c r="K601" i="5"/>
  <c r="AA601" i="5"/>
  <c r="I601" i="5"/>
  <c r="Y601" i="5"/>
  <c r="F601" i="5"/>
  <c r="X601" i="5"/>
  <c r="E601" i="5"/>
  <c r="AG601" i="5"/>
  <c r="H601" i="5"/>
  <c r="AE601" i="5"/>
  <c r="D601" i="5"/>
  <c r="AC601" i="5"/>
  <c r="C601" i="5"/>
  <c r="T601" i="5"/>
  <c r="R601" i="5"/>
  <c r="Q601" i="5"/>
  <c r="P601" i="5"/>
  <c r="N601" i="5"/>
  <c r="M601" i="5"/>
  <c r="AH601" i="5"/>
  <c r="AJ601" i="5"/>
  <c r="AF601" i="5"/>
  <c r="W601" i="5"/>
  <c r="S601" i="5"/>
  <c r="G601" i="5"/>
  <c r="B601" i="5"/>
  <c r="V601" i="5"/>
  <c r="O601" i="5"/>
  <c r="L601" i="5"/>
  <c r="U601" i="5"/>
  <c r="C83" i="5"/>
  <c r="F94" i="5" s="1"/>
  <c r="F475" i="5" s="1"/>
  <c r="G549" i="5" s="1"/>
  <c r="J90" i="5"/>
  <c r="J471" i="5" s="1"/>
  <c r="K545" i="5" s="1"/>
  <c r="E126" i="5"/>
  <c r="K140" i="5" s="1"/>
  <c r="K478" i="5" s="1"/>
  <c r="L552" i="5" s="1"/>
  <c r="M138" i="5"/>
  <c r="M476" i="5" s="1"/>
  <c r="N550" i="5" s="1"/>
  <c r="E169" i="5"/>
  <c r="N186" i="5" s="1"/>
  <c r="P184" i="5"/>
  <c r="P479" i="5" s="1"/>
  <c r="Q553" i="5" s="1"/>
  <c r="AE494" i="5"/>
  <c r="AF568" i="5" s="1"/>
  <c r="S484" i="5"/>
  <c r="T558" i="5" s="1"/>
  <c r="X586" i="5"/>
  <c r="H586" i="5"/>
  <c r="Z586" i="5"/>
  <c r="I586" i="5"/>
  <c r="Y586" i="5"/>
  <c r="G586" i="5"/>
  <c r="AD586" i="5"/>
  <c r="K586" i="5"/>
  <c r="AC586" i="5"/>
  <c r="J586" i="5"/>
  <c r="AB586" i="5"/>
  <c r="D586" i="5"/>
  <c r="W586" i="5"/>
  <c r="B586" i="5"/>
  <c r="V586" i="5"/>
  <c r="R586" i="5"/>
  <c r="P586" i="5"/>
  <c r="AJ586" i="5"/>
  <c r="C586" i="5"/>
  <c r="AG586" i="5"/>
  <c r="AF586" i="5"/>
  <c r="AH586" i="5"/>
  <c r="U586" i="5"/>
  <c r="Q586" i="5"/>
  <c r="O586" i="5"/>
  <c r="N586" i="5"/>
  <c r="AA586" i="5"/>
  <c r="T586" i="5"/>
  <c r="M586" i="5"/>
  <c r="L586" i="5"/>
  <c r="F586" i="5"/>
  <c r="AE586" i="5"/>
  <c r="S586" i="5"/>
  <c r="E586" i="5"/>
  <c r="AB600" i="5"/>
  <c r="L600" i="5"/>
  <c r="AA600" i="5"/>
  <c r="J600" i="5"/>
  <c r="Z600" i="5"/>
  <c r="I600" i="5"/>
  <c r="U600" i="5"/>
  <c r="B600" i="5"/>
  <c r="T600" i="5"/>
  <c r="S600" i="5"/>
  <c r="Q600" i="5"/>
  <c r="P600" i="5"/>
  <c r="AG600" i="5"/>
  <c r="K600" i="5"/>
  <c r="AE600" i="5"/>
  <c r="G600" i="5"/>
  <c r="AD600" i="5"/>
  <c r="F600" i="5"/>
  <c r="O600" i="5"/>
  <c r="M600" i="5"/>
  <c r="H600" i="5"/>
  <c r="AC600" i="5"/>
  <c r="W600" i="5"/>
  <c r="V600" i="5"/>
  <c r="R600" i="5"/>
  <c r="N600" i="5"/>
  <c r="C600" i="5"/>
  <c r="AJ600" i="5"/>
  <c r="AH600" i="5"/>
  <c r="AF600" i="5"/>
  <c r="Y600" i="5"/>
  <c r="X600" i="5"/>
  <c r="D600" i="5"/>
  <c r="E600" i="5"/>
  <c r="N229" i="5"/>
  <c r="E209" i="5"/>
  <c r="H137" i="5"/>
  <c r="E123" i="5"/>
  <c r="S231" i="5"/>
  <c r="S483" i="5" s="1"/>
  <c r="T557" i="5" s="1"/>
  <c r="F212" i="5"/>
  <c r="R232" i="5" s="1"/>
  <c r="R484" i="5" s="1"/>
  <c r="S558" i="5" s="1"/>
  <c r="U275" i="5"/>
  <c r="U484" i="5" s="1"/>
  <c r="V558" i="5" s="1"/>
  <c r="D254" i="5"/>
  <c r="S277" i="5" s="1"/>
  <c r="S486" i="5" s="1"/>
  <c r="T560" i="5" s="1"/>
  <c r="B38" i="5"/>
  <c r="B46" i="5" s="1"/>
  <c r="B470" i="5" s="1"/>
  <c r="C544" i="5" s="1"/>
  <c r="E43" i="5"/>
  <c r="E467" i="5" s="1"/>
  <c r="F541" i="5" s="1"/>
  <c r="E294" i="5"/>
  <c r="T320" i="5"/>
  <c r="U321" i="5"/>
  <c r="F295" i="5"/>
  <c r="AC496" i="5"/>
  <c r="AD570" i="5" s="1"/>
  <c r="B83" i="5"/>
  <c r="E94" i="5" s="1"/>
  <c r="E475" i="5" s="1"/>
  <c r="F549" i="5" s="1"/>
  <c r="J89" i="5"/>
  <c r="J470" i="5" s="1"/>
  <c r="K544" i="5" s="1"/>
  <c r="AF598" i="5"/>
  <c r="P598" i="5"/>
  <c r="AA598" i="5"/>
  <c r="J598" i="5"/>
  <c r="Z598" i="5"/>
  <c r="I598" i="5"/>
  <c r="AE598" i="5"/>
  <c r="L598" i="5"/>
  <c r="AD598" i="5"/>
  <c r="K598" i="5"/>
  <c r="U598" i="5"/>
  <c r="S598" i="5"/>
  <c r="R598" i="5"/>
  <c r="AJ598" i="5"/>
  <c r="M598" i="5"/>
  <c r="AG598" i="5"/>
  <c r="G598" i="5"/>
  <c r="AC598" i="5"/>
  <c r="F598" i="5"/>
  <c r="N598" i="5"/>
  <c r="E598" i="5"/>
  <c r="D598" i="5"/>
  <c r="X598" i="5"/>
  <c r="AH598" i="5"/>
  <c r="W598" i="5"/>
  <c r="Q598" i="5"/>
  <c r="O598" i="5"/>
  <c r="H598" i="5"/>
  <c r="AB598" i="5"/>
  <c r="V598" i="5"/>
  <c r="T598" i="5"/>
  <c r="C598" i="5"/>
  <c r="B598" i="5"/>
  <c r="Y598" i="5"/>
  <c r="V595" i="5"/>
  <c r="F595" i="5"/>
  <c r="AA595" i="5"/>
  <c r="J595" i="5"/>
  <c r="Z595" i="5"/>
  <c r="I595" i="5"/>
  <c r="AJ595" i="5"/>
  <c r="P595" i="5"/>
  <c r="AH595" i="5"/>
  <c r="O595" i="5"/>
  <c r="AG595" i="5"/>
  <c r="L595" i="5"/>
  <c r="AE595" i="5"/>
  <c r="H595" i="5"/>
  <c r="AD595" i="5"/>
  <c r="G595" i="5"/>
  <c r="X595" i="5"/>
  <c r="B595" i="5"/>
  <c r="U595" i="5"/>
  <c r="T595" i="5"/>
  <c r="E595" i="5"/>
  <c r="C595" i="5"/>
  <c r="S595" i="5"/>
  <c r="AC595" i="5"/>
  <c r="W595" i="5"/>
  <c r="R595" i="5"/>
  <c r="Q595" i="5"/>
  <c r="AB595" i="5"/>
  <c r="Y595" i="5"/>
  <c r="N595" i="5"/>
  <c r="M595" i="5"/>
  <c r="K595" i="5"/>
  <c r="D595" i="5"/>
  <c r="AF595" i="5"/>
  <c r="C426" i="5"/>
  <c r="AD461" i="5" s="1"/>
  <c r="AD498" i="5" s="1"/>
  <c r="AE572" i="5" s="1"/>
  <c r="AG458" i="5"/>
  <c r="AG495" i="5" s="1"/>
  <c r="AH569" i="5" s="1"/>
  <c r="N228" i="5"/>
  <c r="E208" i="5"/>
  <c r="K183" i="5"/>
  <c r="E166" i="5"/>
  <c r="E470" i="5"/>
  <c r="F544" i="5" s="1"/>
  <c r="D339" i="5"/>
  <c r="Y368" i="5" s="1"/>
  <c r="Y491" i="5" s="1"/>
  <c r="Z565" i="5" s="1"/>
  <c r="Z367" i="5"/>
  <c r="Z490" i="5" s="1"/>
  <c r="AA564" i="5" s="1"/>
  <c r="E80" i="5"/>
  <c r="E91" i="5"/>
  <c r="Z609" i="5"/>
  <c r="J609" i="5"/>
  <c r="AE609" i="5"/>
  <c r="N609" i="5"/>
  <c r="AC609" i="5"/>
  <c r="L609" i="5"/>
  <c r="AB609" i="5"/>
  <c r="K609" i="5"/>
  <c r="AA609" i="5"/>
  <c r="F609" i="5"/>
  <c r="Y609" i="5"/>
  <c r="E609" i="5"/>
  <c r="S609" i="5"/>
  <c r="AJ609" i="5"/>
  <c r="H609" i="5"/>
  <c r="AG609" i="5"/>
  <c r="D609" i="5"/>
  <c r="AF609" i="5"/>
  <c r="C609" i="5"/>
  <c r="V609" i="5"/>
  <c r="T609" i="5"/>
  <c r="R609" i="5"/>
  <c r="W609" i="5"/>
  <c r="Q609" i="5"/>
  <c r="P609" i="5"/>
  <c r="AH609" i="5"/>
  <c r="U609" i="5"/>
  <c r="I609" i="5"/>
  <c r="G609" i="5"/>
  <c r="B609" i="5"/>
  <c r="X609" i="5"/>
  <c r="O609" i="5"/>
  <c r="AD609" i="5"/>
  <c r="M609" i="5"/>
  <c r="E252" i="5"/>
  <c r="Q275" i="5"/>
  <c r="AB608" i="5"/>
  <c r="L608" i="5"/>
  <c r="AE608" i="5"/>
  <c r="N608" i="5"/>
  <c r="AC608" i="5"/>
  <c r="K608" i="5"/>
  <c r="AA608" i="5"/>
  <c r="J608" i="5"/>
  <c r="T608" i="5"/>
  <c r="S608" i="5"/>
  <c r="AG608" i="5"/>
  <c r="I608" i="5"/>
  <c r="Q608" i="5"/>
  <c r="O608" i="5"/>
  <c r="M608" i="5"/>
  <c r="AF608" i="5"/>
  <c r="E608" i="5"/>
  <c r="Z608" i="5"/>
  <c r="C608" i="5"/>
  <c r="Y608" i="5"/>
  <c r="B608" i="5"/>
  <c r="R608" i="5"/>
  <c r="H608" i="5"/>
  <c r="G608" i="5"/>
  <c r="AJ608" i="5"/>
  <c r="AH608" i="5"/>
  <c r="U608" i="5"/>
  <c r="P608" i="5"/>
  <c r="F608" i="5"/>
  <c r="D608" i="5"/>
  <c r="AD608" i="5"/>
  <c r="X608" i="5"/>
  <c r="W608" i="5"/>
  <c r="V608" i="5"/>
  <c r="B254" i="5"/>
  <c r="Q277" i="5" s="1"/>
  <c r="Q486" i="5" s="1"/>
  <c r="R560" i="5" s="1"/>
  <c r="U273" i="5"/>
  <c r="U482" i="5" s="1"/>
  <c r="V556" i="5" s="1"/>
  <c r="C169" i="5"/>
  <c r="L186" i="5" s="1"/>
  <c r="L481" i="5" s="1"/>
  <c r="M555" i="5" s="1"/>
  <c r="P182" i="5"/>
  <c r="P477" i="5" s="1"/>
  <c r="Q551" i="5" s="1"/>
  <c r="U487" i="5"/>
  <c r="V561" i="5" s="1"/>
  <c r="J475" i="5"/>
  <c r="K549" i="5" s="1"/>
  <c r="AC411" i="5"/>
  <c r="AC491" i="5" s="1"/>
  <c r="AD565" i="5" s="1"/>
  <c r="B382" i="5"/>
  <c r="Z414" i="5" s="1"/>
  <c r="Z494" i="5" s="1"/>
  <c r="AA568" i="5" s="1"/>
  <c r="E297" i="5"/>
  <c r="W323" i="5" s="1"/>
  <c r="W489" i="5" s="1"/>
  <c r="X563" i="5" s="1"/>
  <c r="X322" i="5"/>
  <c r="X488" i="5" s="1"/>
  <c r="Y562" i="5" s="1"/>
  <c r="R228" i="5"/>
  <c r="R480" i="5" s="1"/>
  <c r="S554" i="5" s="1"/>
  <c r="C211" i="5"/>
  <c r="O231" i="5" s="1"/>
  <c r="O483" i="5" s="1"/>
  <c r="P557" i="5" s="1"/>
  <c r="J92" i="5"/>
  <c r="J473" i="5" s="1"/>
  <c r="K547" i="5" s="1"/>
  <c r="E83" i="5"/>
  <c r="H94" i="5" s="1"/>
  <c r="H475" i="5" s="1"/>
  <c r="I549" i="5" s="1"/>
  <c r="X610" i="5"/>
  <c r="H610" i="5"/>
  <c r="AF610" i="5"/>
  <c r="P610" i="5"/>
  <c r="AG610" i="5"/>
  <c r="N610" i="5"/>
  <c r="AD610" i="5"/>
  <c r="L610" i="5"/>
  <c r="AC610" i="5"/>
  <c r="K610" i="5"/>
  <c r="Q610" i="5"/>
  <c r="O610" i="5"/>
  <c r="AA610" i="5"/>
  <c r="E610" i="5"/>
  <c r="Z610" i="5"/>
  <c r="W610" i="5"/>
  <c r="V610" i="5"/>
  <c r="R610" i="5"/>
  <c r="J610" i="5"/>
  <c r="I610" i="5"/>
  <c r="AH610" i="5"/>
  <c r="AB610" i="5"/>
  <c r="Y610" i="5"/>
  <c r="F610" i="5"/>
  <c r="D610" i="5"/>
  <c r="G610" i="5"/>
  <c r="C610" i="5"/>
  <c r="B610" i="5"/>
  <c r="AJ610" i="5"/>
  <c r="AE610" i="5"/>
  <c r="U610" i="5"/>
  <c r="T610" i="5"/>
  <c r="S610" i="5"/>
  <c r="M610" i="5"/>
  <c r="V579" i="5"/>
  <c r="F579" i="5"/>
  <c r="Y579" i="5"/>
  <c r="H579" i="5"/>
  <c r="X579" i="5"/>
  <c r="G579" i="5"/>
  <c r="AG579" i="5"/>
  <c r="N579" i="5"/>
  <c r="AF579" i="5"/>
  <c r="M579" i="5"/>
  <c r="T579" i="5"/>
  <c r="R579" i="5"/>
  <c r="Q579" i="5"/>
  <c r="AD579" i="5"/>
  <c r="I579" i="5"/>
  <c r="AH579" i="5"/>
  <c r="C579" i="5"/>
  <c r="AC579" i="5"/>
  <c r="AB579" i="5"/>
  <c r="S579" i="5"/>
  <c r="P579" i="5"/>
  <c r="O579" i="5"/>
  <c r="L579" i="5"/>
  <c r="E579" i="5"/>
  <c r="AJ579" i="5"/>
  <c r="AE579" i="5"/>
  <c r="K579" i="5"/>
  <c r="D579" i="5"/>
  <c r="B579" i="5"/>
  <c r="AA579" i="5"/>
  <c r="Z579" i="5"/>
  <c r="U579" i="5"/>
  <c r="W579" i="5"/>
  <c r="J579" i="5"/>
  <c r="AB578" i="5"/>
  <c r="L578" i="5"/>
  <c r="W578" i="5"/>
  <c r="F578" i="5"/>
  <c r="V578" i="5"/>
  <c r="D578" i="5"/>
  <c r="U578" i="5"/>
  <c r="C578" i="5"/>
  <c r="AH578" i="5"/>
  <c r="N578" i="5"/>
  <c r="AG578" i="5"/>
  <c r="M578" i="5"/>
  <c r="Z578" i="5"/>
  <c r="E578" i="5"/>
  <c r="T578" i="5"/>
  <c r="R578" i="5"/>
  <c r="S578" i="5"/>
  <c r="Q578" i="5"/>
  <c r="P578" i="5"/>
  <c r="O578" i="5"/>
  <c r="I578" i="5"/>
  <c r="AF578" i="5"/>
  <c r="B578" i="5"/>
  <c r="AE578" i="5"/>
  <c r="AD578" i="5"/>
  <c r="AJ578" i="5"/>
  <c r="AC578" i="5"/>
  <c r="AA578" i="5"/>
  <c r="Y578" i="5"/>
  <c r="X578" i="5"/>
  <c r="J578" i="5"/>
  <c r="H578" i="5"/>
  <c r="K578" i="5"/>
  <c r="G578" i="5"/>
  <c r="Q274" i="5"/>
  <c r="E251" i="5"/>
  <c r="E427" i="5"/>
  <c r="AF462" i="5" s="1"/>
  <c r="AF499" i="5" s="1"/>
  <c r="AG573" i="5" s="1"/>
  <c r="AH460" i="5"/>
  <c r="AH497" i="5" s="1"/>
  <c r="AI571" i="5" s="1"/>
  <c r="X319" i="5"/>
  <c r="X485" i="5" s="1"/>
  <c r="Y559" i="5" s="1"/>
  <c r="B297" i="5"/>
  <c r="T323" i="5" s="1"/>
  <c r="T489" i="5" s="1"/>
  <c r="U563" i="5" s="1"/>
  <c r="R483" i="5"/>
  <c r="S557" i="5" s="1"/>
  <c r="X602" i="5"/>
  <c r="H602" i="5"/>
  <c r="AD602" i="5"/>
  <c r="M602" i="5"/>
  <c r="AB602" i="5"/>
  <c r="K602" i="5"/>
  <c r="AA602" i="5"/>
  <c r="J602" i="5"/>
  <c r="AJ602" i="5"/>
  <c r="O602" i="5"/>
  <c r="AH602" i="5"/>
  <c r="N602" i="5"/>
  <c r="U602" i="5"/>
  <c r="S602" i="5"/>
  <c r="R602" i="5"/>
  <c r="I602" i="5"/>
  <c r="AF602" i="5"/>
  <c r="F602" i="5"/>
  <c r="AE602" i="5"/>
  <c r="E602" i="5"/>
  <c r="V602" i="5"/>
  <c r="Q602" i="5"/>
  <c r="P602" i="5"/>
  <c r="B602" i="5"/>
  <c r="AG602" i="5"/>
  <c r="Y602" i="5"/>
  <c r="W602" i="5"/>
  <c r="T602" i="5"/>
  <c r="AC602" i="5"/>
  <c r="L602" i="5"/>
  <c r="G602" i="5"/>
  <c r="Z602" i="5"/>
  <c r="D602" i="5"/>
  <c r="C602" i="5"/>
  <c r="AH597" i="5"/>
  <c r="R597" i="5"/>
  <c r="B597" i="5"/>
  <c r="AA597" i="5"/>
  <c r="J597" i="5"/>
  <c r="Z597" i="5"/>
  <c r="I597" i="5"/>
  <c r="Y597" i="5"/>
  <c r="F597" i="5"/>
  <c r="X597" i="5"/>
  <c r="E597" i="5"/>
  <c r="AG597" i="5"/>
  <c r="L597" i="5"/>
  <c r="AE597" i="5"/>
  <c r="H597" i="5"/>
  <c r="AD597" i="5"/>
  <c r="G597" i="5"/>
  <c r="V597" i="5"/>
  <c r="T597" i="5"/>
  <c r="S597" i="5"/>
  <c r="M597" i="5"/>
  <c r="D597" i="5"/>
  <c r="C597" i="5"/>
  <c r="W597" i="5"/>
  <c r="AC597" i="5"/>
  <c r="AB597" i="5"/>
  <c r="U597" i="5"/>
  <c r="Q597" i="5"/>
  <c r="N597" i="5"/>
  <c r="AJ597" i="5"/>
  <c r="AF597" i="5"/>
  <c r="O597" i="5"/>
  <c r="K597" i="5"/>
  <c r="P597" i="5"/>
  <c r="V587" i="5"/>
  <c r="F587" i="5"/>
  <c r="Z587" i="5"/>
  <c r="I587" i="5"/>
  <c r="Y587" i="5"/>
  <c r="H587" i="5"/>
  <c r="AH587" i="5"/>
  <c r="O587" i="5"/>
  <c r="AG587" i="5"/>
  <c r="N587" i="5"/>
  <c r="Q587" i="5"/>
  <c r="M587" i="5"/>
  <c r="AJ587" i="5"/>
  <c r="L587" i="5"/>
  <c r="AC587" i="5"/>
  <c r="E587" i="5"/>
  <c r="AA587" i="5"/>
  <c r="C587" i="5"/>
  <c r="AF587" i="5"/>
  <c r="AD587" i="5"/>
  <c r="AB587" i="5"/>
  <c r="G587" i="5"/>
  <c r="D587" i="5"/>
  <c r="B587" i="5"/>
  <c r="AE587" i="5"/>
  <c r="U587" i="5"/>
  <c r="T587" i="5"/>
  <c r="S587" i="5"/>
  <c r="X587" i="5"/>
  <c r="W587" i="5"/>
  <c r="R587" i="5"/>
  <c r="P587" i="5"/>
  <c r="K587" i="5"/>
  <c r="J587" i="5"/>
  <c r="L136" i="5"/>
  <c r="L474" i="5" s="1"/>
  <c r="M548" i="5" s="1"/>
  <c r="C125" i="5"/>
  <c r="I139" i="5" s="1"/>
  <c r="I477" i="5" s="1"/>
  <c r="J551" i="5" s="1"/>
  <c r="AC413" i="5"/>
  <c r="AC493" i="5" s="1"/>
  <c r="AD567" i="5" s="1"/>
  <c r="D382" i="5"/>
  <c r="AB414" i="5" s="1"/>
  <c r="AB494" i="5" s="1"/>
  <c r="AC568" i="5" s="1"/>
  <c r="B82" i="5"/>
  <c r="E93" i="5" s="1"/>
  <c r="E474" i="5" s="1"/>
  <c r="F548" i="5" s="1"/>
  <c r="I89" i="5"/>
  <c r="I470" i="5" s="1"/>
  <c r="J544" i="5" s="1"/>
  <c r="B427" i="5"/>
  <c r="AC462" i="5" s="1"/>
  <c r="AC499" i="5" s="1"/>
  <c r="AD573" i="5" s="1"/>
  <c r="AH457" i="5"/>
  <c r="AH494" i="5" s="1"/>
  <c r="AI568" i="5" s="1"/>
  <c r="D39" i="5"/>
  <c r="D47" i="5" s="1"/>
  <c r="D471" i="5" s="1"/>
  <c r="E545" i="5" s="1"/>
  <c r="F45" i="5"/>
  <c r="F469" i="5" s="1"/>
  <c r="G543" i="5" s="1"/>
  <c r="C38" i="5"/>
  <c r="C46" i="5" s="1"/>
  <c r="C470" i="5" s="1"/>
  <c r="D544" i="5" s="1"/>
  <c r="E44" i="5"/>
  <c r="E468" i="5" s="1"/>
  <c r="F542" i="5" s="1"/>
  <c r="E165" i="5"/>
  <c r="K182" i="5"/>
  <c r="AE415" i="5"/>
  <c r="AE495" i="5" s="1"/>
  <c r="AF569" i="5" s="1"/>
  <c r="F384" i="5"/>
  <c r="AD416" i="5" s="1"/>
  <c r="AD496" i="5" s="1"/>
  <c r="AE570" i="5" s="1"/>
  <c r="I92" i="5"/>
  <c r="I473" i="5" s="1"/>
  <c r="J547" i="5" s="1"/>
  <c r="E82" i="5"/>
  <c r="H93" i="5" s="1"/>
  <c r="Z593" i="5"/>
  <c r="J593" i="5"/>
  <c r="AA593" i="5"/>
  <c r="I593" i="5"/>
  <c r="Y593" i="5"/>
  <c r="H593" i="5"/>
  <c r="X593" i="5"/>
  <c r="E593" i="5"/>
  <c r="W593" i="5"/>
  <c r="D593" i="5"/>
  <c r="AJ593" i="5"/>
  <c r="N593" i="5"/>
  <c r="AG593" i="5"/>
  <c r="L593" i="5"/>
  <c r="AF593" i="5"/>
  <c r="K593" i="5"/>
  <c r="AB593" i="5"/>
  <c r="B593" i="5"/>
  <c r="U593" i="5"/>
  <c r="T593" i="5"/>
  <c r="C593" i="5"/>
  <c r="AH593" i="5"/>
  <c r="Q593" i="5"/>
  <c r="S593" i="5"/>
  <c r="R593" i="5"/>
  <c r="P593" i="5"/>
  <c r="O593" i="5"/>
  <c r="F593" i="5"/>
  <c r="M593" i="5"/>
  <c r="AE593" i="5"/>
  <c r="AD593" i="5"/>
  <c r="AC593" i="5"/>
  <c r="V593" i="5"/>
  <c r="G593" i="5"/>
  <c r="AF590" i="5"/>
  <c r="P590" i="5"/>
  <c r="Z590" i="5"/>
  <c r="I590" i="5"/>
  <c r="Y590" i="5"/>
  <c r="H590" i="5"/>
  <c r="AD590" i="5"/>
  <c r="K590" i="5"/>
  <c r="AC590" i="5"/>
  <c r="J590" i="5"/>
  <c r="X590" i="5"/>
  <c r="C590" i="5"/>
  <c r="V590" i="5"/>
  <c r="U590" i="5"/>
  <c r="Q590" i="5"/>
  <c r="N590" i="5"/>
  <c r="AJ590" i="5"/>
  <c r="M590" i="5"/>
  <c r="AH590" i="5"/>
  <c r="AE590" i="5"/>
  <c r="AB590" i="5"/>
  <c r="AA590" i="5"/>
  <c r="W590" i="5"/>
  <c r="T590" i="5"/>
  <c r="S590" i="5"/>
  <c r="L590" i="5"/>
  <c r="E590" i="5"/>
  <c r="D590" i="5"/>
  <c r="B590" i="5"/>
  <c r="R590" i="5"/>
  <c r="G590" i="5"/>
  <c r="F590" i="5"/>
  <c r="AG590" i="5"/>
  <c r="O590" i="5"/>
  <c r="Z412" i="5"/>
  <c r="Z492" i="5" s="1"/>
  <c r="AA566" i="5" s="1"/>
  <c r="E380" i="5"/>
  <c r="C82" i="5"/>
  <c r="F93" i="5" s="1"/>
  <c r="F474" i="5" s="1"/>
  <c r="G548" i="5" s="1"/>
  <c r="I90" i="5"/>
  <c r="I471" i="5" s="1"/>
  <c r="J545" i="5" s="1"/>
  <c r="AB592" i="5"/>
  <c r="L592" i="5"/>
  <c r="Z592" i="5"/>
  <c r="I592" i="5"/>
  <c r="Y592" i="5"/>
  <c r="H592" i="5"/>
  <c r="T592" i="5"/>
  <c r="S592" i="5"/>
  <c r="X592" i="5"/>
  <c r="C592" i="5"/>
  <c r="V592" i="5"/>
  <c r="U592" i="5"/>
  <c r="O592" i="5"/>
  <c r="AH592" i="5"/>
  <c r="M592" i="5"/>
  <c r="AG592" i="5"/>
  <c r="K592" i="5"/>
  <c r="D592" i="5"/>
  <c r="AF592" i="5"/>
  <c r="AE592" i="5"/>
  <c r="P592" i="5"/>
  <c r="G592" i="5"/>
  <c r="F592" i="5"/>
  <c r="E592" i="5"/>
  <c r="B592" i="5"/>
  <c r="AC592" i="5"/>
  <c r="AA592" i="5"/>
  <c r="W592" i="5"/>
  <c r="AJ592" i="5"/>
  <c r="AD592" i="5"/>
  <c r="R592" i="5"/>
  <c r="Q592" i="5"/>
  <c r="N592" i="5"/>
  <c r="J592" i="5"/>
  <c r="U276" i="5"/>
  <c r="U485" i="5" s="1"/>
  <c r="V559" i="5" s="1"/>
  <c r="E254" i="5"/>
  <c r="T277" i="5" s="1"/>
  <c r="T486" i="5" s="1"/>
  <c r="U560" i="5" s="1"/>
  <c r="F166" i="5"/>
  <c r="L183" i="5"/>
  <c r="O184" i="5"/>
  <c r="O479" i="5" s="1"/>
  <c r="P553" i="5" s="1"/>
  <c r="E168" i="5"/>
  <c r="N185" i="5" s="1"/>
  <c r="N480" i="5" s="1"/>
  <c r="O554" i="5" s="1"/>
  <c r="C384" i="5"/>
  <c r="AA416" i="5" s="1"/>
  <c r="AA496" i="5" s="1"/>
  <c r="AB570" i="5" s="1"/>
  <c r="AE412" i="5"/>
  <c r="AE492" i="5" s="1"/>
  <c r="AF566" i="5" s="1"/>
  <c r="AH581" i="5"/>
  <c r="R581" i="5"/>
  <c r="B581" i="5"/>
  <c r="Y581" i="5"/>
  <c r="H581" i="5"/>
  <c r="X581" i="5"/>
  <c r="G581" i="5"/>
  <c r="W581" i="5"/>
  <c r="D581" i="5"/>
  <c r="V581" i="5"/>
  <c r="C581" i="5"/>
  <c r="S581" i="5"/>
  <c r="P581" i="5"/>
  <c r="O581" i="5"/>
  <c r="AD581" i="5"/>
  <c r="I581" i="5"/>
  <c r="AA581" i="5"/>
  <c r="U581" i="5"/>
  <c r="T581" i="5"/>
  <c r="AB581" i="5"/>
  <c r="Z581" i="5"/>
  <c r="Q581" i="5"/>
  <c r="N581" i="5"/>
  <c r="K581" i="5"/>
  <c r="E581" i="5"/>
  <c r="AJ581" i="5"/>
  <c r="M581" i="5"/>
  <c r="J581" i="5"/>
  <c r="F581" i="5"/>
  <c r="AG581" i="5"/>
  <c r="AF581" i="5"/>
  <c r="AE581" i="5"/>
  <c r="AC581" i="5"/>
  <c r="L581" i="5"/>
  <c r="D38" i="5"/>
  <c r="D46" i="5" s="1"/>
  <c r="D470" i="5" s="1"/>
  <c r="E544" i="5" s="1"/>
  <c r="E45" i="5"/>
  <c r="E469" i="5" s="1"/>
  <c r="F543" i="5" s="1"/>
  <c r="H89" i="5"/>
  <c r="H470" i="5" s="1"/>
  <c r="I544" i="5" s="1"/>
  <c r="B81" i="5"/>
  <c r="E92" i="5" s="1"/>
  <c r="E473" i="5" s="1"/>
  <c r="F547" i="5" s="1"/>
  <c r="E298" i="5"/>
  <c r="W324" i="5" s="1"/>
  <c r="W490" i="5" s="1"/>
  <c r="X564" i="5" s="1"/>
  <c r="Y322" i="5"/>
  <c r="Y488" i="5" s="1"/>
  <c r="Z562" i="5" s="1"/>
  <c r="C297" i="5"/>
  <c r="U323" i="5" s="1"/>
  <c r="U489" i="5" s="1"/>
  <c r="V563" i="5" s="1"/>
  <c r="X320" i="5"/>
  <c r="X486" i="5" s="1"/>
  <c r="Y560" i="5" s="1"/>
  <c r="AE496" i="5"/>
  <c r="AF570" i="5" s="1"/>
  <c r="H136" i="5"/>
  <c r="E122" i="5"/>
  <c r="B168" i="5"/>
  <c r="K185" i="5" s="1"/>
  <c r="K480" i="5" s="1"/>
  <c r="L554" i="5" s="1"/>
  <c r="O181" i="5"/>
  <c r="O476" i="5" s="1"/>
  <c r="P550" i="5" s="1"/>
  <c r="AA413" i="5"/>
  <c r="AA493" i="5" s="1"/>
  <c r="AB567" i="5" s="1"/>
  <c r="F381" i="5"/>
  <c r="G470" i="5"/>
  <c r="H544" i="5" s="1"/>
  <c r="E90" i="5"/>
  <c r="E471" i="5" s="1"/>
  <c r="F545" i="5" s="1"/>
  <c r="E79" i="5"/>
  <c r="AH605" i="5"/>
  <c r="R605" i="5"/>
  <c r="B605" i="5"/>
  <c r="AD605" i="5"/>
  <c r="M605" i="5"/>
  <c r="AB605" i="5"/>
  <c r="K605" i="5"/>
  <c r="AA605" i="5"/>
  <c r="J605" i="5"/>
  <c r="Q605" i="5"/>
  <c r="P605" i="5"/>
  <c r="AC605" i="5"/>
  <c r="O605" i="5"/>
  <c r="L605" i="5"/>
  <c r="I605" i="5"/>
  <c r="AE605" i="5"/>
  <c r="E605" i="5"/>
  <c r="Y605" i="5"/>
  <c r="C605" i="5"/>
  <c r="X605" i="5"/>
  <c r="AJ605" i="5"/>
  <c r="AF605" i="5"/>
  <c r="Z605" i="5"/>
  <c r="H605" i="5"/>
  <c r="D605" i="5"/>
  <c r="V605" i="5"/>
  <c r="U605" i="5"/>
  <c r="T605" i="5"/>
  <c r="AG605" i="5"/>
  <c r="S605" i="5"/>
  <c r="N605" i="5"/>
  <c r="W605" i="5"/>
  <c r="G605" i="5"/>
  <c r="F605" i="5"/>
  <c r="AD607" i="5"/>
  <c r="N607" i="5"/>
  <c r="AE607" i="5"/>
  <c r="M607" i="5"/>
  <c r="AB607" i="5"/>
  <c r="K607" i="5"/>
  <c r="AA607" i="5"/>
  <c r="J607" i="5"/>
  <c r="AH607" i="5"/>
  <c r="L607" i="5"/>
  <c r="AG607" i="5"/>
  <c r="I607" i="5"/>
  <c r="W607" i="5"/>
  <c r="C607" i="5"/>
  <c r="X607" i="5"/>
  <c r="U607" i="5"/>
  <c r="T607" i="5"/>
  <c r="P607" i="5"/>
  <c r="H607" i="5"/>
  <c r="G607" i="5"/>
  <c r="F607" i="5"/>
  <c r="D607" i="5"/>
  <c r="B607" i="5"/>
  <c r="Z607" i="5"/>
  <c r="Y607" i="5"/>
  <c r="AC607" i="5"/>
  <c r="R607" i="5"/>
  <c r="Q607" i="5"/>
  <c r="O607" i="5"/>
  <c r="AJ607" i="5"/>
  <c r="V607" i="5"/>
  <c r="S607" i="5"/>
  <c r="E607" i="5"/>
  <c r="AF607" i="5"/>
  <c r="Q482" i="5"/>
  <c r="R556" i="5" s="1"/>
  <c r="B425" i="5"/>
  <c r="AC460" i="5" s="1"/>
  <c r="AC497" i="5" s="1"/>
  <c r="AD571" i="5" s="1"/>
  <c r="AF457" i="5"/>
  <c r="AF494" i="5" s="1"/>
  <c r="AG568" i="5" s="1"/>
  <c r="AF606" i="5"/>
  <c r="P606" i="5"/>
  <c r="AD606" i="5"/>
  <c r="M606" i="5"/>
  <c r="AB606" i="5"/>
  <c r="K606" i="5"/>
  <c r="AA606" i="5"/>
  <c r="J606" i="5"/>
  <c r="X606" i="5"/>
  <c r="D606" i="5"/>
  <c r="W606" i="5"/>
  <c r="C606" i="5"/>
  <c r="Q606" i="5"/>
  <c r="AH606" i="5"/>
  <c r="G606" i="5"/>
  <c r="AE606" i="5"/>
  <c r="E606" i="5"/>
  <c r="AC606" i="5"/>
  <c r="B606" i="5"/>
  <c r="U606" i="5"/>
  <c r="S606" i="5"/>
  <c r="R606" i="5"/>
  <c r="T606" i="5"/>
  <c r="O606" i="5"/>
  <c r="Y606" i="5"/>
  <c r="V606" i="5"/>
  <c r="N606" i="5"/>
  <c r="L606" i="5"/>
  <c r="F606" i="5"/>
  <c r="AJ606" i="5"/>
  <c r="AG606" i="5"/>
  <c r="Z606" i="5"/>
  <c r="H606" i="5"/>
  <c r="I606" i="5"/>
  <c r="F169" i="5"/>
  <c r="O186" i="5" s="1"/>
  <c r="O481" i="5" s="1"/>
  <c r="P555" i="5" s="1"/>
  <c r="P185" i="5"/>
  <c r="P480" i="5" s="1"/>
  <c r="Q554" i="5" s="1"/>
  <c r="AC459" i="5"/>
  <c r="E424" i="5"/>
  <c r="Y319" i="5"/>
  <c r="Y485" i="5" s="1"/>
  <c r="Z559" i="5" s="1"/>
  <c r="B298" i="5"/>
  <c r="T324" i="5" s="1"/>
  <c r="T490" i="5" s="1"/>
  <c r="U564" i="5" s="1"/>
  <c r="E125" i="5"/>
  <c r="K139" i="5" s="1"/>
  <c r="K477" i="5" s="1"/>
  <c r="L551" i="5" s="1"/>
  <c r="L138" i="5"/>
  <c r="L476" i="5" s="1"/>
  <c r="M550" i="5" s="1"/>
  <c r="E472" i="5"/>
  <c r="F546" i="5" s="1"/>
  <c r="B210" i="5"/>
  <c r="N230" i="5" s="1"/>
  <c r="N482" i="5" s="1"/>
  <c r="O556" i="5" s="1"/>
  <c r="Q227" i="5"/>
  <c r="Q479" i="5" s="1"/>
  <c r="R553" i="5" s="1"/>
  <c r="T321" i="5"/>
  <c r="E295" i="5"/>
  <c r="C340" i="5"/>
  <c r="X369" i="5" s="1"/>
  <c r="X492" i="5" s="1"/>
  <c r="Y566" i="5" s="1"/>
  <c r="AA366" i="5"/>
  <c r="AA489" i="5" s="1"/>
  <c r="AB563" i="5" s="1"/>
  <c r="C39" i="5"/>
  <c r="C47" i="5" s="1"/>
  <c r="C471" i="5" s="1"/>
  <c r="D545" i="5" s="1"/>
  <c r="F44" i="5"/>
  <c r="F468" i="5" s="1"/>
  <c r="G542" i="5" s="1"/>
  <c r="L135" i="5"/>
  <c r="L473" i="5" s="1"/>
  <c r="M547" i="5" s="1"/>
  <c r="B125" i="5"/>
  <c r="H139" i="5" s="1"/>
  <c r="H477" i="5" s="1"/>
  <c r="I551" i="5" s="1"/>
  <c r="B383" i="5"/>
  <c r="Z415" i="5" s="1"/>
  <c r="Z495" i="5" s="1"/>
  <c r="AA569" i="5" s="1"/>
  <c r="AD411" i="5"/>
  <c r="AD491" i="5" s="1"/>
  <c r="AE565" i="5" s="1"/>
  <c r="C254" i="5"/>
  <c r="R277" i="5" s="1"/>
  <c r="R486" i="5" s="1"/>
  <c r="S560" i="5" s="1"/>
  <c r="U274" i="5"/>
  <c r="U483" i="5" s="1"/>
  <c r="V557" i="5" s="1"/>
  <c r="AA367" i="5"/>
  <c r="AA490" i="5" s="1"/>
  <c r="AB564" i="5" s="1"/>
  <c r="D340" i="5"/>
  <c r="Y369" i="5" s="1"/>
  <c r="Y492" i="5" s="1"/>
  <c r="Z566" i="5" s="1"/>
  <c r="AD583" i="5"/>
  <c r="N583" i="5"/>
  <c r="Y583" i="5"/>
  <c r="H583" i="5"/>
  <c r="X583" i="5"/>
  <c r="G583" i="5"/>
  <c r="AH583" i="5"/>
  <c r="O583" i="5"/>
  <c r="AG583" i="5"/>
  <c r="M583" i="5"/>
  <c r="S583" i="5"/>
  <c r="Q583" i="5"/>
  <c r="P583" i="5"/>
  <c r="AB583" i="5"/>
  <c r="E583" i="5"/>
  <c r="R583" i="5"/>
  <c r="K583" i="5"/>
  <c r="J583" i="5"/>
  <c r="AC583" i="5"/>
  <c r="AA583" i="5"/>
  <c r="Z583" i="5"/>
  <c r="W583" i="5"/>
  <c r="T583" i="5"/>
  <c r="F583" i="5"/>
  <c r="D583" i="5"/>
  <c r="C583" i="5"/>
  <c r="V583" i="5"/>
  <c r="L583" i="5"/>
  <c r="I583" i="5"/>
  <c r="B583" i="5"/>
  <c r="AJ583" i="5"/>
  <c r="AF583" i="5"/>
  <c r="AE583" i="5"/>
  <c r="U583" i="5"/>
  <c r="AD599" i="5"/>
  <c r="N599" i="5"/>
  <c r="AA599" i="5"/>
  <c r="J599" i="5"/>
  <c r="Z599" i="5"/>
  <c r="I599" i="5"/>
  <c r="Q599" i="5"/>
  <c r="AJ599" i="5"/>
  <c r="P599" i="5"/>
  <c r="AF599" i="5"/>
  <c r="H599" i="5"/>
  <c r="AC599" i="5"/>
  <c r="F599" i="5"/>
  <c r="AB599" i="5"/>
  <c r="E599" i="5"/>
  <c r="V599" i="5"/>
  <c r="T599" i="5"/>
  <c r="S599" i="5"/>
  <c r="M599" i="5"/>
  <c r="K599" i="5"/>
  <c r="G599" i="5"/>
  <c r="Y599" i="5"/>
  <c r="D599" i="5"/>
  <c r="C599" i="5"/>
  <c r="B599" i="5"/>
  <c r="AE599" i="5"/>
  <c r="X599" i="5"/>
  <c r="W599" i="5"/>
  <c r="AH599" i="5"/>
  <c r="U599" i="5"/>
  <c r="R599" i="5"/>
  <c r="AG599" i="5"/>
  <c r="O599" i="5"/>
  <c r="L599" i="5"/>
  <c r="T580" i="5"/>
  <c r="D580" i="5"/>
  <c r="Y580" i="5"/>
  <c r="H580" i="5"/>
  <c r="X580" i="5"/>
  <c r="G580" i="5"/>
  <c r="R580" i="5"/>
  <c r="Q580" i="5"/>
  <c r="AE580" i="5"/>
  <c r="J580" i="5"/>
  <c r="AC580" i="5"/>
  <c r="F580" i="5"/>
  <c r="AB580" i="5"/>
  <c r="E580" i="5"/>
  <c r="S580" i="5"/>
  <c r="AD580" i="5"/>
  <c r="Z580" i="5"/>
  <c r="W580" i="5"/>
  <c r="U580" i="5"/>
  <c r="P580" i="5"/>
  <c r="O580" i="5"/>
  <c r="N580" i="5"/>
  <c r="K580" i="5"/>
  <c r="B580" i="5"/>
  <c r="AJ580" i="5"/>
  <c r="AH580" i="5"/>
  <c r="AG580" i="5"/>
  <c r="AF580" i="5"/>
  <c r="AA580" i="5"/>
  <c r="V580" i="5"/>
  <c r="L580" i="5"/>
  <c r="I580" i="5"/>
  <c r="M580" i="5"/>
  <c r="C580" i="5"/>
  <c r="AA491" i="5"/>
  <c r="AB565" i="5" s="1"/>
  <c r="G46" i="4"/>
  <c r="G470" i="4" s="1"/>
  <c r="H544" i="4" s="1"/>
  <c r="E40" i="4"/>
  <c r="E48" i="4" s="1"/>
  <c r="Z365" i="4"/>
  <c r="Z488" i="4" s="1"/>
  <c r="AA562" i="4" s="1"/>
  <c r="B339" i="4"/>
  <c r="W368" i="4" s="1"/>
  <c r="W491" i="4" s="1"/>
  <c r="X565" i="4" s="1"/>
  <c r="C541" i="4"/>
  <c r="F255" i="4"/>
  <c r="U278" i="4" s="1"/>
  <c r="V277" i="4"/>
  <c r="V486" i="4" s="1"/>
  <c r="W560" i="4" s="1"/>
  <c r="E298" i="4"/>
  <c r="W324" i="4" s="1"/>
  <c r="Y322" i="4"/>
  <c r="Y488" i="4" s="1"/>
  <c r="Z562" i="4" s="1"/>
  <c r="C211" i="4"/>
  <c r="O231" i="4" s="1"/>
  <c r="O483" i="4" s="1"/>
  <c r="P557" i="4" s="1"/>
  <c r="R228" i="4"/>
  <c r="R480" i="4" s="1"/>
  <c r="S554" i="4" s="1"/>
  <c r="B165" i="4"/>
  <c r="L181" i="4"/>
  <c r="F167" i="4"/>
  <c r="F164" i="4"/>
  <c r="G43" i="4"/>
  <c r="G467" i="4" s="1"/>
  <c r="H541" i="4" s="1"/>
  <c r="B40" i="4"/>
  <c r="B48" i="4" s="1"/>
  <c r="B472" i="4" s="1"/>
  <c r="C546" i="4" s="1"/>
  <c r="E43" i="4"/>
  <c r="E467" i="4" s="1"/>
  <c r="F541" i="4" s="1"/>
  <c r="B38" i="4"/>
  <c r="B46" i="4" s="1"/>
  <c r="B470" i="4" s="1"/>
  <c r="C544" i="4" s="1"/>
  <c r="G167" i="4"/>
  <c r="G164" i="4"/>
  <c r="B166" i="4"/>
  <c r="M181" i="4"/>
  <c r="E79" i="4"/>
  <c r="E90" i="4"/>
  <c r="B45" i="4"/>
  <c r="B469" i="4" s="1"/>
  <c r="C543" i="4" s="1"/>
  <c r="E37" i="4"/>
  <c r="AE412" i="4"/>
  <c r="AE492" i="4" s="1"/>
  <c r="AF566" i="4" s="1"/>
  <c r="C384" i="4"/>
  <c r="AA416" i="4" s="1"/>
  <c r="AA496" i="4" s="1"/>
  <c r="AB570" i="4" s="1"/>
  <c r="V274" i="4"/>
  <c r="V483" i="4" s="1"/>
  <c r="W557" i="4" s="1"/>
  <c r="C255" i="4"/>
  <c r="R278" i="4" s="1"/>
  <c r="R487" i="4" s="1"/>
  <c r="S561" i="4" s="1"/>
  <c r="C39" i="4"/>
  <c r="C47" i="4" s="1"/>
  <c r="C471" i="4" s="1"/>
  <c r="D545" i="4" s="1"/>
  <c r="F44" i="4"/>
  <c r="F468" i="4" s="1"/>
  <c r="G542" i="4" s="1"/>
  <c r="E82" i="4"/>
  <c r="H93" i="4" s="1"/>
  <c r="I92" i="4"/>
  <c r="I473" i="4" s="1"/>
  <c r="J547" i="4" s="1"/>
  <c r="AD495" i="4"/>
  <c r="AE569" i="4" s="1"/>
  <c r="AE415" i="4"/>
  <c r="AE495" i="4" s="1"/>
  <c r="AF569" i="4" s="1"/>
  <c r="F384" i="4"/>
  <c r="AD416" i="4" s="1"/>
  <c r="E637" i="4"/>
  <c r="E621" i="4"/>
  <c r="E648" i="4"/>
  <c r="E632" i="4"/>
  <c r="E647" i="4"/>
  <c r="E630" i="4"/>
  <c r="E649" i="4"/>
  <c r="E629" i="4"/>
  <c r="E646" i="4"/>
  <c r="E628" i="4"/>
  <c r="E645" i="4"/>
  <c r="E627" i="4"/>
  <c r="E641" i="4"/>
  <c r="E623" i="4"/>
  <c r="E640" i="4"/>
  <c r="E622" i="4"/>
  <c r="E635" i="4"/>
  <c r="E634" i="4"/>
  <c r="E633" i="4"/>
  <c r="E631" i="4"/>
  <c r="E617" i="4"/>
  <c r="N534" i="4"/>
  <c r="N526" i="4"/>
  <c r="N518" i="4"/>
  <c r="N510" i="4"/>
  <c r="E638" i="4"/>
  <c r="E636" i="4"/>
  <c r="N531" i="4"/>
  <c r="N514" i="4"/>
  <c r="E643" i="4"/>
  <c r="E642" i="4"/>
  <c r="N521" i="4"/>
  <c r="E639" i="4"/>
  <c r="N529" i="4"/>
  <c r="N512" i="4"/>
  <c r="E620" i="4"/>
  <c r="N527" i="4"/>
  <c r="E619" i="4"/>
  <c r="N535" i="4"/>
  <c r="N509" i="4"/>
  <c r="N533" i="4"/>
  <c r="N516" i="4"/>
  <c r="E625" i="4"/>
  <c r="N511" i="4"/>
  <c r="E624" i="4"/>
  <c r="E618" i="4"/>
  <c r="D655" i="4" s="1"/>
  <c r="N530" i="4"/>
  <c r="N520" i="4"/>
  <c r="N507" i="4"/>
  <c r="N517" i="4"/>
  <c r="N536" i="4"/>
  <c r="N515" i="4"/>
  <c r="N505" i="4"/>
  <c r="E644" i="4"/>
  <c r="N528" i="4"/>
  <c r="N504" i="4"/>
  <c r="E626" i="4"/>
  <c r="N525" i="4"/>
  <c r="N513" i="4"/>
  <c r="N524" i="4"/>
  <c r="N523" i="4"/>
  <c r="N519" i="4"/>
  <c r="N506" i="4"/>
  <c r="N508" i="4"/>
  <c r="N522" i="4"/>
  <c r="N532" i="4"/>
  <c r="E338" i="4"/>
  <c r="W367" i="4"/>
  <c r="P183" i="4"/>
  <c r="P478" i="4" s="1"/>
  <c r="Q552" i="4" s="1"/>
  <c r="D169" i="4"/>
  <c r="M186" i="4" s="1"/>
  <c r="M481" i="4" s="1"/>
  <c r="N555" i="4" s="1"/>
  <c r="C383" i="4"/>
  <c r="AA415" i="4" s="1"/>
  <c r="AA495" i="4" s="1"/>
  <c r="AB569" i="4" s="1"/>
  <c r="AD412" i="4"/>
  <c r="AD492" i="4" s="1"/>
  <c r="AE566" i="4" s="1"/>
  <c r="AA413" i="4"/>
  <c r="F381" i="4"/>
  <c r="C254" i="4"/>
  <c r="R277" i="4" s="1"/>
  <c r="R486" i="4" s="1"/>
  <c r="S560" i="4" s="1"/>
  <c r="U274" i="4"/>
  <c r="U483" i="4" s="1"/>
  <c r="V557" i="4" s="1"/>
  <c r="AC411" i="4"/>
  <c r="AC491" i="4" s="1"/>
  <c r="AD565" i="4" s="1"/>
  <c r="B382" i="4"/>
  <c r="Z414" i="4" s="1"/>
  <c r="Z494" i="4" s="1"/>
  <c r="AA568" i="4" s="1"/>
  <c r="AB368" i="4"/>
  <c r="AB491" i="4" s="1"/>
  <c r="AC565" i="4" s="1"/>
  <c r="E341" i="4"/>
  <c r="Z370" i="4" s="1"/>
  <c r="Z493" i="4" s="1"/>
  <c r="AA567" i="4" s="1"/>
  <c r="S227" i="4"/>
  <c r="S479" i="4" s="1"/>
  <c r="T553" i="4" s="1"/>
  <c r="B212" i="4"/>
  <c r="N232" i="4" s="1"/>
  <c r="N484" i="4" s="1"/>
  <c r="O558" i="4" s="1"/>
  <c r="U321" i="4"/>
  <c r="F295" i="4"/>
  <c r="B297" i="4"/>
  <c r="T323" i="4" s="1"/>
  <c r="T489" i="4" s="1"/>
  <c r="U563" i="4" s="1"/>
  <c r="X319" i="4"/>
  <c r="X485" i="4" s="1"/>
  <c r="Y559" i="4" s="1"/>
  <c r="AE411" i="4"/>
  <c r="AE491" i="4" s="1"/>
  <c r="AF565" i="4" s="1"/>
  <c r="B384" i="4"/>
  <c r="Z416" i="4" s="1"/>
  <c r="Z496" i="4" s="1"/>
  <c r="AA570" i="4" s="1"/>
  <c r="E423" i="4"/>
  <c r="AC458" i="4"/>
  <c r="H473" i="4"/>
  <c r="I547" i="4" s="1"/>
  <c r="Q482" i="4"/>
  <c r="R556" i="4" s="1"/>
  <c r="B341" i="4"/>
  <c r="W370" i="4" s="1"/>
  <c r="W493" i="4" s="1"/>
  <c r="X567" i="4" s="1"/>
  <c r="AB365" i="4"/>
  <c r="AB488" i="4" s="1"/>
  <c r="AC562" i="4" s="1"/>
  <c r="S230" i="4"/>
  <c r="S482" i="4" s="1"/>
  <c r="T556" i="4" s="1"/>
  <c r="E212" i="4"/>
  <c r="Q232" i="4" s="1"/>
  <c r="Q484" i="4" s="1"/>
  <c r="R558" i="4" s="1"/>
  <c r="E297" i="4"/>
  <c r="W323" i="4" s="1"/>
  <c r="X322" i="4"/>
  <c r="X488" i="4" s="1"/>
  <c r="Y562" i="4" s="1"/>
  <c r="F212" i="4"/>
  <c r="R232" i="4" s="1"/>
  <c r="R484" i="4" s="1"/>
  <c r="S558" i="4" s="1"/>
  <c r="S231" i="4"/>
  <c r="S483" i="4" s="1"/>
  <c r="T557" i="4" s="1"/>
  <c r="Y320" i="4"/>
  <c r="Y486" i="4" s="1"/>
  <c r="Z560" i="4" s="1"/>
  <c r="C298" i="4"/>
  <c r="U324" i="4" s="1"/>
  <c r="U490" i="4" s="1"/>
  <c r="V564" i="4" s="1"/>
  <c r="T320" i="4"/>
  <c r="E294" i="4"/>
  <c r="AE414" i="4"/>
  <c r="AE494" i="4" s="1"/>
  <c r="AF568" i="4" s="1"/>
  <c r="E384" i="4"/>
  <c r="AC416" i="4" s="1"/>
  <c r="E426" i="4"/>
  <c r="AF461" i="4" s="1"/>
  <c r="AF498" i="4" s="1"/>
  <c r="AG572" i="4" s="1"/>
  <c r="AG460" i="4"/>
  <c r="AG497" i="4" s="1"/>
  <c r="AH571" i="4" s="1"/>
  <c r="B81" i="4"/>
  <c r="E92" i="4" s="1"/>
  <c r="E473" i="4" s="1"/>
  <c r="F547" i="4" s="1"/>
  <c r="H89" i="4"/>
  <c r="H470" i="4" s="1"/>
  <c r="I544" i="4" s="1"/>
  <c r="E209" i="4"/>
  <c r="N229" i="4"/>
  <c r="AA365" i="4"/>
  <c r="AA488" i="4" s="1"/>
  <c r="AB562" i="4" s="1"/>
  <c r="B340" i="4"/>
  <c r="W369" i="4" s="1"/>
  <c r="W492" i="4" s="1"/>
  <c r="X566" i="4" s="1"/>
  <c r="Q227" i="4"/>
  <c r="Q479" i="4" s="1"/>
  <c r="R553" i="4" s="1"/>
  <c r="B210" i="4"/>
  <c r="N230" i="4" s="1"/>
  <c r="N482" i="4" s="1"/>
  <c r="O556" i="4" s="1"/>
  <c r="AG457" i="4"/>
  <c r="AG494" i="4" s="1"/>
  <c r="AH568" i="4" s="1"/>
  <c r="B426" i="4"/>
  <c r="AC461" i="4" s="1"/>
  <c r="AC498" i="4" s="1"/>
  <c r="AD572" i="4" s="1"/>
  <c r="L136" i="4"/>
  <c r="L474" i="4" s="1"/>
  <c r="M548" i="4" s="1"/>
  <c r="C125" i="4"/>
  <c r="I139" i="4" s="1"/>
  <c r="I477" i="4" s="1"/>
  <c r="J551" i="4" s="1"/>
  <c r="L135" i="4"/>
  <c r="L473" i="4" s="1"/>
  <c r="M547" i="4" s="1"/>
  <c r="B125" i="4"/>
  <c r="H139" i="4" s="1"/>
  <c r="H477" i="4" s="1"/>
  <c r="I551" i="4" s="1"/>
  <c r="Z413" i="4"/>
  <c r="E381" i="4"/>
  <c r="B253" i="4"/>
  <c r="Q276" i="4" s="1"/>
  <c r="Q485" i="4" s="1"/>
  <c r="R559" i="4" s="1"/>
  <c r="T273" i="4"/>
  <c r="T482" i="4" s="1"/>
  <c r="U556" i="4" s="1"/>
  <c r="C82" i="4"/>
  <c r="F93" i="4" s="1"/>
  <c r="F474" i="4" s="1"/>
  <c r="G548" i="4" s="1"/>
  <c r="I90" i="4"/>
  <c r="I471" i="4" s="1"/>
  <c r="J545" i="4" s="1"/>
  <c r="C212" i="4"/>
  <c r="O232" i="4" s="1"/>
  <c r="O484" i="4" s="1"/>
  <c r="P558" i="4" s="1"/>
  <c r="S228" i="4"/>
  <c r="S480" i="4" s="1"/>
  <c r="T554" i="4" s="1"/>
  <c r="Y323" i="4"/>
  <c r="Y489" i="4" s="1"/>
  <c r="Z563" i="4" s="1"/>
  <c r="F298" i="4"/>
  <c r="X324" i="4" s="1"/>
  <c r="X490" i="4" s="1"/>
  <c r="Y564" i="4" s="1"/>
  <c r="E126" i="4"/>
  <c r="K140" i="4" s="1"/>
  <c r="M138" i="4"/>
  <c r="M476" i="4" s="1"/>
  <c r="N550" i="4" s="1"/>
  <c r="AD411" i="4"/>
  <c r="AD491" i="4" s="1"/>
  <c r="AE565" i="4" s="1"/>
  <c r="B383" i="4"/>
  <c r="Z415" i="4" s="1"/>
  <c r="Z495" i="4" s="1"/>
  <c r="AA569" i="4" s="1"/>
  <c r="AA368" i="4"/>
  <c r="AA491" i="4" s="1"/>
  <c r="AB565" i="4" s="1"/>
  <c r="E340" i="4"/>
  <c r="Z369" i="4" s="1"/>
  <c r="E125" i="4"/>
  <c r="K139" i="4" s="1"/>
  <c r="L138" i="4"/>
  <c r="L476" i="4" s="1"/>
  <c r="M550" i="4" s="1"/>
  <c r="W366" i="4"/>
  <c r="E337" i="4"/>
  <c r="U273" i="4"/>
  <c r="U482" i="4" s="1"/>
  <c r="V556" i="4" s="1"/>
  <c r="B254" i="4"/>
  <c r="Q277" i="4" s="1"/>
  <c r="Q486" i="4" s="1"/>
  <c r="R560" i="4" s="1"/>
  <c r="C426" i="4"/>
  <c r="AD461" i="4" s="1"/>
  <c r="AD498" i="4" s="1"/>
  <c r="AE572" i="4" s="1"/>
  <c r="AG458" i="4"/>
  <c r="AG495" i="4" s="1"/>
  <c r="AH569" i="4" s="1"/>
  <c r="F40" i="4"/>
  <c r="F48" i="4" s="1"/>
  <c r="F472" i="4" s="1"/>
  <c r="G546" i="4" s="1"/>
  <c r="G47" i="4"/>
  <c r="G471" i="4" s="1"/>
  <c r="H545" i="4" s="1"/>
  <c r="C340" i="4"/>
  <c r="X369" i="4" s="1"/>
  <c r="X492" i="4" s="1"/>
  <c r="Y566" i="4" s="1"/>
  <c r="AA366" i="4"/>
  <c r="AA489" i="4" s="1"/>
  <c r="AB563" i="4" s="1"/>
  <c r="J89" i="4"/>
  <c r="J470" i="4" s="1"/>
  <c r="K544" i="4" s="1"/>
  <c r="B83" i="4"/>
  <c r="E94" i="4" s="1"/>
  <c r="E475" i="4" s="1"/>
  <c r="F549" i="4" s="1"/>
  <c r="H137" i="4"/>
  <c r="E123" i="4"/>
  <c r="B425" i="4"/>
  <c r="AC460" i="4" s="1"/>
  <c r="AC497" i="4" s="1"/>
  <c r="AD571" i="4" s="1"/>
  <c r="AF457" i="4"/>
  <c r="AF494" i="4" s="1"/>
  <c r="AG568" i="4" s="1"/>
  <c r="M183" i="4"/>
  <c r="M478" i="4" s="1"/>
  <c r="N552" i="4" s="1"/>
  <c r="G169" i="4"/>
  <c r="P186" i="4" s="1"/>
  <c r="P481" i="4" s="1"/>
  <c r="Q555" i="4" s="1"/>
  <c r="E251" i="4"/>
  <c r="Q274" i="4"/>
  <c r="R227" i="4"/>
  <c r="R479" i="4" s="1"/>
  <c r="S553" i="4" s="1"/>
  <c r="B211" i="4"/>
  <c r="N231" i="4" s="1"/>
  <c r="N483" i="4" s="1"/>
  <c r="O557" i="4" s="1"/>
  <c r="AH460" i="4"/>
  <c r="AH497" i="4" s="1"/>
  <c r="AI571" i="4" s="1"/>
  <c r="E427" i="4"/>
  <c r="AF462" i="4" s="1"/>
  <c r="AF499" i="4" s="1"/>
  <c r="AG573" i="4" s="1"/>
  <c r="E254" i="4"/>
  <c r="T277" i="4" s="1"/>
  <c r="U276" i="4"/>
  <c r="U485" i="4" s="1"/>
  <c r="V559" i="4" s="1"/>
  <c r="AH458" i="4"/>
  <c r="AH495" i="4" s="1"/>
  <c r="AI569" i="4" s="1"/>
  <c r="C427" i="4"/>
  <c r="AD462" i="4" s="1"/>
  <c r="AD499" i="4" s="1"/>
  <c r="AE573" i="4" s="1"/>
  <c r="E252" i="4"/>
  <c r="Q275" i="4"/>
  <c r="G44" i="4"/>
  <c r="G468" i="4" s="1"/>
  <c r="H542" i="4" s="1"/>
  <c r="C40" i="4"/>
  <c r="C48" i="4" s="1"/>
  <c r="C472" i="4" s="1"/>
  <c r="D546" i="4" s="1"/>
  <c r="B124" i="4"/>
  <c r="H138" i="4" s="1"/>
  <c r="H476" i="4" s="1"/>
  <c r="I550" i="4" s="1"/>
  <c r="K135" i="4"/>
  <c r="K473" i="4" s="1"/>
  <c r="L547" i="4" s="1"/>
  <c r="AA492" i="4"/>
  <c r="AB566" i="4" s="1"/>
  <c r="H136" i="4"/>
  <c r="E122" i="4"/>
  <c r="AH457" i="4"/>
  <c r="AH494" i="4" s="1"/>
  <c r="AI568" i="4" s="1"/>
  <c r="B427" i="4"/>
  <c r="AC462" i="4" s="1"/>
  <c r="AC499" i="4" s="1"/>
  <c r="AD573" i="4" s="1"/>
  <c r="E80" i="4"/>
  <c r="E91" i="4"/>
  <c r="B126" i="4"/>
  <c r="H140" i="4" s="1"/>
  <c r="H478" i="4" s="1"/>
  <c r="I552" i="4" s="1"/>
  <c r="M135" i="4"/>
  <c r="M473" i="4" s="1"/>
  <c r="N547" i="4" s="1"/>
  <c r="F338" i="4"/>
  <c r="X367" i="4"/>
  <c r="E83" i="4"/>
  <c r="H94" i="4" s="1"/>
  <c r="H475" i="4" s="1"/>
  <c r="I549" i="4" s="1"/>
  <c r="J92" i="4"/>
  <c r="J473" i="4" s="1"/>
  <c r="K547" i="4" s="1"/>
  <c r="E208" i="4"/>
  <c r="N228" i="4"/>
  <c r="B44" i="4"/>
  <c r="B468" i="4" s="1"/>
  <c r="C542" i="4" s="1"/>
  <c r="E36" i="4"/>
  <c r="F37" i="4"/>
  <c r="C45" i="4"/>
  <c r="C469" i="4" s="1"/>
  <c r="D543" i="4" s="1"/>
  <c r="E164" i="4"/>
  <c r="E167" i="4"/>
  <c r="N184" i="4" s="1"/>
  <c r="N479" i="4" s="1"/>
  <c r="O553" i="4" s="1"/>
  <c r="K181" i="4"/>
  <c r="K476" i="4" s="1"/>
  <c r="L550" i="4" s="1"/>
  <c r="I89" i="4"/>
  <c r="I470" i="4" s="1"/>
  <c r="J544" i="4" s="1"/>
  <c r="B82" i="4"/>
  <c r="E93" i="4" s="1"/>
  <c r="E474" i="4" s="1"/>
  <c r="F548" i="4" s="1"/>
  <c r="F91" i="4"/>
  <c r="F80" i="4"/>
  <c r="AC459" i="4"/>
  <c r="E424" i="4"/>
  <c r="E380" i="4"/>
  <c r="Z412" i="4"/>
  <c r="E383" i="4"/>
  <c r="AC415" i="4" s="1"/>
  <c r="AC495" i="4" s="1"/>
  <c r="AD569" i="4" s="1"/>
  <c r="AD414" i="4"/>
  <c r="AD494" i="4" s="1"/>
  <c r="AE568" i="4" s="1"/>
  <c r="AB366" i="4"/>
  <c r="AB489" i="4" s="1"/>
  <c r="AC563" i="4" s="1"/>
  <c r="C341" i="4"/>
  <c r="X370" i="4" s="1"/>
  <c r="X493" i="4" s="1"/>
  <c r="Y567" i="4" s="1"/>
  <c r="AD459" i="4"/>
  <c r="F424" i="4"/>
  <c r="E211" i="4"/>
  <c r="Q231" i="4" s="1"/>
  <c r="Q483" i="4" s="1"/>
  <c r="R557" i="4" s="1"/>
  <c r="R230" i="4"/>
  <c r="R482" i="4" s="1"/>
  <c r="S556" i="4" s="1"/>
  <c r="F83" i="4"/>
  <c r="I94" i="4" s="1"/>
  <c r="I475" i="4" s="1"/>
  <c r="J549" i="4" s="1"/>
  <c r="J93" i="4"/>
  <c r="J474" i="4" s="1"/>
  <c r="K548" i="4" s="1"/>
  <c r="E39" i="4"/>
  <c r="E47" i="4" s="1"/>
  <c r="F46" i="4"/>
  <c r="F470" i="4" s="1"/>
  <c r="G544" i="4" s="1"/>
  <c r="V273" i="4"/>
  <c r="V482" i="4" s="1"/>
  <c r="W556" i="4" s="1"/>
  <c r="B255" i="4"/>
  <c r="Q278" i="4" s="1"/>
  <c r="Q487" i="4" s="1"/>
  <c r="R561" i="4" s="1"/>
  <c r="M182" i="4"/>
  <c r="M477" i="4" s="1"/>
  <c r="N551" i="4" s="1"/>
  <c r="G168" i="4"/>
  <c r="G165" i="4"/>
  <c r="C166" i="4"/>
  <c r="Y319" i="4"/>
  <c r="Y485" i="4" s="1"/>
  <c r="Z559" i="4" s="1"/>
  <c r="B298" i="4"/>
  <c r="T324" i="4" s="1"/>
  <c r="T490" i="4" s="1"/>
  <c r="U564" i="4" s="1"/>
  <c r="O229" i="4"/>
  <c r="F209" i="4"/>
  <c r="AB369" i="4"/>
  <c r="AB492" i="4" s="1"/>
  <c r="AC566" i="4" s="1"/>
  <c r="F341" i="4"/>
  <c r="AA370" i="4" s="1"/>
  <c r="F427" i="4"/>
  <c r="AG462" i="4" s="1"/>
  <c r="AG499" i="4" s="1"/>
  <c r="AH573" i="4" s="1"/>
  <c r="AH461" i="4"/>
  <c r="AH498" i="4" s="1"/>
  <c r="AI572" i="4" s="1"/>
  <c r="R275" i="4"/>
  <c r="F252" i="4"/>
  <c r="T321" i="4"/>
  <c r="E295" i="4"/>
  <c r="C83" i="4"/>
  <c r="F94" i="4" s="1"/>
  <c r="F475" i="4" s="1"/>
  <c r="G549" i="4" s="1"/>
  <c r="J90" i="4"/>
  <c r="J471" i="4" s="1"/>
  <c r="K545" i="4" s="1"/>
  <c r="F43" i="4"/>
  <c r="F467" i="4" s="1"/>
  <c r="G541" i="4" s="1"/>
  <c r="B39" i="4"/>
  <c r="B47" i="4" s="1"/>
  <c r="B471" i="4" s="1"/>
  <c r="C545" i="4" s="1"/>
  <c r="V276" i="4"/>
  <c r="V485" i="4" s="1"/>
  <c r="W559" i="4" s="1"/>
  <c r="E255" i="4"/>
  <c r="T278" i="4" s="1"/>
  <c r="AE496" i="4"/>
  <c r="AF570" i="4" s="1"/>
  <c r="L182" i="4"/>
  <c r="L477" i="4" s="1"/>
  <c r="M551" i="4" s="1"/>
  <c r="F165" i="4"/>
  <c r="F168" i="4"/>
  <c r="O185" i="4" s="1"/>
  <c r="O480" i="4" s="1"/>
  <c r="P554" i="4" s="1"/>
  <c r="G142" i="2"/>
  <c r="S150" i="2"/>
  <c r="G145" i="2"/>
  <c r="V153" i="2" s="1"/>
  <c r="V264" i="2" s="1"/>
  <c r="D141" i="2"/>
  <c r="P132" i="2"/>
  <c r="G127" i="2"/>
  <c r="C125" i="2"/>
  <c r="O133" i="2" s="1"/>
  <c r="G124" i="2"/>
  <c r="F125" i="2"/>
  <c r="V4" i="2"/>
  <c r="W4" i="2" s="1"/>
  <c r="V3" i="2"/>
  <c r="F180" i="2"/>
  <c r="AA188" i="2" s="1"/>
  <c r="AA271" i="2" s="1"/>
  <c r="AC186" i="2"/>
  <c r="AC269" i="2" s="1"/>
  <c r="P19" i="2"/>
  <c r="D230" i="2"/>
  <c r="AH238" i="2" s="1"/>
  <c r="AH279" i="2" s="1"/>
  <c r="AK235" i="2"/>
  <c r="AK276" i="2" s="1"/>
  <c r="Q117" i="2"/>
  <c r="Q256" i="2" s="1"/>
  <c r="E112" i="2"/>
  <c r="N120" i="2" s="1"/>
  <c r="N259" i="2" s="1"/>
  <c r="D161" i="2"/>
  <c r="V169" i="2" s="1"/>
  <c r="V266" i="2" s="1"/>
  <c r="X167" i="2"/>
  <c r="X264" i="2" s="1"/>
  <c r="R19" i="2"/>
  <c r="H143" i="2" s="1"/>
  <c r="K83" i="2"/>
  <c r="K250" i="2" s="1"/>
  <c r="E78" i="2"/>
  <c r="H86" i="2" s="1"/>
  <c r="H253" i="2" s="1"/>
  <c r="E124" i="2"/>
  <c r="E125" i="2"/>
  <c r="AK237" i="2"/>
  <c r="AK278" i="2" s="1"/>
  <c r="F230" i="2"/>
  <c r="AJ238" i="2" s="1"/>
  <c r="AJ279" i="2" s="1"/>
  <c r="E230" i="2"/>
  <c r="AI238" i="2" s="1"/>
  <c r="AI279" i="2" s="1"/>
  <c r="AK236" i="2"/>
  <c r="AK277" i="2" s="1"/>
  <c r="E129" i="2"/>
  <c r="Q137" i="2" s="1"/>
  <c r="Q262" i="2" s="1"/>
  <c r="T134" i="2"/>
  <c r="T259" i="2" s="1"/>
  <c r="E73" i="2"/>
  <c r="E74" i="2"/>
  <c r="F197" i="2"/>
  <c r="AD205" i="2" s="1"/>
  <c r="AD274" i="2" s="1"/>
  <c r="AF203" i="2"/>
  <c r="AF272" i="2" s="1"/>
  <c r="AB184" i="2"/>
  <c r="AB267" i="2" s="1"/>
  <c r="D179" i="2"/>
  <c r="Y187" i="2" s="1"/>
  <c r="Y270" i="2" s="1"/>
  <c r="D56" i="2"/>
  <c r="D57" i="2"/>
  <c r="C56" i="2"/>
  <c r="D229" i="2"/>
  <c r="AH237" i="2" s="1"/>
  <c r="AH278" i="2" s="1"/>
  <c r="AJ235" i="2"/>
  <c r="AJ276" i="2" s="1"/>
  <c r="E90" i="2"/>
  <c r="E91" i="2"/>
  <c r="AL235" i="2"/>
  <c r="AL276" i="2" s="1"/>
  <c r="D231" i="2"/>
  <c r="AH239" i="2" s="1"/>
  <c r="AH280" i="2" s="1"/>
  <c r="H230" i="2"/>
  <c r="E108" i="2"/>
  <c r="E107" i="2"/>
  <c r="AK234" i="2"/>
  <c r="AK275" i="2" s="1"/>
  <c r="C230" i="2"/>
  <c r="AG238" i="2" s="1"/>
  <c r="AG279" i="2" s="1"/>
  <c r="E57" i="2"/>
  <c r="E56" i="2"/>
  <c r="K253" i="2"/>
  <c r="F162" i="2"/>
  <c r="X170" i="2" s="1"/>
  <c r="X267" i="2" s="1"/>
  <c r="Y169" i="2"/>
  <c r="Y266" i="2" s="1"/>
  <c r="C141" i="2"/>
  <c r="E66" i="2"/>
  <c r="E247" i="2" s="1"/>
  <c r="H61" i="2"/>
  <c r="H69" i="2" s="1"/>
  <c r="H250" i="2" s="1"/>
  <c r="AH220" i="2"/>
  <c r="AH275" i="2" s="1"/>
  <c r="F213" i="2"/>
  <c r="AG221" i="2" s="1"/>
  <c r="AG276" i="2" s="1"/>
  <c r="D73" i="2"/>
  <c r="C73" i="2"/>
  <c r="D74" i="2"/>
  <c r="C108" i="2"/>
  <c r="L116" i="2" s="1"/>
  <c r="F108" i="2"/>
  <c r="M115" i="2"/>
  <c r="G107" i="2"/>
  <c r="G110" i="2"/>
  <c r="F231" i="2"/>
  <c r="AJ239" i="2" s="1"/>
  <c r="AJ280" i="2" s="1"/>
  <c r="AL237" i="2"/>
  <c r="AL278" i="2" s="1"/>
  <c r="AG217" i="2"/>
  <c r="AG272" i="2" s="1"/>
  <c r="C212" i="2"/>
  <c r="AD220" i="2" s="1"/>
  <c r="AD275" i="2" s="1"/>
  <c r="D108" i="2"/>
  <c r="C107" i="2"/>
  <c r="Y166" i="2"/>
  <c r="Y263" i="2" s="1"/>
  <c r="C162" i="2"/>
  <c r="U170" i="2" s="1"/>
  <c r="U267" i="2" s="1"/>
  <c r="Q19" i="2"/>
  <c r="E143" i="2" s="1"/>
  <c r="Q314" i="2"/>
  <c r="Q312" i="2"/>
  <c r="Q290" i="2"/>
  <c r="Q313" i="2"/>
  <c r="Q306" i="2"/>
  <c r="Q288" i="2"/>
  <c r="Q320" i="2"/>
  <c r="Q319" i="2"/>
  <c r="Q318" i="2"/>
  <c r="Q317" i="2"/>
  <c r="Q316" i="2"/>
  <c r="Q315" i="2"/>
  <c r="Q305" i="2"/>
  <c r="Q287" i="2"/>
  <c r="Q304" i="2"/>
  <c r="Q286" i="2"/>
  <c r="Q302" i="2"/>
  <c r="Q297" i="2"/>
  <c r="Q292" i="2"/>
  <c r="Q285" i="2"/>
  <c r="Q303" i="2"/>
  <c r="Q298" i="2"/>
  <c r="Q293" i="2"/>
  <c r="Q301" i="2"/>
  <c r="Q311" i="2"/>
  <c r="Q296" i="2"/>
  <c r="Q308" i="2"/>
  <c r="Q295" i="2"/>
  <c r="Q299" i="2"/>
  <c r="D50" i="2"/>
  <c r="E47" i="2"/>
  <c r="H47" i="2" s="1"/>
  <c r="F44" i="2"/>
  <c r="I44" i="2" s="1"/>
  <c r="Q309" i="2"/>
  <c r="D47" i="2"/>
  <c r="E44" i="2"/>
  <c r="H44" i="2" s="1"/>
  <c r="Q289" i="2"/>
  <c r="F51" i="2"/>
  <c r="I51" i="2" s="1"/>
  <c r="E51" i="2"/>
  <c r="H51" i="2" s="1"/>
  <c r="F48" i="2"/>
  <c r="I48" i="2" s="1"/>
  <c r="Q291" i="2"/>
  <c r="E52" i="2"/>
  <c r="H52" i="2" s="1"/>
  <c r="F49" i="2"/>
  <c r="I49" i="2" s="1"/>
  <c r="D53" i="2"/>
  <c r="F42" i="2"/>
  <c r="I42" i="2" s="1"/>
  <c r="Q300" i="2"/>
  <c r="E42" i="2"/>
  <c r="H42" i="2" s="1"/>
  <c r="F46" i="2"/>
  <c r="I46" i="2" s="1"/>
  <c r="D42" i="2"/>
  <c r="Q294" i="2"/>
  <c r="E48" i="2"/>
  <c r="H48" i="2" s="1"/>
  <c r="E46" i="2"/>
  <c r="H46" i="2" s="1"/>
  <c r="D44" i="2"/>
  <c r="Q310" i="2"/>
  <c r="D52" i="2"/>
  <c r="E50" i="2"/>
  <c r="H50" i="2" s="1"/>
  <c r="F47" i="2"/>
  <c r="I47" i="2" s="1"/>
  <c r="F53" i="2"/>
  <c r="I53" i="2" s="1"/>
  <c r="E53" i="2"/>
  <c r="H53" i="2" s="1"/>
  <c r="F43" i="2"/>
  <c r="I43" i="2" s="1"/>
  <c r="F52" i="2"/>
  <c r="I52" i="2" s="1"/>
  <c r="D46" i="2"/>
  <c r="E43" i="2"/>
  <c r="H43" i="2" s="1"/>
  <c r="E49" i="2"/>
  <c r="H49" i="2" s="1"/>
  <c r="D43" i="2"/>
  <c r="D49" i="2"/>
  <c r="F45" i="2"/>
  <c r="I45" i="2" s="1"/>
  <c r="D51" i="2"/>
  <c r="Q307" i="2"/>
  <c r="F50" i="2"/>
  <c r="I50" i="2" s="1"/>
  <c r="D48" i="2"/>
  <c r="D45" i="2"/>
  <c r="E45" i="2"/>
  <c r="H45" i="2" s="1"/>
  <c r="C90" i="2"/>
  <c r="D91" i="2"/>
  <c r="D90" i="2"/>
  <c r="AE272" i="2"/>
  <c r="AH217" i="2"/>
  <c r="AH272" i="2" s="1"/>
  <c r="C213" i="2"/>
  <c r="AD221" i="2" s="1"/>
  <c r="AD276" i="2" s="1"/>
  <c r="C124" i="2"/>
  <c r="H129" i="2"/>
  <c r="T137" i="2" s="1"/>
  <c r="Q134" i="2"/>
  <c r="Q259" i="2" s="1"/>
  <c r="AG218" i="2"/>
  <c r="AG273" i="2" s="1"/>
  <c r="D212" i="2"/>
  <c r="AE220" i="2" s="1"/>
  <c r="AE275" i="2" s="1"/>
  <c r="K100" i="2"/>
  <c r="H95" i="2"/>
  <c r="N103" i="2" s="1"/>
  <c r="N256" i="2" s="1"/>
  <c r="AD273" i="2"/>
  <c r="G214" i="2"/>
  <c r="AH222" i="2" s="1"/>
  <c r="AH277" i="2" s="1"/>
  <c r="AI221" i="2"/>
  <c r="AI276" i="2" s="1"/>
  <c r="H66" i="2"/>
  <c r="H247" i="2" s="1"/>
  <c r="E61" i="2"/>
  <c r="E69" i="2" s="1"/>
  <c r="E250" i="2" s="1"/>
  <c r="D125" i="2"/>
  <c r="E95" i="2"/>
  <c r="K103" i="2" s="1"/>
  <c r="K256" i="2" s="1"/>
  <c r="N100" i="2"/>
  <c r="N253" i="2" s="1"/>
  <c r="H90" i="6" l="1"/>
  <c r="H471" i="6" s="1"/>
  <c r="I545" i="6" s="1"/>
  <c r="C81" i="6"/>
  <c r="F92" i="6" s="1"/>
  <c r="F473" i="6" s="1"/>
  <c r="G547" i="6" s="1"/>
  <c r="N182" i="6"/>
  <c r="N477" i="6" s="1"/>
  <c r="O551" i="6" s="1"/>
  <c r="C167" i="6"/>
  <c r="L184" i="6" s="1"/>
  <c r="L479" i="6" s="1"/>
  <c r="M553" i="6" s="1"/>
  <c r="AL578" i="6" a="1"/>
  <c r="D425" i="6"/>
  <c r="AE460" i="6" s="1"/>
  <c r="AE497" i="6" s="1"/>
  <c r="AF571" i="6" s="1"/>
  <c r="AF459" i="6"/>
  <c r="AF496" i="6" s="1"/>
  <c r="AG570" i="6" s="1"/>
  <c r="C339" i="6"/>
  <c r="X368" i="6" s="1"/>
  <c r="X491" i="6" s="1"/>
  <c r="Y565" i="6" s="1"/>
  <c r="Z366" i="6"/>
  <c r="Z489" i="6" s="1"/>
  <c r="AA563" i="6" s="1"/>
  <c r="X321" i="6"/>
  <c r="X487" i="6" s="1"/>
  <c r="Y561" i="6" s="1"/>
  <c r="D297" i="6"/>
  <c r="V323" i="6" s="1"/>
  <c r="V489" i="6" s="1"/>
  <c r="W563" i="6" s="1"/>
  <c r="C296" i="6"/>
  <c r="U322" i="6" s="1"/>
  <c r="U488" i="6" s="1"/>
  <c r="V562" i="6" s="1"/>
  <c r="W320" i="6"/>
  <c r="W486" i="6" s="1"/>
  <c r="X560" i="6" s="1"/>
  <c r="AF458" i="6"/>
  <c r="AF495" i="6" s="1"/>
  <c r="AG569" i="6" s="1"/>
  <c r="C425" i="6"/>
  <c r="AD460" i="6" s="1"/>
  <c r="AD497" i="6" s="1"/>
  <c r="AE571" i="6" s="1"/>
  <c r="N183" i="6"/>
  <c r="N478" i="6" s="1"/>
  <c r="O552" i="6" s="1"/>
  <c r="D167" i="6"/>
  <c r="M184" i="6" s="1"/>
  <c r="M479" i="6" s="1"/>
  <c r="N553" i="6" s="1"/>
  <c r="U275" i="6"/>
  <c r="U484" i="6" s="1"/>
  <c r="V558" i="6" s="1"/>
  <c r="D254" i="6"/>
  <c r="S277" i="6" s="1"/>
  <c r="S486" i="6" s="1"/>
  <c r="T560" i="6" s="1"/>
  <c r="X490" i="6"/>
  <c r="Y564" i="6" s="1"/>
  <c r="O481" i="6"/>
  <c r="P555" i="6" s="1"/>
  <c r="N480" i="6"/>
  <c r="O554" i="6" s="1"/>
  <c r="E44" i="6"/>
  <c r="E468" i="6" s="1"/>
  <c r="F542" i="6" s="1"/>
  <c r="C38" i="6"/>
  <c r="C46" i="6" s="1"/>
  <c r="C470" i="6" s="1"/>
  <c r="D544" i="6" s="1"/>
  <c r="I91" i="6"/>
  <c r="I472" i="6" s="1"/>
  <c r="J546" i="6" s="1"/>
  <c r="D82" i="6"/>
  <c r="G93" i="6" s="1"/>
  <c r="G474" i="6" s="1"/>
  <c r="H548" i="6" s="1"/>
  <c r="Z492" i="6"/>
  <c r="AA566" i="6" s="1"/>
  <c r="T274" i="6"/>
  <c r="T483" i="6" s="1"/>
  <c r="U557" i="6" s="1"/>
  <c r="C253" i="6"/>
  <c r="R276" i="6" s="1"/>
  <c r="R485" i="6" s="1"/>
  <c r="S559" i="6" s="1"/>
  <c r="Z367" i="6"/>
  <c r="Z490" i="6" s="1"/>
  <c r="AA564" i="6" s="1"/>
  <c r="D339" i="6"/>
  <c r="Y368" i="6" s="1"/>
  <c r="Y491" i="6" s="1"/>
  <c r="Z565" i="6" s="1"/>
  <c r="H91" i="6"/>
  <c r="H472" i="6" s="1"/>
  <c r="I546" i="6" s="1"/>
  <c r="D81" i="6"/>
  <c r="G92" i="6" s="1"/>
  <c r="G473" i="6" s="1"/>
  <c r="H547" i="6" s="1"/>
  <c r="Q228" i="6"/>
  <c r="Q480" i="6" s="1"/>
  <c r="R554" i="6" s="1"/>
  <c r="C210" i="6"/>
  <c r="O230" i="6" s="1"/>
  <c r="O482" i="6" s="1"/>
  <c r="P556" i="6" s="1"/>
  <c r="K136" i="6"/>
  <c r="K474" i="6" s="1"/>
  <c r="L548" i="6" s="1"/>
  <c r="C124" i="6"/>
  <c r="I138" i="6" s="1"/>
  <c r="I476" i="6" s="1"/>
  <c r="J550" i="6" s="1"/>
  <c r="L137" i="6"/>
  <c r="L475" i="6" s="1"/>
  <c r="M549" i="6" s="1"/>
  <c r="D125" i="6"/>
  <c r="J139" i="6" s="1"/>
  <c r="J477" i="6" s="1"/>
  <c r="K551" i="6" s="1"/>
  <c r="AC496" i="6"/>
  <c r="AD570" i="6" s="1"/>
  <c r="D382" i="6"/>
  <c r="AB414" i="6" s="1"/>
  <c r="AB494" i="6" s="1"/>
  <c r="AC568" i="6" s="1"/>
  <c r="AC413" i="6"/>
  <c r="AC493" i="6" s="1"/>
  <c r="AD567" i="6" s="1"/>
  <c r="AG459" i="6"/>
  <c r="AG496" i="6" s="1"/>
  <c r="AH570" i="6" s="1"/>
  <c r="D426" i="6"/>
  <c r="AE461" i="6" s="1"/>
  <c r="AE498" i="6" s="1"/>
  <c r="AF572" i="6" s="1"/>
  <c r="Z493" i="6"/>
  <c r="AA567" i="6" s="1"/>
  <c r="C382" i="6"/>
  <c r="AA414" i="6" s="1"/>
  <c r="AA494" i="6" s="1"/>
  <c r="AB568" i="6" s="1"/>
  <c r="AC412" i="6"/>
  <c r="AC492" i="6" s="1"/>
  <c r="AD566" i="6" s="1"/>
  <c r="R229" i="6"/>
  <c r="R481" i="6" s="1"/>
  <c r="S555" i="6" s="1"/>
  <c r="D211" i="6"/>
  <c r="P231" i="6" s="1"/>
  <c r="P483" i="6" s="1"/>
  <c r="Q557" i="6" s="1"/>
  <c r="T486" i="6"/>
  <c r="U560" i="6" s="1"/>
  <c r="D253" i="6"/>
  <c r="S276" i="6" s="1"/>
  <c r="S485" i="6" s="1"/>
  <c r="T559" i="6" s="1"/>
  <c r="T275" i="6"/>
  <c r="T484" i="6" s="1"/>
  <c r="U558" i="6" s="1"/>
  <c r="F45" i="6"/>
  <c r="F469" i="6" s="1"/>
  <c r="G543" i="6" s="1"/>
  <c r="D39" i="6"/>
  <c r="D47" i="6" s="1"/>
  <c r="D471" i="6" s="1"/>
  <c r="E545" i="6" s="1"/>
  <c r="D210" i="6"/>
  <c r="P230" i="6" s="1"/>
  <c r="P482" i="6" s="1"/>
  <c r="Q556" i="6" s="1"/>
  <c r="Q229" i="6"/>
  <c r="Q481" i="6" s="1"/>
  <c r="R555" i="6" s="1"/>
  <c r="E45" i="6"/>
  <c r="E469" i="6" s="1"/>
  <c r="F543" i="6" s="1"/>
  <c r="D38" i="6"/>
  <c r="D46" i="6" s="1"/>
  <c r="D470" i="6" s="1"/>
  <c r="E544" i="6" s="1"/>
  <c r="AC495" i="6"/>
  <c r="AD569" i="6" s="1"/>
  <c r="D383" i="6"/>
  <c r="AB415" i="6" s="1"/>
  <c r="AB495" i="6" s="1"/>
  <c r="AC569" i="6" s="1"/>
  <c r="AD413" i="6"/>
  <c r="AD493" i="6" s="1"/>
  <c r="AE567" i="6" s="1"/>
  <c r="U487" i="6"/>
  <c r="V561" i="6" s="1"/>
  <c r="I475" i="6"/>
  <c r="J549" i="6" s="1"/>
  <c r="D296" i="6"/>
  <c r="V322" i="6" s="1"/>
  <c r="V488" i="6" s="1"/>
  <c r="W562" i="6" s="1"/>
  <c r="W321" i="6"/>
  <c r="W487" i="6" s="1"/>
  <c r="X561" i="6" s="1"/>
  <c r="AA367" i="6"/>
  <c r="AA490" i="6" s="1"/>
  <c r="AB564" i="6" s="1"/>
  <c r="D340" i="6"/>
  <c r="Y369" i="6" s="1"/>
  <c r="Y492" i="6" s="1"/>
  <c r="Z566" i="6" s="1"/>
  <c r="D168" i="6"/>
  <c r="M185" i="6" s="1"/>
  <c r="M480" i="6" s="1"/>
  <c r="N554" i="6" s="1"/>
  <c r="O183" i="6"/>
  <c r="O478" i="6" s="1"/>
  <c r="P552" i="6" s="1"/>
  <c r="K137" i="6"/>
  <c r="K475" i="6" s="1"/>
  <c r="L549" i="6" s="1"/>
  <c r="D124" i="6"/>
  <c r="J138" i="6" s="1"/>
  <c r="J476" i="6" s="1"/>
  <c r="K550" i="6" s="1"/>
  <c r="D210" i="5"/>
  <c r="P230" i="5" s="1"/>
  <c r="P482" i="5" s="1"/>
  <c r="Q556" i="5" s="1"/>
  <c r="Q229" i="5"/>
  <c r="Q481" i="5" s="1"/>
  <c r="R555" i="5" s="1"/>
  <c r="D125" i="5"/>
  <c r="J139" i="5" s="1"/>
  <c r="J477" i="5" s="1"/>
  <c r="K551" i="5" s="1"/>
  <c r="L137" i="5"/>
  <c r="L475" i="5" s="1"/>
  <c r="M549" i="5" s="1"/>
  <c r="AL578" i="5" a="1"/>
  <c r="H91" i="5"/>
  <c r="H472" i="5" s="1"/>
  <c r="I546" i="5" s="1"/>
  <c r="D81" i="5"/>
  <c r="G92" i="5" s="1"/>
  <c r="G473" i="5" s="1"/>
  <c r="H547" i="5" s="1"/>
  <c r="C382" i="5"/>
  <c r="AA414" i="5" s="1"/>
  <c r="AA494" i="5" s="1"/>
  <c r="AB568" i="5" s="1"/>
  <c r="AC412" i="5"/>
  <c r="AC492" i="5" s="1"/>
  <c r="AD566" i="5" s="1"/>
  <c r="D297" i="5"/>
  <c r="V323" i="5" s="1"/>
  <c r="V489" i="5" s="1"/>
  <c r="W563" i="5" s="1"/>
  <c r="X321" i="5"/>
  <c r="X487" i="5" s="1"/>
  <c r="Y561" i="5" s="1"/>
  <c r="H90" i="5"/>
  <c r="H471" i="5" s="1"/>
  <c r="I545" i="5" s="1"/>
  <c r="C81" i="5"/>
  <c r="F92" i="5" s="1"/>
  <c r="F473" i="5" s="1"/>
  <c r="G547" i="5" s="1"/>
  <c r="AF459" i="5"/>
  <c r="AF496" i="5" s="1"/>
  <c r="AG570" i="5" s="1"/>
  <c r="D425" i="5"/>
  <c r="AE460" i="5" s="1"/>
  <c r="AE497" i="5" s="1"/>
  <c r="AF571" i="5" s="1"/>
  <c r="AD413" i="5"/>
  <c r="AD493" i="5" s="1"/>
  <c r="AE567" i="5" s="1"/>
  <c r="D383" i="5"/>
  <c r="AB415" i="5" s="1"/>
  <c r="AB495" i="5" s="1"/>
  <c r="AC569" i="5" s="1"/>
  <c r="T274" i="5"/>
  <c r="T483" i="5" s="1"/>
  <c r="U557" i="5" s="1"/>
  <c r="C253" i="5"/>
  <c r="R276" i="5" s="1"/>
  <c r="R485" i="5" s="1"/>
  <c r="S559" i="5" s="1"/>
  <c r="N183" i="5"/>
  <c r="N478" i="5" s="1"/>
  <c r="O552" i="5" s="1"/>
  <c r="D167" i="5"/>
  <c r="M184" i="5" s="1"/>
  <c r="M479" i="5" s="1"/>
  <c r="N553" i="5" s="1"/>
  <c r="C296" i="5"/>
  <c r="U322" i="5" s="1"/>
  <c r="U488" i="5" s="1"/>
  <c r="V562" i="5" s="1"/>
  <c r="W320" i="5"/>
  <c r="W486" i="5" s="1"/>
  <c r="X560" i="5" s="1"/>
  <c r="L478" i="5"/>
  <c r="M552" i="5" s="1"/>
  <c r="H474" i="5"/>
  <c r="I548" i="5" s="1"/>
  <c r="C210" i="5"/>
  <c r="O230" i="5" s="1"/>
  <c r="O482" i="5" s="1"/>
  <c r="P556" i="5" s="1"/>
  <c r="Q228" i="5"/>
  <c r="Q480" i="5" s="1"/>
  <c r="R554" i="5" s="1"/>
  <c r="N481" i="5"/>
  <c r="O555" i="5" s="1"/>
  <c r="K136" i="5"/>
  <c r="K474" i="5" s="1"/>
  <c r="L548" i="5" s="1"/>
  <c r="C124" i="5"/>
  <c r="I138" i="5" s="1"/>
  <c r="I476" i="5" s="1"/>
  <c r="J550" i="5" s="1"/>
  <c r="T487" i="5"/>
  <c r="U561" i="5" s="1"/>
  <c r="W321" i="5"/>
  <c r="W487" i="5" s="1"/>
  <c r="X561" i="5" s="1"/>
  <c r="D296" i="5"/>
  <c r="V322" i="5" s="1"/>
  <c r="V488" i="5" s="1"/>
  <c r="W562" i="5" s="1"/>
  <c r="O183" i="5"/>
  <c r="O478" i="5" s="1"/>
  <c r="P552" i="5" s="1"/>
  <c r="D168" i="5"/>
  <c r="M185" i="5" s="1"/>
  <c r="M480" i="5" s="1"/>
  <c r="N554" i="5" s="1"/>
  <c r="D82" i="5"/>
  <c r="G93" i="5" s="1"/>
  <c r="G474" i="5" s="1"/>
  <c r="H548" i="5" s="1"/>
  <c r="I91" i="5"/>
  <c r="I472" i="5" s="1"/>
  <c r="J546" i="5" s="1"/>
  <c r="Q483" i="5"/>
  <c r="R557" i="5" s="1"/>
  <c r="D211" i="5"/>
  <c r="P231" i="5" s="1"/>
  <c r="P483" i="5" s="1"/>
  <c r="Q557" i="5" s="1"/>
  <c r="R229" i="5"/>
  <c r="R481" i="5" s="1"/>
  <c r="S555" i="5" s="1"/>
  <c r="Q484" i="5"/>
  <c r="R558" i="5" s="1"/>
  <c r="C167" i="5"/>
  <c r="L184" i="5" s="1"/>
  <c r="L479" i="5" s="1"/>
  <c r="M553" i="5" s="1"/>
  <c r="N182" i="5"/>
  <c r="N477" i="5" s="1"/>
  <c r="O551" i="5" s="1"/>
  <c r="D124" i="5"/>
  <c r="J138" i="5" s="1"/>
  <c r="J476" i="5" s="1"/>
  <c r="K550" i="5" s="1"/>
  <c r="K137" i="5"/>
  <c r="K475" i="5" s="1"/>
  <c r="L549" i="5" s="1"/>
  <c r="T275" i="5"/>
  <c r="T484" i="5" s="1"/>
  <c r="U558" i="5" s="1"/>
  <c r="D253" i="5"/>
  <c r="S276" i="5" s="1"/>
  <c r="S485" i="5" s="1"/>
  <c r="T559" i="5" s="1"/>
  <c r="C296" i="4"/>
  <c r="U322" i="4" s="1"/>
  <c r="U488" i="4" s="1"/>
  <c r="V562" i="4" s="1"/>
  <c r="W320" i="4"/>
  <c r="W486" i="4" s="1"/>
  <c r="X560" i="4" s="1"/>
  <c r="AF458" i="4"/>
  <c r="AF495" i="4" s="1"/>
  <c r="AG569" i="4" s="1"/>
  <c r="C425" i="4"/>
  <c r="AD460" i="4" s="1"/>
  <c r="AD497" i="4" s="1"/>
  <c r="AE571" i="4" s="1"/>
  <c r="AD607" i="4"/>
  <c r="N607" i="4"/>
  <c r="Y607" i="4"/>
  <c r="I607" i="4"/>
  <c r="W607" i="4"/>
  <c r="E607" i="4"/>
  <c r="V607" i="4"/>
  <c r="D607" i="4"/>
  <c r="U607" i="4"/>
  <c r="C607" i="4"/>
  <c r="T607" i="4"/>
  <c r="B607" i="4"/>
  <c r="AH607" i="4"/>
  <c r="P607" i="4"/>
  <c r="AG607" i="4"/>
  <c r="O607" i="4"/>
  <c r="J607" i="4"/>
  <c r="H607" i="4"/>
  <c r="AJ607" i="4"/>
  <c r="G607" i="4"/>
  <c r="AF607" i="4"/>
  <c r="F607" i="4"/>
  <c r="S607" i="4"/>
  <c r="R607" i="4"/>
  <c r="Q607" i="4"/>
  <c r="M607" i="4"/>
  <c r="AE607" i="4"/>
  <c r="AC607" i="4"/>
  <c r="X607" i="4"/>
  <c r="L607" i="4"/>
  <c r="AB607" i="4"/>
  <c r="AA607" i="4"/>
  <c r="Z607" i="4"/>
  <c r="K607" i="4"/>
  <c r="AB584" i="4"/>
  <c r="L584" i="4"/>
  <c r="W584" i="4"/>
  <c r="F584" i="4"/>
  <c r="V584" i="4"/>
  <c r="E584" i="4"/>
  <c r="U584" i="4"/>
  <c r="D584" i="4"/>
  <c r="T584" i="4"/>
  <c r="C584" i="4"/>
  <c r="AG584" i="4"/>
  <c r="K584" i="4"/>
  <c r="AF584" i="4"/>
  <c r="J584" i="4"/>
  <c r="AE584" i="4"/>
  <c r="I584" i="4"/>
  <c r="AD584" i="4"/>
  <c r="H584" i="4"/>
  <c r="Z584" i="4"/>
  <c r="Y584" i="4"/>
  <c r="X584" i="4"/>
  <c r="S584" i="4"/>
  <c r="N584" i="4"/>
  <c r="AH584" i="4"/>
  <c r="AA584" i="4"/>
  <c r="R584" i="4"/>
  <c r="Q584" i="4"/>
  <c r="G584" i="4"/>
  <c r="B584" i="4"/>
  <c r="AJ584" i="4"/>
  <c r="AC584" i="4"/>
  <c r="M584" i="4"/>
  <c r="P584" i="4"/>
  <c r="O584" i="4"/>
  <c r="B168" i="4"/>
  <c r="K185" i="4" s="1"/>
  <c r="K480" i="4" s="1"/>
  <c r="L554" i="4" s="1"/>
  <c r="O181" i="4"/>
  <c r="O476" i="4" s="1"/>
  <c r="P550" i="4" s="1"/>
  <c r="O184" i="4"/>
  <c r="O479" i="4" s="1"/>
  <c r="P553" i="4" s="1"/>
  <c r="E168" i="4"/>
  <c r="N185" i="4" s="1"/>
  <c r="N480" i="4" s="1"/>
  <c r="O554" i="4" s="1"/>
  <c r="C168" i="4"/>
  <c r="L185" i="4" s="1"/>
  <c r="L480" i="4" s="1"/>
  <c r="M554" i="4" s="1"/>
  <c r="O182" i="4"/>
  <c r="O477" i="4" s="1"/>
  <c r="P551" i="4" s="1"/>
  <c r="X602" i="4"/>
  <c r="H602" i="4"/>
  <c r="AJ602" i="4"/>
  <c r="S602" i="4"/>
  <c r="C602" i="4"/>
  <c r="AC602" i="4"/>
  <c r="K602" i="4"/>
  <c r="AB602" i="4"/>
  <c r="J602" i="4"/>
  <c r="AA602" i="4"/>
  <c r="I602" i="4"/>
  <c r="Z602" i="4"/>
  <c r="G602" i="4"/>
  <c r="U602" i="4"/>
  <c r="B602" i="4"/>
  <c r="M602" i="4"/>
  <c r="L602" i="4"/>
  <c r="AH602" i="4"/>
  <c r="F602" i="4"/>
  <c r="AG602" i="4"/>
  <c r="E602" i="4"/>
  <c r="AF602" i="4"/>
  <c r="AE602" i="4"/>
  <c r="T602" i="4"/>
  <c r="R602" i="4"/>
  <c r="Y602" i="4"/>
  <c r="W602" i="4"/>
  <c r="V602" i="4"/>
  <c r="N602" i="4"/>
  <c r="D602" i="4"/>
  <c r="AD602" i="4"/>
  <c r="Q602" i="4"/>
  <c r="P602" i="4"/>
  <c r="O602" i="4"/>
  <c r="Z609" i="4"/>
  <c r="J609" i="4"/>
  <c r="U609" i="4"/>
  <c r="E609" i="4"/>
  <c r="AC609" i="4"/>
  <c r="K609" i="4"/>
  <c r="AB609" i="4"/>
  <c r="I609" i="4"/>
  <c r="AA609" i="4"/>
  <c r="H609" i="4"/>
  <c r="Y609" i="4"/>
  <c r="G609" i="4"/>
  <c r="T609" i="4"/>
  <c r="B609" i="4"/>
  <c r="S609" i="4"/>
  <c r="AE609" i="4"/>
  <c r="AD609" i="4"/>
  <c r="X609" i="4"/>
  <c r="W609" i="4"/>
  <c r="AG609" i="4"/>
  <c r="AF609" i="4"/>
  <c r="V609" i="4"/>
  <c r="R609" i="4"/>
  <c r="M609" i="4"/>
  <c r="L609" i="4"/>
  <c r="AJ609" i="4"/>
  <c r="AH609" i="4"/>
  <c r="N609" i="4"/>
  <c r="F609" i="4"/>
  <c r="O609" i="4"/>
  <c r="Q609" i="4"/>
  <c r="P609" i="4"/>
  <c r="D609" i="4"/>
  <c r="C609" i="4"/>
  <c r="AB600" i="4"/>
  <c r="L600" i="4"/>
  <c r="W600" i="4"/>
  <c r="G600" i="4"/>
  <c r="X600" i="4"/>
  <c r="E600" i="4"/>
  <c r="V600" i="4"/>
  <c r="D600" i="4"/>
  <c r="U600" i="4"/>
  <c r="C600" i="4"/>
  <c r="T600" i="4"/>
  <c r="B600" i="4"/>
  <c r="AH600" i="4"/>
  <c r="P600" i="4"/>
  <c r="AA600" i="4"/>
  <c r="Z600" i="4"/>
  <c r="Y600" i="4"/>
  <c r="S600" i="4"/>
  <c r="AJ600" i="4"/>
  <c r="AG600" i="4"/>
  <c r="AF600" i="4"/>
  <c r="AE600" i="4"/>
  <c r="O600" i="4"/>
  <c r="N600" i="4"/>
  <c r="Q600" i="4"/>
  <c r="M600" i="4"/>
  <c r="I600" i="4"/>
  <c r="AC600" i="4"/>
  <c r="R600" i="4"/>
  <c r="H600" i="4"/>
  <c r="K600" i="4"/>
  <c r="J600" i="4"/>
  <c r="F600" i="4"/>
  <c r="AD600" i="4"/>
  <c r="D211" i="4"/>
  <c r="P231" i="4" s="1"/>
  <c r="P483" i="4" s="1"/>
  <c r="Q557" i="4" s="1"/>
  <c r="R229" i="4"/>
  <c r="R481" i="4" s="1"/>
  <c r="S555" i="4" s="1"/>
  <c r="AG459" i="4"/>
  <c r="AG496" i="4" s="1"/>
  <c r="AH570" i="4" s="1"/>
  <c r="D426" i="4"/>
  <c r="AE461" i="4" s="1"/>
  <c r="AE498" i="4" s="1"/>
  <c r="AF572" i="4" s="1"/>
  <c r="N181" i="4"/>
  <c r="N476" i="4" s="1"/>
  <c r="O550" i="4" s="1"/>
  <c r="B167" i="4"/>
  <c r="K184" i="4" s="1"/>
  <c r="K479" i="4" s="1"/>
  <c r="L553" i="4" s="1"/>
  <c r="H91" i="4"/>
  <c r="H472" i="4" s="1"/>
  <c r="I546" i="4" s="1"/>
  <c r="D81" i="4"/>
  <c r="G92" i="4" s="1"/>
  <c r="G473" i="4" s="1"/>
  <c r="H547" i="4" s="1"/>
  <c r="T486" i="4"/>
  <c r="U560" i="4" s="1"/>
  <c r="K478" i="4"/>
  <c r="L552" i="4" s="1"/>
  <c r="AB608" i="4"/>
  <c r="L608" i="4"/>
  <c r="W608" i="4"/>
  <c r="G608" i="4"/>
  <c r="Z608" i="4"/>
  <c r="H608" i="4"/>
  <c r="Y608" i="4"/>
  <c r="F608" i="4"/>
  <c r="X608" i="4"/>
  <c r="E608" i="4"/>
  <c r="V608" i="4"/>
  <c r="D608" i="4"/>
  <c r="R608" i="4"/>
  <c r="AJ608" i="4"/>
  <c r="Q608" i="4"/>
  <c r="AG608" i="4"/>
  <c r="C608" i="4"/>
  <c r="AF608" i="4"/>
  <c r="B608" i="4"/>
  <c r="AE608" i="4"/>
  <c r="AD608" i="4"/>
  <c r="U608" i="4"/>
  <c r="T608" i="4"/>
  <c r="S608" i="4"/>
  <c r="P608" i="4"/>
  <c r="J608" i="4"/>
  <c r="I608" i="4"/>
  <c r="N608" i="4"/>
  <c r="K608" i="4"/>
  <c r="AH608" i="4"/>
  <c r="M608" i="4"/>
  <c r="AC608" i="4"/>
  <c r="AA608" i="4"/>
  <c r="O608" i="4"/>
  <c r="K182" i="4"/>
  <c r="E165" i="4"/>
  <c r="AB592" i="4"/>
  <c r="L592" i="4"/>
  <c r="W592" i="4"/>
  <c r="G592" i="4"/>
  <c r="U592" i="4"/>
  <c r="C592" i="4"/>
  <c r="T592" i="4"/>
  <c r="B592" i="4"/>
  <c r="S592" i="4"/>
  <c r="R592" i="4"/>
  <c r="AA592" i="4"/>
  <c r="D592" i="4"/>
  <c r="Z592" i="4"/>
  <c r="Y592" i="4"/>
  <c r="X592" i="4"/>
  <c r="K592" i="4"/>
  <c r="J592" i="4"/>
  <c r="I592" i="4"/>
  <c r="AJ592" i="4"/>
  <c r="H592" i="4"/>
  <c r="AD592" i="4"/>
  <c r="AC592" i="4"/>
  <c r="E592" i="4"/>
  <c r="AE592" i="4"/>
  <c r="V592" i="4"/>
  <c r="O592" i="4"/>
  <c r="AH592" i="4"/>
  <c r="AF592" i="4"/>
  <c r="P592" i="4"/>
  <c r="N592" i="4"/>
  <c r="AG592" i="4"/>
  <c r="Q592" i="4"/>
  <c r="M592" i="4"/>
  <c r="F592" i="4"/>
  <c r="V579" i="4"/>
  <c r="F579" i="4"/>
  <c r="W579" i="4"/>
  <c r="E579" i="4"/>
  <c r="U579" i="4"/>
  <c r="D579" i="4"/>
  <c r="T579" i="4"/>
  <c r="C579" i="4"/>
  <c r="S579" i="4"/>
  <c r="B579" i="4"/>
  <c r="X579" i="4"/>
  <c r="R579" i="4"/>
  <c r="Q579" i="4"/>
  <c r="P579" i="4"/>
  <c r="M579" i="4"/>
  <c r="L579" i="4"/>
  <c r="K579" i="4"/>
  <c r="AJ579" i="4"/>
  <c r="J579" i="4"/>
  <c r="AD579" i="4"/>
  <c r="AA579" i="4"/>
  <c r="Y579" i="4"/>
  <c r="O579" i="4"/>
  <c r="N579" i="4"/>
  <c r="AF579" i="4"/>
  <c r="AH579" i="4"/>
  <c r="AG579" i="4"/>
  <c r="AB579" i="4"/>
  <c r="AE579" i="4"/>
  <c r="AC579" i="4"/>
  <c r="Z579" i="4"/>
  <c r="I579" i="4"/>
  <c r="G579" i="4"/>
  <c r="H579" i="4"/>
  <c r="Z601" i="4"/>
  <c r="J601" i="4"/>
  <c r="U601" i="4"/>
  <c r="E601" i="4"/>
  <c r="AA601" i="4"/>
  <c r="H601" i="4"/>
  <c r="Y601" i="4"/>
  <c r="G601" i="4"/>
  <c r="X601" i="4"/>
  <c r="F601" i="4"/>
  <c r="W601" i="4"/>
  <c r="D601" i="4"/>
  <c r="R601" i="4"/>
  <c r="Q601" i="4"/>
  <c r="P601" i="4"/>
  <c r="O601" i="4"/>
  <c r="N601" i="4"/>
  <c r="AH601" i="4"/>
  <c r="AG601" i="4"/>
  <c r="AF601" i="4"/>
  <c r="AE601" i="4"/>
  <c r="T601" i="4"/>
  <c r="S601" i="4"/>
  <c r="L601" i="4"/>
  <c r="I601" i="4"/>
  <c r="C601" i="4"/>
  <c r="B601" i="4"/>
  <c r="AC601" i="4"/>
  <c r="AD601" i="4"/>
  <c r="AB601" i="4"/>
  <c r="V601" i="4"/>
  <c r="K601" i="4"/>
  <c r="M601" i="4"/>
  <c r="AJ601" i="4"/>
  <c r="E45" i="4"/>
  <c r="E469" i="4" s="1"/>
  <c r="F543" i="4" s="1"/>
  <c r="D38" i="4"/>
  <c r="D46" i="4" s="1"/>
  <c r="D470" i="4" s="1"/>
  <c r="E544" i="4" s="1"/>
  <c r="AB578" i="4"/>
  <c r="L578" i="4"/>
  <c r="V578" i="4"/>
  <c r="E578" i="4"/>
  <c r="U578" i="4"/>
  <c r="D578" i="4"/>
  <c r="T578" i="4"/>
  <c r="C578" i="4"/>
  <c r="AH578" i="4"/>
  <c r="N578" i="4"/>
  <c r="AG578" i="4"/>
  <c r="M578" i="4"/>
  <c r="AF578" i="4"/>
  <c r="K578" i="4"/>
  <c r="AE578" i="4"/>
  <c r="J578" i="4"/>
  <c r="AA578" i="4"/>
  <c r="Z578" i="4"/>
  <c r="Y578" i="4"/>
  <c r="X578" i="4"/>
  <c r="P578" i="4"/>
  <c r="AJ578" i="4"/>
  <c r="AD578" i="4"/>
  <c r="R578" i="4"/>
  <c r="Q578" i="4"/>
  <c r="H578" i="4"/>
  <c r="S578" i="4"/>
  <c r="O578" i="4"/>
  <c r="I578" i="4"/>
  <c r="AC578" i="4"/>
  <c r="W578" i="4"/>
  <c r="G578" i="4"/>
  <c r="B578" i="4"/>
  <c r="F578" i="4"/>
  <c r="T487" i="4"/>
  <c r="U561" i="4" s="1"/>
  <c r="D39" i="4"/>
  <c r="D47" i="4" s="1"/>
  <c r="D471" i="4" s="1"/>
  <c r="E545" i="4" s="1"/>
  <c r="F45" i="4"/>
  <c r="F469" i="4" s="1"/>
  <c r="G543" i="4" s="1"/>
  <c r="D297" i="4"/>
  <c r="V323" i="4" s="1"/>
  <c r="V489" i="4" s="1"/>
  <c r="W563" i="4" s="1"/>
  <c r="X321" i="4"/>
  <c r="X487" i="4" s="1"/>
  <c r="Y561" i="4" s="1"/>
  <c r="AH589" i="4"/>
  <c r="R589" i="4"/>
  <c r="B589" i="4"/>
  <c r="AC589" i="4"/>
  <c r="M589" i="4"/>
  <c r="AF589" i="4"/>
  <c r="N589" i="4"/>
  <c r="AE589" i="4"/>
  <c r="L589" i="4"/>
  <c r="AD589" i="4"/>
  <c r="K589" i="4"/>
  <c r="AB589" i="4"/>
  <c r="J589" i="4"/>
  <c r="AG589" i="4"/>
  <c r="F589" i="4"/>
  <c r="AA589" i="4"/>
  <c r="E589" i="4"/>
  <c r="Z589" i="4"/>
  <c r="D589" i="4"/>
  <c r="Y589" i="4"/>
  <c r="C589" i="4"/>
  <c r="Q589" i="4"/>
  <c r="P589" i="4"/>
  <c r="O589" i="4"/>
  <c r="I589" i="4"/>
  <c r="AJ589" i="4"/>
  <c r="W589" i="4"/>
  <c r="V589" i="4"/>
  <c r="S589" i="4"/>
  <c r="X589" i="4"/>
  <c r="U589" i="4"/>
  <c r="G589" i="4"/>
  <c r="T589" i="4"/>
  <c r="H589" i="4"/>
  <c r="C38" i="4"/>
  <c r="C46" i="4" s="1"/>
  <c r="C470" i="4" s="1"/>
  <c r="D544" i="4" s="1"/>
  <c r="E44" i="4"/>
  <c r="E468" i="4" s="1"/>
  <c r="F542" i="4" s="1"/>
  <c r="C124" i="4"/>
  <c r="I138" i="4" s="1"/>
  <c r="I476" i="4" s="1"/>
  <c r="J550" i="4" s="1"/>
  <c r="K136" i="4"/>
  <c r="K474" i="4" s="1"/>
  <c r="L548" i="4" s="1"/>
  <c r="D339" i="4"/>
  <c r="Y368" i="4" s="1"/>
  <c r="Y491" i="4" s="1"/>
  <c r="Z565" i="4" s="1"/>
  <c r="Z367" i="4"/>
  <c r="Z490" i="4" s="1"/>
  <c r="AA564" i="4" s="1"/>
  <c r="X610" i="4"/>
  <c r="H610" i="4"/>
  <c r="AJ610" i="4"/>
  <c r="S610" i="4"/>
  <c r="C610" i="4"/>
  <c r="AE610" i="4"/>
  <c r="M610" i="4"/>
  <c r="AD610" i="4"/>
  <c r="L610" i="4"/>
  <c r="AC610" i="4"/>
  <c r="K610" i="4"/>
  <c r="AB610" i="4"/>
  <c r="J610" i="4"/>
  <c r="W610" i="4"/>
  <c r="E610" i="4"/>
  <c r="V610" i="4"/>
  <c r="D610" i="4"/>
  <c r="Y610" i="4"/>
  <c r="U610" i="4"/>
  <c r="T610" i="4"/>
  <c r="R610" i="4"/>
  <c r="AH610" i="4"/>
  <c r="AG610" i="4"/>
  <c r="AF610" i="4"/>
  <c r="O610" i="4"/>
  <c r="N610" i="4"/>
  <c r="G610" i="4"/>
  <c r="B610" i="4"/>
  <c r="Z610" i="4"/>
  <c r="AA610" i="4"/>
  <c r="Q610" i="4"/>
  <c r="I610" i="4"/>
  <c r="F610" i="4"/>
  <c r="P610" i="4"/>
  <c r="X586" i="4"/>
  <c r="H586" i="4"/>
  <c r="AJ586" i="4"/>
  <c r="S586" i="4"/>
  <c r="Y586" i="4"/>
  <c r="F586" i="4"/>
  <c r="W586" i="4"/>
  <c r="E586" i="4"/>
  <c r="V586" i="4"/>
  <c r="D586" i="4"/>
  <c r="U586" i="4"/>
  <c r="C586" i="4"/>
  <c r="AH586" i="4"/>
  <c r="L586" i="4"/>
  <c r="AG586" i="4"/>
  <c r="K586" i="4"/>
  <c r="AF586" i="4"/>
  <c r="J586" i="4"/>
  <c r="AE586" i="4"/>
  <c r="I586" i="4"/>
  <c r="R586" i="4"/>
  <c r="Q586" i="4"/>
  <c r="P586" i="4"/>
  <c r="O586" i="4"/>
  <c r="B586" i="4"/>
  <c r="AC586" i="4"/>
  <c r="AB586" i="4"/>
  <c r="T586" i="4"/>
  <c r="Z586" i="4"/>
  <c r="AD586" i="4"/>
  <c r="AA586" i="4"/>
  <c r="M586" i="4"/>
  <c r="G586" i="4"/>
  <c r="N586" i="4"/>
  <c r="AA493" i="4"/>
  <c r="AB567" i="4" s="1"/>
  <c r="AD583" i="4"/>
  <c r="N583" i="4"/>
  <c r="W583" i="4"/>
  <c r="F583" i="4"/>
  <c r="V583" i="4"/>
  <c r="E583" i="4"/>
  <c r="U583" i="4"/>
  <c r="D583" i="4"/>
  <c r="T583" i="4"/>
  <c r="C583" i="4"/>
  <c r="X583" i="4"/>
  <c r="S583" i="4"/>
  <c r="R583" i="4"/>
  <c r="Q583" i="4"/>
  <c r="AE583" i="4"/>
  <c r="AC583" i="4"/>
  <c r="AB583" i="4"/>
  <c r="AA583" i="4"/>
  <c r="M583" i="4"/>
  <c r="P583" i="4"/>
  <c r="L583" i="4"/>
  <c r="K583" i="4"/>
  <c r="J583" i="4"/>
  <c r="B583" i="4"/>
  <c r="AG583" i="4"/>
  <c r="O583" i="4"/>
  <c r="I583" i="4"/>
  <c r="H583" i="4"/>
  <c r="AJ583" i="4"/>
  <c r="AH583" i="4"/>
  <c r="AF583" i="4"/>
  <c r="Z583" i="4"/>
  <c r="G583" i="4"/>
  <c r="Y583" i="4"/>
  <c r="F166" i="4"/>
  <c r="L183" i="4"/>
  <c r="L478" i="4" s="1"/>
  <c r="M552" i="4" s="1"/>
  <c r="AF606" i="4"/>
  <c r="P606" i="4"/>
  <c r="AA606" i="4"/>
  <c r="K606" i="4"/>
  <c r="U606" i="4"/>
  <c r="C606" i="4"/>
  <c r="T606" i="4"/>
  <c r="B606" i="4"/>
  <c r="S606" i="4"/>
  <c r="R606" i="4"/>
  <c r="AE606" i="4"/>
  <c r="M606" i="4"/>
  <c r="AD606" i="4"/>
  <c r="L606" i="4"/>
  <c r="N606" i="4"/>
  <c r="J606" i="4"/>
  <c r="I606" i="4"/>
  <c r="H606" i="4"/>
  <c r="Q606" i="4"/>
  <c r="O606" i="4"/>
  <c r="G606" i="4"/>
  <c r="F606" i="4"/>
  <c r="AG606" i="4"/>
  <c r="AC606" i="4"/>
  <c r="X606" i="4"/>
  <c r="V606" i="4"/>
  <c r="E606" i="4"/>
  <c r="D606" i="4"/>
  <c r="AH606" i="4"/>
  <c r="AB606" i="4"/>
  <c r="Z606" i="4"/>
  <c r="AJ606" i="4"/>
  <c r="W606" i="4"/>
  <c r="Y606" i="4"/>
  <c r="AD591" i="4"/>
  <c r="N591" i="4"/>
  <c r="Y591" i="4"/>
  <c r="I591" i="4"/>
  <c r="S591" i="4"/>
  <c r="R591" i="4"/>
  <c r="AJ591" i="4"/>
  <c r="Q591" i="4"/>
  <c r="AH591" i="4"/>
  <c r="P591" i="4"/>
  <c r="K591" i="4"/>
  <c r="AG591" i="4"/>
  <c r="J591" i="4"/>
  <c r="AF591" i="4"/>
  <c r="H591" i="4"/>
  <c r="AE591" i="4"/>
  <c r="G591" i="4"/>
  <c r="M591" i="4"/>
  <c r="L591" i="4"/>
  <c r="F591" i="4"/>
  <c r="E591" i="4"/>
  <c r="AA591" i="4"/>
  <c r="Z591" i="4"/>
  <c r="AB591" i="4"/>
  <c r="X591" i="4"/>
  <c r="W591" i="4"/>
  <c r="O591" i="4"/>
  <c r="D591" i="4"/>
  <c r="AC591" i="4"/>
  <c r="U591" i="4"/>
  <c r="V591" i="4"/>
  <c r="C591" i="4"/>
  <c r="B591" i="4"/>
  <c r="T591" i="4"/>
  <c r="V603" i="4"/>
  <c r="F603" i="4"/>
  <c r="AG603" i="4"/>
  <c r="Q603" i="4"/>
  <c r="AE603" i="4"/>
  <c r="M603" i="4"/>
  <c r="AD603" i="4"/>
  <c r="L603" i="4"/>
  <c r="AC603" i="4"/>
  <c r="K603" i="4"/>
  <c r="AB603" i="4"/>
  <c r="J603" i="4"/>
  <c r="X603" i="4"/>
  <c r="E603" i="4"/>
  <c r="AF603" i="4"/>
  <c r="C603" i="4"/>
  <c r="AA603" i="4"/>
  <c r="B603" i="4"/>
  <c r="Z603" i="4"/>
  <c r="Y603" i="4"/>
  <c r="G603" i="4"/>
  <c r="D603" i="4"/>
  <c r="T603" i="4"/>
  <c r="S603" i="4"/>
  <c r="H603" i="4"/>
  <c r="AH603" i="4"/>
  <c r="W603" i="4"/>
  <c r="P603" i="4"/>
  <c r="U603" i="4"/>
  <c r="R603" i="4"/>
  <c r="I603" i="4"/>
  <c r="AJ603" i="4"/>
  <c r="O603" i="4"/>
  <c r="N603" i="4"/>
  <c r="H90" i="4"/>
  <c r="H471" i="4" s="1"/>
  <c r="I545" i="4" s="1"/>
  <c r="C81" i="4"/>
  <c r="F92" i="4" s="1"/>
  <c r="F473" i="4" s="1"/>
  <c r="G547" i="4" s="1"/>
  <c r="W490" i="4"/>
  <c r="X564" i="4" s="1"/>
  <c r="P182" i="4"/>
  <c r="P477" i="4" s="1"/>
  <c r="Q551" i="4" s="1"/>
  <c r="C169" i="4"/>
  <c r="L186" i="4" s="1"/>
  <c r="L481" i="4" s="1"/>
  <c r="M555" i="4" s="1"/>
  <c r="W489" i="4"/>
  <c r="X563" i="4" s="1"/>
  <c r="T596" i="4"/>
  <c r="D596" i="4"/>
  <c r="AE596" i="4"/>
  <c r="O596" i="4"/>
  <c r="AF596" i="4"/>
  <c r="M596" i="4"/>
  <c r="AD596" i="4"/>
  <c r="L596" i="4"/>
  <c r="AC596" i="4"/>
  <c r="K596" i="4"/>
  <c r="AB596" i="4"/>
  <c r="J596" i="4"/>
  <c r="N596" i="4"/>
  <c r="I596" i="4"/>
  <c r="AJ596" i="4"/>
  <c r="H596" i="4"/>
  <c r="AH596" i="4"/>
  <c r="G596" i="4"/>
  <c r="C596" i="4"/>
  <c r="B596" i="4"/>
  <c r="AG596" i="4"/>
  <c r="AA596" i="4"/>
  <c r="V596" i="4"/>
  <c r="U596" i="4"/>
  <c r="W596" i="4"/>
  <c r="R596" i="4"/>
  <c r="Q596" i="4"/>
  <c r="P596" i="4"/>
  <c r="F596" i="4"/>
  <c r="E596" i="4"/>
  <c r="Z596" i="4"/>
  <c r="X596" i="4"/>
  <c r="Y596" i="4"/>
  <c r="S596" i="4"/>
  <c r="AH581" i="4"/>
  <c r="R581" i="4"/>
  <c r="B581" i="4"/>
  <c r="W581" i="4"/>
  <c r="F581" i="4"/>
  <c r="V581" i="4"/>
  <c r="E581" i="4"/>
  <c r="U581" i="4"/>
  <c r="D581" i="4"/>
  <c r="T581" i="4"/>
  <c r="C581" i="4"/>
  <c r="X581" i="4"/>
  <c r="S581" i="4"/>
  <c r="Q581" i="4"/>
  <c r="P581" i="4"/>
  <c r="AJ581" i="4"/>
  <c r="I581" i="4"/>
  <c r="AG581" i="4"/>
  <c r="H581" i="4"/>
  <c r="AF581" i="4"/>
  <c r="G581" i="4"/>
  <c r="AE581" i="4"/>
  <c r="Z581" i="4"/>
  <c r="AD581" i="4"/>
  <c r="Y581" i="4"/>
  <c r="O581" i="4"/>
  <c r="L581" i="4"/>
  <c r="J581" i="4"/>
  <c r="AC581" i="4"/>
  <c r="AA581" i="4"/>
  <c r="N581" i="4"/>
  <c r="M581" i="4"/>
  <c r="K581" i="4"/>
  <c r="AB581" i="4"/>
  <c r="F169" i="4"/>
  <c r="O186" i="4" s="1"/>
  <c r="O481" i="4" s="1"/>
  <c r="P555" i="4" s="1"/>
  <c r="P185" i="4"/>
  <c r="P480" i="4" s="1"/>
  <c r="Q554" i="4" s="1"/>
  <c r="C253" i="4"/>
  <c r="R276" i="4" s="1"/>
  <c r="R485" i="4" s="1"/>
  <c r="S559" i="4" s="1"/>
  <c r="T274" i="4"/>
  <c r="T483" i="4" s="1"/>
  <c r="U557" i="4" s="1"/>
  <c r="Q229" i="4"/>
  <c r="Q481" i="4" s="1"/>
  <c r="R555" i="4" s="1"/>
  <c r="D210" i="4"/>
  <c r="P230" i="4" s="1"/>
  <c r="P482" i="4" s="1"/>
  <c r="Q556" i="4" s="1"/>
  <c r="AF582" i="4"/>
  <c r="P582" i="4"/>
  <c r="W582" i="4"/>
  <c r="F582" i="4"/>
  <c r="V582" i="4"/>
  <c r="E582" i="4"/>
  <c r="U582" i="4"/>
  <c r="D582" i="4"/>
  <c r="T582" i="4"/>
  <c r="C582" i="4"/>
  <c r="AG582" i="4"/>
  <c r="K582" i="4"/>
  <c r="AE582" i="4"/>
  <c r="J582" i="4"/>
  <c r="AD582" i="4"/>
  <c r="I582" i="4"/>
  <c r="AC582" i="4"/>
  <c r="H582" i="4"/>
  <c r="AJ582" i="4"/>
  <c r="AH582" i="4"/>
  <c r="AB582" i="4"/>
  <c r="AA582" i="4"/>
  <c r="R582" i="4"/>
  <c r="M582" i="4"/>
  <c r="G582" i="4"/>
  <c r="B582" i="4"/>
  <c r="Z582" i="4"/>
  <c r="S582" i="4"/>
  <c r="Q582" i="4"/>
  <c r="O582" i="4"/>
  <c r="X582" i="4"/>
  <c r="N582" i="4"/>
  <c r="L582" i="4"/>
  <c r="Y582" i="4"/>
  <c r="X594" i="4"/>
  <c r="H594" i="4"/>
  <c r="AJ594" i="4"/>
  <c r="S594" i="4"/>
  <c r="C594" i="4"/>
  <c r="AA594" i="4"/>
  <c r="I594" i="4"/>
  <c r="Z594" i="4"/>
  <c r="G594" i="4"/>
  <c r="Y594" i="4"/>
  <c r="F594" i="4"/>
  <c r="W594" i="4"/>
  <c r="E594" i="4"/>
  <c r="AF594" i="4"/>
  <c r="J594" i="4"/>
  <c r="AE594" i="4"/>
  <c r="D594" i="4"/>
  <c r="AD594" i="4"/>
  <c r="B594" i="4"/>
  <c r="AC594" i="4"/>
  <c r="L594" i="4"/>
  <c r="K594" i="4"/>
  <c r="U594" i="4"/>
  <c r="T594" i="4"/>
  <c r="AG594" i="4"/>
  <c r="AB594" i="4"/>
  <c r="V594" i="4"/>
  <c r="O594" i="4"/>
  <c r="N594" i="4"/>
  <c r="Q594" i="4"/>
  <c r="P594" i="4"/>
  <c r="M594" i="4"/>
  <c r="AH594" i="4"/>
  <c r="R594" i="4"/>
  <c r="V595" i="4"/>
  <c r="F595" i="4"/>
  <c r="AG595" i="4"/>
  <c r="Q595" i="4"/>
  <c r="AC595" i="4"/>
  <c r="K595" i="4"/>
  <c r="AB595" i="4"/>
  <c r="J595" i="4"/>
  <c r="AA595" i="4"/>
  <c r="I595" i="4"/>
  <c r="Z595" i="4"/>
  <c r="H595" i="4"/>
  <c r="U595" i="4"/>
  <c r="T595" i="4"/>
  <c r="S595" i="4"/>
  <c r="R595" i="4"/>
  <c r="E595" i="4"/>
  <c r="D595" i="4"/>
  <c r="AJ595" i="4"/>
  <c r="C595" i="4"/>
  <c r="AH595" i="4"/>
  <c r="B595" i="4"/>
  <c r="X595" i="4"/>
  <c r="W595" i="4"/>
  <c r="G595" i="4"/>
  <c r="AE595" i="4"/>
  <c r="AD595" i="4"/>
  <c r="O595" i="4"/>
  <c r="AF595" i="4"/>
  <c r="P595" i="4"/>
  <c r="M595" i="4"/>
  <c r="L595" i="4"/>
  <c r="Y595" i="4"/>
  <c r="N595" i="4"/>
  <c r="AD496" i="4"/>
  <c r="AE570" i="4" s="1"/>
  <c r="E166" i="4"/>
  <c r="K183" i="4"/>
  <c r="U487" i="4"/>
  <c r="V561" i="4" s="1"/>
  <c r="AC412" i="4"/>
  <c r="AC492" i="4" s="1"/>
  <c r="AD566" i="4" s="1"/>
  <c r="C382" i="4"/>
  <c r="AA414" i="4" s="1"/>
  <c r="AA494" i="4" s="1"/>
  <c r="AB568" i="4" s="1"/>
  <c r="Q228" i="4"/>
  <c r="Q480" i="4" s="1"/>
  <c r="R554" i="4" s="1"/>
  <c r="C210" i="4"/>
  <c r="O230" i="4" s="1"/>
  <c r="O482" i="4" s="1"/>
  <c r="P556" i="4" s="1"/>
  <c r="Z366" i="4"/>
  <c r="Z489" i="4" s="1"/>
  <c r="AA563" i="4" s="1"/>
  <c r="C339" i="4"/>
  <c r="X368" i="4" s="1"/>
  <c r="X491" i="4" s="1"/>
  <c r="Y565" i="4" s="1"/>
  <c r="T580" i="4"/>
  <c r="D580" i="4"/>
  <c r="W580" i="4"/>
  <c r="F580" i="4"/>
  <c r="V580" i="4"/>
  <c r="E580" i="4"/>
  <c r="U580" i="4"/>
  <c r="C580" i="4"/>
  <c r="S580" i="4"/>
  <c r="B580" i="4"/>
  <c r="AF580" i="4"/>
  <c r="K580" i="4"/>
  <c r="AE580" i="4"/>
  <c r="J580" i="4"/>
  <c r="AD580" i="4"/>
  <c r="I580" i="4"/>
  <c r="AC580" i="4"/>
  <c r="H580" i="4"/>
  <c r="M580" i="4"/>
  <c r="L580" i="4"/>
  <c r="G580" i="4"/>
  <c r="AJ580" i="4"/>
  <c r="Z580" i="4"/>
  <c r="AG580" i="4"/>
  <c r="AA580" i="4"/>
  <c r="Y580" i="4"/>
  <c r="X580" i="4"/>
  <c r="O580" i="4"/>
  <c r="N580" i="4"/>
  <c r="AH580" i="4"/>
  <c r="AB580" i="4"/>
  <c r="R580" i="4"/>
  <c r="Q580" i="4"/>
  <c r="P580" i="4"/>
  <c r="T604" i="4"/>
  <c r="D604" i="4"/>
  <c r="AE604" i="4"/>
  <c r="O604" i="4"/>
  <c r="AH604" i="4"/>
  <c r="P604" i="4"/>
  <c r="AG604" i="4"/>
  <c r="N604" i="4"/>
  <c r="AF604" i="4"/>
  <c r="M604" i="4"/>
  <c r="AD604" i="4"/>
  <c r="L604" i="4"/>
  <c r="Z604" i="4"/>
  <c r="H604" i="4"/>
  <c r="Y604" i="4"/>
  <c r="W604" i="4"/>
  <c r="V604" i="4"/>
  <c r="U604" i="4"/>
  <c r="S604" i="4"/>
  <c r="F604" i="4"/>
  <c r="E604" i="4"/>
  <c r="C604" i="4"/>
  <c r="B604" i="4"/>
  <c r="AA604" i="4"/>
  <c r="X604" i="4"/>
  <c r="AB604" i="4"/>
  <c r="Q604" i="4"/>
  <c r="K604" i="4"/>
  <c r="J604" i="4"/>
  <c r="AJ604" i="4"/>
  <c r="AC604" i="4"/>
  <c r="R604" i="4"/>
  <c r="I604" i="4"/>
  <c r="G604" i="4"/>
  <c r="B169" i="4"/>
  <c r="K186" i="4" s="1"/>
  <c r="K481" i="4" s="1"/>
  <c r="L555" i="4" s="1"/>
  <c r="P181" i="4"/>
  <c r="P476" i="4" s="1"/>
  <c r="Q550" i="4" s="1"/>
  <c r="D296" i="4"/>
  <c r="V322" i="4" s="1"/>
  <c r="V488" i="4" s="1"/>
  <c r="W562" i="4" s="1"/>
  <c r="W321" i="4"/>
  <c r="W487" i="4" s="1"/>
  <c r="X561" i="4" s="1"/>
  <c r="Z593" i="4"/>
  <c r="J593" i="4"/>
  <c r="U593" i="4"/>
  <c r="E593" i="4"/>
  <c r="X593" i="4"/>
  <c r="F593" i="4"/>
  <c r="W593" i="4"/>
  <c r="D593" i="4"/>
  <c r="V593" i="4"/>
  <c r="C593" i="4"/>
  <c r="T593" i="4"/>
  <c r="B593" i="4"/>
  <c r="P593" i="4"/>
  <c r="O593" i="4"/>
  <c r="N593" i="4"/>
  <c r="AJ593" i="4"/>
  <c r="M593" i="4"/>
  <c r="I593" i="4"/>
  <c r="H593" i="4"/>
  <c r="AH593" i="4"/>
  <c r="G593" i="4"/>
  <c r="AG593" i="4"/>
  <c r="AB593" i="4"/>
  <c r="AA593" i="4"/>
  <c r="S593" i="4"/>
  <c r="Q593" i="4"/>
  <c r="L593" i="4"/>
  <c r="K593" i="4"/>
  <c r="AE593" i="4"/>
  <c r="Y593" i="4"/>
  <c r="R593" i="4"/>
  <c r="AF593" i="4"/>
  <c r="AD593" i="4"/>
  <c r="AC593" i="4"/>
  <c r="P184" i="4"/>
  <c r="P479" i="4" s="1"/>
  <c r="Q553" i="4" s="1"/>
  <c r="E169" i="4"/>
  <c r="N186" i="4" s="1"/>
  <c r="N481" i="4" s="1"/>
  <c r="O555" i="4" s="1"/>
  <c r="T588" i="4"/>
  <c r="D588" i="4"/>
  <c r="AE588" i="4"/>
  <c r="O588" i="4"/>
  <c r="AC588" i="4"/>
  <c r="K588" i="4"/>
  <c r="AB588" i="4"/>
  <c r="J588" i="4"/>
  <c r="AA588" i="4"/>
  <c r="I588" i="4"/>
  <c r="Z588" i="4"/>
  <c r="H588" i="4"/>
  <c r="Q588" i="4"/>
  <c r="P588" i="4"/>
  <c r="N588" i="4"/>
  <c r="M588" i="4"/>
  <c r="S588" i="4"/>
  <c r="R588" i="4"/>
  <c r="L588" i="4"/>
  <c r="G588" i="4"/>
  <c r="AG588" i="4"/>
  <c r="AF588" i="4"/>
  <c r="AH588" i="4"/>
  <c r="Y588" i="4"/>
  <c r="X588" i="4"/>
  <c r="W588" i="4"/>
  <c r="E588" i="4"/>
  <c r="C588" i="4"/>
  <c r="B588" i="4"/>
  <c r="AJ588" i="4"/>
  <c r="AD588" i="4"/>
  <c r="V588" i="4"/>
  <c r="U588" i="4"/>
  <c r="F588" i="4"/>
  <c r="AF459" i="4"/>
  <c r="AF496" i="4" s="1"/>
  <c r="AG570" i="4" s="1"/>
  <c r="D425" i="4"/>
  <c r="AE460" i="4" s="1"/>
  <c r="AE497" i="4" s="1"/>
  <c r="AF571" i="4" s="1"/>
  <c r="AC413" i="4"/>
  <c r="AC493" i="4" s="1"/>
  <c r="AD567" i="4" s="1"/>
  <c r="D382" i="4"/>
  <c r="AB414" i="4" s="1"/>
  <c r="AB494" i="4" s="1"/>
  <c r="AC568" i="4" s="1"/>
  <c r="AH597" i="4"/>
  <c r="R597" i="4"/>
  <c r="B597" i="4"/>
  <c r="AC597" i="4"/>
  <c r="M597" i="4"/>
  <c r="AJ597" i="4"/>
  <c r="P597" i="4"/>
  <c r="AG597" i="4"/>
  <c r="O597" i="4"/>
  <c r="AF597" i="4"/>
  <c r="N597" i="4"/>
  <c r="AE597" i="4"/>
  <c r="L597" i="4"/>
  <c r="Z597" i="4"/>
  <c r="D597" i="4"/>
  <c r="Y597" i="4"/>
  <c r="C597" i="4"/>
  <c r="X597" i="4"/>
  <c r="W597" i="4"/>
  <c r="F597" i="4"/>
  <c r="E597" i="4"/>
  <c r="AD597" i="4"/>
  <c r="T597" i="4"/>
  <c r="S597" i="4"/>
  <c r="AB597" i="4"/>
  <c r="AA597" i="4"/>
  <c r="K597" i="4"/>
  <c r="J597" i="4"/>
  <c r="G597" i="4"/>
  <c r="V597" i="4"/>
  <c r="I597" i="4"/>
  <c r="U597" i="4"/>
  <c r="Q597" i="4"/>
  <c r="H597" i="4"/>
  <c r="U275" i="4"/>
  <c r="U484" i="4" s="1"/>
  <c r="V558" i="4" s="1"/>
  <c r="D254" i="4"/>
  <c r="S277" i="4" s="1"/>
  <c r="S486" i="4" s="1"/>
  <c r="T560" i="4" s="1"/>
  <c r="I91" i="4"/>
  <c r="I472" i="4" s="1"/>
  <c r="J546" i="4" s="1"/>
  <c r="D82" i="4"/>
  <c r="G93" i="4" s="1"/>
  <c r="G474" i="4" s="1"/>
  <c r="H548" i="4" s="1"/>
  <c r="K477" i="4"/>
  <c r="L551" i="4" s="1"/>
  <c r="AF598" i="4"/>
  <c r="P598" i="4"/>
  <c r="AA598" i="4"/>
  <c r="K598" i="4"/>
  <c r="S598" i="4"/>
  <c r="R598" i="4"/>
  <c r="AJ598" i="4"/>
  <c r="Q598" i="4"/>
  <c r="AH598" i="4"/>
  <c r="O598" i="4"/>
  <c r="T598" i="4"/>
  <c r="N598" i="4"/>
  <c r="M598" i="4"/>
  <c r="L598" i="4"/>
  <c r="AE598" i="4"/>
  <c r="D598" i="4"/>
  <c r="AD598" i="4"/>
  <c r="C598" i="4"/>
  <c r="AC598" i="4"/>
  <c r="B598" i="4"/>
  <c r="AB598" i="4"/>
  <c r="V598" i="4"/>
  <c r="U598" i="4"/>
  <c r="G598" i="4"/>
  <c r="E598" i="4"/>
  <c r="AG598" i="4"/>
  <c r="Z598" i="4"/>
  <c r="W598" i="4"/>
  <c r="Y598" i="4"/>
  <c r="X598" i="4"/>
  <c r="I598" i="4"/>
  <c r="F598" i="4"/>
  <c r="J598" i="4"/>
  <c r="H598" i="4"/>
  <c r="Z585" i="4"/>
  <c r="J585" i="4"/>
  <c r="W585" i="4"/>
  <c r="F585" i="4"/>
  <c r="V585" i="4"/>
  <c r="E585" i="4"/>
  <c r="U585" i="4"/>
  <c r="D585" i="4"/>
  <c r="T585" i="4"/>
  <c r="C585" i="4"/>
  <c r="X585" i="4"/>
  <c r="S585" i="4"/>
  <c r="R585" i="4"/>
  <c r="Q585" i="4"/>
  <c r="AA585" i="4"/>
  <c r="Y585" i="4"/>
  <c r="P585" i="4"/>
  <c r="O585" i="4"/>
  <c r="AJ585" i="4"/>
  <c r="I585" i="4"/>
  <c r="AG585" i="4"/>
  <c r="AF585" i="4"/>
  <c r="AE585" i="4"/>
  <c r="N585" i="4"/>
  <c r="M585" i="4"/>
  <c r="H585" i="4"/>
  <c r="AC585" i="4"/>
  <c r="AB585" i="4"/>
  <c r="L585" i="4"/>
  <c r="K585" i="4"/>
  <c r="G585" i="4"/>
  <c r="B585" i="4"/>
  <c r="AH585" i="4"/>
  <c r="AD585" i="4"/>
  <c r="AH605" i="4"/>
  <c r="R605" i="4"/>
  <c r="B605" i="4"/>
  <c r="AC605" i="4"/>
  <c r="M605" i="4"/>
  <c r="S605" i="4"/>
  <c r="Q605" i="4"/>
  <c r="AJ605" i="4"/>
  <c r="P605" i="4"/>
  <c r="AG605" i="4"/>
  <c r="O605" i="4"/>
  <c r="AB605" i="4"/>
  <c r="J605" i="4"/>
  <c r="AA605" i="4"/>
  <c r="I605" i="4"/>
  <c r="U605" i="4"/>
  <c r="T605" i="4"/>
  <c r="N605" i="4"/>
  <c r="L605" i="4"/>
  <c r="G605" i="4"/>
  <c r="F605" i="4"/>
  <c r="E605" i="4"/>
  <c r="D605" i="4"/>
  <c r="AD605" i="4"/>
  <c r="Z605" i="4"/>
  <c r="X605" i="4"/>
  <c r="W605" i="4"/>
  <c r="H605" i="4"/>
  <c r="AF605" i="4"/>
  <c r="K605" i="4"/>
  <c r="C605" i="4"/>
  <c r="AE605" i="4"/>
  <c r="Y605" i="4"/>
  <c r="V605" i="4"/>
  <c r="H474" i="4"/>
  <c r="I548" i="4" s="1"/>
  <c r="E471" i="4"/>
  <c r="F545" i="4" s="1"/>
  <c r="D340" i="4"/>
  <c r="Y369" i="4" s="1"/>
  <c r="Y492" i="4" s="1"/>
  <c r="Z566" i="4" s="1"/>
  <c r="AA367" i="4"/>
  <c r="AA490" i="4" s="1"/>
  <c r="AB564" i="4" s="1"/>
  <c r="T275" i="4"/>
  <c r="T484" i="4" s="1"/>
  <c r="U558" i="4" s="1"/>
  <c r="D253" i="4"/>
  <c r="S276" i="4" s="1"/>
  <c r="S485" i="4" s="1"/>
  <c r="T559" i="4" s="1"/>
  <c r="D124" i="4"/>
  <c r="J138" i="4" s="1"/>
  <c r="J476" i="4" s="1"/>
  <c r="K550" i="4" s="1"/>
  <c r="K137" i="4"/>
  <c r="K475" i="4" s="1"/>
  <c r="L549" i="4" s="1"/>
  <c r="Z492" i="4"/>
  <c r="AA566" i="4" s="1"/>
  <c r="AC496" i="4"/>
  <c r="AD570" i="4" s="1"/>
  <c r="V587" i="4"/>
  <c r="F587" i="4"/>
  <c r="AG587" i="4"/>
  <c r="Q587" i="4"/>
  <c r="AA587" i="4"/>
  <c r="I587" i="4"/>
  <c r="Z587" i="4"/>
  <c r="H587" i="4"/>
  <c r="Y587" i="4"/>
  <c r="G587" i="4"/>
  <c r="X587" i="4"/>
  <c r="E587" i="4"/>
  <c r="AB587" i="4"/>
  <c r="W587" i="4"/>
  <c r="U587" i="4"/>
  <c r="T587" i="4"/>
  <c r="P587" i="4"/>
  <c r="O587" i="4"/>
  <c r="N587" i="4"/>
  <c r="M587" i="4"/>
  <c r="AJ587" i="4"/>
  <c r="C587" i="4"/>
  <c r="S587" i="4"/>
  <c r="L587" i="4"/>
  <c r="K587" i="4"/>
  <c r="J587" i="4"/>
  <c r="AF587" i="4"/>
  <c r="AH587" i="4"/>
  <c r="AE587" i="4"/>
  <c r="AC587" i="4"/>
  <c r="D587" i="4"/>
  <c r="B587" i="4"/>
  <c r="AD587" i="4"/>
  <c r="R587" i="4"/>
  <c r="E472" i="4"/>
  <c r="F546" i="4" s="1"/>
  <c r="D383" i="4"/>
  <c r="AB415" i="4" s="1"/>
  <c r="AB495" i="4" s="1"/>
  <c r="AC569" i="4" s="1"/>
  <c r="AD413" i="4"/>
  <c r="AD493" i="4" s="1"/>
  <c r="AE567" i="4" s="1"/>
  <c r="AD599" i="4"/>
  <c r="N599" i="4"/>
  <c r="Y599" i="4"/>
  <c r="I599" i="4"/>
  <c r="U599" i="4"/>
  <c r="C599" i="4"/>
  <c r="T599" i="4"/>
  <c r="B599" i="4"/>
  <c r="S599" i="4"/>
  <c r="R599" i="4"/>
  <c r="AF599" i="4"/>
  <c r="AG599" i="4"/>
  <c r="H599" i="4"/>
  <c r="AE599" i="4"/>
  <c r="G599" i="4"/>
  <c r="AC599" i="4"/>
  <c r="F599" i="4"/>
  <c r="AB599" i="4"/>
  <c r="E599" i="4"/>
  <c r="AJ599" i="4"/>
  <c r="AH599" i="4"/>
  <c r="AA599" i="4"/>
  <c r="Z599" i="4"/>
  <c r="P599" i="4"/>
  <c r="O599" i="4"/>
  <c r="W599" i="4"/>
  <c r="Q599" i="4"/>
  <c r="M599" i="4"/>
  <c r="L599" i="4"/>
  <c r="D599" i="4"/>
  <c r="V599" i="4"/>
  <c r="K599" i="4"/>
  <c r="J599" i="4"/>
  <c r="X599" i="4"/>
  <c r="AF590" i="4"/>
  <c r="P590" i="4"/>
  <c r="AA590" i="4"/>
  <c r="K590" i="4"/>
  <c r="AJ590" i="4"/>
  <c r="Q590" i="4"/>
  <c r="AH590" i="4"/>
  <c r="O590" i="4"/>
  <c r="AG590" i="4"/>
  <c r="N590" i="4"/>
  <c r="AE590" i="4"/>
  <c r="M590" i="4"/>
  <c r="V590" i="4"/>
  <c r="U590" i="4"/>
  <c r="T590" i="4"/>
  <c r="S590" i="4"/>
  <c r="J590" i="4"/>
  <c r="I590" i="4"/>
  <c r="H590" i="4"/>
  <c r="G590" i="4"/>
  <c r="AC590" i="4"/>
  <c r="B590" i="4"/>
  <c r="AB590" i="4"/>
  <c r="W590" i="4"/>
  <c r="L590" i="4"/>
  <c r="F590" i="4"/>
  <c r="E590" i="4"/>
  <c r="AD590" i="4"/>
  <c r="Z590" i="4"/>
  <c r="Y590" i="4"/>
  <c r="X590" i="4"/>
  <c r="D590" i="4"/>
  <c r="R590" i="4"/>
  <c r="C590" i="4"/>
  <c r="N50" i="2"/>
  <c r="O50" i="2"/>
  <c r="M50" i="2"/>
  <c r="Q50" i="2"/>
  <c r="P50" i="2"/>
  <c r="G50" i="2"/>
  <c r="AE327" i="2"/>
  <c r="O327" i="2"/>
  <c r="AA327" i="2"/>
  <c r="J327" i="2"/>
  <c r="M287" i="2"/>
  <c r="AP327" i="2" s="1"/>
  <c r="AB327" i="2"/>
  <c r="Y327" i="2"/>
  <c r="G327" i="2"/>
  <c r="R287" i="2"/>
  <c r="X327" i="2"/>
  <c r="AO327" i="2"/>
  <c r="W327" i="2"/>
  <c r="U327" i="2"/>
  <c r="L287" i="2"/>
  <c r="T327" i="2"/>
  <c r="K287" i="2"/>
  <c r="O287" i="2" s="1"/>
  <c r="AN327" i="2"/>
  <c r="R327" i="2"/>
  <c r="AM327" i="2"/>
  <c r="Q327" i="2"/>
  <c r="AH327" i="2"/>
  <c r="K327" i="2"/>
  <c r="AI327" i="2"/>
  <c r="C287" i="2"/>
  <c r="H287" i="2" s="1"/>
  <c r="AG327" i="2"/>
  <c r="B287" i="2"/>
  <c r="AD327" i="2"/>
  <c r="AC327" i="2"/>
  <c r="N327" i="2"/>
  <c r="AK327" i="2"/>
  <c r="AF327" i="2"/>
  <c r="P327" i="2"/>
  <c r="E287" i="2"/>
  <c r="AL327" i="2"/>
  <c r="AJ327" i="2"/>
  <c r="Z327" i="2"/>
  <c r="V327" i="2"/>
  <c r="D327" i="2"/>
  <c r="M327" i="2"/>
  <c r="L327" i="2"/>
  <c r="J287" i="2"/>
  <c r="S287" i="2"/>
  <c r="S327" i="2"/>
  <c r="B327" i="2"/>
  <c r="Q49" i="2"/>
  <c r="O49" i="2"/>
  <c r="N49" i="2"/>
  <c r="P49" i="2"/>
  <c r="M49" i="2"/>
  <c r="G49" i="2"/>
  <c r="AN326" i="2"/>
  <c r="X326" i="2"/>
  <c r="AH326" i="2"/>
  <c r="Q326" i="2"/>
  <c r="AF326" i="2"/>
  <c r="N326" i="2"/>
  <c r="C286" i="2"/>
  <c r="H286" i="2" s="1"/>
  <c r="AD326" i="2"/>
  <c r="L326" i="2"/>
  <c r="S286" i="2"/>
  <c r="AC326" i="2"/>
  <c r="K326" i="2"/>
  <c r="AB326" i="2"/>
  <c r="AM326" i="2"/>
  <c r="P326" i="2"/>
  <c r="J286" i="2"/>
  <c r="AL326" i="2"/>
  <c r="O326" i="2"/>
  <c r="AJ326" i="2"/>
  <c r="AI326" i="2"/>
  <c r="G326" i="2"/>
  <c r="E286" i="2"/>
  <c r="Y326" i="2"/>
  <c r="D326" i="2"/>
  <c r="AO326" i="2"/>
  <c r="AG326" i="2"/>
  <c r="AE326" i="2"/>
  <c r="U326" i="2"/>
  <c r="AA326" i="2"/>
  <c r="W326" i="2"/>
  <c r="M286" i="2"/>
  <c r="AP326" i="2" s="1"/>
  <c r="T326" i="2"/>
  <c r="K286" i="2"/>
  <c r="O286" i="2" s="1"/>
  <c r="F326" i="2"/>
  <c r="R326" i="2"/>
  <c r="M326" i="2"/>
  <c r="L286" i="2"/>
  <c r="R286" i="2" s="1"/>
  <c r="B286" i="2"/>
  <c r="V326" i="2"/>
  <c r="S326" i="2"/>
  <c r="AK326" i="2"/>
  <c r="Z326" i="2"/>
  <c r="E142" i="2"/>
  <c r="E141" i="2"/>
  <c r="P46" i="2"/>
  <c r="D298" i="2" s="1"/>
  <c r="F298" i="2" s="1"/>
  <c r="O46" i="2"/>
  <c r="D297" i="2" s="1"/>
  <c r="F297" i="2" s="1"/>
  <c r="G46" i="2"/>
  <c r="M297" i="2" s="1"/>
  <c r="AP337" i="2" s="1"/>
  <c r="Q46" i="2"/>
  <c r="D299" i="2" s="1"/>
  <c r="F299" i="2" s="1"/>
  <c r="G299" i="2" s="1"/>
  <c r="C339" i="2" s="1"/>
  <c r="N46" i="2"/>
  <c r="M46" i="2"/>
  <c r="AC340" i="2"/>
  <c r="M340" i="2"/>
  <c r="AA340" i="2"/>
  <c r="K340" i="2"/>
  <c r="Z340" i="2"/>
  <c r="J340" i="2"/>
  <c r="AO340" i="2"/>
  <c r="I340" i="2"/>
  <c r="AE340" i="2"/>
  <c r="G340" i="2"/>
  <c r="B300" i="2"/>
  <c r="AD340" i="2"/>
  <c r="F340" i="2"/>
  <c r="D340" i="2"/>
  <c r="AJ340" i="2"/>
  <c r="L340" i="2"/>
  <c r="AH340" i="2"/>
  <c r="E340" i="2"/>
  <c r="AG340" i="2"/>
  <c r="C300" i="2"/>
  <c r="H300" i="2" s="1"/>
  <c r="AF340" i="2"/>
  <c r="B340" i="2"/>
  <c r="N340" i="2"/>
  <c r="AB340" i="2"/>
  <c r="L300" i="2"/>
  <c r="J300" i="2"/>
  <c r="P340" i="2"/>
  <c r="E300" i="2"/>
  <c r="H340" i="2"/>
  <c r="S300" i="2"/>
  <c r="AI340" i="2"/>
  <c r="O340" i="2"/>
  <c r="K300" i="2"/>
  <c r="O300" i="2" s="1"/>
  <c r="AN340" i="2"/>
  <c r="AM340" i="2"/>
  <c r="AL340" i="2"/>
  <c r="AK340" i="2"/>
  <c r="AL339" i="2"/>
  <c r="V339" i="2"/>
  <c r="F339" i="2"/>
  <c r="AJ339" i="2"/>
  <c r="D339" i="2"/>
  <c r="AI339" i="2"/>
  <c r="S339" i="2"/>
  <c r="AH339" i="2"/>
  <c r="B339" i="2"/>
  <c r="AB339" i="2"/>
  <c r="H339" i="2"/>
  <c r="AA339" i="2"/>
  <c r="G339" i="2"/>
  <c r="Y339" i="2"/>
  <c r="X339" i="2"/>
  <c r="E299" i="2"/>
  <c r="C299" i="2"/>
  <c r="H299" i="2" s="1"/>
  <c r="P339" i="2"/>
  <c r="B299" i="2"/>
  <c r="AG339" i="2"/>
  <c r="AF339" i="2"/>
  <c r="AD339" i="2"/>
  <c r="AC339" i="2"/>
  <c r="M339" i="2"/>
  <c r="L339" i="2"/>
  <c r="J339" i="2"/>
  <c r="I339" i="2"/>
  <c r="AN339" i="2"/>
  <c r="M299" i="2"/>
  <c r="AP339" i="2" s="1"/>
  <c r="J299" i="2"/>
  <c r="AO339" i="2"/>
  <c r="Z339" i="2"/>
  <c r="AM339" i="2"/>
  <c r="L299" i="2"/>
  <c r="S299" i="2" s="1"/>
  <c r="AK339" i="2"/>
  <c r="K299" i="2"/>
  <c r="O299" i="2" s="1"/>
  <c r="E339" i="2"/>
  <c r="AE339" i="2"/>
  <c r="K339" i="2"/>
  <c r="W339" i="2"/>
  <c r="AG345" i="2"/>
  <c r="Q345" i="2"/>
  <c r="AF345" i="2"/>
  <c r="P345" i="2"/>
  <c r="AD345" i="2"/>
  <c r="N345" i="2"/>
  <c r="AC345" i="2"/>
  <c r="M345" i="2"/>
  <c r="AB345" i="2"/>
  <c r="L345" i="2"/>
  <c r="AH345" i="2"/>
  <c r="H345" i="2"/>
  <c r="AE345" i="2"/>
  <c r="G345" i="2"/>
  <c r="Z345" i="2"/>
  <c r="E345" i="2"/>
  <c r="AA345" i="2"/>
  <c r="V345" i="2"/>
  <c r="K345" i="2"/>
  <c r="J345" i="2"/>
  <c r="AO345" i="2"/>
  <c r="F345" i="2"/>
  <c r="D305" i="2"/>
  <c r="F305" i="2" s="1"/>
  <c r="G305" i="2" s="1"/>
  <c r="C345" i="2" s="1"/>
  <c r="AN345" i="2"/>
  <c r="D345" i="2"/>
  <c r="C305" i="2"/>
  <c r="H305" i="2" s="1"/>
  <c r="AI345" i="2"/>
  <c r="AM345" i="2"/>
  <c r="M305" i="2"/>
  <c r="AL345" i="2"/>
  <c r="L305" i="2"/>
  <c r="S305" i="2" s="1"/>
  <c r="AJ345" i="2"/>
  <c r="J305" i="2"/>
  <c r="E305" i="2"/>
  <c r="O345" i="2"/>
  <c r="AK345" i="2"/>
  <c r="R345" i="2"/>
  <c r="K305" i="2"/>
  <c r="O305" i="2" s="1"/>
  <c r="S345" i="2"/>
  <c r="I345" i="2"/>
  <c r="B305" i="2"/>
  <c r="AP345" i="2"/>
  <c r="L115" i="2"/>
  <c r="F107" i="2"/>
  <c r="F110" i="2"/>
  <c r="O118" i="2" s="1"/>
  <c r="H91" i="2"/>
  <c r="G92" i="2"/>
  <c r="D92" i="2"/>
  <c r="J100" i="2" s="1"/>
  <c r="K99" i="2"/>
  <c r="AP335" i="2"/>
  <c r="Z335" i="2"/>
  <c r="J335" i="2"/>
  <c r="AN335" i="2"/>
  <c r="X335" i="2"/>
  <c r="H335" i="2"/>
  <c r="AM335" i="2"/>
  <c r="W335" i="2"/>
  <c r="G335" i="2"/>
  <c r="AL335" i="2"/>
  <c r="V335" i="2"/>
  <c r="F335" i="2"/>
  <c r="T335" i="2"/>
  <c r="M295" i="2"/>
  <c r="AK335" i="2"/>
  <c r="Q335" i="2"/>
  <c r="AO335" i="2"/>
  <c r="K295" i="2"/>
  <c r="O295" i="2" s="1"/>
  <c r="AI335" i="2"/>
  <c r="AH335" i="2"/>
  <c r="AG335" i="2"/>
  <c r="AE335" i="2"/>
  <c r="AD335" i="2"/>
  <c r="C295" i="2"/>
  <c r="H295" i="2" s="1"/>
  <c r="AB335" i="2"/>
  <c r="AA335" i="2"/>
  <c r="AJ335" i="2"/>
  <c r="L295" i="2"/>
  <c r="S295" i="2" s="1"/>
  <c r="AC335" i="2"/>
  <c r="E295" i="2"/>
  <c r="Y335" i="2"/>
  <c r="B295" i="2"/>
  <c r="I335" i="2"/>
  <c r="D335" i="2"/>
  <c r="AF335" i="2"/>
  <c r="U335" i="2"/>
  <c r="J295" i="2"/>
  <c r="E335" i="2"/>
  <c r="AI355" i="2"/>
  <c r="S355" i="2"/>
  <c r="C355" i="2"/>
  <c r="AG355" i="2"/>
  <c r="Q355" i="2"/>
  <c r="AF355" i="2"/>
  <c r="P355" i="2"/>
  <c r="Z355" i="2"/>
  <c r="G355" i="2"/>
  <c r="Y355" i="2"/>
  <c r="F355" i="2"/>
  <c r="AP355" i="2"/>
  <c r="W355" i="2"/>
  <c r="D355" i="2"/>
  <c r="AO355" i="2"/>
  <c r="V355" i="2"/>
  <c r="B355" i="2"/>
  <c r="N315" i="2"/>
  <c r="AN355" i="2"/>
  <c r="U355" i="2"/>
  <c r="AD355" i="2"/>
  <c r="M315" i="2"/>
  <c r="AC355" i="2"/>
  <c r="AA355" i="2"/>
  <c r="O355" i="2"/>
  <c r="M355" i="2"/>
  <c r="K355" i="2"/>
  <c r="J355" i="2"/>
  <c r="I355" i="2"/>
  <c r="AL355" i="2"/>
  <c r="AK355" i="2"/>
  <c r="CF315" i="2"/>
  <c r="AH355" i="2"/>
  <c r="L315" i="2"/>
  <c r="R315" i="2" s="1"/>
  <c r="AE355" i="2"/>
  <c r="K315" i="2"/>
  <c r="O315" i="2" s="1"/>
  <c r="N355" i="2"/>
  <c r="R355" i="2"/>
  <c r="L355" i="2"/>
  <c r="E355" i="2"/>
  <c r="S315" i="2"/>
  <c r="E315" i="2"/>
  <c r="X355" i="2"/>
  <c r="H355" i="2"/>
  <c r="C315" i="2"/>
  <c r="H315" i="2" s="1"/>
  <c r="AM355" i="2"/>
  <c r="AJ355" i="2"/>
  <c r="AB355" i="2"/>
  <c r="J315" i="2"/>
  <c r="T355" i="2"/>
  <c r="D315" i="2"/>
  <c r="B315" i="2"/>
  <c r="G315" i="2"/>
  <c r="F315" i="2"/>
  <c r="G111" i="2"/>
  <c r="P119" i="2" s="1"/>
  <c r="P258" i="2" s="1"/>
  <c r="R338" i="2" s="1"/>
  <c r="G108" i="2"/>
  <c r="M116" i="2"/>
  <c r="F92" i="2"/>
  <c r="H90" i="2"/>
  <c r="K98" i="2"/>
  <c r="C92" i="2"/>
  <c r="I100" i="2" s="1"/>
  <c r="V10" i="2"/>
  <c r="W3" i="2"/>
  <c r="W10" i="2" s="1"/>
  <c r="F124" i="2"/>
  <c r="O132" i="2"/>
  <c r="F127" i="2"/>
  <c r="R135" i="2" s="1"/>
  <c r="P133" i="2"/>
  <c r="G128" i="2"/>
  <c r="S136" i="2" s="1"/>
  <c r="S261" i="2" s="1"/>
  <c r="G125" i="2"/>
  <c r="F91" i="2"/>
  <c r="G93" i="2"/>
  <c r="C91" i="2"/>
  <c r="I99" i="2" s="1"/>
  <c r="J98" i="2"/>
  <c r="G90" i="2"/>
  <c r="M53" i="2"/>
  <c r="G53" i="2"/>
  <c r="P53" i="2"/>
  <c r="N53" i="2"/>
  <c r="Q53" i="2"/>
  <c r="O53" i="2"/>
  <c r="AE348" i="2"/>
  <c r="O348" i="2"/>
  <c r="AB348" i="2"/>
  <c r="K348" i="2"/>
  <c r="AA348" i="2"/>
  <c r="J348" i="2"/>
  <c r="AP348" i="2"/>
  <c r="Y348" i="2"/>
  <c r="H348" i="2"/>
  <c r="AO348" i="2"/>
  <c r="X348" i="2"/>
  <c r="G348" i="2"/>
  <c r="L308" i="2"/>
  <c r="AN348" i="2"/>
  <c r="W348" i="2"/>
  <c r="F348" i="2"/>
  <c r="AG348" i="2"/>
  <c r="E348" i="2"/>
  <c r="CF308" i="2"/>
  <c r="B308" i="2"/>
  <c r="AF348" i="2"/>
  <c r="D348" i="2"/>
  <c r="AC348" i="2"/>
  <c r="B348" i="2"/>
  <c r="Z348" i="2"/>
  <c r="R308" i="2"/>
  <c r="U348" i="2"/>
  <c r="T348" i="2"/>
  <c r="N308" i="2"/>
  <c r="S348" i="2"/>
  <c r="M308" i="2"/>
  <c r="L348" i="2"/>
  <c r="I348" i="2"/>
  <c r="AM348" i="2"/>
  <c r="AL348" i="2"/>
  <c r="AD348" i="2"/>
  <c r="AJ348" i="2"/>
  <c r="AI348" i="2"/>
  <c r="S308" i="2"/>
  <c r="V348" i="2"/>
  <c r="K308" i="2"/>
  <c r="O308" i="2" s="1"/>
  <c r="R348" i="2"/>
  <c r="J308" i="2"/>
  <c r="C348" i="2"/>
  <c r="D308" i="2"/>
  <c r="P348" i="2"/>
  <c r="M348" i="2"/>
  <c r="G308" i="2"/>
  <c r="Q348" i="2"/>
  <c r="N348" i="2"/>
  <c r="C308" i="2"/>
  <c r="H308" i="2" s="1"/>
  <c r="F308" i="2"/>
  <c r="E308" i="2"/>
  <c r="AK348" i="2"/>
  <c r="AH348" i="2"/>
  <c r="AP356" i="2"/>
  <c r="Z356" i="2"/>
  <c r="J356" i="2"/>
  <c r="AN356" i="2"/>
  <c r="X356" i="2"/>
  <c r="H356" i="2"/>
  <c r="AM356" i="2"/>
  <c r="W356" i="2"/>
  <c r="G356" i="2"/>
  <c r="AL356" i="2"/>
  <c r="V356" i="2"/>
  <c r="F356" i="2"/>
  <c r="AB356" i="2"/>
  <c r="D356" i="2"/>
  <c r="AA356" i="2"/>
  <c r="C356" i="2"/>
  <c r="U356" i="2"/>
  <c r="T356" i="2"/>
  <c r="L316" i="2"/>
  <c r="S316" i="2" s="1"/>
  <c r="S356" i="2"/>
  <c r="Q356" i="2"/>
  <c r="M316" i="2"/>
  <c r="P356" i="2"/>
  <c r="N356" i="2"/>
  <c r="AI356" i="2"/>
  <c r="I356" i="2"/>
  <c r="M356" i="2"/>
  <c r="K356" i="2"/>
  <c r="E356" i="2"/>
  <c r="AO356" i="2"/>
  <c r="B356" i="2"/>
  <c r="B316" i="2"/>
  <c r="AK356" i="2"/>
  <c r="AJ356" i="2"/>
  <c r="AD356" i="2"/>
  <c r="F316" i="2"/>
  <c r="E316" i="2"/>
  <c r="AG356" i="2"/>
  <c r="C316" i="2"/>
  <c r="H316" i="2" s="1"/>
  <c r="AF356" i="2"/>
  <c r="O356" i="2"/>
  <c r="CF316" i="2"/>
  <c r="K316" i="2"/>
  <c r="O316" i="2" s="1"/>
  <c r="AE356" i="2"/>
  <c r="N316" i="2"/>
  <c r="J316" i="2"/>
  <c r="G316" i="2"/>
  <c r="D316" i="2"/>
  <c r="L356" i="2"/>
  <c r="R356" i="2"/>
  <c r="AC356" i="2"/>
  <c r="Y356" i="2"/>
  <c r="AH356" i="2"/>
  <c r="F73" i="2"/>
  <c r="F76" i="2"/>
  <c r="I84" i="2" s="1"/>
  <c r="I251" i="2" s="1"/>
  <c r="K331" i="2" s="1"/>
  <c r="F81" i="2"/>
  <c r="G94" i="2"/>
  <c r="M102" i="2" s="1"/>
  <c r="G91" i="2"/>
  <c r="J99" i="2"/>
  <c r="AG336" i="2"/>
  <c r="AE336" i="2"/>
  <c r="AD336" i="2"/>
  <c r="AC336" i="2"/>
  <c r="M336" i="2"/>
  <c r="W336" i="2"/>
  <c r="K296" i="2"/>
  <c r="O296" i="2" s="1"/>
  <c r="AN336" i="2"/>
  <c r="T336" i="2"/>
  <c r="X336" i="2"/>
  <c r="J296" i="2"/>
  <c r="U336" i="2"/>
  <c r="AP336" i="2"/>
  <c r="S336" i="2"/>
  <c r="AO336" i="2"/>
  <c r="E296" i="2"/>
  <c r="Z336" i="2"/>
  <c r="M296" i="2"/>
  <c r="Y336" i="2"/>
  <c r="L296" i="2"/>
  <c r="S296" i="2" s="1"/>
  <c r="P336" i="2"/>
  <c r="C296" i="2"/>
  <c r="H296" i="2" s="1"/>
  <c r="AK336" i="2"/>
  <c r="G336" i="2"/>
  <c r="AM336" i="2"/>
  <c r="B336" i="2"/>
  <c r="AL336" i="2"/>
  <c r="AI336" i="2"/>
  <c r="AH336" i="2"/>
  <c r="B296" i="2"/>
  <c r="AF336" i="2"/>
  <c r="AA336" i="2"/>
  <c r="H336" i="2"/>
  <c r="D336" i="2"/>
  <c r="AJ336" i="2"/>
  <c r="AB336" i="2"/>
  <c r="V336" i="2"/>
  <c r="J336" i="2"/>
  <c r="I336" i="2"/>
  <c r="F336" i="2"/>
  <c r="E336" i="2"/>
  <c r="AG357" i="2"/>
  <c r="Q357" i="2"/>
  <c r="AE357" i="2"/>
  <c r="O357" i="2"/>
  <c r="AD357" i="2"/>
  <c r="N357" i="2"/>
  <c r="AC357" i="2"/>
  <c r="M357" i="2"/>
  <c r="AA357" i="2"/>
  <c r="G357" i="2"/>
  <c r="Z357" i="2"/>
  <c r="F357" i="2"/>
  <c r="X357" i="2"/>
  <c r="D357" i="2"/>
  <c r="W357" i="2"/>
  <c r="C357" i="2"/>
  <c r="J317" i="2"/>
  <c r="AP357" i="2"/>
  <c r="V357" i="2"/>
  <c r="B357" i="2"/>
  <c r="AM357" i="2"/>
  <c r="J357" i="2"/>
  <c r="L317" i="2"/>
  <c r="AL357" i="2"/>
  <c r="I357" i="2"/>
  <c r="AJ357" i="2"/>
  <c r="E357" i="2"/>
  <c r="AB357" i="2"/>
  <c r="P357" i="2"/>
  <c r="K357" i="2"/>
  <c r="R317" i="2"/>
  <c r="H357" i="2"/>
  <c r="S357" i="2"/>
  <c r="F317" i="2"/>
  <c r="R357" i="2"/>
  <c r="E317" i="2"/>
  <c r="C317" i="2"/>
  <c r="H317" i="2" s="1"/>
  <c r="B317" i="2"/>
  <c r="AK357" i="2"/>
  <c r="T357" i="2"/>
  <c r="L357" i="2"/>
  <c r="CF317" i="2"/>
  <c r="N317" i="2"/>
  <c r="M317" i="2"/>
  <c r="AO357" i="2"/>
  <c r="AI357" i="2"/>
  <c r="AF357" i="2"/>
  <c r="D317" i="2"/>
  <c r="AN357" i="2"/>
  <c r="AH357" i="2"/>
  <c r="Y357" i="2"/>
  <c r="U357" i="2"/>
  <c r="K317" i="2"/>
  <c r="O317" i="2" s="1"/>
  <c r="G317" i="2"/>
  <c r="S317" i="2"/>
  <c r="R149" i="2"/>
  <c r="F144" i="2"/>
  <c r="U152" i="2" s="1"/>
  <c r="U263" i="2" s="1"/>
  <c r="F141" i="2"/>
  <c r="Q133" i="2"/>
  <c r="G126" i="2"/>
  <c r="D126" i="2"/>
  <c r="P134" i="2" s="1"/>
  <c r="H125" i="2"/>
  <c r="D127" i="2"/>
  <c r="P135" i="2" s="1"/>
  <c r="P260" i="2" s="1"/>
  <c r="R340" i="2" s="1"/>
  <c r="R133" i="2"/>
  <c r="R258" i="2" s="1"/>
  <c r="D109" i="2"/>
  <c r="M117" i="2" s="1"/>
  <c r="H108" i="2"/>
  <c r="N116" i="2"/>
  <c r="G109" i="2"/>
  <c r="G73" i="2"/>
  <c r="G81" i="2"/>
  <c r="C74" i="2"/>
  <c r="F82" i="2" s="1"/>
  <c r="G76" i="2"/>
  <c r="F74" i="2"/>
  <c r="I98" i="2"/>
  <c r="F90" i="2"/>
  <c r="F93" i="2"/>
  <c r="L101" i="2" s="1"/>
  <c r="L254" i="2" s="1"/>
  <c r="N334" i="2" s="1"/>
  <c r="AJ351" i="2"/>
  <c r="T351" i="2"/>
  <c r="D351" i="2"/>
  <c r="AP351" i="2"/>
  <c r="Y351" i="2"/>
  <c r="H351" i="2"/>
  <c r="AO351" i="2"/>
  <c r="X351" i="2"/>
  <c r="G351" i="2"/>
  <c r="AM351" i="2"/>
  <c r="V351" i="2"/>
  <c r="E351" i="2"/>
  <c r="AL351" i="2"/>
  <c r="U351" i="2"/>
  <c r="C351" i="2"/>
  <c r="E311" i="2"/>
  <c r="AK351" i="2"/>
  <c r="S351" i="2"/>
  <c r="B351" i="2"/>
  <c r="AF351" i="2"/>
  <c r="J351" i="2"/>
  <c r="AE351" i="2"/>
  <c r="I351" i="2"/>
  <c r="AC351" i="2"/>
  <c r="W351" i="2"/>
  <c r="AI351" i="2"/>
  <c r="S311" i="2"/>
  <c r="AG351" i="2"/>
  <c r="AD351" i="2"/>
  <c r="N311" i="2"/>
  <c r="AB351" i="2"/>
  <c r="M311" i="2"/>
  <c r="O351" i="2"/>
  <c r="CF311" i="2"/>
  <c r="N351" i="2"/>
  <c r="L351" i="2"/>
  <c r="L311" i="2"/>
  <c r="R311" i="2" s="1"/>
  <c r="K351" i="2"/>
  <c r="K311" i="2"/>
  <c r="O311" i="2" s="1"/>
  <c r="AN351" i="2"/>
  <c r="AA351" i="2"/>
  <c r="Z351" i="2"/>
  <c r="F351" i="2"/>
  <c r="J311" i="2"/>
  <c r="G311" i="2"/>
  <c r="D311" i="2"/>
  <c r="AH351" i="2"/>
  <c r="P351" i="2"/>
  <c r="M351" i="2"/>
  <c r="Q351" i="2"/>
  <c r="F311" i="2"/>
  <c r="C311" i="2"/>
  <c r="H311" i="2" s="1"/>
  <c r="B311" i="2"/>
  <c r="R351" i="2"/>
  <c r="AN358" i="2"/>
  <c r="X358" i="2"/>
  <c r="H358" i="2"/>
  <c r="AL358" i="2"/>
  <c r="V358" i="2"/>
  <c r="F358" i="2"/>
  <c r="AK358" i="2"/>
  <c r="U358" i="2"/>
  <c r="E358" i="2"/>
  <c r="AJ358" i="2"/>
  <c r="T358" i="2"/>
  <c r="D358" i="2"/>
  <c r="AD358" i="2"/>
  <c r="J358" i="2"/>
  <c r="AC358" i="2"/>
  <c r="I358" i="2"/>
  <c r="AA358" i="2"/>
  <c r="C358" i="2"/>
  <c r="Z358" i="2"/>
  <c r="B358" i="2"/>
  <c r="G318" i="2"/>
  <c r="Y358" i="2"/>
  <c r="AF358" i="2"/>
  <c r="K318" i="2"/>
  <c r="O318" i="2" s="1"/>
  <c r="AE358" i="2"/>
  <c r="W358" i="2"/>
  <c r="P358" i="2"/>
  <c r="N358" i="2"/>
  <c r="L358" i="2"/>
  <c r="K358" i="2"/>
  <c r="G358" i="2"/>
  <c r="AG358" i="2"/>
  <c r="M318" i="2"/>
  <c r="AB358" i="2"/>
  <c r="L318" i="2"/>
  <c r="R318" i="2" s="1"/>
  <c r="R358" i="2"/>
  <c r="Q358" i="2"/>
  <c r="F318" i="2"/>
  <c r="B318" i="2"/>
  <c r="AP358" i="2"/>
  <c r="AM358" i="2"/>
  <c r="AI358" i="2"/>
  <c r="CF318" i="2"/>
  <c r="M358" i="2"/>
  <c r="E318" i="2"/>
  <c r="O358" i="2"/>
  <c r="J318" i="2"/>
  <c r="N318" i="2"/>
  <c r="S358" i="2"/>
  <c r="C318" i="2"/>
  <c r="H318" i="2" s="1"/>
  <c r="AO358" i="2"/>
  <c r="AH358" i="2"/>
  <c r="D318" i="2"/>
  <c r="C64" i="2"/>
  <c r="C245" i="2" s="1"/>
  <c r="E325" i="2" s="1"/>
  <c r="F56" i="2"/>
  <c r="F59" i="2"/>
  <c r="F67" i="2" s="1"/>
  <c r="F248" i="2" s="1"/>
  <c r="H328" i="2" s="1"/>
  <c r="H124" i="2"/>
  <c r="C126" i="2"/>
  <c r="O134" i="2" s="1"/>
  <c r="F126" i="2"/>
  <c r="Q132" i="2"/>
  <c r="C128" i="2"/>
  <c r="O136" i="2" s="1"/>
  <c r="O261" i="2" s="1"/>
  <c r="S132" i="2"/>
  <c r="S257" i="2" s="1"/>
  <c r="AD331" i="2"/>
  <c r="AA331" i="2"/>
  <c r="Z331" i="2"/>
  <c r="AL331" i="2"/>
  <c r="S331" i="2"/>
  <c r="AI331" i="2"/>
  <c r="AJ331" i="2"/>
  <c r="AG331" i="2"/>
  <c r="AF331" i="2"/>
  <c r="L291" i="2"/>
  <c r="AE331" i="2"/>
  <c r="K291" i="2"/>
  <c r="O291" i="2" s="1"/>
  <c r="AM331" i="2"/>
  <c r="F331" i="2"/>
  <c r="AK331" i="2"/>
  <c r="E331" i="2"/>
  <c r="AC331" i="2"/>
  <c r="E291" i="2"/>
  <c r="AB331" i="2"/>
  <c r="C291" i="2"/>
  <c r="H291" i="2" s="1"/>
  <c r="U331" i="2"/>
  <c r="R331" i="2"/>
  <c r="Q331" i="2"/>
  <c r="S291" i="2"/>
  <c r="G331" i="2"/>
  <c r="AN331" i="2"/>
  <c r="B291" i="2"/>
  <c r="AH331" i="2"/>
  <c r="X331" i="2"/>
  <c r="V331" i="2"/>
  <c r="T331" i="2"/>
  <c r="D331" i="2"/>
  <c r="W331" i="2"/>
  <c r="Y331" i="2"/>
  <c r="J291" i="2"/>
  <c r="AO331" i="2"/>
  <c r="AK341" i="2"/>
  <c r="U341" i="2"/>
  <c r="AJ341" i="2"/>
  <c r="T341" i="2"/>
  <c r="D341" i="2"/>
  <c r="AH341" i="2"/>
  <c r="AG341" i="2"/>
  <c r="Q341" i="2"/>
  <c r="AF341" i="2"/>
  <c r="P341" i="2"/>
  <c r="AE341" i="2"/>
  <c r="J341" i="2"/>
  <c r="AD341" i="2"/>
  <c r="I341" i="2"/>
  <c r="AB341" i="2"/>
  <c r="G341" i="2"/>
  <c r="E301" i="2"/>
  <c r="C301" i="2"/>
  <c r="H301" i="2" s="1"/>
  <c r="O341" i="2"/>
  <c r="B301" i="2"/>
  <c r="N341" i="2"/>
  <c r="L301" i="2"/>
  <c r="S301" i="2" s="1"/>
  <c r="K301" i="2"/>
  <c r="O301" i="2" s="1"/>
  <c r="M341" i="2"/>
  <c r="L341" i="2"/>
  <c r="AN341" i="2"/>
  <c r="AM341" i="2"/>
  <c r="AL341" i="2"/>
  <c r="AC341" i="2"/>
  <c r="AA341" i="2"/>
  <c r="F341" i="2"/>
  <c r="J301" i="2"/>
  <c r="AO341" i="2"/>
  <c r="K341" i="2"/>
  <c r="M301" i="2"/>
  <c r="AP341" i="2" s="1"/>
  <c r="AI341" i="2"/>
  <c r="Z341" i="2"/>
  <c r="H341" i="2"/>
  <c r="E341" i="2"/>
  <c r="AE359" i="2"/>
  <c r="O359" i="2"/>
  <c r="AC359" i="2"/>
  <c r="M359" i="2"/>
  <c r="AB359" i="2"/>
  <c r="L359" i="2"/>
  <c r="AA359" i="2"/>
  <c r="K359" i="2"/>
  <c r="AG359" i="2"/>
  <c r="I359" i="2"/>
  <c r="AF359" i="2"/>
  <c r="H359" i="2"/>
  <c r="Z359" i="2"/>
  <c r="F359" i="2"/>
  <c r="Y359" i="2"/>
  <c r="E359" i="2"/>
  <c r="E319" i="2"/>
  <c r="X359" i="2"/>
  <c r="D359" i="2"/>
  <c r="T359" i="2"/>
  <c r="J319" i="2"/>
  <c r="S359" i="2"/>
  <c r="AP359" i="2"/>
  <c r="Q359" i="2"/>
  <c r="AL359" i="2"/>
  <c r="G359" i="2"/>
  <c r="P359" i="2"/>
  <c r="J359" i="2"/>
  <c r="R319" i="2"/>
  <c r="C359" i="2"/>
  <c r="AO359" i="2"/>
  <c r="B359" i="2"/>
  <c r="AM359" i="2"/>
  <c r="AK359" i="2"/>
  <c r="CF319" i="2"/>
  <c r="AI359" i="2"/>
  <c r="N319" i="2"/>
  <c r="AH359" i="2"/>
  <c r="M319" i="2"/>
  <c r="R359" i="2"/>
  <c r="N359" i="2"/>
  <c r="S319" i="2"/>
  <c r="L319" i="2"/>
  <c r="G319" i="2"/>
  <c r="K319" i="2"/>
  <c r="O319" i="2" s="1"/>
  <c r="D319" i="2"/>
  <c r="B319" i="2"/>
  <c r="AD359" i="2"/>
  <c r="AJ359" i="2"/>
  <c r="AN359" i="2"/>
  <c r="W359" i="2"/>
  <c r="V359" i="2"/>
  <c r="F319" i="2"/>
  <c r="C319" i="2"/>
  <c r="H319" i="2" s="1"/>
  <c r="U359" i="2"/>
  <c r="G57" i="2"/>
  <c r="D65" i="2"/>
  <c r="D246" i="2" s="1"/>
  <c r="G60" i="2"/>
  <c r="G68" i="2" s="1"/>
  <c r="AI334" i="2"/>
  <c r="AG334" i="2"/>
  <c r="AF334" i="2"/>
  <c r="AE334" i="2"/>
  <c r="AO334" i="2"/>
  <c r="U334" i="2"/>
  <c r="AL334" i="2"/>
  <c r="AD334" i="2"/>
  <c r="H334" i="2"/>
  <c r="L294" i="2"/>
  <c r="G294" i="2" s="1"/>
  <c r="C334" i="2" s="1"/>
  <c r="AB334" i="2"/>
  <c r="F334" i="2"/>
  <c r="J294" i="2"/>
  <c r="AA334" i="2"/>
  <c r="E334" i="2"/>
  <c r="Z334" i="2"/>
  <c r="D334" i="2"/>
  <c r="J334" i="2"/>
  <c r="AN334" i="2"/>
  <c r="I334" i="2"/>
  <c r="AK334" i="2"/>
  <c r="B334" i="2"/>
  <c r="AJ334" i="2"/>
  <c r="W334" i="2"/>
  <c r="AC334" i="2"/>
  <c r="Y334" i="2"/>
  <c r="V334" i="2"/>
  <c r="T334" i="2"/>
  <c r="G334" i="2"/>
  <c r="B294" i="2"/>
  <c r="X334" i="2"/>
  <c r="AH334" i="2"/>
  <c r="E294" i="2"/>
  <c r="C294" i="2"/>
  <c r="H294" i="2" s="1"/>
  <c r="K294" i="2"/>
  <c r="O294" i="2" s="1"/>
  <c r="AM334" i="2"/>
  <c r="M48" i="2"/>
  <c r="G48" i="2"/>
  <c r="M303" i="2" s="1"/>
  <c r="AP343" i="2" s="1"/>
  <c r="O48" i="2"/>
  <c r="N48" i="2"/>
  <c r="Q48" i="2"/>
  <c r="P48" i="2"/>
  <c r="Q52" i="2"/>
  <c r="P52" i="2"/>
  <c r="N52" i="2"/>
  <c r="M52" i="2"/>
  <c r="O52" i="2"/>
  <c r="G52" i="2"/>
  <c r="AE338" i="2"/>
  <c r="AC338" i="2"/>
  <c r="M338" i="2"/>
  <c r="AB338" i="2"/>
  <c r="L338" i="2"/>
  <c r="AA338" i="2"/>
  <c r="K338" i="2"/>
  <c r="Y338" i="2"/>
  <c r="E338" i="2"/>
  <c r="B338" i="2"/>
  <c r="AL338" i="2"/>
  <c r="AJ338" i="2"/>
  <c r="J338" i="2"/>
  <c r="E298" i="2"/>
  <c r="AI338" i="2"/>
  <c r="I338" i="2"/>
  <c r="AH338" i="2"/>
  <c r="H338" i="2"/>
  <c r="C298" i="2"/>
  <c r="H298" i="2" s="1"/>
  <c r="AN338" i="2"/>
  <c r="F338" i="2"/>
  <c r="AM338" i="2"/>
  <c r="D338" i="2"/>
  <c r="AG338" i="2"/>
  <c r="AF338" i="2"/>
  <c r="G338" i="2"/>
  <c r="L298" i="2"/>
  <c r="R298" i="2" s="1"/>
  <c r="K298" i="2"/>
  <c r="O298" i="2" s="1"/>
  <c r="Z338" i="2"/>
  <c r="X338" i="2"/>
  <c r="T338" i="2"/>
  <c r="M298" i="2"/>
  <c r="AP338" i="2" s="1"/>
  <c r="B298" i="2"/>
  <c r="W338" i="2"/>
  <c r="Q338" i="2"/>
  <c r="J298" i="2"/>
  <c r="AK338" i="2"/>
  <c r="AO338" i="2"/>
  <c r="AD338" i="2"/>
  <c r="AL328" i="2"/>
  <c r="V328" i="2"/>
  <c r="AK328" i="2"/>
  <c r="T328" i="2"/>
  <c r="K288" i="2"/>
  <c r="O288" i="2" s="1"/>
  <c r="X328" i="2"/>
  <c r="AN328" i="2"/>
  <c r="U328" i="2"/>
  <c r="AM328" i="2"/>
  <c r="S328" i="2"/>
  <c r="AJ328" i="2"/>
  <c r="R328" i="2"/>
  <c r="AD328" i="2"/>
  <c r="AC328" i="2"/>
  <c r="AA328" i="2"/>
  <c r="M288" i="2"/>
  <c r="AP328" i="2" s="1"/>
  <c r="Z328" i="2"/>
  <c r="L288" i="2"/>
  <c r="S288" i="2" s="1"/>
  <c r="O328" i="2"/>
  <c r="AE328" i="2"/>
  <c r="AB328" i="2"/>
  <c r="J288" i="2"/>
  <c r="W328" i="2"/>
  <c r="Q328" i="2"/>
  <c r="D328" i="2"/>
  <c r="AO328" i="2"/>
  <c r="AF328" i="2"/>
  <c r="AG328" i="2"/>
  <c r="E288" i="2"/>
  <c r="P328" i="2"/>
  <c r="N328" i="2"/>
  <c r="C288" i="2"/>
  <c r="H288" i="2" s="1"/>
  <c r="AI328" i="2"/>
  <c r="AH328" i="2"/>
  <c r="B288" i="2"/>
  <c r="Y328" i="2"/>
  <c r="C111" i="2"/>
  <c r="L119" i="2" s="1"/>
  <c r="L258" i="2" s="1"/>
  <c r="N338" i="2" s="1"/>
  <c r="P115" i="2"/>
  <c r="P254" i="2" s="1"/>
  <c r="R334" i="2" s="1"/>
  <c r="C58" i="2"/>
  <c r="C66" i="2" s="1"/>
  <c r="C247" i="2" s="1"/>
  <c r="E327" i="2" s="1"/>
  <c r="H56" i="2"/>
  <c r="F58" i="2"/>
  <c r="E64" i="2"/>
  <c r="E245" i="2" s="1"/>
  <c r="E146" i="2"/>
  <c r="T154" i="2" s="1"/>
  <c r="T265" i="2" s="1"/>
  <c r="W151" i="2"/>
  <c r="W262" i="2" s="1"/>
  <c r="AB342" i="2"/>
  <c r="L342" i="2"/>
  <c r="AA342" i="2"/>
  <c r="K342" i="2"/>
  <c r="AO342" i="2"/>
  <c r="Y342" i="2"/>
  <c r="I342" i="2"/>
  <c r="AN342" i="2"/>
  <c r="H342" i="2"/>
  <c r="AM342" i="2"/>
  <c r="G342" i="2"/>
  <c r="AK342" i="2"/>
  <c r="P342" i="2"/>
  <c r="AJ342" i="2"/>
  <c r="O342" i="2"/>
  <c r="AH342" i="2"/>
  <c r="M342" i="2"/>
  <c r="AL342" i="2"/>
  <c r="F342" i="2"/>
  <c r="AG342" i="2"/>
  <c r="D342" i="2"/>
  <c r="B302" i="2"/>
  <c r="AF342" i="2"/>
  <c r="AE342" i="2"/>
  <c r="S342" i="2"/>
  <c r="L302" i="2"/>
  <c r="S302" i="2" s="1"/>
  <c r="N342" i="2"/>
  <c r="K302" i="2"/>
  <c r="O302" i="2" s="1"/>
  <c r="AP342" i="2"/>
  <c r="E302" i="2"/>
  <c r="E342" i="2"/>
  <c r="AI342" i="2"/>
  <c r="AD342" i="2"/>
  <c r="AC342" i="2"/>
  <c r="Z342" i="2"/>
  <c r="M302" i="2"/>
  <c r="J302" i="2"/>
  <c r="C302" i="2"/>
  <c r="H302" i="2" s="1"/>
  <c r="J342" i="2"/>
  <c r="Q43" i="2"/>
  <c r="D290" i="2" s="1"/>
  <c r="F290" i="2" s="1"/>
  <c r="G290" i="2" s="1"/>
  <c r="C330" i="2" s="1"/>
  <c r="M43" i="2"/>
  <c r="O43" i="2" s="1"/>
  <c r="D288" i="2" s="1"/>
  <c r="F288" i="2" s="1"/>
  <c r="G288" i="2" s="1"/>
  <c r="C328" i="2" s="1"/>
  <c r="N43" i="2"/>
  <c r="P43" i="2" s="1"/>
  <c r="D289" i="2" s="1"/>
  <c r="F289" i="2" s="1"/>
  <c r="G289" i="2" s="1"/>
  <c r="C329" i="2" s="1"/>
  <c r="G43" i="2"/>
  <c r="N45" i="2"/>
  <c r="M45" i="2"/>
  <c r="G45" i="2"/>
  <c r="M294" i="2" s="1"/>
  <c r="AP334" i="2" s="1"/>
  <c r="P45" i="2"/>
  <c r="D295" i="2" s="1"/>
  <c r="F295" i="2" s="1"/>
  <c r="G295" i="2" s="1"/>
  <c r="C335" i="2" s="1"/>
  <c r="Q45" i="2"/>
  <c r="D296" i="2" s="1"/>
  <c r="F296" i="2" s="1"/>
  <c r="G296" i="2" s="1"/>
  <c r="C336" i="2" s="1"/>
  <c r="O45" i="2"/>
  <c r="D294" i="2" s="1"/>
  <c r="F294" i="2" s="1"/>
  <c r="AL360" i="2"/>
  <c r="V360" i="2"/>
  <c r="F360" i="2"/>
  <c r="AJ360" i="2"/>
  <c r="T360" i="2"/>
  <c r="D360" i="2"/>
  <c r="AI360" i="2"/>
  <c r="S360" i="2"/>
  <c r="C360" i="2"/>
  <c r="AH360" i="2"/>
  <c r="R360" i="2"/>
  <c r="B360" i="2"/>
  <c r="AF360" i="2"/>
  <c r="L360" i="2"/>
  <c r="AE360" i="2"/>
  <c r="K360" i="2"/>
  <c r="AC360" i="2"/>
  <c r="I360" i="2"/>
  <c r="AB360" i="2"/>
  <c r="H360" i="2"/>
  <c r="CF320" i="2"/>
  <c r="C320" i="2"/>
  <c r="H320" i="2" s="1"/>
  <c r="AA360" i="2"/>
  <c r="G360" i="2"/>
  <c r="AP360" i="2"/>
  <c r="M360" i="2"/>
  <c r="AO360" i="2"/>
  <c r="J360" i="2"/>
  <c r="AM360" i="2"/>
  <c r="Z360" i="2"/>
  <c r="P360" i="2"/>
  <c r="N360" i="2"/>
  <c r="R320" i="2"/>
  <c r="E360" i="2"/>
  <c r="B320" i="2"/>
  <c r="Y360" i="2"/>
  <c r="AN360" i="2"/>
  <c r="AG360" i="2"/>
  <c r="AD360" i="2"/>
  <c r="O360" i="2"/>
  <c r="L320" i="2"/>
  <c r="X360" i="2"/>
  <c r="W360" i="2"/>
  <c r="U360" i="2"/>
  <c r="N320" i="2"/>
  <c r="J320" i="2"/>
  <c r="G320" i="2"/>
  <c r="F320" i="2"/>
  <c r="E320" i="2"/>
  <c r="D320" i="2"/>
  <c r="AK360" i="2"/>
  <c r="Q360" i="2"/>
  <c r="S320" i="2"/>
  <c r="M320" i="2"/>
  <c r="K320" i="2"/>
  <c r="O320" i="2" s="1"/>
  <c r="AC350" i="2"/>
  <c r="M350" i="2"/>
  <c r="AF350" i="2"/>
  <c r="O350" i="2"/>
  <c r="AE350" i="2"/>
  <c r="N350" i="2"/>
  <c r="AB350" i="2"/>
  <c r="K350" i="2"/>
  <c r="AA350" i="2"/>
  <c r="J350" i="2"/>
  <c r="G310" i="2"/>
  <c r="Z350" i="2"/>
  <c r="I350" i="2"/>
  <c r="W350" i="2"/>
  <c r="S310" i="2"/>
  <c r="V350" i="2"/>
  <c r="AP350" i="2"/>
  <c r="T350" i="2"/>
  <c r="AL350" i="2"/>
  <c r="P350" i="2"/>
  <c r="AO350" i="2"/>
  <c r="H350" i="2"/>
  <c r="AM350" i="2"/>
  <c r="F350" i="2"/>
  <c r="AK350" i="2"/>
  <c r="E350" i="2"/>
  <c r="N310" i="2"/>
  <c r="AJ350" i="2"/>
  <c r="D350" i="2"/>
  <c r="M310" i="2"/>
  <c r="Q350" i="2"/>
  <c r="K310" i="2"/>
  <c r="O310" i="2" s="1"/>
  <c r="L350" i="2"/>
  <c r="J310" i="2"/>
  <c r="C350" i="2"/>
  <c r="F310" i="2"/>
  <c r="B350" i="2"/>
  <c r="E310" i="2"/>
  <c r="AG350" i="2"/>
  <c r="U350" i="2"/>
  <c r="CF310" i="2"/>
  <c r="S350" i="2"/>
  <c r="G350" i="2"/>
  <c r="L310" i="2"/>
  <c r="R310" i="2" s="1"/>
  <c r="AD350" i="2"/>
  <c r="X350" i="2"/>
  <c r="D310" i="2"/>
  <c r="AN350" i="2"/>
  <c r="AI350" i="2"/>
  <c r="AH350" i="2"/>
  <c r="Y350" i="2"/>
  <c r="R350" i="2"/>
  <c r="B310" i="2"/>
  <c r="C310" i="2"/>
  <c r="H310" i="2" s="1"/>
  <c r="AI343" i="2"/>
  <c r="S343" i="2"/>
  <c r="AH343" i="2"/>
  <c r="R343" i="2"/>
  <c r="B343" i="2"/>
  <c r="AF343" i="2"/>
  <c r="P343" i="2"/>
  <c r="AE343" i="2"/>
  <c r="O343" i="2"/>
  <c r="AD343" i="2"/>
  <c r="N343" i="2"/>
  <c r="AN343" i="2"/>
  <c r="Q343" i="2"/>
  <c r="Z343" i="2"/>
  <c r="C303" i="2"/>
  <c r="H303" i="2" s="1"/>
  <c r="W343" i="2"/>
  <c r="R303" i="2"/>
  <c r="L343" i="2"/>
  <c r="K343" i="2"/>
  <c r="I343" i="2"/>
  <c r="H343" i="2"/>
  <c r="AJ343" i="2"/>
  <c r="J343" i="2"/>
  <c r="G343" i="2"/>
  <c r="E343" i="2"/>
  <c r="K303" i="2"/>
  <c r="O303" i="2" s="1"/>
  <c r="D343" i="2"/>
  <c r="J303" i="2"/>
  <c r="AK343" i="2"/>
  <c r="D303" i="2"/>
  <c r="F303" i="2" s="1"/>
  <c r="G303" i="2" s="1"/>
  <c r="C343" i="2" s="1"/>
  <c r="AM343" i="2"/>
  <c r="AG343" i="2"/>
  <c r="B303" i="2"/>
  <c r="E303" i="2"/>
  <c r="AO343" i="2"/>
  <c r="AL343" i="2"/>
  <c r="AC343" i="2"/>
  <c r="L303" i="2"/>
  <c r="AB343" i="2"/>
  <c r="AA343" i="2"/>
  <c r="M343" i="2"/>
  <c r="F343" i="2"/>
  <c r="AG346" i="2"/>
  <c r="Q346" i="2"/>
  <c r="AP346" i="2"/>
  <c r="Y346" i="2"/>
  <c r="H346" i="2"/>
  <c r="AO346" i="2"/>
  <c r="X346" i="2"/>
  <c r="G346" i="2"/>
  <c r="AM346" i="2"/>
  <c r="V346" i="2"/>
  <c r="E346" i="2"/>
  <c r="AL346" i="2"/>
  <c r="U346" i="2"/>
  <c r="D346" i="2"/>
  <c r="AK346" i="2"/>
  <c r="T346" i="2"/>
  <c r="C346" i="2"/>
  <c r="AN346" i="2"/>
  <c r="N346" i="2"/>
  <c r="F306" i="2"/>
  <c r="AJ346" i="2"/>
  <c r="M346" i="2"/>
  <c r="AH346" i="2"/>
  <c r="K346" i="2"/>
  <c r="R346" i="2"/>
  <c r="O346" i="2"/>
  <c r="L346" i="2"/>
  <c r="J346" i="2"/>
  <c r="N306" i="2"/>
  <c r="F346" i="2"/>
  <c r="L306" i="2"/>
  <c r="S306" i="2" s="1"/>
  <c r="B346" i="2"/>
  <c r="K306" i="2"/>
  <c r="O306" i="2" s="1"/>
  <c r="AI346" i="2"/>
  <c r="G306" i="2"/>
  <c r="AB346" i="2"/>
  <c r="CF306" i="2"/>
  <c r="AA346" i="2"/>
  <c r="E306" i="2"/>
  <c r="S346" i="2"/>
  <c r="M306" i="2"/>
  <c r="I346" i="2"/>
  <c r="D306" i="2"/>
  <c r="B306" i="2"/>
  <c r="J306" i="2"/>
  <c r="C306" i="2"/>
  <c r="H306" i="2" s="1"/>
  <c r="AD346" i="2"/>
  <c r="Z346" i="2"/>
  <c r="W346" i="2"/>
  <c r="P346" i="2"/>
  <c r="AF346" i="2"/>
  <c r="AE346" i="2"/>
  <c r="AC346" i="2"/>
  <c r="E65" i="2"/>
  <c r="E246" i="2" s="1"/>
  <c r="D58" i="2"/>
  <c r="D66" i="2" s="1"/>
  <c r="D247" i="2" s="1"/>
  <c r="F327" i="2" s="1"/>
  <c r="H57" i="2"/>
  <c r="G58" i="2"/>
  <c r="S149" i="2"/>
  <c r="F142" i="2"/>
  <c r="G144" i="2"/>
  <c r="G141" i="2"/>
  <c r="C142" i="2"/>
  <c r="R150" i="2" s="1"/>
  <c r="AL349" i="2"/>
  <c r="V349" i="2"/>
  <c r="F349" i="2"/>
  <c r="AM349" i="2"/>
  <c r="U349" i="2"/>
  <c r="D349" i="2"/>
  <c r="AK349" i="2"/>
  <c r="T349" i="2"/>
  <c r="C349" i="2"/>
  <c r="AI349" i="2"/>
  <c r="R349" i="2"/>
  <c r="AH349" i="2"/>
  <c r="Q349" i="2"/>
  <c r="J309" i="2"/>
  <c r="AG349" i="2"/>
  <c r="P349" i="2"/>
  <c r="AP349" i="2"/>
  <c r="N349" i="2"/>
  <c r="AO349" i="2"/>
  <c r="M349" i="2"/>
  <c r="AJ349" i="2"/>
  <c r="K349" i="2"/>
  <c r="AC349" i="2"/>
  <c r="G349" i="2"/>
  <c r="W349" i="2"/>
  <c r="R309" i="2"/>
  <c r="O349" i="2"/>
  <c r="L349" i="2"/>
  <c r="N309" i="2"/>
  <c r="J349" i="2"/>
  <c r="M309" i="2"/>
  <c r="H349" i="2"/>
  <c r="E309" i="2"/>
  <c r="E349" i="2"/>
  <c r="D309" i="2"/>
  <c r="B309" i="2"/>
  <c r="AB349" i="2"/>
  <c r="C309" i="2"/>
  <c r="H309" i="2" s="1"/>
  <c r="AN349" i="2"/>
  <c r="Z349" i="2"/>
  <c r="S309" i="2"/>
  <c r="G309" i="2"/>
  <c r="AF349" i="2"/>
  <c r="Y349" i="2"/>
  <c r="CF309" i="2"/>
  <c r="L309" i="2"/>
  <c r="K309" i="2"/>
  <c r="O309" i="2" s="1"/>
  <c r="AA349" i="2"/>
  <c r="AE349" i="2"/>
  <c r="AD349" i="2"/>
  <c r="X349" i="2"/>
  <c r="S349" i="2"/>
  <c r="I349" i="2"/>
  <c r="F309" i="2"/>
  <c r="B349" i="2"/>
  <c r="N42" i="2"/>
  <c r="P42" i="2" s="1"/>
  <c r="D286" i="2" s="1"/>
  <c r="F286" i="2" s="1"/>
  <c r="G286" i="2" s="1"/>
  <c r="C326" i="2" s="1"/>
  <c r="Q42" i="2"/>
  <c r="D287" i="2" s="1"/>
  <c r="F287" i="2" s="1"/>
  <c r="G287" i="2" s="1"/>
  <c r="C327" i="2" s="1"/>
  <c r="M42" i="2"/>
  <c r="O42" i="2" s="1"/>
  <c r="D285" i="2" s="1"/>
  <c r="F285" i="2" s="1"/>
  <c r="G42" i="2"/>
  <c r="AL238" i="2"/>
  <c r="AL279" i="2" s="1"/>
  <c r="G231" i="2"/>
  <c r="AK239" i="2" s="1"/>
  <c r="AK280" i="2" s="1"/>
  <c r="S135" i="2"/>
  <c r="S260" i="2" s="1"/>
  <c r="U340" i="2" s="1"/>
  <c r="F128" i="2"/>
  <c r="R136" i="2" s="1"/>
  <c r="R261" i="2" s="1"/>
  <c r="AN347" i="2"/>
  <c r="X347" i="2"/>
  <c r="H347" i="2"/>
  <c r="AI347" i="2"/>
  <c r="R347" i="2"/>
  <c r="AH347" i="2"/>
  <c r="Q347" i="2"/>
  <c r="AF347" i="2"/>
  <c r="O347" i="2"/>
  <c r="AE347" i="2"/>
  <c r="N347" i="2"/>
  <c r="AD347" i="2"/>
  <c r="M347" i="2"/>
  <c r="W347" i="2"/>
  <c r="D307" i="2"/>
  <c r="V347" i="2"/>
  <c r="T347" i="2"/>
  <c r="AL347" i="2"/>
  <c r="G347" i="2"/>
  <c r="AJ347" i="2"/>
  <c r="E347" i="2"/>
  <c r="AG347" i="2"/>
  <c r="D347" i="2"/>
  <c r="N307" i="2"/>
  <c r="AC347" i="2"/>
  <c r="C347" i="2"/>
  <c r="M307" i="2"/>
  <c r="J347" i="2"/>
  <c r="I347" i="2"/>
  <c r="AP347" i="2"/>
  <c r="B347" i="2"/>
  <c r="L307" i="2"/>
  <c r="R307" i="2" s="1"/>
  <c r="AO347" i="2"/>
  <c r="K307" i="2"/>
  <c r="O307" i="2" s="1"/>
  <c r="Z347" i="2"/>
  <c r="S347" i="2"/>
  <c r="F307" i="2"/>
  <c r="P347" i="2"/>
  <c r="E307" i="2"/>
  <c r="K347" i="2"/>
  <c r="B307" i="2"/>
  <c r="F347" i="2"/>
  <c r="AK347" i="2"/>
  <c r="U347" i="2"/>
  <c r="CF307" i="2"/>
  <c r="AM347" i="2"/>
  <c r="AB347" i="2"/>
  <c r="AA347" i="2"/>
  <c r="Y347" i="2"/>
  <c r="J307" i="2"/>
  <c r="L347" i="2"/>
  <c r="C307" i="2"/>
  <c r="H307" i="2" s="1"/>
  <c r="G307" i="2"/>
  <c r="P44" i="2"/>
  <c r="G44" i="2"/>
  <c r="M291" i="2" s="1"/>
  <c r="AP331" i="2" s="1"/>
  <c r="Q44" i="2"/>
  <c r="N44" i="2"/>
  <c r="M44" i="2"/>
  <c r="O44" i="2" s="1"/>
  <c r="D291" i="2" s="1"/>
  <c r="F291" i="2" s="1"/>
  <c r="G291" i="2" s="1"/>
  <c r="C331" i="2" s="1"/>
  <c r="AC329" i="2"/>
  <c r="AE329" i="2"/>
  <c r="N329" i="2"/>
  <c r="AK329" i="2"/>
  <c r="S329" i="2"/>
  <c r="AI329" i="2"/>
  <c r="Q329" i="2"/>
  <c r="AH329" i="2"/>
  <c r="P329" i="2"/>
  <c r="AG329" i="2"/>
  <c r="O329" i="2"/>
  <c r="M289" i="2"/>
  <c r="AM329" i="2"/>
  <c r="AL329" i="2"/>
  <c r="AF329" i="2"/>
  <c r="AD329" i="2"/>
  <c r="X329" i="2"/>
  <c r="B329" i="2"/>
  <c r="W329" i="2"/>
  <c r="V329" i="2"/>
  <c r="T329" i="2"/>
  <c r="R329" i="2"/>
  <c r="AO329" i="2"/>
  <c r="D329" i="2"/>
  <c r="J289" i="2"/>
  <c r="E289" i="2"/>
  <c r="C289" i="2"/>
  <c r="H289" i="2" s="1"/>
  <c r="AN329" i="2"/>
  <c r="AA329" i="2"/>
  <c r="Z329" i="2"/>
  <c r="Y329" i="2"/>
  <c r="U329" i="2"/>
  <c r="L289" i="2"/>
  <c r="R289" i="2" s="1"/>
  <c r="K289" i="2"/>
  <c r="O289" i="2" s="1"/>
  <c r="AP329" i="2"/>
  <c r="AJ329" i="2"/>
  <c r="AB329" i="2"/>
  <c r="B289" i="2"/>
  <c r="AG325" i="2"/>
  <c r="Q325" i="2"/>
  <c r="AO325" i="2"/>
  <c r="X325" i="2"/>
  <c r="G325" i="2"/>
  <c r="AK325" i="2"/>
  <c r="S325" i="2"/>
  <c r="AI325" i="2"/>
  <c r="P325" i="2"/>
  <c r="AH325" i="2"/>
  <c r="O325" i="2"/>
  <c r="AF325" i="2"/>
  <c r="N325" i="2"/>
  <c r="AD325" i="2"/>
  <c r="AC325" i="2"/>
  <c r="F325" i="2"/>
  <c r="AA325" i="2"/>
  <c r="D325" i="2"/>
  <c r="Z325" i="2"/>
  <c r="M285" i="2"/>
  <c r="L325" i="2"/>
  <c r="K325" i="2"/>
  <c r="AN325" i="2"/>
  <c r="S285" i="2"/>
  <c r="AM325" i="2"/>
  <c r="Y325" i="2"/>
  <c r="V325" i="2"/>
  <c r="T325" i="2"/>
  <c r="M325" i="2"/>
  <c r="L285" i="2"/>
  <c r="R295" i="2" s="1"/>
  <c r="J285" i="2"/>
  <c r="AP325" i="2"/>
  <c r="E285" i="2"/>
  <c r="AL325" i="2"/>
  <c r="U325" i="2"/>
  <c r="AE325" i="2"/>
  <c r="AB325" i="2"/>
  <c r="W325" i="2"/>
  <c r="K285" i="2"/>
  <c r="O285" i="2" s="1"/>
  <c r="R325" i="2"/>
  <c r="C285" i="2"/>
  <c r="H285" i="2" s="1"/>
  <c r="B285" i="2"/>
  <c r="AJ325" i="2"/>
  <c r="B325" i="2"/>
  <c r="AK353" i="2"/>
  <c r="U353" i="2"/>
  <c r="E353" i="2"/>
  <c r="AH353" i="2"/>
  <c r="R353" i="2"/>
  <c r="B353" i="2"/>
  <c r="AE353" i="2"/>
  <c r="M353" i="2"/>
  <c r="AD353" i="2"/>
  <c r="L353" i="2"/>
  <c r="AB353" i="2"/>
  <c r="J353" i="2"/>
  <c r="AA353" i="2"/>
  <c r="I353" i="2"/>
  <c r="S313" i="2"/>
  <c r="Z353" i="2"/>
  <c r="H353" i="2"/>
  <c r="AC353" i="2"/>
  <c r="Y353" i="2"/>
  <c r="W353" i="2"/>
  <c r="AP353" i="2"/>
  <c r="Q353" i="2"/>
  <c r="V353" i="2"/>
  <c r="S353" i="2"/>
  <c r="P353" i="2"/>
  <c r="N313" i="2"/>
  <c r="O353" i="2"/>
  <c r="M313" i="2"/>
  <c r="AF353" i="2"/>
  <c r="F313" i="2"/>
  <c r="X353" i="2"/>
  <c r="E313" i="2"/>
  <c r="N353" i="2"/>
  <c r="C313" i="2"/>
  <c r="H313" i="2" s="1"/>
  <c r="K353" i="2"/>
  <c r="B313" i="2"/>
  <c r="AO353" i="2"/>
  <c r="AI353" i="2"/>
  <c r="AG353" i="2"/>
  <c r="G353" i="2"/>
  <c r="F353" i="2"/>
  <c r="J313" i="2"/>
  <c r="CF313" i="2"/>
  <c r="L313" i="2"/>
  <c r="D313" i="2"/>
  <c r="G313" i="2"/>
  <c r="AN353" i="2"/>
  <c r="AM353" i="2"/>
  <c r="AL353" i="2"/>
  <c r="AJ353" i="2"/>
  <c r="T353" i="2"/>
  <c r="R313" i="2"/>
  <c r="D353" i="2"/>
  <c r="K313" i="2"/>
  <c r="O313" i="2" s="1"/>
  <c r="C353" i="2"/>
  <c r="O116" i="2"/>
  <c r="O255" i="2" s="1"/>
  <c r="D110" i="2"/>
  <c r="M118" i="2" s="1"/>
  <c r="M257" i="2" s="1"/>
  <c r="AB354" i="2"/>
  <c r="L354" i="2"/>
  <c r="AP354" i="2"/>
  <c r="Z354" i="2"/>
  <c r="AO354" i="2"/>
  <c r="Y354" i="2"/>
  <c r="I354" i="2"/>
  <c r="AC354" i="2"/>
  <c r="H354" i="2"/>
  <c r="AA354" i="2"/>
  <c r="G354" i="2"/>
  <c r="W354" i="2"/>
  <c r="E354" i="2"/>
  <c r="V354" i="2"/>
  <c r="D354" i="2"/>
  <c r="AN354" i="2"/>
  <c r="U354" i="2"/>
  <c r="C354" i="2"/>
  <c r="AM354" i="2"/>
  <c r="O354" i="2"/>
  <c r="N314" i="2"/>
  <c r="AL354" i="2"/>
  <c r="N354" i="2"/>
  <c r="AJ354" i="2"/>
  <c r="K354" i="2"/>
  <c r="AF354" i="2"/>
  <c r="R354" i="2"/>
  <c r="P354" i="2"/>
  <c r="M354" i="2"/>
  <c r="J354" i="2"/>
  <c r="M314" i="2"/>
  <c r="AG354" i="2"/>
  <c r="K314" i="2"/>
  <c r="O314" i="2" s="1"/>
  <c r="AE354" i="2"/>
  <c r="J314" i="2"/>
  <c r="X354" i="2"/>
  <c r="G314" i="2"/>
  <c r="T354" i="2"/>
  <c r="F314" i="2"/>
  <c r="E314" i="2"/>
  <c r="C314" i="2"/>
  <c r="H314" i="2" s="1"/>
  <c r="AK354" i="2"/>
  <c r="B314" i="2"/>
  <c r="Q354" i="2"/>
  <c r="L314" i="2"/>
  <c r="R314" i="2" s="1"/>
  <c r="AH354" i="2"/>
  <c r="B354" i="2"/>
  <c r="S354" i="2"/>
  <c r="F354" i="2"/>
  <c r="AI354" i="2"/>
  <c r="AD354" i="2"/>
  <c r="D314" i="2"/>
  <c r="CF314" i="2"/>
  <c r="AB333" i="2"/>
  <c r="Z333" i="2"/>
  <c r="J333" i="2"/>
  <c r="AO333" i="2"/>
  <c r="Y333" i="2"/>
  <c r="AN333" i="2"/>
  <c r="X333" i="2"/>
  <c r="AL333" i="2"/>
  <c r="R333" i="2"/>
  <c r="AI333" i="2"/>
  <c r="W333" i="2"/>
  <c r="M293" i="2"/>
  <c r="AP333" i="2" s="1"/>
  <c r="U333" i="2"/>
  <c r="K293" i="2"/>
  <c r="O293" i="2" s="1"/>
  <c r="T333" i="2"/>
  <c r="J293" i="2"/>
  <c r="S333" i="2"/>
  <c r="P333" i="2"/>
  <c r="AM333" i="2"/>
  <c r="G333" i="2"/>
  <c r="AF333" i="2"/>
  <c r="B333" i="2"/>
  <c r="AC333" i="2"/>
  <c r="AA333" i="2"/>
  <c r="Q333" i="2"/>
  <c r="M333" i="2"/>
  <c r="AE333" i="2"/>
  <c r="V333" i="2"/>
  <c r="E333" i="2"/>
  <c r="C293" i="2"/>
  <c r="H293" i="2" s="1"/>
  <c r="AG333" i="2"/>
  <c r="E293" i="2"/>
  <c r="AD333" i="2"/>
  <c r="D293" i="2"/>
  <c r="F293" i="2" s="1"/>
  <c r="F333" i="2"/>
  <c r="B293" i="2"/>
  <c r="D333" i="2"/>
  <c r="AK333" i="2"/>
  <c r="AH333" i="2"/>
  <c r="L293" i="2"/>
  <c r="G293" i="2" s="1"/>
  <c r="C333" i="2" s="1"/>
  <c r="AJ333" i="2"/>
  <c r="D64" i="2"/>
  <c r="D245" i="2" s="1"/>
  <c r="F57" i="2"/>
  <c r="G56" i="2"/>
  <c r="G59" i="2"/>
  <c r="C57" i="2"/>
  <c r="C65" i="2" s="1"/>
  <c r="C246" i="2" s="1"/>
  <c r="E326" i="2" s="1"/>
  <c r="Q51" i="2"/>
  <c r="P51" i="2"/>
  <c r="O51" i="2"/>
  <c r="N51" i="2"/>
  <c r="M51" i="2"/>
  <c r="G51" i="2"/>
  <c r="AK332" i="2"/>
  <c r="U332" i="2"/>
  <c r="E332" i="2"/>
  <c r="AI332" i="2"/>
  <c r="AH332" i="2"/>
  <c r="R332" i="2"/>
  <c r="AG332" i="2"/>
  <c r="Q332" i="2"/>
  <c r="AM332" i="2"/>
  <c r="B292" i="2"/>
  <c r="AF332" i="2"/>
  <c r="S332" i="2"/>
  <c r="AN332" i="2"/>
  <c r="L292" i="2"/>
  <c r="S292" i="2" s="1"/>
  <c r="AL332" i="2"/>
  <c r="K292" i="2"/>
  <c r="O292" i="2" s="1"/>
  <c r="AJ332" i="2"/>
  <c r="J292" i="2"/>
  <c r="Z332" i="2"/>
  <c r="Y332" i="2"/>
  <c r="W332" i="2"/>
  <c r="V332" i="2"/>
  <c r="T332" i="2"/>
  <c r="C292" i="2"/>
  <c r="H292" i="2" s="1"/>
  <c r="G332" i="2"/>
  <c r="AO332" i="2"/>
  <c r="AD332" i="2"/>
  <c r="X332" i="2"/>
  <c r="AE332" i="2"/>
  <c r="M292" i="2"/>
  <c r="AP332" i="2" s="1"/>
  <c r="E292" i="2"/>
  <c r="D292" i="2"/>
  <c r="F292" i="2" s="1"/>
  <c r="AA332" i="2"/>
  <c r="F332" i="2"/>
  <c r="D332" i="2"/>
  <c r="AC332" i="2"/>
  <c r="AB332" i="2"/>
  <c r="AJ330" i="2"/>
  <c r="T330" i="2"/>
  <c r="D330" i="2"/>
  <c r="AI330" i="2"/>
  <c r="AP330" i="2"/>
  <c r="X330" i="2"/>
  <c r="G330" i="2"/>
  <c r="AM330" i="2"/>
  <c r="U330" i="2"/>
  <c r="AG330" i="2"/>
  <c r="N330" i="2"/>
  <c r="AE330" i="2"/>
  <c r="AD330" i="2"/>
  <c r="M290" i="2"/>
  <c r="AC330" i="2"/>
  <c r="J330" i="2"/>
  <c r="L290" i="2"/>
  <c r="S290" i="2" s="1"/>
  <c r="V330" i="2"/>
  <c r="S330" i="2"/>
  <c r="C290" i="2"/>
  <c r="H290" i="2" s="1"/>
  <c r="Q330" i="2"/>
  <c r="P330" i="2"/>
  <c r="AH330" i="2"/>
  <c r="R330" i="2"/>
  <c r="J290" i="2"/>
  <c r="O330" i="2"/>
  <c r="E290" i="2"/>
  <c r="B290" i="2"/>
  <c r="AK330" i="2"/>
  <c r="Z330" i="2"/>
  <c r="W330" i="2"/>
  <c r="R290" i="2"/>
  <c r="AO330" i="2"/>
  <c r="AN330" i="2"/>
  <c r="Y330" i="2"/>
  <c r="AL330" i="2"/>
  <c r="AF330" i="2"/>
  <c r="K290" i="2"/>
  <c r="O290" i="2" s="1"/>
  <c r="AB330" i="2"/>
  <c r="AA330" i="2"/>
  <c r="M330" i="2"/>
  <c r="F75" i="2"/>
  <c r="H73" i="2"/>
  <c r="C75" i="2"/>
  <c r="F83" i="2" s="1"/>
  <c r="H81" i="2"/>
  <c r="T151" i="2"/>
  <c r="T262" i="2" s="1"/>
  <c r="V342" i="2" s="1"/>
  <c r="H146" i="2"/>
  <c r="W154" i="2" s="1"/>
  <c r="W265" i="2" s="1"/>
  <c r="Y345" i="2" s="1"/>
  <c r="Z344" i="2"/>
  <c r="J344" i="2"/>
  <c r="AO344" i="2"/>
  <c r="I344" i="2"/>
  <c r="AM344" i="2"/>
  <c r="G344" i="2"/>
  <c r="AL344" i="2"/>
  <c r="F344" i="2"/>
  <c r="AK344" i="2"/>
  <c r="U344" i="2"/>
  <c r="E344" i="2"/>
  <c r="AB344" i="2"/>
  <c r="B344" i="2"/>
  <c r="K304" i="2"/>
  <c r="O304" i="2" s="1"/>
  <c r="AA344" i="2"/>
  <c r="N344" i="2"/>
  <c r="B304" i="2"/>
  <c r="AJ344" i="2"/>
  <c r="L344" i="2"/>
  <c r="AI344" i="2"/>
  <c r="K344" i="2"/>
  <c r="R304" i="2"/>
  <c r="AH344" i="2"/>
  <c r="H344" i="2"/>
  <c r="P344" i="2"/>
  <c r="D304" i="2"/>
  <c r="O344" i="2"/>
  <c r="C304" i="2"/>
  <c r="H304" i="2" s="1"/>
  <c r="D344" i="2"/>
  <c r="AE344" i="2"/>
  <c r="AC344" i="2"/>
  <c r="X344" i="2"/>
  <c r="R344" i="2"/>
  <c r="Q344" i="2"/>
  <c r="M304" i="2"/>
  <c r="AP344" i="2" s="1"/>
  <c r="M344" i="2"/>
  <c r="E304" i="2"/>
  <c r="F304" i="2" s="1"/>
  <c r="G304" i="2" s="1"/>
  <c r="C344" i="2" s="1"/>
  <c r="AN344" i="2"/>
  <c r="AG344" i="2"/>
  <c r="AF344" i="2"/>
  <c r="J304" i="2"/>
  <c r="AD344" i="2"/>
  <c r="S344" i="2"/>
  <c r="L304" i="2"/>
  <c r="F111" i="2"/>
  <c r="O119" i="2" s="1"/>
  <c r="O258" i="2" s="1"/>
  <c r="P118" i="2"/>
  <c r="P257" i="2" s="1"/>
  <c r="N47" i="2"/>
  <c r="P47" i="2" s="1"/>
  <c r="D301" i="2" s="1"/>
  <c r="F301" i="2" s="1"/>
  <c r="G301" i="2" s="1"/>
  <c r="C341" i="2" s="1"/>
  <c r="M47" i="2"/>
  <c r="O47" i="2" s="1"/>
  <c r="D300" i="2" s="1"/>
  <c r="F300" i="2" s="1"/>
  <c r="Q47" i="2"/>
  <c r="D302" i="2" s="1"/>
  <c r="F302" i="2" s="1"/>
  <c r="G47" i="2"/>
  <c r="M300" i="2" s="1"/>
  <c r="AP340" i="2" s="1"/>
  <c r="AN337" i="2"/>
  <c r="X337" i="2"/>
  <c r="H337" i="2"/>
  <c r="AL337" i="2"/>
  <c r="F337" i="2"/>
  <c r="AK337" i="2"/>
  <c r="U337" i="2"/>
  <c r="E337" i="2"/>
  <c r="AJ337" i="2"/>
  <c r="D337" i="2"/>
  <c r="Z337" i="2"/>
  <c r="B337" i="2"/>
  <c r="AE337" i="2"/>
  <c r="I337" i="2"/>
  <c r="J297" i="2"/>
  <c r="AC337" i="2"/>
  <c r="AB337" i="2"/>
  <c r="E297" i="2"/>
  <c r="AA337" i="2"/>
  <c r="O337" i="2"/>
  <c r="L337" i="2"/>
  <c r="AO337" i="2"/>
  <c r="K337" i="2"/>
  <c r="L297" i="2"/>
  <c r="S297" i="2" s="1"/>
  <c r="AF337" i="2"/>
  <c r="B297" i="2"/>
  <c r="AM337" i="2"/>
  <c r="AI337" i="2"/>
  <c r="W337" i="2"/>
  <c r="G337" i="2"/>
  <c r="AG337" i="2"/>
  <c r="AH337" i="2"/>
  <c r="AD337" i="2"/>
  <c r="Y337" i="2"/>
  <c r="R337" i="2"/>
  <c r="J337" i="2"/>
  <c r="K297" i="2"/>
  <c r="O297" i="2" s="1"/>
  <c r="C297" i="2"/>
  <c r="H297" i="2" s="1"/>
  <c r="M337" i="2"/>
  <c r="AD352" i="2"/>
  <c r="AA352" i="2"/>
  <c r="K352" i="2"/>
  <c r="AJ352" i="2"/>
  <c r="R352" i="2"/>
  <c r="AI352" i="2"/>
  <c r="Q352" i="2"/>
  <c r="AG352" i="2"/>
  <c r="O352" i="2"/>
  <c r="AF352" i="2"/>
  <c r="N352" i="2"/>
  <c r="CF312" i="2"/>
  <c r="C312" i="2"/>
  <c r="H312" i="2" s="1"/>
  <c r="AE352" i="2"/>
  <c r="M352" i="2"/>
  <c r="AP352" i="2"/>
  <c r="S352" i="2"/>
  <c r="AO352" i="2"/>
  <c r="P352" i="2"/>
  <c r="AM352" i="2"/>
  <c r="J352" i="2"/>
  <c r="AC352" i="2"/>
  <c r="F352" i="2"/>
  <c r="Z352" i="2"/>
  <c r="S312" i="2"/>
  <c r="X352" i="2"/>
  <c r="W352" i="2"/>
  <c r="N312" i="2"/>
  <c r="V352" i="2"/>
  <c r="M312" i="2"/>
  <c r="T352" i="2"/>
  <c r="L352" i="2"/>
  <c r="H352" i="2"/>
  <c r="G352" i="2"/>
  <c r="AN352" i="2"/>
  <c r="C352" i="2"/>
  <c r="K312" i="2"/>
  <c r="O312" i="2" s="1"/>
  <c r="B352" i="2"/>
  <c r="J312" i="2"/>
  <c r="G312" i="2"/>
  <c r="F312" i="2"/>
  <c r="AH352" i="2"/>
  <c r="AL352" i="2"/>
  <c r="AB352" i="2"/>
  <c r="U352" i="2"/>
  <c r="L312" i="2"/>
  <c r="R312" i="2" s="1"/>
  <c r="AK352" i="2"/>
  <c r="B312" i="2"/>
  <c r="Y352" i="2"/>
  <c r="E312" i="2"/>
  <c r="I352" i="2"/>
  <c r="D312" i="2"/>
  <c r="E352" i="2"/>
  <c r="D352" i="2"/>
  <c r="G77" i="2"/>
  <c r="J85" i="2" s="1"/>
  <c r="J252" i="2" s="1"/>
  <c r="L332" i="2" s="1"/>
  <c r="G74" i="2"/>
  <c r="G82" i="2"/>
  <c r="N115" i="2"/>
  <c r="C109" i="2"/>
  <c r="L117" i="2" s="1"/>
  <c r="H107" i="2"/>
  <c r="F109" i="2"/>
  <c r="H82" i="2"/>
  <c r="G75" i="2"/>
  <c r="D75" i="2"/>
  <c r="G83" i="2" s="1"/>
  <c r="H74" i="2"/>
  <c r="V150" i="2"/>
  <c r="V261" i="2" s="1"/>
  <c r="X341" i="2" s="1"/>
  <c r="D145" i="2"/>
  <c r="S153" i="2" s="1"/>
  <c r="S264" i="2" s="1"/>
  <c r="AL602" i="6" l="1"/>
  <c r="AL586" i="6"/>
  <c r="AL606" i="6"/>
  <c r="AL589" i="6"/>
  <c r="AL605" i="6"/>
  <c r="AL588" i="6"/>
  <c r="AL594" i="6"/>
  <c r="AL610" i="6"/>
  <c r="AL591" i="6"/>
  <c r="AL597" i="6"/>
  <c r="AL596" i="6"/>
  <c r="AL608" i="6"/>
  <c r="AL584" i="6"/>
  <c r="AL604" i="6"/>
  <c r="AL582" i="6"/>
  <c r="AL580" i="6"/>
  <c r="AL601" i="6"/>
  <c r="AL600" i="6"/>
  <c r="AL598" i="6"/>
  <c r="AL603" i="6"/>
  <c r="AL595" i="6"/>
  <c r="AL592" i="6"/>
  <c r="AL590" i="6"/>
  <c r="AL587" i="6"/>
  <c r="AL607" i="6"/>
  <c r="AL599" i="6"/>
  <c r="AL593" i="6"/>
  <c r="AL585" i="6"/>
  <c r="AL581" i="6"/>
  <c r="AL579" i="6"/>
  <c r="AL578" i="6"/>
  <c r="AN578" i="6" s="1" a="1"/>
  <c r="AL609" i="6"/>
  <c r="AL583" i="6"/>
  <c r="AL601" i="5"/>
  <c r="AL585" i="5"/>
  <c r="AL598" i="5"/>
  <c r="AL581" i="5"/>
  <c r="AL600" i="5"/>
  <c r="AL582" i="5"/>
  <c r="AL599" i="5"/>
  <c r="AL580" i="5"/>
  <c r="AL597" i="5"/>
  <c r="AL595" i="5"/>
  <c r="AL594" i="5"/>
  <c r="AL608" i="5"/>
  <c r="AL588" i="5"/>
  <c r="AL590" i="5"/>
  <c r="AL587" i="5"/>
  <c r="AL592" i="5"/>
  <c r="AL591" i="5"/>
  <c r="AL589" i="5"/>
  <c r="AL586" i="5"/>
  <c r="AL610" i="5"/>
  <c r="AL579" i="5"/>
  <c r="AL606" i="5"/>
  <c r="AL605" i="5"/>
  <c r="AL604" i="5"/>
  <c r="AL584" i="5"/>
  <c r="AL578" i="5"/>
  <c r="AL609" i="5"/>
  <c r="AL603" i="5"/>
  <c r="AL602" i="5"/>
  <c r="AL593" i="5"/>
  <c r="AL583" i="5"/>
  <c r="AL607" i="5"/>
  <c r="AL596" i="5"/>
  <c r="N183" i="4"/>
  <c r="N478" i="4" s="1"/>
  <c r="O552" i="4" s="1"/>
  <c r="D167" i="4"/>
  <c r="M184" i="4" s="1"/>
  <c r="M479" i="4" s="1"/>
  <c r="N553" i="4" s="1"/>
  <c r="AL578" i="4" a="1"/>
  <c r="N182" i="4"/>
  <c r="N477" i="4" s="1"/>
  <c r="O551" i="4" s="1"/>
  <c r="C167" i="4"/>
  <c r="L184" i="4" s="1"/>
  <c r="L479" i="4" s="1"/>
  <c r="M553" i="4" s="1"/>
  <c r="O183" i="4"/>
  <c r="O478" i="4" s="1"/>
  <c r="P552" i="4" s="1"/>
  <c r="D168" i="4"/>
  <c r="M185" i="4" s="1"/>
  <c r="M480" i="4" s="1"/>
  <c r="N554" i="4" s="1"/>
  <c r="BU246" i="2"/>
  <c r="BE246" i="2"/>
  <c r="BY246" i="2"/>
  <c r="BH246" i="2"/>
  <c r="BT246" i="2"/>
  <c r="AY246" i="2"/>
  <c r="CA246" i="2"/>
  <c r="CE286" i="2"/>
  <c r="BD246" i="2"/>
  <c r="BX246" i="2"/>
  <c r="BB246" i="2"/>
  <c r="BW246" i="2"/>
  <c r="BV246" i="2"/>
  <c r="AZ246" i="2"/>
  <c r="BN246" i="2"/>
  <c r="CC246" i="2"/>
  <c r="CB246" i="2"/>
  <c r="BS246" i="2"/>
  <c r="BR246" i="2"/>
  <c r="BM246" i="2"/>
  <c r="CE246" i="2"/>
  <c r="AV282" i="2" s="1"/>
  <c r="CD246" i="2"/>
  <c r="BQ246" i="2"/>
  <c r="BO246" i="2"/>
  <c r="BL246" i="2"/>
  <c r="BK246" i="2"/>
  <c r="BJ246" i="2"/>
  <c r="AW246" i="2"/>
  <c r="AV246" i="2"/>
  <c r="CE318" i="2"/>
  <c r="CB283" i="2" s="1"/>
  <c r="BX278" i="2"/>
  <c r="BH278" i="2"/>
  <c r="BT278" i="2"/>
  <c r="BR278" i="2"/>
  <c r="AZ278" i="2"/>
  <c r="BQ278" i="2"/>
  <c r="AY278" i="2"/>
  <c r="BO278" i="2"/>
  <c r="AW278" i="2"/>
  <c r="BN278" i="2"/>
  <c r="AV278" i="2"/>
  <c r="CC278" i="2"/>
  <c r="BY278" i="2"/>
  <c r="BA278" i="2"/>
  <c r="BS278" i="2"/>
  <c r="BE278" i="2"/>
  <c r="AU278" i="2"/>
  <c r="CE278" i="2"/>
  <c r="CB282" i="2" s="1"/>
  <c r="CD278" i="2"/>
  <c r="CA278" i="2"/>
  <c r="CB278" i="2"/>
  <c r="BW278" i="2"/>
  <c r="BV278" i="2"/>
  <c r="BU278" i="2"/>
  <c r="BM278" i="2"/>
  <c r="BW271" i="2"/>
  <c r="BG271" i="2"/>
  <c r="CE311" i="2"/>
  <c r="BU283" i="2" s="1"/>
  <c r="BY271" i="2"/>
  <c r="BH271" i="2"/>
  <c r="BV271" i="2"/>
  <c r="BE271" i="2"/>
  <c r="BU271" i="2"/>
  <c r="CA271" i="2"/>
  <c r="BA271" i="2"/>
  <c r="BR271" i="2"/>
  <c r="AW271" i="2"/>
  <c r="BN271" i="2"/>
  <c r="BP271" i="2"/>
  <c r="BO271" i="2"/>
  <c r="BM271" i="2"/>
  <c r="BL271" i="2"/>
  <c r="CD271" i="2"/>
  <c r="AZ271" i="2"/>
  <c r="AY271" i="2"/>
  <c r="AV271" i="2"/>
  <c r="CE271" i="2"/>
  <c r="BU282" i="2" s="1"/>
  <c r="BT271" i="2"/>
  <c r="BS271" i="2"/>
  <c r="BQ271" i="2"/>
  <c r="BF271" i="2"/>
  <c r="BC271" i="2"/>
  <c r="CC271" i="2"/>
  <c r="CB271" i="2"/>
  <c r="BX271" i="2"/>
  <c r="CE298" i="2"/>
  <c r="BY258" i="2"/>
  <c r="CE258" i="2"/>
  <c r="BH282" i="2" s="1"/>
  <c r="BN258" i="2"/>
  <c r="AW258" i="2"/>
  <c r="CA258" i="2"/>
  <c r="BV258" i="2"/>
  <c r="BE258" i="2"/>
  <c r="CD258" i="2"/>
  <c r="BH258" i="2"/>
  <c r="CC258" i="2"/>
  <c r="CB258" i="2"/>
  <c r="BS258" i="2"/>
  <c r="AY258" i="2"/>
  <c r="BX258" i="2"/>
  <c r="BW258" i="2"/>
  <c r="BU258" i="2"/>
  <c r="BT258" i="2"/>
  <c r="BP258" i="2"/>
  <c r="BR258" i="2"/>
  <c r="BQ258" i="2"/>
  <c r="BO258" i="2"/>
  <c r="BM258" i="2"/>
  <c r="AV258" i="2"/>
  <c r="AZ258" i="2"/>
  <c r="CE314" i="2"/>
  <c r="BX283" i="2" s="1"/>
  <c r="CB274" i="2"/>
  <c r="AV274" i="2"/>
  <c r="BW274" i="2"/>
  <c r="BF274" i="2"/>
  <c r="BV274" i="2"/>
  <c r="BE274" i="2"/>
  <c r="BT274" i="2"/>
  <c r="BS274" i="2"/>
  <c r="BX274" i="2"/>
  <c r="AY274" i="2"/>
  <c r="BR274" i="2"/>
  <c r="BQ274" i="2"/>
  <c r="BN274" i="2"/>
  <c r="BM274" i="2"/>
  <c r="CE274" i="2"/>
  <c r="BX282" i="2" s="1"/>
  <c r="BD274" i="2"/>
  <c r="AU274" i="2"/>
  <c r="CD274" i="2"/>
  <c r="CC274" i="2"/>
  <c r="CA274" i="2"/>
  <c r="BY274" i="2"/>
  <c r="BA274" i="2"/>
  <c r="AZ274" i="2"/>
  <c r="AW274" i="2"/>
  <c r="BU274" i="2"/>
  <c r="BH274" i="2"/>
  <c r="CE315" i="2"/>
  <c r="BY283" i="2" s="1"/>
  <c r="BS275" i="2"/>
  <c r="BQ275" i="2"/>
  <c r="AZ275" i="2"/>
  <c r="AY275" i="2"/>
  <c r="CE275" i="2"/>
  <c r="BY282" i="2" s="1"/>
  <c r="BN275" i="2"/>
  <c r="AW275" i="2"/>
  <c r="CD275" i="2"/>
  <c r="BM275" i="2"/>
  <c r="AV275" i="2"/>
  <c r="CA275" i="2"/>
  <c r="BF275" i="2"/>
  <c r="BW275" i="2"/>
  <c r="BA275" i="2"/>
  <c r="BR275" i="2"/>
  <c r="BH275" i="2"/>
  <c r="BE275" i="2"/>
  <c r="CC275" i="2"/>
  <c r="CB275" i="2"/>
  <c r="BU275" i="2"/>
  <c r="BY275" i="2"/>
  <c r="BX275" i="2"/>
  <c r="BV275" i="2"/>
  <c r="BT275" i="2"/>
  <c r="BK275" i="2"/>
  <c r="BJ275" i="2"/>
  <c r="CE307" i="2"/>
  <c r="BQ283" i="2" s="1"/>
  <c r="CA267" i="2"/>
  <c r="BT267" i="2"/>
  <c r="BS267" i="2"/>
  <c r="BP267" i="2"/>
  <c r="AY267" i="2"/>
  <c r="BF267" i="2"/>
  <c r="BV267" i="2"/>
  <c r="AZ267" i="2"/>
  <c r="CD267" i="2"/>
  <c r="BE267" i="2"/>
  <c r="CC267" i="2"/>
  <c r="CB267" i="2"/>
  <c r="BA267" i="2"/>
  <c r="BY267" i="2"/>
  <c r="BX267" i="2"/>
  <c r="AW267" i="2"/>
  <c r="BN267" i="2"/>
  <c r="BH267" i="2"/>
  <c r="AV267" i="2"/>
  <c r="CE267" i="2"/>
  <c r="BQ282" i="2" s="1"/>
  <c r="BR267" i="2"/>
  <c r="BW267" i="2"/>
  <c r="BU267" i="2"/>
  <c r="BQ267" i="2"/>
  <c r="BM267" i="2"/>
  <c r="AZ270" i="2"/>
  <c r="BQ270" i="2"/>
  <c r="AY270" i="2"/>
  <c r="CE310" i="2"/>
  <c r="BT283" i="2" s="1"/>
  <c r="BO270" i="2"/>
  <c r="CD270" i="2"/>
  <c r="BM270" i="2"/>
  <c r="AV270" i="2"/>
  <c r="CC270" i="2"/>
  <c r="BW270" i="2"/>
  <c r="BS270" i="2"/>
  <c r="CB270" i="2"/>
  <c r="BD270" i="2"/>
  <c r="CA270" i="2"/>
  <c r="BC270" i="2"/>
  <c r="BY270" i="2"/>
  <c r="AW270" i="2"/>
  <c r="BX270" i="2"/>
  <c r="BN270" i="2"/>
  <c r="BU270" i="2"/>
  <c r="CE270" i="2"/>
  <c r="BT282" i="2" s="1"/>
  <c r="BV270" i="2"/>
  <c r="BT270" i="2"/>
  <c r="BR270" i="2"/>
  <c r="BH270" i="2"/>
  <c r="BE270" i="2"/>
  <c r="BF270" i="2"/>
  <c r="BG270" i="2"/>
  <c r="BT255" i="2"/>
  <c r="BQ255" i="2"/>
  <c r="AZ255" i="2"/>
  <c r="CD255" i="2"/>
  <c r="BM255" i="2"/>
  <c r="AV255" i="2"/>
  <c r="BY255" i="2"/>
  <c r="BX255" i="2"/>
  <c r="BC255" i="2"/>
  <c r="BW255" i="2"/>
  <c r="BB255" i="2"/>
  <c r="BV255" i="2"/>
  <c r="BU255" i="2"/>
  <c r="AY255" i="2"/>
  <c r="BN255" i="2"/>
  <c r="BH255" i="2"/>
  <c r="AX255" i="2"/>
  <c r="AW255" i="2"/>
  <c r="AU255" i="2"/>
  <c r="CB255" i="2"/>
  <c r="BS255" i="2"/>
  <c r="CE255" i="2"/>
  <c r="BE282" i="2" s="1"/>
  <c r="BR255" i="2"/>
  <c r="CC255" i="2"/>
  <c r="CA255" i="2"/>
  <c r="CD272" i="2"/>
  <c r="BN272" i="2"/>
  <c r="BS272" i="2"/>
  <c r="BR272" i="2"/>
  <c r="BA272" i="2"/>
  <c r="BP272" i="2"/>
  <c r="AY272" i="2"/>
  <c r="BO272" i="2"/>
  <c r="AW272" i="2"/>
  <c r="CE272" i="2"/>
  <c r="BV282" i="2" s="1"/>
  <c r="BE272" i="2"/>
  <c r="BV272" i="2"/>
  <c r="AV272" i="2"/>
  <c r="BH272" i="2"/>
  <c r="CE312" i="2"/>
  <c r="BV283" i="2" s="1"/>
  <c r="BF272" i="2"/>
  <c r="CC272" i="2"/>
  <c r="BD272" i="2"/>
  <c r="CB272" i="2"/>
  <c r="BC272" i="2"/>
  <c r="BU272" i="2"/>
  <c r="AZ272" i="2"/>
  <c r="CA272" i="2"/>
  <c r="BY272" i="2"/>
  <c r="BX272" i="2"/>
  <c r="BW272" i="2"/>
  <c r="BM272" i="2"/>
  <c r="BT272" i="2"/>
  <c r="BQ272" i="2"/>
  <c r="G300" i="2"/>
  <c r="C340" i="2" s="1"/>
  <c r="BJ249" i="2"/>
  <c r="BV249" i="2"/>
  <c r="BE249" i="2"/>
  <c r="BR249" i="2"/>
  <c r="CE249" i="2"/>
  <c r="AY282" i="2" s="1"/>
  <c r="BN249" i="2"/>
  <c r="CD249" i="2"/>
  <c r="CC249" i="2"/>
  <c r="BH249" i="2"/>
  <c r="CB249" i="2"/>
  <c r="BG249" i="2"/>
  <c r="BU249" i="2"/>
  <c r="BM249" i="2"/>
  <c r="BF249" i="2"/>
  <c r="BT249" i="2"/>
  <c r="BS249" i="2"/>
  <c r="BQ249" i="2"/>
  <c r="AY249" i="2"/>
  <c r="AX249" i="2"/>
  <c r="AV249" i="2"/>
  <c r="AU249" i="2"/>
  <c r="CA249" i="2"/>
  <c r="BY249" i="2"/>
  <c r="BX249" i="2"/>
  <c r="BW249" i="2"/>
  <c r="BV264" i="2"/>
  <c r="BF264" i="2"/>
  <c r="BU264" i="2"/>
  <c r="BQ264" i="2"/>
  <c r="AZ264" i="2"/>
  <c r="BX264" i="2"/>
  <c r="BR264" i="2"/>
  <c r="AX264" i="2"/>
  <c r="BM264" i="2"/>
  <c r="BT264" i="2"/>
  <c r="AV264" i="2"/>
  <c r="BS264" i="2"/>
  <c r="BN264" i="2"/>
  <c r="CD264" i="2"/>
  <c r="BH264" i="2"/>
  <c r="CC264" i="2"/>
  <c r="CB264" i="2"/>
  <c r="CA264" i="2"/>
  <c r="CE304" i="2"/>
  <c r="BY264" i="2"/>
  <c r="BL264" i="2"/>
  <c r="CE264" i="2"/>
  <c r="BN282" i="2" s="1"/>
  <c r="BW264" i="2"/>
  <c r="BE264" i="2"/>
  <c r="BA264" i="2"/>
  <c r="AW264" i="2"/>
  <c r="AY264" i="2"/>
  <c r="CE313" i="2"/>
  <c r="BW283" i="2" s="1"/>
  <c r="BU273" i="2"/>
  <c r="BE273" i="2"/>
  <c r="CD273" i="2"/>
  <c r="BM273" i="2"/>
  <c r="AV273" i="2"/>
  <c r="CC273" i="2"/>
  <c r="CA273" i="2"/>
  <c r="BN273" i="2"/>
  <c r="CE273" i="2"/>
  <c r="BW282" i="2" s="1"/>
  <c r="BF273" i="2"/>
  <c r="BW273" i="2"/>
  <c r="BA273" i="2"/>
  <c r="BX273" i="2"/>
  <c r="AX273" i="2"/>
  <c r="BV273" i="2"/>
  <c r="AW273" i="2"/>
  <c r="BT273" i="2"/>
  <c r="BS273" i="2"/>
  <c r="BR273" i="2"/>
  <c r="BH273" i="2"/>
  <c r="CB273" i="2"/>
  <c r="BY273" i="2"/>
  <c r="BQ273" i="2"/>
  <c r="BC273" i="2"/>
  <c r="AZ273" i="2"/>
  <c r="AY273" i="2"/>
  <c r="S307" i="2"/>
  <c r="AQ520" i="2" s="1"/>
  <c r="S303" i="2"/>
  <c r="S298" i="2"/>
  <c r="S294" i="2"/>
  <c r="R291" i="2"/>
  <c r="F64" i="2"/>
  <c r="F245" i="2" s="1"/>
  <c r="H325" i="2" s="1"/>
  <c r="C59" i="2"/>
  <c r="C67" i="2" s="1"/>
  <c r="C248" i="2" s="1"/>
  <c r="E328" i="2" s="1"/>
  <c r="E128" i="2"/>
  <c r="Q136" i="2" s="1"/>
  <c r="Q261" i="2" s="1"/>
  <c r="S341" i="2" s="1"/>
  <c r="S134" i="2"/>
  <c r="S259" i="2" s="1"/>
  <c r="U339" i="2" s="1"/>
  <c r="F94" i="2"/>
  <c r="L102" i="2" s="1"/>
  <c r="L255" i="2" s="1"/>
  <c r="N335" i="2" s="1"/>
  <c r="M101" i="2"/>
  <c r="M254" i="2" s="1"/>
  <c r="O334" i="2" s="1"/>
  <c r="CE317" i="2"/>
  <c r="CA283" i="2" s="1"/>
  <c r="BQ277" i="2"/>
  <c r="BA277" i="2"/>
  <c r="CC277" i="2"/>
  <c r="BM277" i="2"/>
  <c r="AW277" i="2"/>
  <c r="BW277" i="2"/>
  <c r="BE277" i="2"/>
  <c r="BV277" i="2"/>
  <c r="BT277" i="2"/>
  <c r="BS277" i="2"/>
  <c r="AZ277" i="2"/>
  <c r="BX277" i="2"/>
  <c r="AV277" i="2"/>
  <c r="BY277" i="2"/>
  <c r="BU277" i="2"/>
  <c r="BR277" i="2"/>
  <c r="BP277" i="2"/>
  <c r="BN277" i="2"/>
  <c r="CE277" i="2"/>
  <c r="CA282" i="2" s="1"/>
  <c r="CD277" i="2"/>
  <c r="CB277" i="2"/>
  <c r="BH277" i="2"/>
  <c r="BF277" i="2"/>
  <c r="AY277" i="2"/>
  <c r="AX277" i="2"/>
  <c r="BL277" i="2"/>
  <c r="BK277" i="2"/>
  <c r="CA277" i="2"/>
  <c r="AQ487" i="2"/>
  <c r="AQ490" i="2"/>
  <c r="AQ485" i="2"/>
  <c r="AQ486" i="2"/>
  <c r="AQ489" i="2"/>
  <c r="C129" i="2"/>
  <c r="O137" i="2" s="1"/>
  <c r="O262" i="2" s="1"/>
  <c r="Q342" i="2" s="1"/>
  <c r="H127" i="2"/>
  <c r="T132" i="2"/>
  <c r="T257" i="2" s="1"/>
  <c r="V337" i="2" s="1"/>
  <c r="D111" i="2"/>
  <c r="M119" i="2" s="1"/>
  <c r="M258" i="2" s="1"/>
  <c r="O338" i="2" s="1"/>
  <c r="P116" i="2"/>
  <c r="P255" i="2" s="1"/>
  <c r="R335" i="2" s="1"/>
  <c r="C78" i="2"/>
  <c r="F86" i="2" s="1"/>
  <c r="F253" i="2" s="1"/>
  <c r="H333" i="2" s="1"/>
  <c r="H76" i="2"/>
  <c r="K81" i="2"/>
  <c r="K248" i="2" s="1"/>
  <c r="M328" i="2" s="1"/>
  <c r="D93" i="2"/>
  <c r="J101" i="2" s="1"/>
  <c r="J254" i="2" s="1"/>
  <c r="L334" i="2" s="1"/>
  <c r="L99" i="2"/>
  <c r="L252" i="2" s="1"/>
  <c r="N332" i="2" s="1"/>
  <c r="R299" i="2"/>
  <c r="BI255" i="2" s="1"/>
  <c r="T149" i="2"/>
  <c r="C143" i="2"/>
  <c r="R151" i="2" s="1"/>
  <c r="H141" i="2"/>
  <c r="F143" i="2"/>
  <c r="I83" i="2"/>
  <c r="I250" i="2" s="1"/>
  <c r="K330" i="2" s="1"/>
  <c r="E76" i="2"/>
  <c r="H84" i="2" s="1"/>
  <c r="H251" i="2" s="1"/>
  <c r="J331" i="2" s="1"/>
  <c r="G292" i="2"/>
  <c r="C332" i="2" s="1"/>
  <c r="S293" i="2"/>
  <c r="AQ519" i="2" s="1"/>
  <c r="V152" i="2"/>
  <c r="V263" i="2" s="1"/>
  <c r="X343" i="2" s="1"/>
  <c r="F145" i="2"/>
  <c r="U153" i="2" s="1"/>
  <c r="U264" i="2" s="1"/>
  <c r="W344" i="2" s="1"/>
  <c r="R306" i="2"/>
  <c r="BP278" i="2" s="1"/>
  <c r="U149" i="2"/>
  <c r="U260" i="2" s="1"/>
  <c r="W340" i="2" s="1"/>
  <c r="C144" i="2"/>
  <c r="R152" i="2" s="1"/>
  <c r="R263" i="2" s="1"/>
  <c r="T343" i="2" s="1"/>
  <c r="S133" i="2"/>
  <c r="S258" i="2" s="1"/>
  <c r="U338" i="2" s="1"/>
  <c r="D128" i="2"/>
  <c r="P136" i="2" s="1"/>
  <c r="P261" i="2" s="1"/>
  <c r="R341" i="2" s="1"/>
  <c r="B335" i="2"/>
  <c r="N99" i="2"/>
  <c r="N252" i="2" s="1"/>
  <c r="P332" i="2" s="1"/>
  <c r="H94" i="2"/>
  <c r="D95" i="2"/>
  <c r="J103" i="2" s="1"/>
  <c r="J256" i="2" s="1"/>
  <c r="L336" i="2" s="1"/>
  <c r="H142" i="2"/>
  <c r="T150" i="2"/>
  <c r="D143" i="2"/>
  <c r="S151" i="2" s="1"/>
  <c r="G143" i="2"/>
  <c r="S304" i="2"/>
  <c r="U150" i="2"/>
  <c r="U261" i="2" s="1"/>
  <c r="W341" i="2" s="1"/>
  <c r="D144" i="2"/>
  <c r="S152" i="2" s="1"/>
  <c r="S263" i="2" s="1"/>
  <c r="U343" i="2" s="1"/>
  <c r="G302" i="2"/>
  <c r="C342" i="2" s="1"/>
  <c r="D60" i="2"/>
  <c r="D68" i="2" s="1"/>
  <c r="D249" i="2" s="1"/>
  <c r="F329" i="2" s="1"/>
  <c r="G65" i="2"/>
  <c r="G246" i="2" s="1"/>
  <c r="I326" i="2" s="1"/>
  <c r="R301" i="2"/>
  <c r="BK263" i="2" s="1"/>
  <c r="I82" i="2"/>
  <c r="I249" i="2" s="1"/>
  <c r="K329" i="2" s="1"/>
  <c r="D76" i="2"/>
  <c r="G84" i="2" s="1"/>
  <c r="G251" i="2" s="1"/>
  <c r="I331" i="2" s="1"/>
  <c r="R316" i="2"/>
  <c r="O257" i="2"/>
  <c r="Q337" i="2" s="1"/>
  <c r="CE320" i="2"/>
  <c r="CD283" i="2" s="1"/>
  <c r="BV280" i="2"/>
  <c r="BR280" i="2"/>
  <c r="CC280" i="2"/>
  <c r="CB280" i="2"/>
  <c r="BH280" i="2"/>
  <c r="BY280" i="2"/>
  <c r="BG280" i="2"/>
  <c r="BW280" i="2"/>
  <c r="AY280" i="2"/>
  <c r="BQ280" i="2"/>
  <c r="BM280" i="2"/>
  <c r="BU280" i="2"/>
  <c r="BT280" i="2"/>
  <c r="BS280" i="2"/>
  <c r="BP280" i="2"/>
  <c r="BX280" i="2"/>
  <c r="BN280" i="2"/>
  <c r="BL280" i="2"/>
  <c r="BE280" i="2"/>
  <c r="BA280" i="2"/>
  <c r="AW280" i="2"/>
  <c r="AV280" i="2"/>
  <c r="CD280" i="2"/>
  <c r="CE280" i="2"/>
  <c r="CD282" i="2" s="1"/>
  <c r="AZ280" i="2"/>
  <c r="CA280" i="2"/>
  <c r="BC280" i="2"/>
  <c r="R294" i="2"/>
  <c r="BD280" i="2" s="1"/>
  <c r="J84" i="2"/>
  <c r="J251" i="2" s="1"/>
  <c r="L331" i="2" s="1"/>
  <c r="F77" i="2"/>
  <c r="I85" i="2" s="1"/>
  <c r="I252" i="2" s="1"/>
  <c r="K332" i="2" s="1"/>
  <c r="M99" i="2"/>
  <c r="M252" i="2" s="1"/>
  <c r="O332" i="2" s="1"/>
  <c r="D94" i="2"/>
  <c r="J102" i="2" s="1"/>
  <c r="J255" i="2" s="1"/>
  <c r="L335" i="2" s="1"/>
  <c r="O115" i="2"/>
  <c r="O254" i="2" s="1"/>
  <c r="Q334" i="2" s="1"/>
  <c r="C110" i="2"/>
  <c r="L118" i="2" s="1"/>
  <c r="L257" i="2" s="1"/>
  <c r="N337" i="2" s="1"/>
  <c r="T133" i="2"/>
  <c r="T258" i="2" s="1"/>
  <c r="V338" i="2" s="1"/>
  <c r="D129" i="2"/>
  <c r="P137" i="2" s="1"/>
  <c r="P262" i="2" s="1"/>
  <c r="R342" i="2" s="1"/>
  <c r="H128" i="2"/>
  <c r="D78" i="2"/>
  <c r="G86" i="2" s="1"/>
  <c r="G253" i="2" s="1"/>
  <c r="I333" i="2" s="1"/>
  <c r="H77" i="2"/>
  <c r="K82" i="2"/>
  <c r="K249" i="2" s="1"/>
  <c r="M329" i="2" s="1"/>
  <c r="B330" i="2"/>
  <c r="R293" i="2"/>
  <c r="BC258" i="2" s="1"/>
  <c r="S314" i="2"/>
  <c r="E60" i="2"/>
  <c r="E68" i="2" s="1"/>
  <c r="E249" i="2" s="1"/>
  <c r="G329" i="2" s="1"/>
  <c r="G66" i="2"/>
  <c r="G247" i="2" s="1"/>
  <c r="I327" i="2" s="1"/>
  <c r="M255" i="2"/>
  <c r="O335" i="2" s="1"/>
  <c r="R260" i="2"/>
  <c r="T340" i="2" s="1"/>
  <c r="C93" i="2"/>
  <c r="I101" i="2" s="1"/>
  <c r="I254" i="2" s="1"/>
  <c r="K334" i="2" s="1"/>
  <c r="L98" i="2"/>
  <c r="L251" i="2" s="1"/>
  <c r="N331" i="2" s="1"/>
  <c r="R292" i="2"/>
  <c r="BB249" i="2" s="1"/>
  <c r="G285" i="2"/>
  <c r="C325" i="2" s="1"/>
  <c r="CE309" i="2"/>
  <c r="BS283" i="2" s="1"/>
  <c r="BY269" i="2"/>
  <c r="BV269" i="2"/>
  <c r="BE269" i="2"/>
  <c r="BU269" i="2"/>
  <c r="BS269" i="2"/>
  <c r="BR269" i="2"/>
  <c r="BA269" i="2"/>
  <c r="BN269" i="2"/>
  <c r="CE269" i="2"/>
  <c r="BS282" i="2" s="1"/>
  <c r="BJ269" i="2"/>
  <c r="CA269" i="2"/>
  <c r="BC269" i="2"/>
  <c r="BL269" i="2"/>
  <c r="BH269" i="2"/>
  <c r="BX269" i="2"/>
  <c r="AV269" i="2"/>
  <c r="CD269" i="2"/>
  <c r="CC269" i="2"/>
  <c r="CB269" i="2"/>
  <c r="BW269" i="2"/>
  <c r="BQ269" i="2"/>
  <c r="BP269" i="2"/>
  <c r="BO269" i="2"/>
  <c r="BM269" i="2"/>
  <c r="AZ269" i="2"/>
  <c r="AY269" i="2"/>
  <c r="AW269" i="2"/>
  <c r="BT269" i="2"/>
  <c r="H65" i="2"/>
  <c r="H246" i="2" s="1"/>
  <c r="J326" i="2" s="1"/>
  <c r="D61" i="2"/>
  <c r="D69" i="2" s="1"/>
  <c r="D250" i="2" s="1"/>
  <c r="F330" i="2" s="1"/>
  <c r="H60" i="2"/>
  <c r="C77" i="2"/>
  <c r="F85" i="2" s="1"/>
  <c r="F252" i="2" s="1"/>
  <c r="H332" i="2" s="1"/>
  <c r="J81" i="2"/>
  <c r="J248" i="2" s="1"/>
  <c r="L328" i="2" s="1"/>
  <c r="C127" i="2"/>
  <c r="O135" i="2" s="1"/>
  <c r="O260" i="2" s="1"/>
  <c r="Q340" i="2" s="1"/>
  <c r="R132" i="2"/>
  <c r="R257" i="2" s="1"/>
  <c r="T337" i="2" s="1"/>
  <c r="BR268" i="2"/>
  <c r="BB268" i="2"/>
  <c r="CE308" i="2"/>
  <c r="BR283" i="2" s="1"/>
  <c r="CD268" i="2"/>
  <c r="BM268" i="2"/>
  <c r="AV268" i="2"/>
  <c r="CC268" i="2"/>
  <c r="CA268" i="2"/>
  <c r="CE268" i="2"/>
  <c r="BR282" i="2" s="1"/>
  <c r="BW268" i="2"/>
  <c r="BC268" i="2"/>
  <c r="BS268" i="2"/>
  <c r="AX268" i="2"/>
  <c r="BT268" i="2"/>
  <c r="BQ268" i="2"/>
  <c r="BN268" i="2"/>
  <c r="BE268" i="2"/>
  <c r="BH268" i="2"/>
  <c r="BF268" i="2"/>
  <c r="AZ268" i="2"/>
  <c r="CB268" i="2"/>
  <c r="BY268" i="2"/>
  <c r="BX268" i="2"/>
  <c r="BV268" i="2"/>
  <c r="BU268" i="2"/>
  <c r="AW268" i="2"/>
  <c r="BA268" i="2"/>
  <c r="AY268" i="2"/>
  <c r="E93" i="2"/>
  <c r="K101" i="2" s="1"/>
  <c r="K254" i="2" s="1"/>
  <c r="M334" i="2" s="1"/>
  <c r="L100" i="2"/>
  <c r="L253" i="2" s="1"/>
  <c r="N333" i="2" s="1"/>
  <c r="R302" i="2"/>
  <c r="BL268" i="2" s="1"/>
  <c r="R288" i="2"/>
  <c r="AX275" i="2" s="1"/>
  <c r="S318" i="2"/>
  <c r="P117" i="2"/>
  <c r="P256" i="2" s="1"/>
  <c r="R336" i="2" s="1"/>
  <c r="E111" i="2"/>
  <c r="N119" i="2" s="1"/>
  <c r="N258" i="2" s="1"/>
  <c r="P338" i="2" s="1"/>
  <c r="I81" i="2"/>
  <c r="I248" i="2" s="1"/>
  <c r="K328" i="2" s="1"/>
  <c r="C76" i="2"/>
  <c r="F84" i="2" s="1"/>
  <c r="F251" i="2" s="1"/>
  <c r="H331" i="2" s="1"/>
  <c r="C94" i="2"/>
  <c r="I102" i="2" s="1"/>
  <c r="I255" i="2" s="1"/>
  <c r="K335" i="2" s="1"/>
  <c r="M98" i="2"/>
  <c r="M251" i="2" s="1"/>
  <c r="O331" i="2" s="1"/>
  <c r="CB247" i="2"/>
  <c r="BL247" i="2"/>
  <c r="AV247" i="2"/>
  <c r="BS247" i="2"/>
  <c r="CA247" i="2"/>
  <c r="CC247" i="2"/>
  <c r="BF247" i="2"/>
  <c r="BY247" i="2"/>
  <c r="BE247" i="2"/>
  <c r="BX247" i="2"/>
  <c r="BD247" i="2"/>
  <c r="BW247" i="2"/>
  <c r="BQ247" i="2"/>
  <c r="BU247" i="2"/>
  <c r="BT247" i="2"/>
  <c r="BR247" i="2"/>
  <c r="BP247" i="2"/>
  <c r="CE247" i="2"/>
  <c r="AW282" i="2" s="1"/>
  <c r="CD247" i="2"/>
  <c r="BV247" i="2"/>
  <c r="BN247" i="2"/>
  <c r="BH247" i="2"/>
  <c r="BM247" i="2"/>
  <c r="BA247" i="2"/>
  <c r="AZ247" i="2"/>
  <c r="AW247" i="2"/>
  <c r="D77" i="2"/>
  <c r="G85" i="2" s="1"/>
  <c r="G252" i="2" s="1"/>
  <c r="I332" i="2" s="1"/>
  <c r="J82" i="2"/>
  <c r="J249" i="2" s="1"/>
  <c r="L329" i="2" s="1"/>
  <c r="CE303" i="2"/>
  <c r="CB263" i="2"/>
  <c r="BL263" i="2"/>
  <c r="AV263" i="2"/>
  <c r="BX263" i="2"/>
  <c r="BH263" i="2"/>
  <c r="BY263" i="2"/>
  <c r="BF263" i="2"/>
  <c r="BT263" i="2"/>
  <c r="BB263" i="2"/>
  <c r="BP263" i="2"/>
  <c r="BM263" i="2"/>
  <c r="CE263" i="2"/>
  <c r="BM282" i="2" s="1"/>
  <c r="CD263" i="2"/>
  <c r="BV263" i="2"/>
  <c r="AZ263" i="2"/>
  <c r="BW263" i="2"/>
  <c r="BU263" i="2"/>
  <c r="BS263" i="2"/>
  <c r="BR263" i="2"/>
  <c r="BQ263" i="2"/>
  <c r="BN263" i="2"/>
  <c r="AY263" i="2"/>
  <c r="AW263" i="2"/>
  <c r="CC263" i="2"/>
  <c r="BA263" i="2"/>
  <c r="CA263" i="2"/>
  <c r="BC263" i="2"/>
  <c r="BE263" i="2"/>
  <c r="BQ250" i="2"/>
  <c r="BA250" i="2"/>
  <c r="BO250" i="2"/>
  <c r="CB250" i="2"/>
  <c r="BX250" i="2"/>
  <c r="BN250" i="2"/>
  <c r="BM250" i="2"/>
  <c r="BL250" i="2"/>
  <c r="CE250" i="2"/>
  <c r="AZ282" i="2" s="1"/>
  <c r="CD250" i="2"/>
  <c r="BW250" i="2"/>
  <c r="BC250" i="2"/>
  <c r="BF250" i="2"/>
  <c r="BE250" i="2"/>
  <c r="BD250" i="2"/>
  <c r="BB250" i="2"/>
  <c r="CA250" i="2"/>
  <c r="AW250" i="2"/>
  <c r="BY250" i="2"/>
  <c r="BV250" i="2"/>
  <c r="BU250" i="2"/>
  <c r="BT250" i="2"/>
  <c r="BS250" i="2"/>
  <c r="BR250" i="2"/>
  <c r="BP250" i="2"/>
  <c r="BH250" i="2"/>
  <c r="AV250" i="2"/>
  <c r="AZ250" i="2"/>
  <c r="AU250" i="2"/>
  <c r="CC250" i="2"/>
  <c r="G249" i="2"/>
  <c r="I329" i="2" s="1"/>
  <c r="S289" i="2"/>
  <c r="AQ513" i="2" s="1"/>
  <c r="E110" i="2"/>
  <c r="N118" i="2" s="1"/>
  <c r="N257" i="2" s="1"/>
  <c r="P337" i="2" s="1"/>
  <c r="O117" i="2"/>
  <c r="O256" i="2" s="1"/>
  <c r="Q336" i="2" s="1"/>
  <c r="G64" i="2"/>
  <c r="G245" i="2" s="1"/>
  <c r="I325" i="2" s="1"/>
  <c r="C60" i="2"/>
  <c r="C68" i="2" s="1"/>
  <c r="C249" i="2" s="1"/>
  <c r="E329" i="2" s="1"/>
  <c r="B328" i="2"/>
  <c r="G298" i="2"/>
  <c r="C338" i="2" s="1"/>
  <c r="B331" i="2"/>
  <c r="R305" i="2"/>
  <c r="R300" i="2"/>
  <c r="BJ255" i="2" s="1"/>
  <c r="R297" i="2"/>
  <c r="BG274" i="2" s="1"/>
  <c r="CE319" i="2"/>
  <c r="CC283" i="2" s="1"/>
  <c r="CE279" i="2"/>
  <c r="CC282" i="2" s="1"/>
  <c r="BO279" i="2"/>
  <c r="AY279" i="2"/>
  <c r="CA279" i="2"/>
  <c r="BN279" i="2"/>
  <c r="AV279" i="2"/>
  <c r="BM279" i="2"/>
  <c r="CC279" i="2"/>
  <c r="CB279" i="2"/>
  <c r="BP279" i="2"/>
  <c r="BF279" i="2"/>
  <c r="BX279" i="2"/>
  <c r="BB279" i="2"/>
  <c r="CD279" i="2"/>
  <c r="BA279" i="2"/>
  <c r="AZ279" i="2"/>
  <c r="BY279" i="2"/>
  <c r="BW279" i="2"/>
  <c r="AW279" i="2"/>
  <c r="BV279" i="2"/>
  <c r="BQ279" i="2"/>
  <c r="BE279" i="2"/>
  <c r="BC279" i="2"/>
  <c r="BU279" i="2"/>
  <c r="BH279" i="2"/>
  <c r="BT279" i="2"/>
  <c r="BS279" i="2"/>
  <c r="BR279" i="2"/>
  <c r="G67" i="2"/>
  <c r="G248" i="2" s="1"/>
  <c r="I328" i="2" s="1"/>
  <c r="F60" i="2"/>
  <c r="F68" i="2" s="1"/>
  <c r="F249" i="2" s="1"/>
  <c r="H329" i="2" s="1"/>
  <c r="Q115" i="2"/>
  <c r="Q254" i="2" s="1"/>
  <c r="S334" i="2" s="1"/>
  <c r="C112" i="2"/>
  <c r="L120" i="2" s="1"/>
  <c r="L259" i="2" s="1"/>
  <c r="N339" i="2" s="1"/>
  <c r="H110" i="2"/>
  <c r="G297" i="2"/>
  <c r="C337" i="2" s="1"/>
  <c r="B332" i="2"/>
  <c r="F65" i="2"/>
  <c r="F246" i="2" s="1"/>
  <c r="H326" i="2" s="1"/>
  <c r="D59" i="2"/>
  <c r="D67" i="2" s="1"/>
  <c r="D248" i="2" s="1"/>
  <c r="F328" i="2" s="1"/>
  <c r="R285" i="2"/>
  <c r="AU246" i="2" s="1"/>
  <c r="B342" i="2"/>
  <c r="B341" i="2"/>
  <c r="D112" i="2"/>
  <c r="M120" i="2" s="1"/>
  <c r="M259" i="2" s="1"/>
  <c r="O339" i="2" s="1"/>
  <c r="Q116" i="2"/>
  <c r="Q255" i="2" s="1"/>
  <c r="S335" i="2" s="1"/>
  <c r="H111" i="2"/>
  <c r="R296" i="2"/>
  <c r="BF280" i="2" s="1"/>
  <c r="E94" i="2"/>
  <c r="K102" i="2" s="1"/>
  <c r="K255" i="2" s="1"/>
  <c r="M335" i="2" s="1"/>
  <c r="M100" i="2"/>
  <c r="M253" i="2" s="1"/>
  <c r="O333" i="2" s="1"/>
  <c r="E77" i="2"/>
  <c r="H85" i="2" s="1"/>
  <c r="H252" i="2" s="1"/>
  <c r="J332" i="2" s="1"/>
  <c r="J83" i="2"/>
  <c r="J250" i="2" s="1"/>
  <c r="L330" i="2" s="1"/>
  <c r="F66" i="2"/>
  <c r="F247" i="2" s="1"/>
  <c r="H327" i="2" s="1"/>
  <c r="E59" i="2"/>
  <c r="E67" i="2" s="1"/>
  <c r="E248" i="2" s="1"/>
  <c r="G328" i="2" s="1"/>
  <c r="B345" i="2"/>
  <c r="C145" i="2"/>
  <c r="R153" i="2" s="1"/>
  <c r="R264" i="2" s="1"/>
  <c r="T344" i="2" s="1"/>
  <c r="V149" i="2"/>
  <c r="V260" i="2" s="1"/>
  <c r="X340" i="2" s="1"/>
  <c r="H59" i="2"/>
  <c r="H64" i="2"/>
  <c r="H245" i="2" s="1"/>
  <c r="J325" i="2" s="1"/>
  <c r="C61" i="2"/>
  <c r="C69" i="2" s="1"/>
  <c r="C250" i="2" s="1"/>
  <c r="E330" i="2" s="1"/>
  <c r="R134" i="2"/>
  <c r="R259" i="2" s="1"/>
  <c r="T339" i="2" s="1"/>
  <c r="E127" i="2"/>
  <c r="Q135" i="2" s="1"/>
  <c r="Q260" i="2" s="1"/>
  <c r="S340" i="2" s="1"/>
  <c r="H93" i="2"/>
  <c r="C95" i="2"/>
  <c r="I103" i="2" s="1"/>
  <c r="I256" i="2" s="1"/>
  <c r="K336" i="2" s="1"/>
  <c r="N98" i="2"/>
  <c r="N251" i="2" s="1"/>
  <c r="P331" i="2" s="1"/>
  <c r="B326" i="2"/>
  <c r="AN600" i="6" l="1"/>
  <c r="AN584" i="6"/>
  <c r="AN606" i="6"/>
  <c r="AN589" i="6"/>
  <c r="AN605" i="6"/>
  <c r="AN588" i="6"/>
  <c r="AN598" i="6"/>
  <c r="AN579" i="6"/>
  <c r="AN596" i="6"/>
  <c r="AN595" i="6"/>
  <c r="AN610" i="6"/>
  <c r="AN586" i="6"/>
  <c r="AN609" i="6"/>
  <c r="AN585" i="6"/>
  <c r="AN599" i="6"/>
  <c r="AN594" i="6"/>
  <c r="AN608" i="6"/>
  <c r="AN578" i="6"/>
  <c r="AN602" i="6"/>
  <c r="AN601" i="6"/>
  <c r="AN593" i="6"/>
  <c r="AN581" i="6"/>
  <c r="AN580" i="6"/>
  <c r="AN607" i="6"/>
  <c r="AN603" i="6"/>
  <c r="AN597" i="6"/>
  <c r="AN592" i="6"/>
  <c r="AN604" i="6"/>
  <c r="AN587" i="6"/>
  <c r="AN582" i="6"/>
  <c r="AN591" i="6"/>
  <c r="AN590" i="6"/>
  <c r="AN583" i="6"/>
  <c r="AN578" i="5" a="1"/>
  <c r="AL601" i="4"/>
  <c r="AL585" i="4"/>
  <c r="AL597" i="4"/>
  <c r="AL580" i="4"/>
  <c r="AL596" i="4"/>
  <c r="AL579" i="4"/>
  <c r="AL595" i="4"/>
  <c r="AL578" i="4"/>
  <c r="AL598" i="4"/>
  <c r="AL594" i="4"/>
  <c r="AL593" i="4"/>
  <c r="AL592" i="4"/>
  <c r="AL600" i="4"/>
  <c r="AL599" i="4"/>
  <c r="AL591" i="4"/>
  <c r="AL590" i="4"/>
  <c r="AL609" i="4"/>
  <c r="AL584" i="4"/>
  <c r="AL582" i="4"/>
  <c r="AL610" i="4"/>
  <c r="AL608" i="4"/>
  <c r="AL604" i="4"/>
  <c r="AL603" i="4"/>
  <c r="AL588" i="4"/>
  <c r="AL606" i="4"/>
  <c r="AL605" i="4"/>
  <c r="AL587" i="4"/>
  <c r="AL607" i="4"/>
  <c r="AL602" i="4"/>
  <c r="AL589" i="4"/>
  <c r="AL586" i="4"/>
  <c r="AL583" i="4"/>
  <c r="AL581" i="4"/>
  <c r="I559" i="2"/>
  <c r="P519" i="2"/>
  <c r="E559" i="2"/>
  <c r="AC519" i="2"/>
  <c r="I519" i="2"/>
  <c r="H559" i="2"/>
  <c r="G559" i="2"/>
  <c r="Z519" i="2"/>
  <c r="C519" i="2"/>
  <c r="C559" i="2" s="1"/>
  <c r="L519" i="2"/>
  <c r="J519" i="2"/>
  <c r="Q519" i="2"/>
  <c r="H519" i="2"/>
  <c r="B519" i="2"/>
  <c r="B559" i="2" s="1"/>
  <c r="AO519" i="2"/>
  <c r="F559" i="2"/>
  <c r="D519" i="2"/>
  <c r="D559" i="2" s="1"/>
  <c r="W519" i="2"/>
  <c r="AA513" i="2"/>
  <c r="K513" i="2"/>
  <c r="AB513" i="2"/>
  <c r="AO513" i="2"/>
  <c r="D513" i="2"/>
  <c r="D553" i="2" s="1"/>
  <c r="B513" i="2"/>
  <c r="B553" i="2" s="1"/>
  <c r="I553" i="2"/>
  <c r="P513" i="2"/>
  <c r="G513" i="2"/>
  <c r="AD513" i="2"/>
  <c r="E553" i="2"/>
  <c r="L513" i="2"/>
  <c r="H513" i="2"/>
  <c r="C513" i="2"/>
  <c r="C553" i="2" s="1"/>
  <c r="H553" i="2"/>
  <c r="G553" i="2"/>
  <c r="F553" i="2"/>
  <c r="S513" i="2"/>
  <c r="E520" i="2"/>
  <c r="I560" i="2"/>
  <c r="AO520" i="2"/>
  <c r="X520" i="2"/>
  <c r="H560" i="2"/>
  <c r="F560" i="2"/>
  <c r="C520" i="2"/>
  <c r="C560" i="2" s="1"/>
  <c r="G560" i="2"/>
  <c r="E560" i="2"/>
  <c r="L520" i="2"/>
  <c r="AA520" i="2"/>
  <c r="H520" i="2"/>
  <c r="B520" i="2"/>
  <c r="B560" i="2" s="1"/>
  <c r="AB520" i="2"/>
  <c r="W520" i="2"/>
  <c r="V520" i="2"/>
  <c r="M520" i="2"/>
  <c r="AJ520" i="2"/>
  <c r="D520" i="2"/>
  <c r="D560" i="2" s="1"/>
  <c r="Z520" i="2"/>
  <c r="S520" i="2"/>
  <c r="AQ500" i="2"/>
  <c r="BK258" i="2"/>
  <c r="BJ271" i="2"/>
  <c r="CE316" i="2"/>
  <c r="BZ283" i="2" s="1"/>
  <c r="BZ276" i="2"/>
  <c r="BJ276" i="2"/>
  <c r="CB276" i="2"/>
  <c r="BK276" i="2"/>
  <c r="CA276" i="2"/>
  <c r="BI276" i="2"/>
  <c r="BX276" i="2"/>
  <c r="BG276" i="2"/>
  <c r="BW276" i="2"/>
  <c r="BF276" i="2"/>
  <c r="BN276" i="2"/>
  <c r="CE276" i="2"/>
  <c r="BZ282" i="2" s="1"/>
  <c r="BE276" i="2"/>
  <c r="BV276" i="2"/>
  <c r="BA276" i="2"/>
  <c r="CC276" i="2"/>
  <c r="AY276" i="2"/>
  <c r="BY276" i="2"/>
  <c r="AX276" i="2"/>
  <c r="BU276" i="2"/>
  <c r="AW276" i="2"/>
  <c r="BT276" i="2"/>
  <c r="AV276" i="2"/>
  <c r="BS276" i="2"/>
  <c r="AU276" i="2"/>
  <c r="BM276" i="2"/>
  <c r="BO276" i="2"/>
  <c r="BL276" i="2"/>
  <c r="BH276" i="2"/>
  <c r="BD276" i="2"/>
  <c r="BC276" i="2"/>
  <c r="AZ276" i="2"/>
  <c r="CD276" i="2"/>
  <c r="BR276" i="2"/>
  <c r="BQ276" i="2"/>
  <c r="BP276" i="2"/>
  <c r="BB276" i="2"/>
  <c r="BK270" i="2"/>
  <c r="CC265" i="2"/>
  <c r="BM265" i="2"/>
  <c r="AW265" i="2"/>
  <c r="BP265" i="2"/>
  <c r="AY265" i="2"/>
  <c r="CB265" i="2"/>
  <c r="BW265" i="2"/>
  <c r="BD265" i="2"/>
  <c r="BS265" i="2"/>
  <c r="AZ265" i="2"/>
  <c r="BN265" i="2"/>
  <c r="CE265" i="2"/>
  <c r="BO282" i="2" s="1"/>
  <c r="BG265" i="2"/>
  <c r="CD265" i="2"/>
  <c r="BF265" i="2"/>
  <c r="CA265" i="2"/>
  <c r="BE265" i="2"/>
  <c r="BZ265" i="2"/>
  <c r="BC265" i="2"/>
  <c r="BY265" i="2"/>
  <c r="BB265" i="2"/>
  <c r="BR265" i="2"/>
  <c r="BX265" i="2"/>
  <c r="BV265" i="2"/>
  <c r="BU265" i="2"/>
  <c r="BQ265" i="2"/>
  <c r="AU265" i="2"/>
  <c r="BT265" i="2"/>
  <c r="BO265" i="2"/>
  <c r="BI265" i="2"/>
  <c r="BL265" i="2"/>
  <c r="BH265" i="2"/>
  <c r="AV265" i="2"/>
  <c r="BA265" i="2"/>
  <c r="AX265" i="2"/>
  <c r="BD263" i="2"/>
  <c r="BZ280" i="2"/>
  <c r="K84" i="2"/>
  <c r="K251" i="2" s="1"/>
  <c r="M331" i="2" s="1"/>
  <c r="F78" i="2"/>
  <c r="I86" i="2" s="1"/>
  <c r="I253" i="2" s="1"/>
  <c r="K333" i="2" s="1"/>
  <c r="AQ501" i="2"/>
  <c r="AQ516" i="2"/>
  <c r="BO277" i="2"/>
  <c r="BN283" i="2"/>
  <c r="N304" i="2"/>
  <c r="BC264" i="2"/>
  <c r="BC249" i="2"/>
  <c r="BI249" i="2"/>
  <c r="BB272" i="2"/>
  <c r="BE255" i="2"/>
  <c r="BJ270" i="2"/>
  <c r="BP270" i="2"/>
  <c r="AX267" i="2"/>
  <c r="BZ275" i="2"/>
  <c r="BO274" i="2"/>
  <c r="BL274" i="2"/>
  <c r="BI278" i="2"/>
  <c r="BD278" i="2"/>
  <c r="AV283" i="2"/>
  <c r="N286" i="2"/>
  <c r="BD279" i="2"/>
  <c r="BI279" i="2"/>
  <c r="BI250" i="2"/>
  <c r="BZ247" i="2"/>
  <c r="BG268" i="2"/>
  <c r="BZ269" i="2"/>
  <c r="BJ280" i="2"/>
  <c r="BT266" i="2"/>
  <c r="BD266" i="2"/>
  <c r="BZ266" i="2"/>
  <c r="BI266" i="2"/>
  <c r="BY266" i="2"/>
  <c r="BH266" i="2"/>
  <c r="BV266" i="2"/>
  <c r="BE266" i="2"/>
  <c r="BU266" i="2"/>
  <c r="AZ266" i="2"/>
  <c r="BP266" i="2"/>
  <c r="AV266" i="2"/>
  <c r="BL266" i="2"/>
  <c r="BO266" i="2"/>
  <c r="BN266" i="2"/>
  <c r="BM266" i="2"/>
  <c r="BK266" i="2"/>
  <c r="BJ266" i="2"/>
  <c r="CB266" i="2"/>
  <c r="BA266" i="2"/>
  <c r="CE306" i="2"/>
  <c r="BP283" i="2" s="1"/>
  <c r="CE266" i="2"/>
  <c r="BP282" i="2" s="1"/>
  <c r="AU266" i="2"/>
  <c r="CD266" i="2"/>
  <c r="CC266" i="2"/>
  <c r="CA266" i="2"/>
  <c r="BX266" i="2"/>
  <c r="BS266" i="2"/>
  <c r="BF266" i="2"/>
  <c r="BC266" i="2"/>
  <c r="BB266" i="2"/>
  <c r="AY266" i="2"/>
  <c r="AX266" i="2"/>
  <c r="AW266" i="2"/>
  <c r="BW266" i="2"/>
  <c r="BR266" i="2"/>
  <c r="BQ266" i="2"/>
  <c r="BG266" i="2"/>
  <c r="V486" i="2"/>
  <c r="D486" i="2"/>
  <c r="D526" i="2" s="1"/>
  <c r="AI486" i="2"/>
  <c r="F526" i="2"/>
  <c r="B486" i="2"/>
  <c r="B526" i="2" s="1"/>
  <c r="H526" i="2" s="1"/>
  <c r="T486" i="2"/>
  <c r="AO486" i="2"/>
  <c r="S486" i="2"/>
  <c r="AH486" i="2"/>
  <c r="Z486" i="2"/>
  <c r="Y486" i="2"/>
  <c r="C486" i="2"/>
  <c r="C526" i="2" s="1"/>
  <c r="AQ506" i="2"/>
  <c r="BC277" i="2"/>
  <c r="BD249" i="2"/>
  <c r="BF255" i="2"/>
  <c r="BJ267" i="2"/>
  <c r="BC267" i="2"/>
  <c r="BZ274" i="2"/>
  <c r="BJ258" i="2"/>
  <c r="BB278" i="2"/>
  <c r="BJ278" i="2"/>
  <c r="BF246" i="2"/>
  <c r="AQ496" i="2"/>
  <c r="BJ279" i="2"/>
  <c r="BG247" i="2"/>
  <c r="BD268" i="2"/>
  <c r="AQ493" i="2"/>
  <c r="N487" i="2"/>
  <c r="I527" i="2"/>
  <c r="F527" i="2"/>
  <c r="V487" i="2"/>
  <c r="B487" i="2"/>
  <c r="B527" i="2" s="1"/>
  <c r="H527" i="2" s="1"/>
  <c r="AO487" i="2"/>
  <c r="AN487" i="2"/>
  <c r="D487" i="2"/>
  <c r="D527" i="2" s="1"/>
  <c r="AC487" i="2"/>
  <c r="C487" i="2"/>
  <c r="C527" i="2" s="1"/>
  <c r="Z487" i="2"/>
  <c r="G487" i="2"/>
  <c r="AF487" i="2"/>
  <c r="AH487" i="2"/>
  <c r="P487" i="2"/>
  <c r="AI487" i="2"/>
  <c r="BB273" i="2"/>
  <c r="BK249" i="2"/>
  <c r="BG272" i="2"/>
  <c r="AX272" i="2"/>
  <c r="BB270" i="2"/>
  <c r="BL267" i="2"/>
  <c r="AU275" i="2"/>
  <c r="AU258" i="2"/>
  <c r="BC278" i="2"/>
  <c r="BK278" i="2"/>
  <c r="CC254" i="2"/>
  <c r="BM254" i="2"/>
  <c r="AW254" i="2"/>
  <c r="BW254" i="2"/>
  <c r="BS254" i="2"/>
  <c r="BB254" i="2"/>
  <c r="BO254" i="2"/>
  <c r="AX254" i="2"/>
  <c r="BX254" i="2"/>
  <c r="BC254" i="2"/>
  <c r="BV254" i="2"/>
  <c r="BA254" i="2"/>
  <c r="BU254" i="2"/>
  <c r="AZ254" i="2"/>
  <c r="BT254" i="2"/>
  <c r="AY254" i="2"/>
  <c r="BR254" i="2"/>
  <c r="AV254" i="2"/>
  <c r="BK254" i="2"/>
  <c r="BN254" i="2"/>
  <c r="BL254" i="2"/>
  <c r="BJ254" i="2"/>
  <c r="BI254" i="2"/>
  <c r="BE254" i="2"/>
  <c r="CE254" i="2"/>
  <c r="BD282" i="2" s="1"/>
  <c r="CD254" i="2"/>
  <c r="CB254" i="2"/>
  <c r="CA254" i="2"/>
  <c r="BZ254" i="2"/>
  <c r="BY254" i="2"/>
  <c r="BQ254" i="2"/>
  <c r="BP254" i="2"/>
  <c r="BD254" i="2"/>
  <c r="BG254" i="2"/>
  <c r="AU254" i="2"/>
  <c r="BH254" i="2"/>
  <c r="BO280" i="2"/>
  <c r="BK280" i="2"/>
  <c r="AQ491" i="2"/>
  <c r="AQ503" i="2"/>
  <c r="BD273" i="2"/>
  <c r="BL249" i="2"/>
  <c r="BK255" i="2"/>
  <c r="BZ255" i="2"/>
  <c r="AU267" i="2"/>
  <c r="AX274" i="2"/>
  <c r="BK274" i="2"/>
  <c r="AX258" i="2"/>
  <c r="AU271" i="2"/>
  <c r="AX278" i="2"/>
  <c r="BP259" i="2"/>
  <c r="AZ259" i="2"/>
  <c r="BY259" i="2"/>
  <c r="BH259" i="2"/>
  <c r="BU259" i="2"/>
  <c r="BD259" i="2"/>
  <c r="BQ259" i="2"/>
  <c r="AY259" i="2"/>
  <c r="BN259" i="2"/>
  <c r="BM259" i="2"/>
  <c r="BL259" i="2"/>
  <c r="CE259" i="2"/>
  <c r="BI282" i="2" s="1"/>
  <c r="BK259" i="2"/>
  <c r="CD259" i="2"/>
  <c r="BJ259" i="2"/>
  <c r="BX259" i="2"/>
  <c r="BC259" i="2"/>
  <c r="CA259" i="2"/>
  <c r="AV259" i="2"/>
  <c r="BZ259" i="2"/>
  <c r="AU259" i="2"/>
  <c r="BW259" i="2"/>
  <c r="BV259" i="2"/>
  <c r="BR259" i="2"/>
  <c r="BI259" i="2"/>
  <c r="BG259" i="2"/>
  <c r="BF259" i="2"/>
  <c r="BE259" i="2"/>
  <c r="BB259" i="2"/>
  <c r="BA259" i="2"/>
  <c r="AX259" i="2"/>
  <c r="AW259" i="2"/>
  <c r="CC259" i="2"/>
  <c r="BT259" i="2"/>
  <c r="BS259" i="2"/>
  <c r="CB259" i="2"/>
  <c r="BO259" i="2"/>
  <c r="BI267" i="2"/>
  <c r="F61" i="2"/>
  <c r="F69" i="2" s="1"/>
  <c r="F250" i="2" s="1"/>
  <c r="H67" i="2"/>
  <c r="H248" i="2" s="1"/>
  <c r="J328" i="2" s="1"/>
  <c r="BW260" i="2"/>
  <c r="BG260" i="2"/>
  <c r="BR260" i="2"/>
  <c r="BA260" i="2"/>
  <c r="CE260" i="2"/>
  <c r="BJ282" i="2" s="1"/>
  <c r="BN260" i="2"/>
  <c r="AW260" i="2"/>
  <c r="CA260" i="2"/>
  <c r="BJ260" i="2"/>
  <c r="BP260" i="2"/>
  <c r="AU260" i="2"/>
  <c r="BO260" i="2"/>
  <c r="BM260" i="2"/>
  <c r="BK260" i="2"/>
  <c r="BY260" i="2"/>
  <c r="BD260" i="2"/>
  <c r="BZ260" i="2"/>
  <c r="AV260" i="2"/>
  <c r="BX260" i="2"/>
  <c r="BV260" i="2"/>
  <c r="BU260" i="2"/>
  <c r="BT260" i="2"/>
  <c r="BQ260" i="2"/>
  <c r="CD260" i="2"/>
  <c r="CC260" i="2"/>
  <c r="CB260" i="2"/>
  <c r="BS260" i="2"/>
  <c r="BI260" i="2"/>
  <c r="BH260" i="2"/>
  <c r="BC260" i="2"/>
  <c r="BB260" i="2"/>
  <c r="AZ260" i="2"/>
  <c r="BF260" i="2"/>
  <c r="BE260" i="2"/>
  <c r="AY260" i="2"/>
  <c r="AX260" i="2"/>
  <c r="AF489" i="2"/>
  <c r="I529" i="2"/>
  <c r="AO489" i="2"/>
  <c r="X489" i="2"/>
  <c r="H529" i="2"/>
  <c r="V489" i="2"/>
  <c r="B489" i="2"/>
  <c r="B529" i="2" s="1"/>
  <c r="P489" i="2"/>
  <c r="D489" i="2"/>
  <c r="D529" i="2" s="1"/>
  <c r="AI489" i="2"/>
  <c r="C489" i="2"/>
  <c r="C529" i="2" s="1"/>
  <c r="AG489" i="2"/>
  <c r="AD489" i="2"/>
  <c r="F529" i="2"/>
  <c r="E489" i="2"/>
  <c r="AH489" i="2"/>
  <c r="J489" i="2"/>
  <c r="AA489" i="2"/>
  <c r="BB267" i="2"/>
  <c r="BG278" i="2"/>
  <c r="F112" i="2"/>
  <c r="O120" i="2" s="1"/>
  <c r="O259" i="2" s="1"/>
  <c r="Q339" i="2" s="1"/>
  <c r="Q118" i="2"/>
  <c r="Q257" i="2" s="1"/>
  <c r="S337" i="2" s="1"/>
  <c r="BJ250" i="2"/>
  <c r="BI268" i="2"/>
  <c r="AQ504" i="2"/>
  <c r="AQ517" i="2"/>
  <c r="BI277" i="2"/>
  <c r="BG273" i="2"/>
  <c r="BD264" i="2"/>
  <c r="AW249" i="2"/>
  <c r="BL255" i="2"/>
  <c r="AU270" i="2"/>
  <c r="BD267" i="2"/>
  <c r="BK267" i="2"/>
  <c r="BB275" i="2"/>
  <c r="BP274" i="2"/>
  <c r="BD271" i="2"/>
  <c r="BL278" i="2"/>
  <c r="BP246" i="2"/>
  <c r="H68" i="2"/>
  <c r="H249" i="2" s="1"/>
  <c r="G61" i="2"/>
  <c r="G69" i="2" s="1"/>
  <c r="G250" i="2" s="1"/>
  <c r="BD269" i="2"/>
  <c r="V151" i="2"/>
  <c r="V262" i="2" s="1"/>
  <c r="X342" i="2" s="1"/>
  <c r="E145" i="2"/>
  <c r="T153" i="2" s="1"/>
  <c r="T264" i="2" s="1"/>
  <c r="V344" i="2" s="1"/>
  <c r="F129" i="2"/>
  <c r="R137" i="2" s="1"/>
  <c r="R262" i="2" s="1"/>
  <c r="T342" i="2" s="1"/>
  <c r="T135" i="2"/>
  <c r="T260" i="2" s="1"/>
  <c r="V340" i="2" s="1"/>
  <c r="AQ514" i="2"/>
  <c r="AQ515" i="2"/>
  <c r="BZ277" i="2"/>
  <c r="BB277" i="2"/>
  <c r="BK273" i="2"/>
  <c r="BI273" i="2"/>
  <c r="BB264" i="2"/>
  <c r="BP255" i="2"/>
  <c r="BO255" i="2"/>
  <c r="BL270" i="2"/>
  <c r="BL258" i="2"/>
  <c r="AX271" i="2"/>
  <c r="BC246" i="2"/>
  <c r="AQ507" i="2"/>
  <c r="AQ508" i="2"/>
  <c r="BI280" i="2"/>
  <c r="BJ277" i="2"/>
  <c r="BJ247" i="2"/>
  <c r="AQ498" i="2"/>
  <c r="BO273" i="2"/>
  <c r="AU272" i="2"/>
  <c r="BD275" i="2"/>
  <c r="BD258" i="2"/>
  <c r="BI258" i="2"/>
  <c r="BF278" i="2"/>
  <c r="AX246" i="2"/>
  <c r="I530" i="2"/>
  <c r="Z490" i="2"/>
  <c r="X490" i="2"/>
  <c r="G490" i="2"/>
  <c r="AM490" i="2"/>
  <c r="U490" i="2"/>
  <c r="D490" i="2"/>
  <c r="D530" i="2" s="1"/>
  <c r="B490" i="2"/>
  <c r="B530" i="2" s="1"/>
  <c r="F530" i="2"/>
  <c r="T490" i="2"/>
  <c r="AO490" i="2"/>
  <c r="S490" i="2"/>
  <c r="AF490" i="2"/>
  <c r="E490" i="2"/>
  <c r="AB490" i="2"/>
  <c r="H530" i="2"/>
  <c r="AI490" i="2"/>
  <c r="Y490" i="2"/>
  <c r="C490" i="2"/>
  <c r="C530" i="2" s="1"/>
  <c r="K490" i="2"/>
  <c r="AN490" i="2"/>
  <c r="O490" i="2"/>
  <c r="N490" i="2"/>
  <c r="BZ270" i="2"/>
  <c r="BZ267" i="2"/>
  <c r="CE292" i="2"/>
  <c r="CE252" i="2"/>
  <c r="BB282" i="2" s="1"/>
  <c r="BO252" i="2"/>
  <c r="AY252" i="2"/>
  <c r="BS252" i="2"/>
  <c r="BB252" i="2"/>
  <c r="BN252" i="2"/>
  <c r="AW252" i="2"/>
  <c r="CA252" i="2"/>
  <c r="BJ252" i="2"/>
  <c r="BR252" i="2"/>
  <c r="AV252" i="2"/>
  <c r="BQ252" i="2"/>
  <c r="AU252" i="2"/>
  <c r="BP252" i="2"/>
  <c r="BM252" i="2"/>
  <c r="BL252" i="2"/>
  <c r="BZ252" i="2"/>
  <c r="BF252" i="2"/>
  <c r="BW252" i="2"/>
  <c r="BV252" i="2"/>
  <c r="BU252" i="2"/>
  <c r="BT252" i="2"/>
  <c r="BH252" i="2"/>
  <c r="BA252" i="2"/>
  <c r="AZ252" i="2"/>
  <c r="AX252" i="2"/>
  <c r="CD252" i="2"/>
  <c r="CC252" i="2"/>
  <c r="CB252" i="2"/>
  <c r="BY252" i="2"/>
  <c r="BI252" i="2"/>
  <c r="BG252" i="2"/>
  <c r="BE252" i="2"/>
  <c r="BX252" i="2"/>
  <c r="BK252" i="2"/>
  <c r="BD252" i="2"/>
  <c r="BC252" i="2"/>
  <c r="AQ518" i="2"/>
  <c r="BR257" i="2"/>
  <c r="BB257" i="2"/>
  <c r="CE297" i="2"/>
  <c r="BV257" i="2"/>
  <c r="BE257" i="2"/>
  <c r="BQ257" i="2"/>
  <c r="AZ257" i="2"/>
  <c r="CD257" i="2"/>
  <c r="BM257" i="2"/>
  <c r="AV257" i="2"/>
  <c r="CE257" i="2"/>
  <c r="BG282" i="2" s="1"/>
  <c r="BJ257" i="2"/>
  <c r="CC257" i="2"/>
  <c r="BI257" i="2"/>
  <c r="CB257" i="2"/>
  <c r="BH257" i="2"/>
  <c r="CA257" i="2"/>
  <c r="BG257" i="2"/>
  <c r="BZ257" i="2"/>
  <c r="BF257" i="2"/>
  <c r="BT257" i="2"/>
  <c r="AX257" i="2"/>
  <c r="BX257" i="2"/>
  <c r="BW257" i="2"/>
  <c r="BU257" i="2"/>
  <c r="BS257" i="2"/>
  <c r="BN257" i="2"/>
  <c r="BL257" i="2"/>
  <c r="BK257" i="2"/>
  <c r="BD257" i="2"/>
  <c r="BC257" i="2"/>
  <c r="BA257" i="2"/>
  <c r="AY257" i="2"/>
  <c r="AW257" i="2"/>
  <c r="AU257" i="2"/>
  <c r="BP257" i="2"/>
  <c r="BY257" i="2"/>
  <c r="BO257" i="2"/>
  <c r="AQ509" i="2"/>
  <c r="BZ246" i="2"/>
  <c r="BZ263" i="2"/>
  <c r="BK247" i="2"/>
  <c r="BB269" i="2"/>
  <c r="BZ268" i="2"/>
  <c r="BI263" i="2"/>
  <c r="BJ268" i="2"/>
  <c r="BB280" i="2"/>
  <c r="BK268" i="2"/>
  <c r="BZ273" i="2"/>
  <c r="AU279" i="2"/>
  <c r="BJ263" i="2"/>
  <c r="BO247" i="2"/>
  <c r="AU269" i="2"/>
  <c r="BF269" i="2"/>
  <c r="AX280" i="2"/>
  <c r="AQ488" i="2"/>
  <c r="H525" i="2"/>
  <c r="AC485" i="2"/>
  <c r="L485" i="2"/>
  <c r="Z485" i="2"/>
  <c r="D485" i="2"/>
  <c r="D525" i="2" s="1"/>
  <c r="I525" i="2"/>
  <c r="W485" i="2"/>
  <c r="B485" i="2"/>
  <c r="B525" i="2" s="1"/>
  <c r="F525" i="2"/>
  <c r="AO485" i="2"/>
  <c r="AN485" i="2"/>
  <c r="S485" i="2"/>
  <c r="AI485" i="2"/>
  <c r="J485" i="2"/>
  <c r="G485" i="2"/>
  <c r="AD485" i="2"/>
  <c r="E485" i="2"/>
  <c r="Y485" i="2"/>
  <c r="N485" i="2"/>
  <c r="AF485" i="2"/>
  <c r="K485" i="2"/>
  <c r="V485" i="2"/>
  <c r="AA485" i="2"/>
  <c r="P485" i="2"/>
  <c r="C485" i="2"/>
  <c r="C525" i="2" s="1"/>
  <c r="AB485" i="2"/>
  <c r="AQ511" i="2"/>
  <c r="BD277" i="2"/>
  <c r="BX251" i="2"/>
  <c r="BH251" i="2"/>
  <c r="BY251" i="2"/>
  <c r="BG251" i="2"/>
  <c r="BT251" i="2"/>
  <c r="BC251" i="2"/>
  <c r="BP251" i="2"/>
  <c r="AY251" i="2"/>
  <c r="BN251" i="2"/>
  <c r="BM251" i="2"/>
  <c r="BL251" i="2"/>
  <c r="CE251" i="2"/>
  <c r="BA282" i="2" s="1"/>
  <c r="BK251" i="2"/>
  <c r="CD251" i="2"/>
  <c r="BJ251" i="2"/>
  <c r="BW251" i="2"/>
  <c r="BB251" i="2"/>
  <c r="CB251" i="2"/>
  <c r="AW251" i="2"/>
  <c r="CA251" i="2"/>
  <c r="AV251" i="2"/>
  <c r="BZ251" i="2"/>
  <c r="AU251" i="2"/>
  <c r="BV251" i="2"/>
  <c r="BR251" i="2"/>
  <c r="CC251" i="2"/>
  <c r="BU251" i="2"/>
  <c r="BS251" i="2"/>
  <c r="BQ251" i="2"/>
  <c r="BO251" i="2"/>
  <c r="BI251" i="2"/>
  <c r="BD251" i="2"/>
  <c r="AZ251" i="2"/>
  <c r="AX251" i="2"/>
  <c r="BE251" i="2"/>
  <c r="BA251" i="2"/>
  <c r="BF251" i="2"/>
  <c r="BP273" i="2"/>
  <c r="BJ273" i="2"/>
  <c r="BG264" i="2"/>
  <c r="BO264" i="2"/>
  <c r="BA249" i="2"/>
  <c r="BZ272" i="2"/>
  <c r="BP275" i="2"/>
  <c r="BB274" i="2"/>
  <c r="BA258" i="2"/>
  <c r="BZ258" i="2"/>
  <c r="BB271" i="2"/>
  <c r="AQ495" i="2"/>
  <c r="BI247" i="2"/>
  <c r="AQ394" i="2"/>
  <c r="AQ386" i="2"/>
  <c r="AQ400" i="2"/>
  <c r="AQ387" i="2"/>
  <c r="AQ391" i="2"/>
  <c r="AQ395" i="2"/>
  <c r="AQ388" i="2"/>
  <c r="AQ384" i="2"/>
  <c r="AQ372" i="2"/>
  <c r="AQ366" i="2"/>
  <c r="AF362" i="2"/>
  <c r="AF364" i="2" s="1"/>
  <c r="P362" i="2"/>
  <c r="P364" i="2" s="1"/>
  <c r="AQ399" i="2"/>
  <c r="AD362" i="2"/>
  <c r="AD364" i="2" s="1"/>
  <c r="N362" i="2"/>
  <c r="N364" i="2" s="1"/>
  <c r="AQ376" i="2"/>
  <c r="AC362" i="2"/>
  <c r="AC364" i="2" s="1"/>
  <c r="M362" i="2"/>
  <c r="M364" i="2" s="1"/>
  <c r="AQ378" i="2"/>
  <c r="AB362" i="2"/>
  <c r="AB364" i="2" s="1"/>
  <c r="L362" i="2"/>
  <c r="L364" i="2" s="1"/>
  <c r="AQ397" i="2"/>
  <c r="AQ383" i="2"/>
  <c r="AL362" i="2"/>
  <c r="AL364" i="2" s="1"/>
  <c r="R362" i="2"/>
  <c r="R364" i="2" s="1"/>
  <c r="AK362" i="2"/>
  <c r="AK364" i="2" s="1"/>
  <c r="Q362" i="2"/>
  <c r="Q364" i="2" s="1"/>
  <c r="AQ380" i="2"/>
  <c r="AQ379" i="2"/>
  <c r="AQ373" i="2"/>
  <c r="AI362" i="2"/>
  <c r="AI364" i="2" s="1"/>
  <c r="K362" i="2"/>
  <c r="K364" i="2" s="1"/>
  <c r="AQ367" i="2"/>
  <c r="AQ365" i="2"/>
  <c r="AH362" i="2"/>
  <c r="AH364" i="2" s="1"/>
  <c r="J362" i="2"/>
  <c r="J364" i="2" s="1"/>
  <c r="AQ392" i="2"/>
  <c r="AQ390" i="2"/>
  <c r="AG362" i="2"/>
  <c r="AG364" i="2" s="1"/>
  <c r="I362" i="2"/>
  <c r="I364" i="2" s="1"/>
  <c r="AJ362" i="2"/>
  <c r="AJ364" i="2" s="1"/>
  <c r="AE362" i="2"/>
  <c r="AE364" i="2" s="1"/>
  <c r="AQ385" i="2"/>
  <c r="Z362" i="2"/>
  <c r="Z364" i="2" s="1"/>
  <c r="V362" i="2"/>
  <c r="V364" i="2" s="1"/>
  <c r="AQ389" i="2"/>
  <c r="AQ382" i="2"/>
  <c r="T362" i="2"/>
  <c r="T364" i="2" s="1"/>
  <c r="O362" i="2"/>
  <c r="O364" i="2" s="1"/>
  <c r="H362" i="2"/>
  <c r="H364" i="2" s="1"/>
  <c r="CE285" i="2"/>
  <c r="AQ393" i="2"/>
  <c r="G362" i="2"/>
  <c r="G364" i="2" s="1"/>
  <c r="W362" i="2"/>
  <c r="W364" i="2" s="1"/>
  <c r="AQ375" i="2"/>
  <c r="U362" i="2"/>
  <c r="U364" i="2" s="1"/>
  <c r="F362" i="2"/>
  <c r="F364" i="2" s="1"/>
  <c r="AQ381" i="2"/>
  <c r="AQ369" i="2"/>
  <c r="E362" i="2"/>
  <c r="E364" i="2" s="1"/>
  <c r="AQ396" i="2"/>
  <c r="S362" i="2"/>
  <c r="S364" i="2" s="1"/>
  <c r="CD245" i="2"/>
  <c r="BN245" i="2"/>
  <c r="AQ374" i="2"/>
  <c r="AQ368" i="2"/>
  <c r="AQ370" i="2"/>
  <c r="X362" i="2"/>
  <c r="X364" i="2" s="1"/>
  <c r="BO245" i="2"/>
  <c r="AX245" i="2"/>
  <c r="AQ377" i="2"/>
  <c r="CA245" i="2"/>
  <c r="BJ245" i="2"/>
  <c r="BW245" i="2"/>
  <c r="BY245" i="2"/>
  <c r="BE245" i="2"/>
  <c r="BX245" i="2"/>
  <c r="BD245" i="2"/>
  <c r="AN362" i="2"/>
  <c r="AN364" i="2" s="1"/>
  <c r="BV245" i="2"/>
  <c r="BC245" i="2"/>
  <c r="AM362" i="2"/>
  <c r="AM364" i="2" s="1"/>
  <c r="BU245" i="2"/>
  <c r="BB245" i="2"/>
  <c r="AA362" i="2"/>
  <c r="AA364" i="2" s="1"/>
  <c r="BT245" i="2"/>
  <c r="BA245" i="2"/>
  <c r="BM245" i="2"/>
  <c r="AU245" i="2"/>
  <c r="AZ245" i="2"/>
  <c r="AY245" i="2"/>
  <c r="CE245" i="2"/>
  <c r="AU282" i="2" s="1"/>
  <c r="AW245" i="2"/>
  <c r="Y362" i="2"/>
  <c r="Y364" i="2" s="1"/>
  <c r="CC245" i="2"/>
  <c r="AV245" i="2"/>
  <c r="BS245" i="2"/>
  <c r="BR245" i="2"/>
  <c r="BQ245" i="2"/>
  <c r="BP245" i="2"/>
  <c r="AQ371" i="2"/>
  <c r="BL245" i="2"/>
  <c r="BK245" i="2"/>
  <c r="BI245" i="2"/>
  <c r="BH245" i="2"/>
  <c r="BG245" i="2"/>
  <c r="BF245" i="2"/>
  <c r="AQ398" i="2"/>
  <c r="CB245" i="2"/>
  <c r="BZ245" i="2"/>
  <c r="BI274" i="2"/>
  <c r="BG263" i="2"/>
  <c r="BS248" i="2"/>
  <c r="BC248" i="2"/>
  <c r="CC248" i="2"/>
  <c r="BL248" i="2"/>
  <c r="AU248" i="2"/>
  <c r="BY248" i="2"/>
  <c r="BH248" i="2"/>
  <c r="BU248" i="2"/>
  <c r="BD248" i="2"/>
  <c r="CE248" i="2"/>
  <c r="AX282" i="2" s="1"/>
  <c r="BJ248" i="2"/>
  <c r="CD248" i="2"/>
  <c r="BI248" i="2"/>
  <c r="CB248" i="2"/>
  <c r="BG248" i="2"/>
  <c r="CA248" i="2"/>
  <c r="BF248" i="2"/>
  <c r="BZ248" i="2"/>
  <c r="BE248" i="2"/>
  <c r="BR248" i="2"/>
  <c r="AX248" i="2"/>
  <c r="BQ248" i="2"/>
  <c r="BP248" i="2"/>
  <c r="BO248" i="2"/>
  <c r="BN248" i="2"/>
  <c r="BB248" i="2"/>
  <c r="AY248" i="2"/>
  <c r="AW248" i="2"/>
  <c r="AV248" i="2"/>
  <c r="BV248" i="2"/>
  <c r="BW248" i="2"/>
  <c r="BT248" i="2"/>
  <c r="BM248" i="2"/>
  <c r="BK248" i="2"/>
  <c r="BA248" i="2"/>
  <c r="BX248" i="2"/>
  <c r="BU262" i="2"/>
  <c r="BE262" i="2"/>
  <c r="BQ262" i="2"/>
  <c r="BA262" i="2"/>
  <c r="CB262" i="2"/>
  <c r="BX262" i="2"/>
  <c r="BF262" i="2"/>
  <c r="BS262" i="2"/>
  <c r="AZ262" i="2"/>
  <c r="CC262" i="2"/>
  <c r="BG262" i="2"/>
  <c r="CA262" i="2"/>
  <c r="BD262" i="2"/>
  <c r="BZ262" i="2"/>
  <c r="BC262" i="2"/>
  <c r="BY262" i="2"/>
  <c r="BB262" i="2"/>
  <c r="BW262" i="2"/>
  <c r="AY262" i="2"/>
  <c r="BO262" i="2"/>
  <c r="BV262" i="2"/>
  <c r="BT262" i="2"/>
  <c r="BR262" i="2"/>
  <c r="BP262" i="2"/>
  <c r="BN262" i="2"/>
  <c r="BL262" i="2"/>
  <c r="CE262" i="2"/>
  <c r="BL282" i="2" s="1"/>
  <c r="CD262" i="2"/>
  <c r="BM262" i="2"/>
  <c r="BK262" i="2"/>
  <c r="BI262" i="2"/>
  <c r="BH262" i="2"/>
  <c r="AV262" i="2"/>
  <c r="AU262" i="2"/>
  <c r="AX262" i="2"/>
  <c r="AW262" i="2"/>
  <c r="CA256" i="2"/>
  <c r="BK256" i="2"/>
  <c r="AU256" i="2"/>
  <c r="CB256" i="2"/>
  <c r="BJ256" i="2"/>
  <c r="BW256" i="2"/>
  <c r="BF256" i="2"/>
  <c r="BS256" i="2"/>
  <c r="BB256" i="2"/>
  <c r="CC256" i="2"/>
  <c r="BG256" i="2"/>
  <c r="BZ256" i="2"/>
  <c r="BE256" i="2"/>
  <c r="BY256" i="2"/>
  <c r="BX256" i="2"/>
  <c r="BC256" i="2"/>
  <c r="BV256" i="2"/>
  <c r="BA256" i="2"/>
  <c r="BP256" i="2"/>
  <c r="AV256" i="2"/>
  <c r="BR256" i="2"/>
  <c r="BQ256" i="2"/>
  <c r="BO256" i="2"/>
  <c r="BN256" i="2"/>
  <c r="BI256" i="2"/>
  <c r="CE256" i="2"/>
  <c r="BF282" i="2" s="1"/>
  <c r="CD256" i="2"/>
  <c r="BU256" i="2"/>
  <c r="BT256" i="2"/>
  <c r="BM256" i="2"/>
  <c r="BL256" i="2"/>
  <c r="AY256" i="2"/>
  <c r="AX256" i="2"/>
  <c r="AW256" i="2"/>
  <c r="BH256" i="2"/>
  <c r="AZ256" i="2"/>
  <c r="BG279" i="2"/>
  <c r="BK279" i="2"/>
  <c r="BZ250" i="2"/>
  <c r="BG250" i="2"/>
  <c r="AU263" i="2"/>
  <c r="AU247" i="2"/>
  <c r="BB247" i="2"/>
  <c r="BG269" i="2"/>
  <c r="K85" i="2"/>
  <c r="K252" i="2" s="1"/>
  <c r="M332" i="2" s="1"/>
  <c r="G78" i="2"/>
  <c r="J86" i="2" s="1"/>
  <c r="J253" i="2" s="1"/>
  <c r="L333" i="2" s="1"/>
  <c r="W150" i="2"/>
  <c r="W261" i="2" s="1"/>
  <c r="Y341" i="2" s="1"/>
  <c r="D146" i="2"/>
  <c r="S154" i="2" s="1"/>
  <c r="S265" i="2" s="1"/>
  <c r="U345" i="2" s="1"/>
  <c r="H145" i="2"/>
  <c r="U151" i="2"/>
  <c r="U262" i="2" s="1"/>
  <c r="W342" i="2" s="1"/>
  <c r="E144" i="2"/>
  <c r="T152" i="2" s="1"/>
  <c r="T263" i="2" s="1"/>
  <c r="V343" i="2" s="1"/>
  <c r="AQ499" i="2"/>
  <c r="AQ512" i="2"/>
  <c r="AQ497" i="2"/>
  <c r="BI264" i="2"/>
  <c r="BP264" i="2"/>
  <c r="BO249" i="2"/>
  <c r="BJ272" i="2"/>
  <c r="BI272" i="2"/>
  <c r="BO267" i="2"/>
  <c r="BI275" i="2"/>
  <c r="BF258" i="2"/>
  <c r="BH283" i="2"/>
  <c r="N298" i="2"/>
  <c r="BG246" i="2"/>
  <c r="BZ271" i="2"/>
  <c r="BZ249" i="2"/>
  <c r="CD261" i="2"/>
  <c r="BN261" i="2"/>
  <c r="AX261" i="2"/>
  <c r="BZ261" i="2"/>
  <c r="BJ261" i="2"/>
  <c r="BM261" i="2"/>
  <c r="AU261" i="2"/>
  <c r="CA261" i="2"/>
  <c r="BH261" i="2"/>
  <c r="BV261" i="2"/>
  <c r="BD261" i="2"/>
  <c r="BU261" i="2"/>
  <c r="AZ261" i="2"/>
  <c r="BT261" i="2"/>
  <c r="AY261" i="2"/>
  <c r="BS261" i="2"/>
  <c r="AW261" i="2"/>
  <c r="BR261" i="2"/>
  <c r="AV261" i="2"/>
  <c r="BQ261" i="2"/>
  <c r="BI261" i="2"/>
  <c r="CB261" i="2"/>
  <c r="BY261" i="2"/>
  <c r="BX261" i="2"/>
  <c r="BW261" i="2"/>
  <c r="BP261" i="2"/>
  <c r="BF261" i="2"/>
  <c r="BE261" i="2"/>
  <c r="BC261" i="2"/>
  <c r="BB261" i="2"/>
  <c r="BA261" i="2"/>
  <c r="CE261" i="2"/>
  <c r="BK282" i="2" s="1"/>
  <c r="BK261" i="2"/>
  <c r="BO261" i="2"/>
  <c r="CC261" i="2"/>
  <c r="BG261" i="2"/>
  <c r="BG255" i="2"/>
  <c r="BV253" i="2"/>
  <c r="BF253" i="2"/>
  <c r="CC253" i="2"/>
  <c r="BL253" i="2"/>
  <c r="AU253" i="2"/>
  <c r="BY253" i="2"/>
  <c r="BH253" i="2"/>
  <c r="BT253" i="2"/>
  <c r="BC253" i="2"/>
  <c r="BR253" i="2"/>
  <c r="AX253" i="2"/>
  <c r="BQ253" i="2"/>
  <c r="AW253" i="2"/>
  <c r="BP253" i="2"/>
  <c r="AV253" i="2"/>
  <c r="BO253" i="2"/>
  <c r="BN253" i="2"/>
  <c r="CB253" i="2"/>
  <c r="BG253" i="2"/>
  <c r="BS253" i="2"/>
  <c r="BM253" i="2"/>
  <c r="BK253" i="2"/>
  <c r="BJ253" i="2"/>
  <c r="BD253" i="2"/>
  <c r="BU253" i="2"/>
  <c r="BI253" i="2"/>
  <c r="BE253" i="2"/>
  <c r="BB253" i="2"/>
  <c r="BA253" i="2"/>
  <c r="AZ253" i="2"/>
  <c r="AY253" i="2"/>
  <c r="CD253" i="2"/>
  <c r="CE253" i="2"/>
  <c r="BC282" i="2" s="1"/>
  <c r="BX253" i="2"/>
  <c r="BW253" i="2"/>
  <c r="CA253" i="2"/>
  <c r="BZ253" i="2"/>
  <c r="AX279" i="2"/>
  <c r="BO263" i="2"/>
  <c r="AX247" i="2"/>
  <c r="F95" i="2"/>
  <c r="L103" i="2" s="1"/>
  <c r="L256" i="2" s="1"/>
  <c r="N336" i="2" s="1"/>
  <c r="N101" i="2"/>
  <c r="N254" i="2" s="1"/>
  <c r="P334" i="2" s="1"/>
  <c r="G112" i="2"/>
  <c r="P120" i="2" s="1"/>
  <c r="P259" i="2" s="1"/>
  <c r="R339" i="2" s="1"/>
  <c r="Q119" i="2"/>
  <c r="Q258" i="2" s="1"/>
  <c r="S338" i="2" s="1"/>
  <c r="BL279" i="2"/>
  <c r="BZ279" i="2"/>
  <c r="AY247" i="2"/>
  <c r="BO268" i="2"/>
  <c r="AX269" i="2"/>
  <c r="BI269" i="2"/>
  <c r="AU280" i="2"/>
  <c r="H144" i="2"/>
  <c r="C146" i="2"/>
  <c r="R154" i="2" s="1"/>
  <c r="R265" i="2" s="1"/>
  <c r="T345" i="2" s="1"/>
  <c r="W149" i="2"/>
  <c r="W260" i="2" s="1"/>
  <c r="Y340" i="2" s="1"/>
  <c r="AQ492" i="2"/>
  <c r="AQ494" i="2"/>
  <c r="AQ505" i="2"/>
  <c r="BG277" i="2"/>
  <c r="AU273" i="2"/>
  <c r="BJ264" i="2"/>
  <c r="AU264" i="2"/>
  <c r="BP249" i="2"/>
  <c r="BK272" i="2"/>
  <c r="BA255" i="2"/>
  <c r="BD255" i="2"/>
  <c r="BO275" i="2"/>
  <c r="BG275" i="2"/>
  <c r="BC274" i="2"/>
  <c r="BB258" i="2"/>
  <c r="BI270" i="2"/>
  <c r="BZ278" i="2"/>
  <c r="AU277" i="2"/>
  <c r="BZ264" i="2"/>
  <c r="BJ274" i="2"/>
  <c r="BM283" i="2"/>
  <c r="N303" i="2"/>
  <c r="AU268" i="2"/>
  <c r="BK250" i="2"/>
  <c r="AX263" i="2"/>
  <c r="BC247" i="2"/>
  <c r="BP268" i="2"/>
  <c r="BK269" i="2"/>
  <c r="T136" i="2"/>
  <c r="T261" i="2" s="1"/>
  <c r="V341" i="2" s="1"/>
  <c r="G129" i="2"/>
  <c r="S137" i="2" s="1"/>
  <c r="S262" i="2" s="1"/>
  <c r="U342" i="2" s="1"/>
  <c r="G95" i="2"/>
  <c r="M103" i="2" s="1"/>
  <c r="M256" i="2" s="1"/>
  <c r="O336" i="2" s="1"/>
  <c r="N102" i="2"/>
  <c r="N255" i="2" s="1"/>
  <c r="P335" i="2" s="1"/>
  <c r="AQ510" i="2"/>
  <c r="AQ502" i="2"/>
  <c r="BL273" i="2"/>
  <c r="BK264" i="2"/>
  <c r="BL272" i="2"/>
  <c r="BA270" i="2"/>
  <c r="AX270" i="2"/>
  <c r="BG267" i="2"/>
  <c r="BL275" i="2"/>
  <c r="BC275" i="2"/>
  <c r="BG258" i="2"/>
  <c r="BK271" i="2"/>
  <c r="BI271" i="2"/>
  <c r="BI246" i="2"/>
  <c r="BA246" i="2"/>
  <c r="AN599" i="5" l="1"/>
  <c r="AN583" i="5"/>
  <c r="AN600" i="5"/>
  <c r="AN598" i="5"/>
  <c r="AN581" i="5"/>
  <c r="AN604" i="5"/>
  <c r="AN585" i="5"/>
  <c r="AN603" i="5"/>
  <c r="AN584" i="5"/>
  <c r="AN608" i="5"/>
  <c r="AN587" i="5"/>
  <c r="AN606" i="5"/>
  <c r="AN582" i="5"/>
  <c r="AN605" i="5"/>
  <c r="AN580" i="5"/>
  <c r="AN594" i="5"/>
  <c r="AN586" i="5"/>
  <c r="AN610" i="5"/>
  <c r="AN578" i="5"/>
  <c r="AN609" i="5"/>
  <c r="AN592" i="5"/>
  <c r="AN591" i="5"/>
  <c r="AN590" i="5"/>
  <c r="AN589" i="5"/>
  <c r="AN607" i="5"/>
  <c r="AN602" i="5"/>
  <c r="AN601" i="5"/>
  <c r="AN597" i="5"/>
  <c r="AN596" i="5"/>
  <c r="AN595" i="5"/>
  <c r="AN593" i="5"/>
  <c r="AN579" i="5"/>
  <c r="AN588" i="5"/>
  <c r="AN578" i="4" a="1"/>
  <c r="AG421" i="2"/>
  <c r="Q421" i="2"/>
  <c r="G461" i="2"/>
  <c r="AI421" i="2"/>
  <c r="R421" i="2"/>
  <c r="AM421" i="2"/>
  <c r="U421" i="2"/>
  <c r="AC381" i="2"/>
  <c r="AJ421" i="2"/>
  <c r="P421" i="2"/>
  <c r="E461" i="2"/>
  <c r="AP501" i="2" s="1"/>
  <c r="AK421" i="2"/>
  <c r="N421" i="2"/>
  <c r="AM381" i="2"/>
  <c r="V381" i="2"/>
  <c r="F381" i="2"/>
  <c r="AH421" i="2"/>
  <c r="M421" i="2"/>
  <c r="AF421" i="2"/>
  <c r="L421" i="2"/>
  <c r="AE421" i="2"/>
  <c r="K421" i="2"/>
  <c r="Y421" i="2"/>
  <c r="E421" i="2"/>
  <c r="X421" i="2"/>
  <c r="AC421" i="2"/>
  <c r="AA421" i="2"/>
  <c r="W421" i="2"/>
  <c r="O421" i="2"/>
  <c r="H421" i="2"/>
  <c r="AP381" i="2"/>
  <c r="X381" i="2"/>
  <c r="G381" i="2"/>
  <c r="F421" i="2"/>
  <c r="AN381" i="2"/>
  <c r="U381" i="2"/>
  <c r="D381" i="2"/>
  <c r="AL381" i="2"/>
  <c r="T381" i="2"/>
  <c r="C381" i="2"/>
  <c r="AP421" i="2" s="1"/>
  <c r="AK381" i="2"/>
  <c r="S381" i="2"/>
  <c r="B381" i="2"/>
  <c r="Z421" i="2"/>
  <c r="AE381" i="2"/>
  <c r="I381" i="2"/>
  <c r="V421" i="2"/>
  <c r="AD381" i="2"/>
  <c r="H381" i="2"/>
  <c r="S421" i="2"/>
  <c r="AA381" i="2"/>
  <c r="J421" i="2"/>
  <c r="Z381" i="2"/>
  <c r="I421" i="2"/>
  <c r="Y381" i="2"/>
  <c r="AJ381" i="2"/>
  <c r="E381" i="2"/>
  <c r="AI381" i="2"/>
  <c r="AN421" i="2"/>
  <c r="AH381" i="2"/>
  <c r="AL421" i="2"/>
  <c r="AG381" i="2"/>
  <c r="G421" i="2"/>
  <c r="R381" i="2"/>
  <c r="AF381" i="2"/>
  <c r="W381" i="2"/>
  <c r="Q381" i="2"/>
  <c r="F461" i="2"/>
  <c r="P381" i="2"/>
  <c r="AD421" i="2"/>
  <c r="AB421" i="2"/>
  <c r="M381" i="2"/>
  <c r="AB381" i="2"/>
  <c r="O381" i="2"/>
  <c r="L381" i="2"/>
  <c r="J381" i="2"/>
  <c r="T421" i="2"/>
  <c r="AO381" i="2"/>
  <c r="AO421" i="2" s="1"/>
  <c r="N381" i="2"/>
  <c r="K381" i="2"/>
  <c r="AL484" i="2"/>
  <c r="AL404" i="2"/>
  <c r="AG484" i="2"/>
  <c r="AG404" i="2"/>
  <c r="G475" i="2"/>
  <c r="AG435" i="2"/>
  <c r="Q435" i="2"/>
  <c r="AF435" i="2"/>
  <c r="O435" i="2"/>
  <c r="AL435" i="2"/>
  <c r="T435" i="2"/>
  <c r="F475" i="2"/>
  <c r="AK435" i="2"/>
  <c r="S435" i="2"/>
  <c r="AM435" i="2"/>
  <c r="P435" i="2"/>
  <c r="AJ435" i="2"/>
  <c r="N435" i="2"/>
  <c r="AH435" i="2"/>
  <c r="L435" i="2"/>
  <c r="AC435" i="2"/>
  <c r="I435" i="2"/>
  <c r="AN435" i="2"/>
  <c r="H435" i="2"/>
  <c r="AG395" i="2"/>
  <c r="Q395" i="2"/>
  <c r="AI435" i="2"/>
  <c r="G435" i="2"/>
  <c r="AD435" i="2"/>
  <c r="E435" i="2"/>
  <c r="AB435" i="2"/>
  <c r="X435" i="2"/>
  <c r="AE395" i="2"/>
  <c r="N395" i="2"/>
  <c r="E475" i="2"/>
  <c r="AP515" i="2" s="1"/>
  <c r="W435" i="2"/>
  <c r="V435" i="2"/>
  <c r="U435" i="2"/>
  <c r="AB395" i="2"/>
  <c r="K395" i="2"/>
  <c r="J435" i="2"/>
  <c r="Z395" i="2"/>
  <c r="G395" i="2"/>
  <c r="X395" i="2"/>
  <c r="E395" i="2"/>
  <c r="AO395" i="2"/>
  <c r="AO435" i="2" s="1"/>
  <c r="V395" i="2"/>
  <c r="C395" i="2"/>
  <c r="AP435" i="2" s="1"/>
  <c r="AK395" i="2"/>
  <c r="R395" i="2"/>
  <c r="AH395" i="2"/>
  <c r="H395" i="2"/>
  <c r="AD395" i="2"/>
  <c r="D395" i="2"/>
  <c r="AC395" i="2"/>
  <c r="B395" i="2"/>
  <c r="AA395" i="2"/>
  <c r="AA435" i="2"/>
  <c r="W395" i="2"/>
  <c r="U395" i="2"/>
  <c r="S395" i="2"/>
  <c r="P395" i="2"/>
  <c r="O395" i="2"/>
  <c r="AI395" i="2"/>
  <c r="AE435" i="2"/>
  <c r="AF395" i="2"/>
  <c r="Z435" i="2"/>
  <c r="Y395" i="2"/>
  <c r="Y435" i="2"/>
  <c r="T395" i="2"/>
  <c r="F435" i="2"/>
  <c r="I395" i="2"/>
  <c r="AP395" i="2"/>
  <c r="AN395" i="2"/>
  <c r="AM395" i="2"/>
  <c r="K435" i="2"/>
  <c r="AJ395" i="2"/>
  <c r="M395" i="2"/>
  <c r="J395" i="2"/>
  <c r="F395" i="2"/>
  <c r="M435" i="2"/>
  <c r="AL395" i="2"/>
  <c r="L395" i="2"/>
  <c r="R435" i="2"/>
  <c r="AL485" i="2"/>
  <c r="BL260" i="2"/>
  <c r="H330" i="2"/>
  <c r="AX250" i="2"/>
  <c r="Y487" i="2"/>
  <c r="AD487" i="2"/>
  <c r="AN486" i="2"/>
  <c r="X486" i="2"/>
  <c r="AI501" i="2"/>
  <c r="S501" i="2"/>
  <c r="C501" i="2"/>
  <c r="C541" i="2" s="1"/>
  <c r="G541" i="2"/>
  <c r="AK501" i="2"/>
  <c r="T501" i="2"/>
  <c r="B501" i="2"/>
  <c r="B541" i="2" s="1"/>
  <c r="F541" i="2"/>
  <c r="AJ501" i="2"/>
  <c r="Q501" i="2"/>
  <c r="H541" i="2"/>
  <c r="AF501" i="2"/>
  <c r="N501" i="2"/>
  <c r="AB501" i="2"/>
  <c r="J501" i="2"/>
  <c r="U501" i="2"/>
  <c r="AO501" i="2"/>
  <c r="R501" i="2"/>
  <c r="E541" i="2"/>
  <c r="AM501" i="2"/>
  <c r="O501" i="2"/>
  <c r="AD501" i="2"/>
  <c r="H501" i="2"/>
  <c r="Y501" i="2"/>
  <c r="W501" i="2"/>
  <c r="V501" i="2"/>
  <c r="L501" i="2"/>
  <c r="K501" i="2"/>
  <c r="I501" i="2"/>
  <c r="I541" i="2"/>
  <c r="F501" i="2"/>
  <c r="AH501" i="2"/>
  <c r="AL501" i="2"/>
  <c r="AG501" i="2"/>
  <c r="AC501" i="2"/>
  <c r="AA501" i="2"/>
  <c r="Z501" i="2"/>
  <c r="X501" i="2"/>
  <c r="AN501" i="2"/>
  <c r="P501" i="2"/>
  <c r="M501" i="2"/>
  <c r="G501" i="2"/>
  <c r="AE501" i="2"/>
  <c r="E501" i="2"/>
  <c r="D501" i="2"/>
  <c r="D541" i="2" s="1"/>
  <c r="Y520" i="2"/>
  <c r="N520" i="2"/>
  <c r="U520" i="2"/>
  <c r="AC513" i="2"/>
  <c r="AH513" i="2"/>
  <c r="AN519" i="2"/>
  <c r="M519" i="2"/>
  <c r="AI519" i="2"/>
  <c r="AK417" i="2"/>
  <c r="U417" i="2"/>
  <c r="AA417" i="2"/>
  <c r="X417" i="2"/>
  <c r="AM417" i="2"/>
  <c r="S417" i="2"/>
  <c r="AD377" i="2"/>
  <c r="N377" i="2"/>
  <c r="AL417" i="2"/>
  <c r="AJ417" i="2"/>
  <c r="AI417" i="2"/>
  <c r="AC417" i="2"/>
  <c r="AN417" i="2"/>
  <c r="AG417" i="2"/>
  <c r="AE417" i="2"/>
  <c r="Y417" i="2"/>
  <c r="AL377" i="2"/>
  <c r="U377" i="2"/>
  <c r="D377" i="2"/>
  <c r="AJ377" i="2"/>
  <c r="S377" i="2"/>
  <c r="B377" i="2"/>
  <c r="AI377" i="2"/>
  <c r="R377" i="2"/>
  <c r="AH377" i="2"/>
  <c r="Q377" i="2"/>
  <c r="W417" i="2"/>
  <c r="AN377" i="2"/>
  <c r="O377" i="2"/>
  <c r="V417" i="2"/>
  <c r="AM377" i="2"/>
  <c r="M377" i="2"/>
  <c r="AG377" i="2"/>
  <c r="K377" i="2"/>
  <c r="AF377" i="2"/>
  <c r="J377" i="2"/>
  <c r="AE377" i="2"/>
  <c r="I377" i="2"/>
  <c r="AP377" i="2"/>
  <c r="F377" i="2"/>
  <c r="AO377" i="2"/>
  <c r="AO417" i="2" s="1"/>
  <c r="E377" i="2"/>
  <c r="AH417" i="2"/>
  <c r="AK377" i="2"/>
  <c r="C377" i="2"/>
  <c r="AP417" i="2" s="1"/>
  <c r="AF417" i="2"/>
  <c r="AC377" i="2"/>
  <c r="T417" i="2"/>
  <c r="Y377" i="2"/>
  <c r="H377" i="2"/>
  <c r="AB417" i="2"/>
  <c r="X377" i="2"/>
  <c r="Z417" i="2"/>
  <c r="W377" i="2"/>
  <c r="T377" i="2"/>
  <c r="P377" i="2"/>
  <c r="AA377" i="2"/>
  <c r="AD417" i="2"/>
  <c r="Z377" i="2"/>
  <c r="L377" i="2"/>
  <c r="G377" i="2"/>
  <c r="AB377" i="2"/>
  <c r="V377" i="2"/>
  <c r="AE437" i="2"/>
  <c r="O437" i="2"/>
  <c r="AJ437" i="2"/>
  <c r="S437" i="2"/>
  <c r="AB437" i="2"/>
  <c r="J437" i="2"/>
  <c r="AA437" i="2"/>
  <c r="I437" i="2"/>
  <c r="AN437" i="2"/>
  <c r="AM437" i="2"/>
  <c r="R437" i="2"/>
  <c r="AL437" i="2"/>
  <c r="Q437" i="2"/>
  <c r="AI437" i="2"/>
  <c r="N437" i="2"/>
  <c r="G477" i="2"/>
  <c r="AF437" i="2"/>
  <c r="K437" i="2"/>
  <c r="E477" i="2"/>
  <c r="AP517" i="2" s="1"/>
  <c r="H437" i="2"/>
  <c r="AC397" i="2"/>
  <c r="M397" i="2"/>
  <c r="AK437" i="2"/>
  <c r="G437" i="2"/>
  <c r="AG437" i="2"/>
  <c r="E437" i="2"/>
  <c r="AD437" i="2"/>
  <c r="T437" i="2"/>
  <c r="AG397" i="2"/>
  <c r="P397" i="2"/>
  <c r="P437" i="2"/>
  <c r="M437" i="2"/>
  <c r="L437" i="2"/>
  <c r="AD397" i="2"/>
  <c r="L397" i="2"/>
  <c r="AC437" i="2"/>
  <c r="Z437" i="2"/>
  <c r="AN397" i="2"/>
  <c r="U397" i="2"/>
  <c r="B397" i="2"/>
  <c r="AL397" i="2"/>
  <c r="S397" i="2"/>
  <c r="Y437" i="2"/>
  <c r="AJ397" i="2"/>
  <c r="Q397" i="2"/>
  <c r="F477" i="2"/>
  <c r="U437" i="2"/>
  <c r="AE397" i="2"/>
  <c r="J397" i="2"/>
  <c r="Z397" i="2"/>
  <c r="C397" i="2"/>
  <c r="AP437" i="2" s="1"/>
  <c r="X397" i="2"/>
  <c r="W397" i="2"/>
  <c r="V397" i="2"/>
  <c r="X437" i="2"/>
  <c r="F437" i="2"/>
  <c r="I397" i="2"/>
  <c r="AP397" i="2"/>
  <c r="H397" i="2"/>
  <c r="AM397" i="2"/>
  <c r="F397" i="2"/>
  <c r="AK397" i="2"/>
  <c r="E397" i="2"/>
  <c r="AI397" i="2"/>
  <c r="D397" i="2"/>
  <c r="AO397" i="2"/>
  <c r="AO437" i="2" s="1"/>
  <c r="AH397" i="2"/>
  <c r="Y397" i="2"/>
  <c r="R397" i="2"/>
  <c r="AH437" i="2"/>
  <c r="V437" i="2"/>
  <c r="AF397" i="2"/>
  <c r="AB397" i="2"/>
  <c r="AA397" i="2"/>
  <c r="T397" i="2"/>
  <c r="N397" i="2"/>
  <c r="W437" i="2"/>
  <c r="K397" i="2"/>
  <c r="G397" i="2"/>
  <c r="O397" i="2"/>
  <c r="AG485" i="2"/>
  <c r="AO518" i="2"/>
  <c r="Y518" i="2"/>
  <c r="I518" i="2"/>
  <c r="H558" i="2"/>
  <c r="AM518" i="2"/>
  <c r="V518" i="2"/>
  <c r="E518" i="2"/>
  <c r="G558" i="2"/>
  <c r="E558" i="2"/>
  <c r="AJ518" i="2"/>
  <c r="S518" i="2"/>
  <c r="B518" i="2"/>
  <c r="B558" i="2" s="1"/>
  <c r="U518" i="2"/>
  <c r="AN518" i="2"/>
  <c r="T518" i="2"/>
  <c r="AK518" i="2"/>
  <c r="Q518" i="2"/>
  <c r="AF518" i="2"/>
  <c r="M518" i="2"/>
  <c r="X518" i="2"/>
  <c r="W518" i="2"/>
  <c r="P518" i="2"/>
  <c r="I558" i="2"/>
  <c r="AH518" i="2"/>
  <c r="J518" i="2"/>
  <c r="AG518" i="2"/>
  <c r="H518" i="2"/>
  <c r="AA518" i="2"/>
  <c r="R518" i="2"/>
  <c r="O518" i="2"/>
  <c r="F558" i="2"/>
  <c r="G518" i="2"/>
  <c r="F518" i="2"/>
  <c r="D518" i="2"/>
  <c r="D558" i="2" s="1"/>
  <c r="AI518" i="2"/>
  <c r="AB518" i="2"/>
  <c r="AC518" i="2"/>
  <c r="Z518" i="2"/>
  <c r="N518" i="2"/>
  <c r="L518" i="2"/>
  <c r="AL518" i="2"/>
  <c r="AD518" i="2"/>
  <c r="K518" i="2"/>
  <c r="C518" i="2"/>
  <c r="C558" i="2" s="1"/>
  <c r="AE518" i="2"/>
  <c r="AA411" i="2"/>
  <c r="AN411" i="2"/>
  <c r="X411" i="2"/>
  <c r="V411" i="2"/>
  <c r="AP371" i="2"/>
  <c r="Z371" i="2"/>
  <c r="J371" i="2"/>
  <c r="AL411" i="2"/>
  <c r="T411" i="2"/>
  <c r="AK411" i="2"/>
  <c r="S411" i="2"/>
  <c r="AE411" i="2"/>
  <c r="Z411" i="2"/>
  <c r="W411" i="2"/>
  <c r="AJ411" i="2"/>
  <c r="AH371" i="2"/>
  <c r="Q371" i="2"/>
  <c r="AF371" i="2"/>
  <c r="O371" i="2"/>
  <c r="AE371" i="2"/>
  <c r="N371" i="2"/>
  <c r="AD371" i="2"/>
  <c r="M371" i="2"/>
  <c r="AI411" i="2"/>
  <c r="AN371" i="2"/>
  <c r="S371" i="2"/>
  <c r="AH411" i="2"/>
  <c r="AM371" i="2"/>
  <c r="R371" i="2"/>
  <c r="AF411" i="2"/>
  <c r="AK371" i="2"/>
  <c r="L371" i="2"/>
  <c r="AD411" i="2"/>
  <c r="AJ371" i="2"/>
  <c r="K371" i="2"/>
  <c r="AC411" i="2"/>
  <c r="AI371" i="2"/>
  <c r="I371" i="2"/>
  <c r="Y411" i="2"/>
  <c r="Y371" i="2"/>
  <c r="U411" i="2"/>
  <c r="X371" i="2"/>
  <c r="V371" i="2"/>
  <c r="H371" i="2"/>
  <c r="AM411" i="2"/>
  <c r="AC371" i="2"/>
  <c r="AB411" i="2"/>
  <c r="AA371" i="2"/>
  <c r="W371" i="2"/>
  <c r="U371" i="2"/>
  <c r="AL371" i="2"/>
  <c r="AG371" i="2"/>
  <c r="T371" i="2"/>
  <c r="P371" i="2"/>
  <c r="C371" i="2"/>
  <c r="AP411" i="2" s="1"/>
  <c r="F371" i="2"/>
  <c r="E371" i="2"/>
  <c r="B371" i="2"/>
  <c r="AO371" i="2"/>
  <c r="AO411" i="2" s="1"/>
  <c r="AB371" i="2"/>
  <c r="G371" i="2"/>
  <c r="AG411" i="2"/>
  <c r="D371" i="2"/>
  <c r="AA484" i="2"/>
  <c r="AA404" i="2"/>
  <c r="G404" i="2"/>
  <c r="G484" i="2"/>
  <c r="AB432" i="2"/>
  <c r="L432" i="2"/>
  <c r="AJ432" i="2"/>
  <c r="S432" i="2"/>
  <c r="F472" i="2"/>
  <c r="AG432" i="2"/>
  <c r="O432" i="2"/>
  <c r="E472" i="2"/>
  <c r="AP512" i="2" s="1"/>
  <c r="V432" i="2"/>
  <c r="AM432" i="2"/>
  <c r="T432" i="2"/>
  <c r="AI432" i="2"/>
  <c r="P432" i="2"/>
  <c r="AF432" i="2"/>
  <c r="I432" i="2"/>
  <c r="AE392" i="2"/>
  <c r="O392" i="2"/>
  <c r="AE432" i="2"/>
  <c r="H432" i="2"/>
  <c r="AC432" i="2"/>
  <c r="F432" i="2"/>
  <c r="AA432" i="2"/>
  <c r="E432" i="2"/>
  <c r="N432" i="2"/>
  <c r="AL392" i="2"/>
  <c r="U392" i="2"/>
  <c r="D392" i="2"/>
  <c r="M432" i="2"/>
  <c r="K432" i="2"/>
  <c r="J432" i="2"/>
  <c r="AI392" i="2"/>
  <c r="R392" i="2"/>
  <c r="Z432" i="2"/>
  <c r="Y432" i="2"/>
  <c r="X432" i="2"/>
  <c r="AJ392" i="2"/>
  <c r="P392" i="2"/>
  <c r="U432" i="2"/>
  <c r="AG392" i="2"/>
  <c r="M392" i="2"/>
  <c r="Q432" i="2"/>
  <c r="AN432" i="2"/>
  <c r="AK392" i="2"/>
  <c r="L392" i="2"/>
  <c r="G472" i="2"/>
  <c r="AK432" i="2"/>
  <c r="AF392" i="2"/>
  <c r="J392" i="2"/>
  <c r="AH432" i="2"/>
  <c r="AD392" i="2"/>
  <c r="I392" i="2"/>
  <c r="AD432" i="2"/>
  <c r="AC392" i="2"/>
  <c r="H392" i="2"/>
  <c r="G432" i="2"/>
  <c r="W392" i="2"/>
  <c r="V392" i="2"/>
  <c r="S392" i="2"/>
  <c r="Q392" i="2"/>
  <c r="N392" i="2"/>
  <c r="AL432" i="2"/>
  <c r="K392" i="2"/>
  <c r="W432" i="2"/>
  <c r="G392" i="2"/>
  <c r="R432" i="2"/>
  <c r="F392" i="2"/>
  <c r="E392" i="2"/>
  <c r="AN392" i="2"/>
  <c r="AH392" i="2"/>
  <c r="AA392" i="2"/>
  <c r="Y392" i="2"/>
  <c r="X392" i="2"/>
  <c r="T392" i="2"/>
  <c r="AO392" i="2"/>
  <c r="AO432" i="2" s="1"/>
  <c r="AM392" i="2"/>
  <c r="AB392" i="2"/>
  <c r="Z392" i="2"/>
  <c r="B392" i="2"/>
  <c r="C392" i="2"/>
  <c r="AP432" i="2" s="1"/>
  <c r="AP392" i="2"/>
  <c r="L484" i="2"/>
  <c r="L404" i="2"/>
  <c r="AK431" i="2"/>
  <c r="U431" i="2"/>
  <c r="E431" i="2"/>
  <c r="F471" i="2"/>
  <c r="Z431" i="2"/>
  <c r="I431" i="2"/>
  <c r="Y431" i="2"/>
  <c r="G431" i="2"/>
  <c r="W431" i="2"/>
  <c r="AL431" i="2"/>
  <c r="S431" i="2"/>
  <c r="G471" i="2"/>
  <c r="AC431" i="2"/>
  <c r="F431" i="2"/>
  <c r="AO391" i="2"/>
  <c r="AO431" i="2" s="1"/>
  <c r="Y391" i="2"/>
  <c r="I391" i="2"/>
  <c r="E471" i="2"/>
  <c r="AP511" i="2" s="1"/>
  <c r="AB431" i="2"/>
  <c r="X431" i="2"/>
  <c r="V431" i="2"/>
  <c r="AA431" i="2"/>
  <c r="AC391" i="2"/>
  <c r="L391" i="2"/>
  <c r="T431" i="2"/>
  <c r="R431" i="2"/>
  <c r="Q431" i="2"/>
  <c r="AJ431" i="2"/>
  <c r="K431" i="2"/>
  <c r="AI431" i="2"/>
  <c r="J431" i="2"/>
  <c r="O431" i="2"/>
  <c r="AL391" i="2"/>
  <c r="M431" i="2"/>
  <c r="AJ391" i="2"/>
  <c r="R391" i="2"/>
  <c r="H431" i="2"/>
  <c r="AN431" i="2"/>
  <c r="P431" i="2"/>
  <c r="AG391" i="2"/>
  <c r="N391" i="2"/>
  <c r="L431" i="2"/>
  <c r="AE391" i="2"/>
  <c r="K391" i="2"/>
  <c r="AD391" i="2"/>
  <c r="J391" i="2"/>
  <c r="AB391" i="2"/>
  <c r="H391" i="2"/>
  <c r="AI391" i="2"/>
  <c r="F391" i="2"/>
  <c r="AM431" i="2"/>
  <c r="AH391" i="2"/>
  <c r="E391" i="2"/>
  <c r="AG431" i="2"/>
  <c r="AA391" i="2"/>
  <c r="C391" i="2"/>
  <c r="AP431" i="2" s="1"/>
  <c r="AF431" i="2"/>
  <c r="Z391" i="2"/>
  <c r="B391" i="2"/>
  <c r="AE431" i="2"/>
  <c r="X391" i="2"/>
  <c r="Q391" i="2"/>
  <c r="P391" i="2"/>
  <c r="O391" i="2"/>
  <c r="M391" i="2"/>
  <c r="AN391" i="2"/>
  <c r="AK391" i="2"/>
  <c r="AD431" i="2"/>
  <c r="D391" i="2"/>
  <c r="S391" i="2"/>
  <c r="G391" i="2"/>
  <c r="AP391" i="2"/>
  <c r="AH431" i="2"/>
  <c r="AM391" i="2"/>
  <c r="T391" i="2"/>
  <c r="AF391" i="2"/>
  <c r="W391" i="2"/>
  <c r="V391" i="2"/>
  <c r="N431" i="2"/>
  <c r="U391" i="2"/>
  <c r="F485" i="2"/>
  <c r="H485" i="2"/>
  <c r="I485" i="2"/>
  <c r="I490" i="2"/>
  <c r="H490" i="2"/>
  <c r="AC508" i="2"/>
  <c r="M508" i="2"/>
  <c r="AG508" i="2"/>
  <c r="P508" i="2"/>
  <c r="AH508" i="2"/>
  <c r="O508" i="2"/>
  <c r="AF508" i="2"/>
  <c r="N508" i="2"/>
  <c r="AD508" i="2"/>
  <c r="K508" i="2"/>
  <c r="I548" i="2"/>
  <c r="Y508" i="2"/>
  <c r="G508" i="2"/>
  <c r="V508" i="2"/>
  <c r="U508" i="2"/>
  <c r="G548" i="2"/>
  <c r="AO508" i="2"/>
  <c r="S508" i="2"/>
  <c r="E548" i="2"/>
  <c r="AJ508" i="2"/>
  <c r="I508" i="2"/>
  <c r="AI508" i="2"/>
  <c r="H508" i="2"/>
  <c r="L508" i="2"/>
  <c r="F508" i="2"/>
  <c r="AN508" i="2"/>
  <c r="E508" i="2"/>
  <c r="AB508" i="2"/>
  <c r="AA508" i="2"/>
  <c r="Z508" i="2"/>
  <c r="W508" i="2"/>
  <c r="Q508" i="2"/>
  <c r="AE508" i="2"/>
  <c r="X508" i="2"/>
  <c r="R508" i="2"/>
  <c r="J508" i="2"/>
  <c r="F548" i="2"/>
  <c r="AM508" i="2"/>
  <c r="AL508" i="2"/>
  <c r="H548" i="2"/>
  <c r="T508" i="2"/>
  <c r="D508" i="2"/>
  <c r="D548" i="2" s="1"/>
  <c r="C508" i="2"/>
  <c r="C548" i="2" s="1"/>
  <c r="B508" i="2"/>
  <c r="B548" i="2" s="1"/>
  <c r="AK508" i="2"/>
  <c r="H489" i="2"/>
  <c r="AK489" i="2"/>
  <c r="S487" i="2"/>
  <c r="K487" i="2"/>
  <c r="G486" i="2"/>
  <c r="F520" i="2"/>
  <c r="AG520" i="2"/>
  <c r="AK520" i="2"/>
  <c r="AG513" i="2"/>
  <c r="AM519" i="2"/>
  <c r="V519" i="2"/>
  <c r="R519" i="2"/>
  <c r="AK486" i="2"/>
  <c r="U484" i="2"/>
  <c r="U404" i="2"/>
  <c r="AG514" i="2"/>
  <c r="Q514" i="2"/>
  <c r="F554" i="2"/>
  <c r="AK514" i="2"/>
  <c r="T514" i="2"/>
  <c r="C514" i="2"/>
  <c r="C554" i="2" s="1"/>
  <c r="E554" i="2"/>
  <c r="AJ514" i="2"/>
  <c r="R514" i="2"/>
  <c r="AI514" i="2"/>
  <c r="P514" i="2"/>
  <c r="I554" i="2"/>
  <c r="AF514" i="2"/>
  <c r="N514" i="2"/>
  <c r="AB514" i="2"/>
  <c r="J514" i="2"/>
  <c r="AM514" i="2"/>
  <c r="L514" i="2"/>
  <c r="AL514" i="2"/>
  <c r="K514" i="2"/>
  <c r="AE514" i="2"/>
  <c r="H514" i="2"/>
  <c r="G554" i="2"/>
  <c r="Y514" i="2"/>
  <c r="B514" i="2"/>
  <c r="B554" i="2" s="1"/>
  <c r="X514" i="2"/>
  <c r="G514" i="2"/>
  <c r="AO514" i="2"/>
  <c r="E514" i="2"/>
  <c r="AN514" i="2"/>
  <c r="D514" i="2"/>
  <c r="D554" i="2" s="1"/>
  <c r="AH514" i="2"/>
  <c r="AD514" i="2"/>
  <c r="AA514" i="2"/>
  <c r="V514" i="2"/>
  <c r="Z514" i="2"/>
  <c r="W514" i="2"/>
  <c r="S514" i="2"/>
  <c r="H554" i="2"/>
  <c r="O514" i="2"/>
  <c r="F514" i="2"/>
  <c r="I514" i="2"/>
  <c r="M514" i="2"/>
  <c r="AC514" i="2"/>
  <c r="U514" i="2"/>
  <c r="AC516" i="2"/>
  <c r="M516" i="2"/>
  <c r="G556" i="2"/>
  <c r="AL516" i="2"/>
  <c r="U516" i="2"/>
  <c r="D516" i="2"/>
  <c r="D556" i="2" s="1"/>
  <c r="F556" i="2"/>
  <c r="AI516" i="2"/>
  <c r="R516" i="2"/>
  <c r="AA516" i="2"/>
  <c r="H516" i="2"/>
  <c r="Z516" i="2"/>
  <c r="G516" i="2"/>
  <c r="X516" i="2"/>
  <c r="E516" i="2"/>
  <c r="I556" i="2"/>
  <c r="AM516" i="2"/>
  <c r="S516" i="2"/>
  <c r="AD516" i="2"/>
  <c r="B516" i="2"/>
  <c r="B556" i="2" s="1"/>
  <c r="AB516" i="2"/>
  <c r="W516" i="2"/>
  <c r="AO516" i="2"/>
  <c r="O516" i="2"/>
  <c r="AN516" i="2"/>
  <c r="N516" i="2"/>
  <c r="AG516" i="2"/>
  <c r="AE516" i="2"/>
  <c r="Y516" i="2"/>
  <c r="C516" i="2"/>
  <c r="C556" i="2" s="1"/>
  <c r="E556" i="2"/>
  <c r="AJ516" i="2"/>
  <c r="V516" i="2"/>
  <c r="K516" i="2"/>
  <c r="H556" i="2"/>
  <c r="J516" i="2"/>
  <c r="F516" i="2"/>
  <c r="AK516" i="2"/>
  <c r="P516" i="2"/>
  <c r="L516" i="2"/>
  <c r="I516" i="2"/>
  <c r="AH516" i="2"/>
  <c r="AF516" i="2"/>
  <c r="T516" i="2"/>
  <c r="Q516" i="2"/>
  <c r="W484" i="2"/>
  <c r="W404" i="2"/>
  <c r="E470" i="2"/>
  <c r="AP510" i="2" s="1"/>
  <c r="AD430" i="2"/>
  <c r="AG430" i="2"/>
  <c r="P430" i="2"/>
  <c r="G470" i="2"/>
  <c r="AC430" i="2"/>
  <c r="L430" i="2"/>
  <c r="AA430" i="2"/>
  <c r="J430" i="2"/>
  <c r="X430" i="2"/>
  <c r="G430" i="2"/>
  <c r="W430" i="2"/>
  <c r="AI390" i="2"/>
  <c r="S390" i="2"/>
  <c r="C390" i="2"/>
  <c r="AP430" i="2" s="1"/>
  <c r="V430" i="2"/>
  <c r="T430" i="2"/>
  <c r="AN430" i="2"/>
  <c r="S430" i="2"/>
  <c r="AJ430" i="2"/>
  <c r="H430" i="2"/>
  <c r="AK390" i="2"/>
  <c r="T390" i="2"/>
  <c r="B390" i="2"/>
  <c r="AI430" i="2"/>
  <c r="F430" i="2"/>
  <c r="AH430" i="2"/>
  <c r="E430" i="2"/>
  <c r="AF430" i="2"/>
  <c r="R430" i="2"/>
  <c r="Q430" i="2"/>
  <c r="M430" i="2"/>
  <c r="I430" i="2"/>
  <c r="AP390" i="2"/>
  <c r="X390" i="2"/>
  <c r="F390" i="2"/>
  <c r="AK430" i="2"/>
  <c r="AJ390" i="2"/>
  <c r="P390" i="2"/>
  <c r="AG390" i="2"/>
  <c r="N390" i="2"/>
  <c r="AF390" i="2"/>
  <c r="M390" i="2"/>
  <c r="F470" i="2"/>
  <c r="AM430" i="2"/>
  <c r="AE390" i="2"/>
  <c r="L390" i="2"/>
  <c r="AB430" i="2"/>
  <c r="Y390" i="2"/>
  <c r="W390" i="2"/>
  <c r="U390" i="2"/>
  <c r="R390" i="2"/>
  <c r="Q390" i="2"/>
  <c r="V390" i="2"/>
  <c r="O390" i="2"/>
  <c r="K390" i="2"/>
  <c r="J390" i="2"/>
  <c r="AL430" i="2"/>
  <c r="AN390" i="2"/>
  <c r="E390" i="2"/>
  <c r="Z430" i="2"/>
  <c r="AL390" i="2"/>
  <c r="AE430" i="2"/>
  <c r="AM390" i="2"/>
  <c r="Y430" i="2"/>
  <c r="AH390" i="2"/>
  <c r="U430" i="2"/>
  <c r="AD390" i="2"/>
  <c r="K430" i="2"/>
  <c r="AC390" i="2"/>
  <c r="AB390" i="2"/>
  <c r="O430" i="2"/>
  <c r="G390" i="2"/>
  <c r="AA390" i="2"/>
  <c r="H390" i="2"/>
  <c r="N430" i="2"/>
  <c r="AO390" i="2"/>
  <c r="AO430" i="2" s="1"/>
  <c r="I390" i="2"/>
  <c r="D390" i="2"/>
  <c r="Z390" i="2"/>
  <c r="AA497" i="2"/>
  <c r="K497" i="2"/>
  <c r="E537" i="2"/>
  <c r="AH497" i="2"/>
  <c r="Q497" i="2"/>
  <c r="AN497" i="2"/>
  <c r="V497" i="2"/>
  <c r="D497" i="2"/>
  <c r="D537" i="2" s="1"/>
  <c r="AK497" i="2"/>
  <c r="S497" i="2"/>
  <c r="AO497" i="2"/>
  <c r="T497" i="2"/>
  <c r="AM497" i="2"/>
  <c r="R497" i="2"/>
  <c r="AJ497" i="2"/>
  <c r="O497" i="2"/>
  <c r="H537" i="2"/>
  <c r="AD497" i="2"/>
  <c r="I497" i="2"/>
  <c r="Y497" i="2"/>
  <c r="W497" i="2"/>
  <c r="U497" i="2"/>
  <c r="J497" i="2"/>
  <c r="H497" i="2"/>
  <c r="G497" i="2"/>
  <c r="AI497" i="2"/>
  <c r="E497" i="2"/>
  <c r="AE497" i="2"/>
  <c r="F537" i="2"/>
  <c r="F497" i="2"/>
  <c r="C497" i="2"/>
  <c r="C537" i="2" s="1"/>
  <c r="AC497" i="2"/>
  <c r="AB497" i="2"/>
  <c r="Z497" i="2"/>
  <c r="X497" i="2"/>
  <c r="AL497" i="2"/>
  <c r="M497" i="2"/>
  <c r="B497" i="2"/>
  <c r="B537" i="2" s="1"/>
  <c r="I537" i="2"/>
  <c r="AF497" i="2"/>
  <c r="P497" i="2"/>
  <c r="L497" i="2"/>
  <c r="G537" i="2"/>
  <c r="N497" i="2"/>
  <c r="AG497" i="2"/>
  <c r="X484" i="2"/>
  <c r="X404" i="2"/>
  <c r="AI433" i="2"/>
  <c r="S433" i="2"/>
  <c r="AC433" i="2"/>
  <c r="L433" i="2"/>
  <c r="AB433" i="2"/>
  <c r="J433" i="2"/>
  <c r="AM433" i="2"/>
  <c r="T433" i="2"/>
  <c r="AK433" i="2"/>
  <c r="Q433" i="2"/>
  <c r="F473" i="2"/>
  <c r="AG433" i="2"/>
  <c r="N433" i="2"/>
  <c r="P433" i="2"/>
  <c r="AK393" i="2"/>
  <c r="U393" i="2"/>
  <c r="E393" i="2"/>
  <c r="AN433" i="2"/>
  <c r="O433" i="2"/>
  <c r="AJ433" i="2"/>
  <c r="K433" i="2"/>
  <c r="AH433" i="2"/>
  <c r="I433" i="2"/>
  <c r="AL433" i="2"/>
  <c r="E433" i="2"/>
  <c r="AD393" i="2"/>
  <c r="M393" i="2"/>
  <c r="AF433" i="2"/>
  <c r="AE433" i="2"/>
  <c r="AD433" i="2"/>
  <c r="AA393" i="2"/>
  <c r="J393" i="2"/>
  <c r="V433" i="2"/>
  <c r="U433" i="2"/>
  <c r="AG393" i="2"/>
  <c r="N393" i="2"/>
  <c r="Z433" i="2"/>
  <c r="AE393" i="2"/>
  <c r="K393" i="2"/>
  <c r="X433" i="2"/>
  <c r="H433" i="2"/>
  <c r="AP393" i="2"/>
  <c r="E473" i="2"/>
  <c r="AP513" i="2" s="1"/>
  <c r="AM393" i="2"/>
  <c r="Q393" i="2"/>
  <c r="AJ393" i="2"/>
  <c r="O393" i="2"/>
  <c r="AI393" i="2"/>
  <c r="L393" i="2"/>
  <c r="AH393" i="2"/>
  <c r="I393" i="2"/>
  <c r="AO393" i="2"/>
  <c r="AO433" i="2" s="1"/>
  <c r="G393" i="2"/>
  <c r="AN393" i="2"/>
  <c r="F393" i="2"/>
  <c r="AF393" i="2"/>
  <c r="C393" i="2"/>
  <c r="AP433" i="2" s="1"/>
  <c r="AC393" i="2"/>
  <c r="B393" i="2"/>
  <c r="AA433" i="2"/>
  <c r="AB393" i="2"/>
  <c r="S393" i="2"/>
  <c r="G473" i="2"/>
  <c r="R393" i="2"/>
  <c r="P393" i="2"/>
  <c r="H393" i="2"/>
  <c r="AL393" i="2"/>
  <c r="T393" i="2"/>
  <c r="Y433" i="2"/>
  <c r="D393" i="2"/>
  <c r="R433" i="2"/>
  <c r="M433" i="2"/>
  <c r="W433" i="2"/>
  <c r="F433" i="2"/>
  <c r="V393" i="2"/>
  <c r="Y393" i="2"/>
  <c r="X393" i="2"/>
  <c r="W393" i="2"/>
  <c r="G433" i="2"/>
  <c r="Z393" i="2"/>
  <c r="J484" i="2"/>
  <c r="J404" i="2"/>
  <c r="AB484" i="2"/>
  <c r="AB404" i="2"/>
  <c r="G467" i="2"/>
  <c r="AA427" i="2"/>
  <c r="K427" i="2"/>
  <c r="AG427" i="2"/>
  <c r="P427" i="2"/>
  <c r="AB427" i="2"/>
  <c r="J427" i="2"/>
  <c r="W427" i="2"/>
  <c r="AG387" i="2"/>
  <c r="Q387" i="2"/>
  <c r="AM427" i="2"/>
  <c r="T427" i="2"/>
  <c r="AL427" i="2"/>
  <c r="S427" i="2"/>
  <c r="Z427" i="2"/>
  <c r="Z387" i="2"/>
  <c r="I387" i="2"/>
  <c r="Y427" i="2"/>
  <c r="X427" i="2"/>
  <c r="F467" i="2"/>
  <c r="V427" i="2"/>
  <c r="AJ427" i="2"/>
  <c r="M427" i="2"/>
  <c r="AI427" i="2"/>
  <c r="L427" i="2"/>
  <c r="I427" i="2"/>
  <c r="G427" i="2"/>
  <c r="AN387" i="2"/>
  <c r="AN427" i="2"/>
  <c r="E427" i="2"/>
  <c r="AE427" i="2"/>
  <c r="N427" i="2"/>
  <c r="AA387" i="2"/>
  <c r="H387" i="2"/>
  <c r="F427" i="2"/>
  <c r="X387" i="2"/>
  <c r="F387" i="2"/>
  <c r="AP387" i="2"/>
  <c r="W387" i="2"/>
  <c r="E387" i="2"/>
  <c r="AO387" i="2"/>
  <c r="AO427" i="2" s="1"/>
  <c r="V387" i="2"/>
  <c r="D387" i="2"/>
  <c r="T387" i="2"/>
  <c r="AK427" i="2"/>
  <c r="S387" i="2"/>
  <c r="AF427" i="2"/>
  <c r="AM387" i="2"/>
  <c r="P387" i="2"/>
  <c r="AD427" i="2"/>
  <c r="AL387" i="2"/>
  <c r="O387" i="2"/>
  <c r="AC427" i="2"/>
  <c r="AK387" i="2"/>
  <c r="N387" i="2"/>
  <c r="AF387" i="2"/>
  <c r="AE387" i="2"/>
  <c r="AD387" i="2"/>
  <c r="AC387" i="2"/>
  <c r="R387" i="2"/>
  <c r="L387" i="2"/>
  <c r="Q427" i="2"/>
  <c r="H427" i="2"/>
  <c r="AJ387" i="2"/>
  <c r="AH427" i="2"/>
  <c r="M387" i="2"/>
  <c r="U427" i="2"/>
  <c r="K387" i="2"/>
  <c r="O427" i="2"/>
  <c r="G387" i="2"/>
  <c r="C387" i="2"/>
  <c r="AP427" i="2" s="1"/>
  <c r="J387" i="2"/>
  <c r="B387" i="2"/>
  <c r="AI387" i="2"/>
  <c r="AH387" i="2"/>
  <c r="Y387" i="2"/>
  <c r="U387" i="2"/>
  <c r="R427" i="2"/>
  <c r="AB387" i="2"/>
  <c r="E467" i="2"/>
  <c r="AP507" i="2" s="1"/>
  <c r="AH485" i="2"/>
  <c r="Q490" i="2"/>
  <c r="AG490" i="2"/>
  <c r="M490" i="2"/>
  <c r="AM507" i="2"/>
  <c r="W507" i="2"/>
  <c r="G507" i="2"/>
  <c r="AO507" i="2"/>
  <c r="X507" i="2"/>
  <c r="F507" i="2"/>
  <c r="I547" i="2"/>
  <c r="G547" i="2"/>
  <c r="AL507" i="2"/>
  <c r="T507" i="2"/>
  <c r="B507" i="2"/>
  <c r="B547" i="2" s="1"/>
  <c r="AK507" i="2"/>
  <c r="S507" i="2"/>
  <c r="AI507" i="2"/>
  <c r="Q507" i="2"/>
  <c r="AE507" i="2"/>
  <c r="M507" i="2"/>
  <c r="O507" i="2"/>
  <c r="AN507" i="2"/>
  <c r="N507" i="2"/>
  <c r="AH507" i="2"/>
  <c r="K507" i="2"/>
  <c r="F547" i="2"/>
  <c r="AB507" i="2"/>
  <c r="D507" i="2"/>
  <c r="D547" i="2" s="1"/>
  <c r="E547" i="2"/>
  <c r="AA507" i="2"/>
  <c r="C507" i="2"/>
  <c r="C547" i="2" s="1"/>
  <c r="H547" i="2"/>
  <c r="U507" i="2"/>
  <c r="P507" i="2"/>
  <c r="L507" i="2"/>
  <c r="AD507" i="2"/>
  <c r="AC507" i="2"/>
  <c r="Z507" i="2"/>
  <c r="V507" i="2"/>
  <c r="I507" i="2"/>
  <c r="E507" i="2"/>
  <c r="AJ507" i="2"/>
  <c r="AG507" i="2"/>
  <c r="AF507" i="2"/>
  <c r="R507" i="2"/>
  <c r="H507" i="2"/>
  <c r="J507" i="2"/>
  <c r="Y507" i="2"/>
  <c r="K489" i="2"/>
  <c r="L489" i="2"/>
  <c r="AE503" i="2"/>
  <c r="O503" i="2"/>
  <c r="H543" i="2"/>
  <c r="AL503" i="2"/>
  <c r="U503" i="2"/>
  <c r="D503" i="2"/>
  <c r="D543" i="2" s="1"/>
  <c r="G543" i="2"/>
  <c r="E543" i="2"/>
  <c r="Y503" i="2"/>
  <c r="G503" i="2"/>
  <c r="AN503" i="2"/>
  <c r="V503" i="2"/>
  <c r="C503" i="2"/>
  <c r="C543" i="2" s="1"/>
  <c r="F543" i="2"/>
  <c r="AI503" i="2"/>
  <c r="Q503" i="2"/>
  <c r="Z503" i="2"/>
  <c r="B503" i="2"/>
  <c r="B543" i="2" s="1"/>
  <c r="X503" i="2"/>
  <c r="T503" i="2"/>
  <c r="AJ503" i="2"/>
  <c r="M503" i="2"/>
  <c r="I543" i="2"/>
  <c r="AD503" i="2"/>
  <c r="AB503" i="2"/>
  <c r="AA503" i="2"/>
  <c r="AO503" i="2"/>
  <c r="H503" i="2"/>
  <c r="AM503" i="2"/>
  <c r="F503" i="2"/>
  <c r="AK503" i="2"/>
  <c r="E503" i="2"/>
  <c r="AG503" i="2"/>
  <c r="W503" i="2"/>
  <c r="K503" i="2"/>
  <c r="J503" i="2"/>
  <c r="P503" i="2"/>
  <c r="N503" i="2"/>
  <c r="AH503" i="2"/>
  <c r="AF503" i="2"/>
  <c r="L503" i="2"/>
  <c r="AC503" i="2"/>
  <c r="S503" i="2"/>
  <c r="I503" i="2"/>
  <c r="R503" i="2"/>
  <c r="H487" i="2"/>
  <c r="AA487" i="2"/>
  <c r="AG506" i="2"/>
  <c r="Q506" i="2"/>
  <c r="AE506" i="2"/>
  <c r="N506" i="2"/>
  <c r="Z506" i="2"/>
  <c r="H506" i="2"/>
  <c r="I546" i="2"/>
  <c r="AO506" i="2"/>
  <c r="W506" i="2"/>
  <c r="E506" i="2"/>
  <c r="E546" i="2"/>
  <c r="AK506" i="2"/>
  <c r="S506" i="2"/>
  <c r="AH506" i="2"/>
  <c r="K506" i="2"/>
  <c r="AF506" i="2"/>
  <c r="J506" i="2"/>
  <c r="AC506" i="2"/>
  <c r="G506" i="2"/>
  <c r="V506" i="2"/>
  <c r="U506" i="2"/>
  <c r="AA506" i="2"/>
  <c r="H546" i="2"/>
  <c r="X506" i="2"/>
  <c r="G546" i="2"/>
  <c r="T506" i="2"/>
  <c r="F546" i="2"/>
  <c r="AD506" i="2"/>
  <c r="AB506" i="2"/>
  <c r="Y506" i="2"/>
  <c r="P506" i="2"/>
  <c r="L506" i="2"/>
  <c r="AM506" i="2"/>
  <c r="AL506" i="2"/>
  <c r="D506" i="2"/>
  <c r="D546" i="2" s="1"/>
  <c r="C506" i="2"/>
  <c r="C546" i="2" s="1"/>
  <c r="B506" i="2"/>
  <c r="B546" i="2" s="1"/>
  <c r="AJ506" i="2"/>
  <c r="AI506" i="2"/>
  <c r="AN506" i="2"/>
  <c r="R506" i="2"/>
  <c r="F506" i="2"/>
  <c r="O506" i="2"/>
  <c r="M506" i="2"/>
  <c r="I506" i="2"/>
  <c r="H486" i="2"/>
  <c r="M486" i="2"/>
  <c r="I520" i="2"/>
  <c r="X513" i="2"/>
  <c r="AI513" i="2"/>
  <c r="AA519" i="2"/>
  <c r="T519" i="2"/>
  <c r="AK519" i="2"/>
  <c r="AH412" i="2"/>
  <c r="AE412" i="2"/>
  <c r="AK412" i="2"/>
  <c r="S412" i="2"/>
  <c r="AF372" i="2"/>
  <c r="P372" i="2"/>
  <c r="AI412" i="2"/>
  <c r="AG412" i="2"/>
  <c r="Z412" i="2"/>
  <c r="AF412" i="2"/>
  <c r="AC412" i="2"/>
  <c r="AA412" i="2"/>
  <c r="V412" i="2"/>
  <c r="Z372" i="2"/>
  <c r="I372" i="2"/>
  <c r="AM412" i="2"/>
  <c r="AO372" i="2"/>
  <c r="AO412" i="2" s="1"/>
  <c r="X372" i="2"/>
  <c r="G372" i="2"/>
  <c r="AL412" i="2"/>
  <c r="AN372" i="2"/>
  <c r="W372" i="2"/>
  <c r="F372" i="2"/>
  <c r="AJ412" i="2"/>
  <c r="AM372" i="2"/>
  <c r="V372" i="2"/>
  <c r="E372" i="2"/>
  <c r="T372" i="2"/>
  <c r="S372" i="2"/>
  <c r="AD412" i="2"/>
  <c r="AL372" i="2"/>
  <c r="Q372" i="2"/>
  <c r="AB412" i="2"/>
  <c r="AK372" i="2"/>
  <c r="O372" i="2"/>
  <c r="Y412" i="2"/>
  <c r="AJ372" i="2"/>
  <c r="N372" i="2"/>
  <c r="R372" i="2"/>
  <c r="M372" i="2"/>
  <c r="AN412" i="2"/>
  <c r="K372" i="2"/>
  <c r="T412" i="2"/>
  <c r="AH372" i="2"/>
  <c r="C372" i="2"/>
  <c r="AP412" i="2" s="1"/>
  <c r="AE372" i="2"/>
  <c r="AC372" i="2"/>
  <c r="AB372" i="2"/>
  <c r="AA372" i="2"/>
  <c r="X412" i="2"/>
  <c r="AP372" i="2"/>
  <c r="W412" i="2"/>
  <c r="AI372" i="2"/>
  <c r="L372" i="2"/>
  <c r="AG372" i="2"/>
  <c r="H372" i="2"/>
  <c r="B372" i="2"/>
  <c r="U412" i="2"/>
  <c r="AD372" i="2"/>
  <c r="Y372" i="2"/>
  <c r="U372" i="2"/>
  <c r="J372" i="2"/>
  <c r="D372" i="2"/>
  <c r="AL424" i="2"/>
  <c r="V424" i="2"/>
  <c r="F424" i="2"/>
  <c r="AJ424" i="2"/>
  <c r="S424" i="2"/>
  <c r="AE424" i="2"/>
  <c r="N424" i="2"/>
  <c r="AC424" i="2"/>
  <c r="J424" i="2"/>
  <c r="AE384" i="2"/>
  <c r="O384" i="2"/>
  <c r="F464" i="2"/>
  <c r="Z424" i="2"/>
  <c r="G424" i="2"/>
  <c r="E464" i="2"/>
  <c r="AP504" i="2" s="1"/>
  <c r="Y424" i="2"/>
  <c r="E424" i="2"/>
  <c r="AD424" i="2"/>
  <c r="AG384" i="2"/>
  <c r="P384" i="2"/>
  <c r="AB424" i="2"/>
  <c r="AA424" i="2"/>
  <c r="X424" i="2"/>
  <c r="AN424" i="2"/>
  <c r="P424" i="2"/>
  <c r="AM424" i="2"/>
  <c r="O424" i="2"/>
  <c r="R424" i="2"/>
  <c r="M424" i="2"/>
  <c r="K424" i="2"/>
  <c r="AK424" i="2"/>
  <c r="AG424" i="2"/>
  <c r="Y384" i="2"/>
  <c r="G384" i="2"/>
  <c r="W424" i="2"/>
  <c r="AO384" i="2"/>
  <c r="AO424" i="2" s="1"/>
  <c r="W384" i="2"/>
  <c r="E384" i="2"/>
  <c r="U424" i="2"/>
  <c r="AN384" i="2"/>
  <c r="V384" i="2"/>
  <c r="D384" i="2"/>
  <c r="T424" i="2"/>
  <c r="AM384" i="2"/>
  <c r="U384" i="2"/>
  <c r="C384" i="2"/>
  <c r="AP424" i="2" s="1"/>
  <c r="AI424" i="2"/>
  <c r="AA384" i="2"/>
  <c r="AH424" i="2"/>
  <c r="Z384" i="2"/>
  <c r="Q424" i="2"/>
  <c r="T384" i="2"/>
  <c r="L424" i="2"/>
  <c r="S384" i="2"/>
  <c r="I424" i="2"/>
  <c r="R384" i="2"/>
  <c r="AF424" i="2"/>
  <c r="N384" i="2"/>
  <c r="H424" i="2"/>
  <c r="M384" i="2"/>
  <c r="L384" i="2"/>
  <c r="K384" i="2"/>
  <c r="AJ384" i="2"/>
  <c r="F384" i="2"/>
  <c r="AH384" i="2"/>
  <c r="I384" i="2"/>
  <c r="B384" i="2"/>
  <c r="G464" i="2"/>
  <c r="AP384" i="2"/>
  <c r="AL384" i="2"/>
  <c r="AC384" i="2"/>
  <c r="AB384" i="2"/>
  <c r="X384" i="2"/>
  <c r="J384" i="2"/>
  <c r="H384" i="2"/>
  <c r="AI384" i="2"/>
  <c r="AD384" i="2"/>
  <c r="Q384" i="2"/>
  <c r="AF384" i="2"/>
  <c r="AK384" i="2"/>
  <c r="AK512" i="2"/>
  <c r="U512" i="2"/>
  <c r="E512" i="2"/>
  <c r="E552" i="2"/>
  <c r="AI512" i="2"/>
  <c r="R512" i="2"/>
  <c r="H552" i="2"/>
  <c r="AC512" i="2"/>
  <c r="K512" i="2"/>
  <c r="G552" i="2"/>
  <c r="AB512" i="2"/>
  <c r="J512" i="2"/>
  <c r="Z512" i="2"/>
  <c r="H512" i="2"/>
  <c r="AN512" i="2"/>
  <c r="V512" i="2"/>
  <c r="C512" i="2"/>
  <c r="C552" i="2" s="1"/>
  <c r="X512" i="2"/>
  <c r="I552" i="2"/>
  <c r="W512" i="2"/>
  <c r="S512" i="2"/>
  <c r="AJ512" i="2"/>
  <c r="M512" i="2"/>
  <c r="AH512" i="2"/>
  <c r="L512" i="2"/>
  <c r="T512" i="2"/>
  <c r="P512" i="2"/>
  <c r="F552" i="2"/>
  <c r="O512" i="2"/>
  <c r="AL512" i="2"/>
  <c r="AG512" i="2"/>
  <c r="AF512" i="2"/>
  <c r="AD512" i="2"/>
  <c r="Q512" i="2"/>
  <c r="AO512" i="2"/>
  <c r="AM512" i="2"/>
  <c r="D512" i="2"/>
  <c r="D552" i="2" s="1"/>
  <c r="B512" i="2"/>
  <c r="B552" i="2" s="1"/>
  <c r="AE512" i="2"/>
  <c r="AA512" i="2"/>
  <c r="I512" i="2"/>
  <c r="Y512" i="2"/>
  <c r="N512" i="2"/>
  <c r="G512" i="2"/>
  <c r="F512" i="2"/>
  <c r="AJ440" i="2"/>
  <c r="T440" i="2"/>
  <c r="AF440" i="2"/>
  <c r="O440" i="2"/>
  <c r="AC440" i="2"/>
  <c r="AH440" i="2"/>
  <c r="N440" i="2"/>
  <c r="AG440" i="2"/>
  <c r="M440" i="2"/>
  <c r="V440" i="2"/>
  <c r="U440" i="2"/>
  <c r="S440" i="2"/>
  <c r="AM440" i="2"/>
  <c r="Q440" i="2"/>
  <c r="AI440" i="2"/>
  <c r="K440" i="2"/>
  <c r="AL440" i="2"/>
  <c r="G440" i="2"/>
  <c r="AE400" i="2"/>
  <c r="O400" i="2"/>
  <c r="AK440" i="2"/>
  <c r="F440" i="2"/>
  <c r="AD440" i="2"/>
  <c r="AB440" i="2"/>
  <c r="L440" i="2"/>
  <c r="Z400" i="2"/>
  <c r="I400" i="2"/>
  <c r="J440" i="2"/>
  <c r="I440" i="2"/>
  <c r="H440" i="2"/>
  <c r="AN400" i="2"/>
  <c r="W400" i="2"/>
  <c r="F400" i="2"/>
  <c r="F480" i="2"/>
  <c r="AA440" i="2"/>
  <c r="E480" i="2"/>
  <c r="AP520" i="2" s="1"/>
  <c r="Z440" i="2"/>
  <c r="AF400" i="2"/>
  <c r="L400" i="2"/>
  <c r="AC400" i="2"/>
  <c r="J400" i="2"/>
  <c r="AN440" i="2"/>
  <c r="AA400" i="2"/>
  <c r="G400" i="2"/>
  <c r="W440" i="2"/>
  <c r="AO400" i="2"/>
  <c r="AO440" i="2" s="1"/>
  <c r="U400" i="2"/>
  <c r="B400" i="2"/>
  <c r="Y440" i="2"/>
  <c r="AG400" i="2"/>
  <c r="D400" i="2"/>
  <c r="R440" i="2"/>
  <c r="AB400" i="2"/>
  <c r="P440" i="2"/>
  <c r="Y400" i="2"/>
  <c r="E440" i="2"/>
  <c r="X400" i="2"/>
  <c r="X440" i="2"/>
  <c r="T400" i="2"/>
  <c r="S400" i="2"/>
  <c r="Q400" i="2"/>
  <c r="G480" i="2"/>
  <c r="P400" i="2"/>
  <c r="N400" i="2"/>
  <c r="V400" i="2"/>
  <c r="R400" i="2"/>
  <c r="AE440" i="2"/>
  <c r="M400" i="2"/>
  <c r="K400" i="2"/>
  <c r="AM400" i="2"/>
  <c r="E400" i="2"/>
  <c r="AK400" i="2"/>
  <c r="AJ400" i="2"/>
  <c r="AH400" i="2"/>
  <c r="AD400" i="2"/>
  <c r="C400" i="2"/>
  <c r="AP440" i="2" s="1"/>
  <c r="AP400" i="2"/>
  <c r="AL400" i="2"/>
  <c r="AI400" i="2"/>
  <c r="H400" i="2"/>
  <c r="R490" i="2"/>
  <c r="AC490" i="2"/>
  <c r="AB489" i="2"/>
  <c r="AJ489" i="2"/>
  <c r="AC489" i="2"/>
  <c r="AI491" i="2"/>
  <c r="S491" i="2"/>
  <c r="C491" i="2"/>
  <c r="C531" i="2" s="1"/>
  <c r="F531" i="2"/>
  <c r="AF491" i="2"/>
  <c r="P491" i="2"/>
  <c r="I531" i="2"/>
  <c r="AL491" i="2"/>
  <c r="T491" i="2"/>
  <c r="H531" i="2"/>
  <c r="AH491" i="2"/>
  <c r="O491" i="2"/>
  <c r="AB491" i="2"/>
  <c r="J491" i="2"/>
  <c r="Z491" i="2"/>
  <c r="E491" i="2"/>
  <c r="X491" i="2"/>
  <c r="B491" i="2"/>
  <c r="B531" i="2" s="1"/>
  <c r="W491" i="2"/>
  <c r="Q491" i="2"/>
  <c r="N491" i="2"/>
  <c r="AN491" i="2"/>
  <c r="L491" i="2"/>
  <c r="AJ491" i="2"/>
  <c r="H491" i="2"/>
  <c r="AG491" i="2"/>
  <c r="AE491" i="2"/>
  <c r="AC491" i="2"/>
  <c r="AA491" i="2"/>
  <c r="AO491" i="2"/>
  <c r="AM491" i="2"/>
  <c r="AK491" i="2"/>
  <c r="K491" i="2"/>
  <c r="I491" i="2"/>
  <c r="Y491" i="2"/>
  <c r="G491" i="2"/>
  <c r="AD491" i="2"/>
  <c r="V491" i="2"/>
  <c r="U491" i="2"/>
  <c r="F491" i="2"/>
  <c r="M491" i="2"/>
  <c r="D491" i="2"/>
  <c r="D531" i="2" s="1"/>
  <c r="F487" i="2"/>
  <c r="T487" i="2"/>
  <c r="AJ493" i="2"/>
  <c r="AE493" i="2"/>
  <c r="O493" i="2"/>
  <c r="H533" i="2"/>
  <c r="AB493" i="2"/>
  <c r="L493" i="2"/>
  <c r="Z493" i="2"/>
  <c r="H493" i="2"/>
  <c r="W493" i="2"/>
  <c r="E493" i="2"/>
  <c r="F533" i="2"/>
  <c r="AK493" i="2"/>
  <c r="R493" i="2"/>
  <c r="E533" i="2"/>
  <c r="AG493" i="2"/>
  <c r="J493" i="2"/>
  <c r="AD493" i="2"/>
  <c r="G493" i="2"/>
  <c r="AC493" i="2"/>
  <c r="F493" i="2"/>
  <c r="S493" i="2"/>
  <c r="Q493" i="2"/>
  <c r="P493" i="2"/>
  <c r="I533" i="2"/>
  <c r="AN493" i="2"/>
  <c r="M493" i="2"/>
  <c r="AI493" i="2"/>
  <c r="D493" i="2"/>
  <c r="D533" i="2" s="1"/>
  <c r="AF493" i="2"/>
  <c r="AA493" i="2"/>
  <c r="G533" i="2"/>
  <c r="X493" i="2"/>
  <c r="V493" i="2"/>
  <c r="K493" i="2"/>
  <c r="I493" i="2"/>
  <c r="C493" i="2"/>
  <c r="C533" i="2" s="1"/>
  <c r="B493" i="2"/>
  <c r="B533" i="2" s="1"/>
  <c r="AM493" i="2"/>
  <c r="AL493" i="2"/>
  <c r="AO493" i="2"/>
  <c r="AH493" i="2"/>
  <c r="N493" i="2"/>
  <c r="U493" i="2"/>
  <c r="Y493" i="2"/>
  <c r="T493" i="2"/>
  <c r="AA486" i="2"/>
  <c r="K486" i="2"/>
  <c r="AD486" i="2"/>
  <c r="BK265" i="2"/>
  <c r="J520" i="2"/>
  <c r="O520" i="2"/>
  <c r="M513" i="2"/>
  <c r="AJ513" i="2"/>
  <c r="T513" i="2"/>
  <c r="AH519" i="2"/>
  <c r="U519" i="2"/>
  <c r="S519" i="2"/>
  <c r="AK484" i="2"/>
  <c r="AK404" i="2"/>
  <c r="R484" i="2"/>
  <c r="R404" i="2"/>
  <c r="AG405" i="2"/>
  <c r="AH405" i="2"/>
  <c r="AD405" i="2"/>
  <c r="AE405" i="2"/>
  <c r="AB405" i="2"/>
  <c r="Z405" i="2"/>
  <c r="V405" i="2"/>
  <c r="AF405" i="2"/>
  <c r="AK365" i="2"/>
  <c r="U365" i="2"/>
  <c r="E365" i="2"/>
  <c r="AA405" i="2"/>
  <c r="AI365" i="2"/>
  <c r="S365" i="2"/>
  <c r="C365" i="2"/>
  <c r="AP405" i="2" s="1"/>
  <c r="Y405" i="2"/>
  <c r="AH365" i="2"/>
  <c r="R365" i="2"/>
  <c r="B365" i="2"/>
  <c r="X405" i="2"/>
  <c r="AG365" i="2"/>
  <c r="Q365" i="2"/>
  <c r="AA365" i="2"/>
  <c r="G365" i="2"/>
  <c r="Z365" i="2"/>
  <c r="F365" i="2"/>
  <c r="X365" i="2"/>
  <c r="AN405" i="2"/>
  <c r="W365" i="2"/>
  <c r="AM405" i="2"/>
  <c r="AP365" i="2"/>
  <c r="V365" i="2"/>
  <c r="T365" i="2"/>
  <c r="AL405" i="2"/>
  <c r="P365" i="2"/>
  <c r="AK405" i="2"/>
  <c r="AJ405" i="2"/>
  <c r="N365" i="2"/>
  <c r="U405" i="2"/>
  <c r="AM365" i="2"/>
  <c r="J365" i="2"/>
  <c r="S405" i="2"/>
  <c r="AC365" i="2"/>
  <c r="Y365" i="2"/>
  <c r="O365" i="2"/>
  <c r="M365" i="2"/>
  <c r="AO365" i="2"/>
  <c r="AO405" i="2" s="1"/>
  <c r="AN365" i="2"/>
  <c r="T405" i="2"/>
  <c r="AD365" i="2"/>
  <c r="L365" i="2"/>
  <c r="K365" i="2"/>
  <c r="H365" i="2"/>
  <c r="D365" i="2"/>
  <c r="AI405" i="2"/>
  <c r="AJ365" i="2"/>
  <c r="AC405" i="2"/>
  <c r="AF365" i="2"/>
  <c r="W405" i="2"/>
  <c r="AE365" i="2"/>
  <c r="I365" i="2"/>
  <c r="AL365" i="2"/>
  <c r="AB365" i="2"/>
  <c r="AI517" i="2"/>
  <c r="S517" i="2"/>
  <c r="C517" i="2"/>
  <c r="C557" i="2" s="1"/>
  <c r="AD517" i="2"/>
  <c r="M517" i="2"/>
  <c r="AA517" i="2"/>
  <c r="J517" i="2"/>
  <c r="H557" i="2"/>
  <c r="X517" i="2"/>
  <c r="E517" i="2"/>
  <c r="G557" i="2"/>
  <c r="W517" i="2"/>
  <c r="D517" i="2"/>
  <c r="D557" i="2" s="1"/>
  <c r="E557" i="2"/>
  <c r="AN517" i="2"/>
  <c r="U517" i="2"/>
  <c r="AJ517" i="2"/>
  <c r="P517" i="2"/>
  <c r="AL517" i="2"/>
  <c r="L517" i="2"/>
  <c r="AK517" i="2"/>
  <c r="K517" i="2"/>
  <c r="AG517" i="2"/>
  <c r="H517" i="2"/>
  <c r="Z517" i="2"/>
  <c r="I557" i="2"/>
  <c r="Y517" i="2"/>
  <c r="AC517" i="2"/>
  <c r="V517" i="2"/>
  <c r="F557" i="2"/>
  <c r="T517" i="2"/>
  <c r="F517" i="2"/>
  <c r="B517" i="2"/>
  <c r="B557" i="2" s="1"/>
  <c r="AO517" i="2"/>
  <c r="AF517" i="2"/>
  <c r="AH517" i="2"/>
  <c r="AE517" i="2"/>
  <c r="R517" i="2"/>
  <c r="Q517" i="2"/>
  <c r="N517" i="2"/>
  <c r="I517" i="2"/>
  <c r="AB517" i="2"/>
  <c r="G517" i="2"/>
  <c r="O517" i="2"/>
  <c r="AM517" i="2"/>
  <c r="I489" i="2"/>
  <c r="O489" i="2"/>
  <c r="AK487" i="2"/>
  <c r="N486" i="2"/>
  <c r="I526" i="2"/>
  <c r="AC500" i="2"/>
  <c r="M500" i="2"/>
  <c r="AA500" i="2"/>
  <c r="J500" i="2"/>
  <c r="AO500" i="2"/>
  <c r="W500" i="2"/>
  <c r="E500" i="2"/>
  <c r="AL500" i="2"/>
  <c r="T500" i="2"/>
  <c r="B500" i="2"/>
  <c r="B540" i="2" s="1"/>
  <c r="I540" i="2"/>
  <c r="AM500" i="2"/>
  <c r="R500" i="2"/>
  <c r="AK500" i="2"/>
  <c r="Q500" i="2"/>
  <c r="AI500" i="2"/>
  <c r="O500" i="2"/>
  <c r="F540" i="2"/>
  <c r="AD500" i="2"/>
  <c r="H500" i="2"/>
  <c r="E540" i="2"/>
  <c r="AJ500" i="2"/>
  <c r="I500" i="2"/>
  <c r="AG500" i="2"/>
  <c r="F500" i="2"/>
  <c r="H540" i="2"/>
  <c r="AF500" i="2"/>
  <c r="D500" i="2"/>
  <c r="D540" i="2" s="1"/>
  <c r="G540" i="2"/>
  <c r="V500" i="2"/>
  <c r="U500" i="2"/>
  <c r="S500" i="2"/>
  <c r="N500" i="2"/>
  <c r="G500" i="2"/>
  <c r="AB500" i="2"/>
  <c r="Z500" i="2"/>
  <c r="X500" i="2"/>
  <c r="P500" i="2"/>
  <c r="AN500" i="2"/>
  <c r="AH500" i="2"/>
  <c r="AE500" i="2"/>
  <c r="L500" i="2"/>
  <c r="Y500" i="2"/>
  <c r="C500" i="2"/>
  <c r="C540" i="2" s="1"/>
  <c r="K500" i="2"/>
  <c r="R520" i="2"/>
  <c r="AH520" i="2"/>
  <c r="O513" i="2"/>
  <c r="I513" i="2"/>
  <c r="AL513" i="2"/>
  <c r="AJ519" i="2"/>
  <c r="AL519" i="2"/>
  <c r="AE513" i="2"/>
  <c r="AN406" i="2"/>
  <c r="X406" i="2"/>
  <c r="AK406" i="2"/>
  <c r="AA406" i="2"/>
  <c r="W406" i="2"/>
  <c r="AD406" i="2"/>
  <c r="AB406" i="2"/>
  <c r="Y406" i="2"/>
  <c r="AM406" i="2"/>
  <c r="S406" i="2"/>
  <c r="AA366" i="2"/>
  <c r="K366" i="2"/>
  <c r="AL406" i="2"/>
  <c r="AO366" i="2"/>
  <c r="AO406" i="2" s="1"/>
  <c r="Y366" i="2"/>
  <c r="I366" i="2"/>
  <c r="AJ406" i="2"/>
  <c r="AN366" i="2"/>
  <c r="X366" i="2"/>
  <c r="H366" i="2"/>
  <c r="AI406" i="2"/>
  <c r="AM366" i="2"/>
  <c r="W366" i="2"/>
  <c r="G366" i="2"/>
  <c r="AC366" i="2"/>
  <c r="E366" i="2"/>
  <c r="AB366" i="2"/>
  <c r="D366" i="2"/>
  <c r="AH406" i="2"/>
  <c r="V366" i="2"/>
  <c r="B366" i="2"/>
  <c r="AG406" i="2"/>
  <c r="U366" i="2"/>
  <c r="AF406" i="2"/>
  <c r="T366" i="2"/>
  <c r="AL366" i="2"/>
  <c r="M366" i="2"/>
  <c r="AK366" i="2"/>
  <c r="L366" i="2"/>
  <c r="AI366" i="2"/>
  <c r="F366" i="2"/>
  <c r="AC406" i="2"/>
  <c r="AE366" i="2"/>
  <c r="V406" i="2"/>
  <c r="Z366" i="2"/>
  <c r="R366" i="2"/>
  <c r="AE406" i="2"/>
  <c r="Q366" i="2"/>
  <c r="Z406" i="2"/>
  <c r="P366" i="2"/>
  <c r="N366" i="2"/>
  <c r="U406" i="2"/>
  <c r="J366" i="2"/>
  <c r="AJ366" i="2"/>
  <c r="T406" i="2"/>
  <c r="AP366" i="2"/>
  <c r="AH366" i="2"/>
  <c r="O366" i="2"/>
  <c r="C366" i="2"/>
  <c r="AP406" i="2" s="1"/>
  <c r="AD366" i="2"/>
  <c r="AG366" i="2"/>
  <c r="AF366" i="2"/>
  <c r="S366" i="2"/>
  <c r="AE490" i="2"/>
  <c r="AE423" i="2"/>
  <c r="O423" i="2"/>
  <c r="G463" i="2"/>
  <c r="F463" i="2"/>
  <c r="E463" i="2"/>
  <c r="AP503" i="2" s="1"/>
  <c r="Z423" i="2"/>
  <c r="I423" i="2"/>
  <c r="AL423" i="2"/>
  <c r="U423" i="2"/>
  <c r="AF423" i="2"/>
  <c r="L423" i="2"/>
  <c r="AO383" i="2"/>
  <c r="AO423" i="2" s="1"/>
  <c r="Y383" i="2"/>
  <c r="I383" i="2"/>
  <c r="AB423" i="2"/>
  <c r="H423" i="2"/>
  <c r="AA423" i="2"/>
  <c r="G423" i="2"/>
  <c r="V423" i="2"/>
  <c r="AN383" i="2"/>
  <c r="W383" i="2"/>
  <c r="F383" i="2"/>
  <c r="T423" i="2"/>
  <c r="S423" i="2"/>
  <c r="R423" i="2"/>
  <c r="AH423" i="2"/>
  <c r="J423" i="2"/>
  <c r="AG423" i="2"/>
  <c r="F423" i="2"/>
  <c r="W423" i="2"/>
  <c r="P423" i="2"/>
  <c r="M423" i="2"/>
  <c r="AM423" i="2"/>
  <c r="X423" i="2"/>
  <c r="AE383" i="2"/>
  <c r="M383" i="2"/>
  <c r="N423" i="2"/>
  <c r="AC383" i="2"/>
  <c r="K383" i="2"/>
  <c r="K423" i="2"/>
  <c r="AB383" i="2"/>
  <c r="J383" i="2"/>
  <c r="E423" i="2"/>
  <c r="AA383" i="2"/>
  <c r="H383" i="2"/>
  <c r="S383" i="2"/>
  <c r="AP383" i="2"/>
  <c r="R383" i="2"/>
  <c r="AL383" i="2"/>
  <c r="P383" i="2"/>
  <c r="AK383" i="2"/>
  <c r="O383" i="2"/>
  <c r="AJ383" i="2"/>
  <c r="N383" i="2"/>
  <c r="X383" i="2"/>
  <c r="V383" i="2"/>
  <c r="AN423" i="2"/>
  <c r="U383" i="2"/>
  <c r="AK423" i="2"/>
  <c r="T383" i="2"/>
  <c r="AC423" i="2"/>
  <c r="E383" i="2"/>
  <c r="Q423" i="2"/>
  <c r="Y423" i="2"/>
  <c r="AM383" i="2"/>
  <c r="AI383" i="2"/>
  <c r="AG383" i="2"/>
  <c r="AF383" i="2"/>
  <c r="Z383" i="2"/>
  <c r="Q383" i="2"/>
  <c r="B383" i="2"/>
  <c r="AI423" i="2"/>
  <c r="AD423" i="2"/>
  <c r="D383" i="2"/>
  <c r="AJ423" i="2"/>
  <c r="AH383" i="2"/>
  <c r="C383" i="2"/>
  <c r="AP423" i="2" s="1"/>
  <c r="AD383" i="2"/>
  <c r="L383" i="2"/>
  <c r="G383" i="2"/>
  <c r="H404" i="2"/>
  <c r="H484" i="2"/>
  <c r="AO502" i="2"/>
  <c r="Y502" i="2"/>
  <c r="I502" i="2"/>
  <c r="AC502" i="2"/>
  <c r="L502" i="2"/>
  <c r="AE502" i="2"/>
  <c r="M502" i="2"/>
  <c r="AA502" i="2"/>
  <c r="H502" i="2"/>
  <c r="AN502" i="2"/>
  <c r="V502" i="2"/>
  <c r="D502" i="2"/>
  <c r="D542" i="2" s="1"/>
  <c r="F542" i="2"/>
  <c r="U502" i="2"/>
  <c r="E542" i="2"/>
  <c r="T502" i="2"/>
  <c r="AM502" i="2"/>
  <c r="R502" i="2"/>
  <c r="AH502" i="2"/>
  <c r="K502" i="2"/>
  <c r="G542" i="2"/>
  <c r="N502" i="2"/>
  <c r="AK502" i="2"/>
  <c r="G502" i="2"/>
  <c r="AJ502" i="2"/>
  <c r="F502" i="2"/>
  <c r="J502" i="2"/>
  <c r="E502" i="2"/>
  <c r="I542" i="2"/>
  <c r="C502" i="2"/>
  <c r="C542" i="2" s="1"/>
  <c r="AI502" i="2"/>
  <c r="AD502" i="2"/>
  <c r="AL502" i="2"/>
  <c r="AG502" i="2"/>
  <c r="X502" i="2"/>
  <c r="W502" i="2"/>
  <c r="S502" i="2"/>
  <c r="Q502" i="2"/>
  <c r="H542" i="2"/>
  <c r="AF502" i="2"/>
  <c r="AB502" i="2"/>
  <c r="Z502" i="2"/>
  <c r="O502" i="2"/>
  <c r="B502" i="2"/>
  <c r="B542" i="2" s="1"/>
  <c r="P502" i="2"/>
  <c r="AF414" i="2"/>
  <c r="AC414" i="2"/>
  <c r="AA414" i="2"/>
  <c r="AB374" i="2"/>
  <c r="L374" i="2"/>
  <c r="Y414" i="2"/>
  <c r="X414" i="2"/>
  <c r="AJ414" i="2"/>
  <c r="W414" i="2"/>
  <c r="U414" i="2"/>
  <c r="S414" i="2"/>
  <c r="AK414" i="2"/>
  <c r="Z414" i="2"/>
  <c r="AA374" i="2"/>
  <c r="J374" i="2"/>
  <c r="T414" i="2"/>
  <c r="AP374" i="2"/>
  <c r="Y374" i="2"/>
  <c r="H374" i="2"/>
  <c r="AO374" i="2"/>
  <c r="AO414" i="2" s="1"/>
  <c r="X374" i="2"/>
  <c r="G374" i="2"/>
  <c r="AN374" i="2"/>
  <c r="W374" i="2"/>
  <c r="F374" i="2"/>
  <c r="AD374" i="2"/>
  <c r="D374" i="2"/>
  <c r="AN414" i="2"/>
  <c r="AC374" i="2"/>
  <c r="C374" i="2"/>
  <c r="AP414" i="2" s="1"/>
  <c r="AL414" i="2"/>
  <c r="V374" i="2"/>
  <c r="AI414" i="2"/>
  <c r="U374" i="2"/>
  <c r="AH414" i="2"/>
  <c r="T374" i="2"/>
  <c r="AD414" i="2"/>
  <c r="AH374" i="2"/>
  <c r="AB414" i="2"/>
  <c r="AG374" i="2"/>
  <c r="V414" i="2"/>
  <c r="AE374" i="2"/>
  <c r="Q374" i="2"/>
  <c r="AK374" i="2"/>
  <c r="AI374" i="2"/>
  <c r="AF374" i="2"/>
  <c r="Z374" i="2"/>
  <c r="R374" i="2"/>
  <c r="P374" i="2"/>
  <c r="N374" i="2"/>
  <c r="M374" i="2"/>
  <c r="AM374" i="2"/>
  <c r="AG414" i="2"/>
  <c r="K374" i="2"/>
  <c r="AE414" i="2"/>
  <c r="AL374" i="2"/>
  <c r="S374" i="2"/>
  <c r="O374" i="2"/>
  <c r="I374" i="2"/>
  <c r="AM414" i="2"/>
  <c r="E374" i="2"/>
  <c r="B374" i="2"/>
  <c r="AJ374" i="2"/>
  <c r="AC486" i="2"/>
  <c r="K484" i="2"/>
  <c r="K404" i="2"/>
  <c r="AM485" i="2"/>
  <c r="J329" i="2"/>
  <c r="AZ249" i="2"/>
  <c r="AL489" i="2"/>
  <c r="U489" i="2"/>
  <c r="G489" i="2"/>
  <c r="BF254" i="2"/>
  <c r="O487" i="2"/>
  <c r="AL487" i="2"/>
  <c r="W487" i="2"/>
  <c r="AE486" i="2"/>
  <c r="AG486" i="2"/>
  <c r="Y513" i="2"/>
  <c r="N513" i="2"/>
  <c r="V513" i="2"/>
  <c r="X519" i="2"/>
  <c r="E519" i="2"/>
  <c r="K519" i="2"/>
  <c r="AE484" i="2"/>
  <c r="AE404" i="2"/>
  <c r="AE489" i="2"/>
  <c r="AJ484" i="2"/>
  <c r="AJ404" i="2"/>
  <c r="AM415" i="2"/>
  <c r="W415" i="2"/>
  <c r="X415" i="2"/>
  <c r="AK415" i="2"/>
  <c r="T415" i="2"/>
  <c r="Y415" i="2"/>
  <c r="AH375" i="2"/>
  <c r="R375" i="2"/>
  <c r="B375" i="2"/>
  <c r="V415" i="2"/>
  <c r="U415" i="2"/>
  <c r="AN415" i="2"/>
  <c r="S415" i="2"/>
  <c r="AF415" i="2"/>
  <c r="AH415" i="2"/>
  <c r="AE415" i="2"/>
  <c r="AC415" i="2"/>
  <c r="AK375" i="2"/>
  <c r="T375" i="2"/>
  <c r="C375" i="2"/>
  <c r="AP415" i="2" s="1"/>
  <c r="AI375" i="2"/>
  <c r="Q375" i="2"/>
  <c r="AG375" i="2"/>
  <c r="P375" i="2"/>
  <c r="AF375" i="2"/>
  <c r="O375" i="2"/>
  <c r="AD375" i="2"/>
  <c r="I375" i="2"/>
  <c r="AC375" i="2"/>
  <c r="H375" i="2"/>
  <c r="AA375" i="2"/>
  <c r="F375" i="2"/>
  <c r="AL415" i="2"/>
  <c r="Z375" i="2"/>
  <c r="E375" i="2"/>
  <c r="AJ415" i="2"/>
  <c r="Y375" i="2"/>
  <c r="D375" i="2"/>
  <c r="W375" i="2"/>
  <c r="V375" i="2"/>
  <c r="U375" i="2"/>
  <c r="AI415" i="2"/>
  <c r="S375" i="2"/>
  <c r="AA415" i="2"/>
  <c r="AP375" i="2"/>
  <c r="K375" i="2"/>
  <c r="AO375" i="2"/>
  <c r="AO415" i="2" s="1"/>
  <c r="AM375" i="2"/>
  <c r="AL375" i="2"/>
  <c r="AJ375" i="2"/>
  <c r="AB415" i="2"/>
  <c r="AE375" i="2"/>
  <c r="AB375" i="2"/>
  <c r="J375" i="2"/>
  <c r="M375" i="2"/>
  <c r="L375" i="2"/>
  <c r="AG415" i="2"/>
  <c r="AD415" i="2"/>
  <c r="G375" i="2"/>
  <c r="Z415" i="2"/>
  <c r="AN375" i="2"/>
  <c r="X375" i="2"/>
  <c r="N375" i="2"/>
  <c r="AE407" i="2"/>
  <c r="AB407" i="2"/>
  <c r="AN407" i="2"/>
  <c r="V407" i="2"/>
  <c r="AK407" i="2"/>
  <c r="S407" i="2"/>
  <c r="AD407" i="2"/>
  <c r="AA407" i="2"/>
  <c r="Y407" i="2"/>
  <c r="T407" i="2"/>
  <c r="AF407" i="2"/>
  <c r="AG367" i="2"/>
  <c r="Q367" i="2"/>
  <c r="Z407" i="2"/>
  <c r="AE367" i="2"/>
  <c r="O367" i="2"/>
  <c r="X407" i="2"/>
  <c r="AD367" i="2"/>
  <c r="N367" i="2"/>
  <c r="W407" i="2"/>
  <c r="AC367" i="2"/>
  <c r="M367" i="2"/>
  <c r="AM407" i="2"/>
  <c r="AA367" i="2"/>
  <c r="G367" i="2"/>
  <c r="AL407" i="2"/>
  <c r="Z367" i="2"/>
  <c r="F367" i="2"/>
  <c r="AI407" i="2"/>
  <c r="X367" i="2"/>
  <c r="D367" i="2"/>
  <c r="AH407" i="2"/>
  <c r="W367" i="2"/>
  <c r="C367" i="2"/>
  <c r="AP407" i="2" s="1"/>
  <c r="AG407" i="2"/>
  <c r="AP367" i="2"/>
  <c r="V367" i="2"/>
  <c r="B367" i="2"/>
  <c r="AH367" i="2"/>
  <c r="AF367" i="2"/>
  <c r="Y367" i="2"/>
  <c r="R367" i="2"/>
  <c r="U367" i="2"/>
  <c r="S367" i="2"/>
  <c r="P367" i="2"/>
  <c r="L367" i="2"/>
  <c r="AI367" i="2"/>
  <c r="AB367" i="2"/>
  <c r="K367" i="2"/>
  <c r="J367" i="2"/>
  <c r="U407" i="2"/>
  <c r="I367" i="2"/>
  <c r="H367" i="2"/>
  <c r="AO367" i="2"/>
  <c r="AO407" i="2" s="1"/>
  <c r="AC407" i="2"/>
  <c r="AK367" i="2"/>
  <c r="AN367" i="2"/>
  <c r="AM367" i="2"/>
  <c r="AL367" i="2"/>
  <c r="AJ367" i="2"/>
  <c r="T367" i="2"/>
  <c r="E367" i="2"/>
  <c r="AJ407" i="2"/>
  <c r="R486" i="2"/>
  <c r="H532" i="2"/>
  <c r="AO492" i="2"/>
  <c r="Y492" i="2"/>
  <c r="I492" i="2"/>
  <c r="AL492" i="2"/>
  <c r="V492" i="2"/>
  <c r="F492" i="2"/>
  <c r="AF492" i="2"/>
  <c r="N492" i="2"/>
  <c r="AC492" i="2"/>
  <c r="K492" i="2"/>
  <c r="W492" i="2"/>
  <c r="D492" i="2"/>
  <c r="D532" i="2" s="1"/>
  <c r="AD492" i="2"/>
  <c r="G492" i="2"/>
  <c r="AA492" i="2"/>
  <c r="C492" i="2"/>
  <c r="C532" i="2" s="1"/>
  <c r="Z492" i="2"/>
  <c r="B492" i="2"/>
  <c r="B532" i="2" s="1"/>
  <c r="AH492" i="2"/>
  <c r="E492" i="2"/>
  <c r="AG492" i="2"/>
  <c r="AE492" i="2"/>
  <c r="X492" i="2"/>
  <c r="G532" i="2"/>
  <c r="S492" i="2"/>
  <c r="AJ492" i="2"/>
  <c r="AI492" i="2"/>
  <c r="U492" i="2"/>
  <c r="I532" i="2"/>
  <c r="T492" i="2"/>
  <c r="H492" i="2"/>
  <c r="R492" i="2"/>
  <c r="Q492" i="2"/>
  <c r="M492" i="2"/>
  <c r="J492" i="2"/>
  <c r="AN492" i="2"/>
  <c r="AM492" i="2"/>
  <c r="F532" i="2"/>
  <c r="P492" i="2"/>
  <c r="AB492" i="2"/>
  <c r="O492" i="2"/>
  <c r="E532" i="2"/>
  <c r="L492" i="2"/>
  <c r="AK492" i="2"/>
  <c r="T484" i="2"/>
  <c r="T404" i="2"/>
  <c r="O485" i="2"/>
  <c r="BB283" i="2"/>
  <c r="N292" i="2"/>
  <c r="W153" i="2"/>
  <c r="W264" i="2" s="1"/>
  <c r="Y344" i="2" s="1"/>
  <c r="G146" i="2"/>
  <c r="V154" i="2" s="1"/>
  <c r="V265" i="2" s="1"/>
  <c r="X345" i="2" s="1"/>
  <c r="AN404" i="2"/>
  <c r="AN484" i="2"/>
  <c r="E462" i="2"/>
  <c r="AP502" i="2" s="1"/>
  <c r="AN422" i="2"/>
  <c r="X422" i="2"/>
  <c r="H422" i="2"/>
  <c r="F462" i="2"/>
  <c r="G462" i="2"/>
  <c r="AB422" i="2"/>
  <c r="K422" i="2"/>
  <c r="AH422" i="2"/>
  <c r="P422" i="2"/>
  <c r="AI382" i="2"/>
  <c r="S382" i="2"/>
  <c r="C382" i="2"/>
  <c r="AP422" i="2" s="1"/>
  <c r="AE422" i="2"/>
  <c r="M422" i="2"/>
  <c r="AD422" i="2"/>
  <c r="L422" i="2"/>
  <c r="AM422" i="2"/>
  <c r="R422" i="2"/>
  <c r="AE382" i="2"/>
  <c r="N382" i="2"/>
  <c r="AL422" i="2"/>
  <c r="Q422" i="2"/>
  <c r="AK422" i="2"/>
  <c r="O422" i="2"/>
  <c r="AJ422" i="2"/>
  <c r="N422" i="2"/>
  <c r="Z422" i="2"/>
  <c r="Y422" i="2"/>
  <c r="W422" i="2"/>
  <c r="U422" i="2"/>
  <c r="S422" i="2"/>
  <c r="F422" i="2"/>
  <c r="I422" i="2"/>
  <c r="AK382" i="2"/>
  <c r="R382" i="2"/>
  <c r="E422" i="2"/>
  <c r="AH382" i="2"/>
  <c r="P382" i="2"/>
  <c r="AG382" i="2"/>
  <c r="O382" i="2"/>
  <c r="AF382" i="2"/>
  <c r="M382" i="2"/>
  <c r="AM382" i="2"/>
  <c r="K382" i="2"/>
  <c r="AL382" i="2"/>
  <c r="J382" i="2"/>
  <c r="AG422" i="2"/>
  <c r="AD382" i="2"/>
  <c r="H382" i="2"/>
  <c r="AF422" i="2"/>
  <c r="AC382" i="2"/>
  <c r="G382" i="2"/>
  <c r="AC422" i="2"/>
  <c r="AB382" i="2"/>
  <c r="F382" i="2"/>
  <c r="G422" i="2"/>
  <c r="AA382" i="2"/>
  <c r="Z382" i="2"/>
  <c r="Y382" i="2"/>
  <c r="X382" i="2"/>
  <c r="T382" i="2"/>
  <c r="AI422" i="2"/>
  <c r="AO382" i="2"/>
  <c r="AO422" i="2" s="1"/>
  <c r="AA422" i="2"/>
  <c r="AN382" i="2"/>
  <c r="V422" i="2"/>
  <c r="AJ382" i="2"/>
  <c r="J422" i="2"/>
  <c r="I382" i="2"/>
  <c r="E382" i="2"/>
  <c r="B382" i="2"/>
  <c r="L382" i="2"/>
  <c r="D382" i="2"/>
  <c r="T422" i="2"/>
  <c r="U382" i="2"/>
  <c r="Q382" i="2"/>
  <c r="AP382" i="2"/>
  <c r="W382" i="2"/>
  <c r="V382" i="2"/>
  <c r="AI404" i="2"/>
  <c r="AI484" i="2"/>
  <c r="N484" i="2"/>
  <c r="N404" i="2"/>
  <c r="AE495" i="2"/>
  <c r="AG495" i="2"/>
  <c r="P495" i="2"/>
  <c r="AH495" i="2"/>
  <c r="O495" i="2"/>
  <c r="AC495" i="2"/>
  <c r="L495" i="2"/>
  <c r="H535" i="2"/>
  <c r="E535" i="2"/>
  <c r="AO495" i="2"/>
  <c r="U495" i="2"/>
  <c r="B495" i="2"/>
  <c r="B535" i="2" s="1"/>
  <c r="AN495" i="2"/>
  <c r="T495" i="2"/>
  <c r="AL495" i="2"/>
  <c r="R495" i="2"/>
  <c r="AD495" i="2"/>
  <c r="J495" i="2"/>
  <c r="Y495" i="2"/>
  <c r="I535" i="2"/>
  <c r="W495" i="2"/>
  <c r="G535" i="2"/>
  <c r="V495" i="2"/>
  <c r="F535" i="2"/>
  <c r="AA495" i="2"/>
  <c r="Z495" i="2"/>
  <c r="X495" i="2"/>
  <c r="Q495" i="2"/>
  <c r="K495" i="2"/>
  <c r="AM495" i="2"/>
  <c r="AK495" i="2"/>
  <c r="AI495" i="2"/>
  <c r="AF495" i="2"/>
  <c r="I495" i="2"/>
  <c r="H495" i="2"/>
  <c r="N495" i="2"/>
  <c r="AJ495" i="2"/>
  <c r="M495" i="2"/>
  <c r="AB495" i="2"/>
  <c r="S495" i="2"/>
  <c r="D495" i="2"/>
  <c r="D535" i="2" s="1"/>
  <c r="C495" i="2"/>
  <c r="C535" i="2" s="1"/>
  <c r="G495" i="2"/>
  <c r="E495" i="2"/>
  <c r="F495" i="2"/>
  <c r="M485" i="2"/>
  <c r="AE485" i="2"/>
  <c r="AA490" i="2"/>
  <c r="Y489" i="2"/>
  <c r="W489" i="2"/>
  <c r="I487" i="2"/>
  <c r="E487" i="2"/>
  <c r="AK496" i="2"/>
  <c r="U496" i="2"/>
  <c r="E496" i="2"/>
  <c r="Y496" i="2"/>
  <c r="H496" i="2"/>
  <c r="H536" i="2"/>
  <c r="AB496" i="2"/>
  <c r="J496" i="2"/>
  <c r="G536" i="2"/>
  <c r="E536" i="2"/>
  <c r="X496" i="2"/>
  <c r="F496" i="2"/>
  <c r="AN496" i="2"/>
  <c r="S496" i="2"/>
  <c r="AM496" i="2"/>
  <c r="R496" i="2"/>
  <c r="AJ496" i="2"/>
  <c r="P496" i="2"/>
  <c r="AE496" i="2"/>
  <c r="K496" i="2"/>
  <c r="I536" i="2"/>
  <c r="AL496" i="2"/>
  <c r="L496" i="2"/>
  <c r="AH496" i="2"/>
  <c r="G496" i="2"/>
  <c r="AG496" i="2"/>
  <c r="D496" i="2"/>
  <c r="D536" i="2" s="1"/>
  <c r="T496" i="2"/>
  <c r="Q496" i="2"/>
  <c r="O496" i="2"/>
  <c r="M496" i="2"/>
  <c r="AO496" i="2"/>
  <c r="B496" i="2"/>
  <c r="B536" i="2" s="1"/>
  <c r="F536" i="2"/>
  <c r="AI496" i="2"/>
  <c r="AF496" i="2"/>
  <c r="I496" i="2"/>
  <c r="C496" i="2"/>
  <c r="C536" i="2" s="1"/>
  <c r="AD496" i="2"/>
  <c r="AC496" i="2"/>
  <c r="AA496" i="2"/>
  <c r="W496" i="2"/>
  <c r="V496" i="2"/>
  <c r="N496" i="2"/>
  <c r="Z496" i="2"/>
  <c r="AF486" i="2"/>
  <c r="L486" i="2"/>
  <c r="AD520" i="2"/>
  <c r="AC520" i="2"/>
  <c r="T520" i="2"/>
  <c r="AN513" i="2"/>
  <c r="Y519" i="2"/>
  <c r="AD519" i="2"/>
  <c r="AB519" i="2"/>
  <c r="F484" i="2"/>
  <c r="F404" i="2"/>
  <c r="AM515" i="2"/>
  <c r="W515" i="2"/>
  <c r="G515" i="2"/>
  <c r="AC515" i="2"/>
  <c r="L515" i="2"/>
  <c r="AE515" i="2"/>
  <c r="M515" i="2"/>
  <c r="AD515" i="2"/>
  <c r="K515" i="2"/>
  <c r="AA515" i="2"/>
  <c r="I515" i="2"/>
  <c r="AO515" i="2"/>
  <c r="V515" i="2"/>
  <c r="D515" i="2"/>
  <c r="D555" i="2" s="1"/>
  <c r="S515" i="2"/>
  <c r="I555" i="2"/>
  <c r="R515" i="2"/>
  <c r="G555" i="2"/>
  <c r="AL515" i="2"/>
  <c r="P515" i="2"/>
  <c r="E555" i="2"/>
  <c r="AG515" i="2"/>
  <c r="F515" i="2"/>
  <c r="AF515" i="2"/>
  <c r="E515" i="2"/>
  <c r="AJ515" i="2"/>
  <c r="AH515" i="2"/>
  <c r="AB515" i="2"/>
  <c r="AN515" i="2"/>
  <c r="AK515" i="2"/>
  <c r="Z515" i="2"/>
  <c r="U515" i="2"/>
  <c r="F555" i="2"/>
  <c r="AI515" i="2"/>
  <c r="O515" i="2"/>
  <c r="H555" i="2"/>
  <c r="Y515" i="2"/>
  <c r="H515" i="2"/>
  <c r="C515" i="2"/>
  <c r="C555" i="2" s="1"/>
  <c r="T515" i="2"/>
  <c r="X515" i="2"/>
  <c r="Q515" i="2"/>
  <c r="J515" i="2"/>
  <c r="B515" i="2"/>
  <c r="B555" i="2" s="1"/>
  <c r="N515" i="2"/>
  <c r="AJ487" i="2"/>
  <c r="AU283" i="2"/>
  <c r="N285" i="2"/>
  <c r="AM499" i="2"/>
  <c r="W499" i="2"/>
  <c r="G499" i="2"/>
  <c r="F539" i="2"/>
  <c r="AI499" i="2"/>
  <c r="R499" i="2"/>
  <c r="E539" i="2"/>
  <c r="G539" i="2"/>
  <c r="AC499" i="2"/>
  <c r="K499" i="2"/>
  <c r="Z499" i="2"/>
  <c r="H499" i="2"/>
  <c r="AN499" i="2"/>
  <c r="S499" i="2"/>
  <c r="AL499" i="2"/>
  <c r="Q499" i="2"/>
  <c r="AJ499" i="2"/>
  <c r="O499" i="2"/>
  <c r="AD499" i="2"/>
  <c r="I499" i="2"/>
  <c r="X499" i="2"/>
  <c r="U499" i="2"/>
  <c r="T499" i="2"/>
  <c r="AE499" i="2"/>
  <c r="AB499" i="2"/>
  <c r="AA499" i="2"/>
  <c r="V499" i="2"/>
  <c r="I539" i="2"/>
  <c r="M499" i="2"/>
  <c r="P499" i="2"/>
  <c r="N499" i="2"/>
  <c r="J499" i="2"/>
  <c r="F499" i="2"/>
  <c r="H539" i="2"/>
  <c r="L499" i="2"/>
  <c r="E499" i="2"/>
  <c r="D499" i="2"/>
  <c r="D539" i="2" s="1"/>
  <c r="C499" i="2"/>
  <c r="C539" i="2" s="1"/>
  <c r="AO499" i="2"/>
  <c r="Y499" i="2"/>
  <c r="AK499" i="2"/>
  <c r="AF499" i="2"/>
  <c r="B499" i="2"/>
  <c r="B539" i="2" s="1"/>
  <c r="AH499" i="2"/>
  <c r="AG499" i="2"/>
  <c r="AJ426" i="2"/>
  <c r="T426" i="2"/>
  <c r="AN426" i="2"/>
  <c r="W426" i="2"/>
  <c r="F426" i="2"/>
  <c r="F466" i="2"/>
  <c r="AH426" i="2"/>
  <c r="Q426" i="2"/>
  <c r="Z426" i="2"/>
  <c r="G426" i="2"/>
  <c r="AA386" i="2"/>
  <c r="K386" i="2"/>
  <c r="V426" i="2"/>
  <c r="U426" i="2"/>
  <c r="R426" i="2"/>
  <c r="AH386" i="2"/>
  <c r="Q386" i="2"/>
  <c r="P426" i="2"/>
  <c r="AM426" i="2"/>
  <c r="O426" i="2"/>
  <c r="AL426" i="2"/>
  <c r="N426" i="2"/>
  <c r="AD426" i="2"/>
  <c r="H426" i="2"/>
  <c r="AC426" i="2"/>
  <c r="E426" i="2"/>
  <c r="L426" i="2"/>
  <c r="J426" i="2"/>
  <c r="G466" i="2"/>
  <c r="AF426" i="2"/>
  <c r="AF386" i="2"/>
  <c r="N386" i="2"/>
  <c r="AD386" i="2"/>
  <c r="L386" i="2"/>
  <c r="AK426" i="2"/>
  <c r="AC386" i="2"/>
  <c r="J386" i="2"/>
  <c r="AI426" i="2"/>
  <c r="AB386" i="2"/>
  <c r="I386" i="2"/>
  <c r="E466" i="2"/>
  <c r="AP506" i="2" s="1"/>
  <c r="X426" i="2"/>
  <c r="AM386" i="2"/>
  <c r="P386" i="2"/>
  <c r="S426" i="2"/>
  <c r="AL386" i="2"/>
  <c r="O386" i="2"/>
  <c r="K426" i="2"/>
  <c r="AJ386" i="2"/>
  <c r="H386" i="2"/>
  <c r="I426" i="2"/>
  <c r="AI386" i="2"/>
  <c r="G386" i="2"/>
  <c r="AG386" i="2"/>
  <c r="F386" i="2"/>
  <c r="AG426" i="2"/>
  <c r="AO386" i="2"/>
  <c r="AO426" i="2" s="1"/>
  <c r="C386" i="2"/>
  <c r="AP426" i="2" s="1"/>
  <c r="AE426" i="2"/>
  <c r="AN386" i="2"/>
  <c r="B386" i="2"/>
  <c r="AB426" i="2"/>
  <c r="AK386" i="2"/>
  <c r="AA426" i="2"/>
  <c r="AE386" i="2"/>
  <c r="W386" i="2"/>
  <c r="U386" i="2"/>
  <c r="AP386" i="2"/>
  <c r="Y386" i="2"/>
  <c r="Y426" i="2"/>
  <c r="X386" i="2"/>
  <c r="M426" i="2"/>
  <c r="V386" i="2"/>
  <c r="R386" i="2"/>
  <c r="T386" i="2"/>
  <c r="S386" i="2"/>
  <c r="Z386" i="2"/>
  <c r="M386" i="2"/>
  <c r="E386" i="2"/>
  <c r="D386" i="2"/>
  <c r="AK504" i="2"/>
  <c r="U504" i="2"/>
  <c r="E504" i="2"/>
  <c r="AD504" i="2"/>
  <c r="M504" i="2"/>
  <c r="H544" i="2"/>
  <c r="AL504" i="2"/>
  <c r="S504" i="2"/>
  <c r="G544" i="2"/>
  <c r="E544" i="2"/>
  <c r="AH504" i="2"/>
  <c r="P504" i="2"/>
  <c r="AC504" i="2"/>
  <c r="K504" i="2"/>
  <c r="AA504" i="2"/>
  <c r="F504" i="2"/>
  <c r="Z504" i="2"/>
  <c r="D504" i="2"/>
  <c r="D544" i="2" s="1"/>
  <c r="X504" i="2"/>
  <c r="B504" i="2"/>
  <c r="B544" i="2" s="1"/>
  <c r="I544" i="2"/>
  <c r="AN504" i="2"/>
  <c r="Q504" i="2"/>
  <c r="R504" i="2"/>
  <c r="N504" i="2"/>
  <c r="L504" i="2"/>
  <c r="AI504" i="2"/>
  <c r="AG504" i="2"/>
  <c r="AF504" i="2"/>
  <c r="AB504" i="2"/>
  <c r="V504" i="2"/>
  <c r="T504" i="2"/>
  <c r="O504" i="2"/>
  <c r="I504" i="2"/>
  <c r="F544" i="2"/>
  <c r="H504" i="2"/>
  <c r="J504" i="2"/>
  <c r="G504" i="2"/>
  <c r="C504" i="2"/>
  <c r="C544" i="2" s="1"/>
  <c r="AO504" i="2"/>
  <c r="AE504" i="2"/>
  <c r="W504" i="2"/>
  <c r="AM504" i="2"/>
  <c r="Y504" i="2"/>
  <c r="AJ504" i="2"/>
  <c r="I486" i="2"/>
  <c r="AO510" i="2"/>
  <c r="Y510" i="2"/>
  <c r="I510" i="2"/>
  <c r="AH510" i="2"/>
  <c r="Q510" i="2"/>
  <c r="AN510" i="2"/>
  <c r="V510" i="2"/>
  <c r="D510" i="2"/>
  <c r="D550" i="2" s="1"/>
  <c r="AM510" i="2"/>
  <c r="U510" i="2"/>
  <c r="C510" i="2"/>
  <c r="C550" i="2" s="1"/>
  <c r="AK510" i="2"/>
  <c r="S510" i="2"/>
  <c r="AF510" i="2"/>
  <c r="N510" i="2"/>
  <c r="AI510" i="2"/>
  <c r="K510" i="2"/>
  <c r="AG510" i="2"/>
  <c r="J510" i="2"/>
  <c r="AD510" i="2"/>
  <c r="G510" i="2"/>
  <c r="X510" i="2"/>
  <c r="I550" i="2"/>
  <c r="W510" i="2"/>
  <c r="AJ510" i="2"/>
  <c r="AC510" i="2"/>
  <c r="AB510" i="2"/>
  <c r="G550" i="2"/>
  <c r="AL510" i="2"/>
  <c r="F550" i="2"/>
  <c r="AE510" i="2"/>
  <c r="E550" i="2"/>
  <c r="AA510" i="2"/>
  <c r="T510" i="2"/>
  <c r="O510" i="2"/>
  <c r="H510" i="2"/>
  <c r="F510" i="2"/>
  <c r="B510" i="2"/>
  <c r="B550" i="2" s="1"/>
  <c r="E510" i="2"/>
  <c r="Z510" i="2"/>
  <c r="P510" i="2"/>
  <c r="M510" i="2"/>
  <c r="L510" i="2"/>
  <c r="H550" i="2"/>
  <c r="R510" i="2"/>
  <c r="S484" i="2"/>
  <c r="S404" i="2"/>
  <c r="W490" i="2"/>
  <c r="M489" i="2"/>
  <c r="S489" i="2"/>
  <c r="AM489" i="2"/>
  <c r="R487" i="2"/>
  <c r="L487" i="2"/>
  <c r="J486" i="2"/>
  <c r="AL486" i="2"/>
  <c r="AF520" i="2"/>
  <c r="K520" i="2"/>
  <c r="AL520" i="2"/>
  <c r="AF513" i="2"/>
  <c r="Q513" i="2"/>
  <c r="E513" i="2"/>
  <c r="N519" i="2"/>
  <c r="AE520" i="2"/>
  <c r="AH484" i="2"/>
  <c r="AH404" i="2"/>
  <c r="AM484" i="2"/>
  <c r="AM404" i="2"/>
  <c r="Z494" i="2"/>
  <c r="J494" i="2"/>
  <c r="I534" i="2"/>
  <c r="AN494" i="2"/>
  <c r="W494" i="2"/>
  <c r="F494" i="2"/>
  <c r="AK494" i="2"/>
  <c r="T494" i="2"/>
  <c r="C494" i="2"/>
  <c r="C534" i="2" s="1"/>
  <c r="X494" i="2"/>
  <c r="D494" i="2"/>
  <c r="D534" i="2" s="1"/>
  <c r="V494" i="2"/>
  <c r="G534" i="2"/>
  <c r="AM494" i="2"/>
  <c r="S494" i="2"/>
  <c r="AG494" i="2"/>
  <c r="N494" i="2"/>
  <c r="AO494" i="2"/>
  <c r="O494" i="2"/>
  <c r="AJ494" i="2"/>
  <c r="L494" i="2"/>
  <c r="AI494" i="2"/>
  <c r="K494" i="2"/>
  <c r="AH494" i="2"/>
  <c r="E494" i="2"/>
  <c r="H534" i="2"/>
  <c r="AF494" i="2"/>
  <c r="B494" i="2"/>
  <c r="B534" i="2" s="1"/>
  <c r="F534" i="2"/>
  <c r="AE494" i="2"/>
  <c r="AC494" i="2"/>
  <c r="Y494" i="2"/>
  <c r="AL494" i="2"/>
  <c r="AD494" i="2"/>
  <c r="AA494" i="2"/>
  <c r="U494" i="2"/>
  <c r="AB494" i="2"/>
  <c r="R494" i="2"/>
  <c r="Q494" i="2"/>
  <c r="P494" i="2"/>
  <c r="I494" i="2"/>
  <c r="G494" i="2"/>
  <c r="E534" i="2"/>
  <c r="M494" i="2"/>
  <c r="H494" i="2"/>
  <c r="AC484" i="2"/>
  <c r="AC404" i="2"/>
  <c r="AD416" i="2"/>
  <c r="AH416" i="2"/>
  <c r="AE416" i="2"/>
  <c r="V416" i="2"/>
  <c r="AN376" i="2"/>
  <c r="X376" i="2"/>
  <c r="H376" i="2"/>
  <c r="AN416" i="2"/>
  <c r="U416" i="2"/>
  <c r="AM416" i="2"/>
  <c r="T416" i="2"/>
  <c r="AL416" i="2"/>
  <c r="S416" i="2"/>
  <c r="AC416" i="2"/>
  <c r="X416" i="2"/>
  <c r="AJ416" i="2"/>
  <c r="AC376" i="2"/>
  <c r="L376" i="2"/>
  <c r="AA376" i="2"/>
  <c r="J376" i="2"/>
  <c r="Z376" i="2"/>
  <c r="I376" i="2"/>
  <c r="AP376" i="2"/>
  <c r="Y376" i="2"/>
  <c r="G376" i="2"/>
  <c r="AI376" i="2"/>
  <c r="N376" i="2"/>
  <c r="AH376" i="2"/>
  <c r="M376" i="2"/>
  <c r="AF376" i="2"/>
  <c r="F376" i="2"/>
  <c r="AE376" i="2"/>
  <c r="E376" i="2"/>
  <c r="AD376" i="2"/>
  <c r="D376" i="2"/>
  <c r="Y416" i="2"/>
  <c r="Q376" i="2"/>
  <c r="W416" i="2"/>
  <c r="P376" i="2"/>
  <c r="O376" i="2"/>
  <c r="AO376" i="2"/>
  <c r="AO416" i="2" s="1"/>
  <c r="K376" i="2"/>
  <c r="AJ376" i="2"/>
  <c r="AK416" i="2"/>
  <c r="AG416" i="2"/>
  <c r="AB416" i="2"/>
  <c r="AM376" i="2"/>
  <c r="AA416" i="2"/>
  <c r="AL376" i="2"/>
  <c r="Z416" i="2"/>
  <c r="AK376" i="2"/>
  <c r="B376" i="2"/>
  <c r="AI416" i="2"/>
  <c r="AF416" i="2"/>
  <c r="W376" i="2"/>
  <c r="T376" i="2"/>
  <c r="U376" i="2"/>
  <c r="AG376" i="2"/>
  <c r="AB376" i="2"/>
  <c r="V376" i="2"/>
  <c r="S376" i="2"/>
  <c r="R376" i="2"/>
  <c r="C376" i="2"/>
  <c r="AP416" i="2" s="1"/>
  <c r="Y429" i="2"/>
  <c r="I429" i="2"/>
  <c r="G469" i="2"/>
  <c r="E469" i="2"/>
  <c r="AP509" i="2" s="1"/>
  <c r="AJ429" i="2"/>
  <c r="S429" i="2"/>
  <c r="AH429" i="2"/>
  <c r="Q429" i="2"/>
  <c r="F469" i="2"/>
  <c r="AE429" i="2"/>
  <c r="N429" i="2"/>
  <c r="W429" i="2"/>
  <c r="AC389" i="2"/>
  <c r="M389" i="2"/>
  <c r="V429" i="2"/>
  <c r="AN429" i="2"/>
  <c r="T429" i="2"/>
  <c r="AM429" i="2"/>
  <c r="R429" i="2"/>
  <c r="U429" i="2"/>
  <c r="AA389" i="2"/>
  <c r="J389" i="2"/>
  <c r="P429" i="2"/>
  <c r="O429" i="2"/>
  <c r="M429" i="2"/>
  <c r="AF429" i="2"/>
  <c r="F429" i="2"/>
  <c r="AD429" i="2"/>
  <c r="E429" i="2"/>
  <c r="H429" i="2"/>
  <c r="AD389" i="2"/>
  <c r="K389" i="2"/>
  <c r="AL429" i="2"/>
  <c r="AC429" i="2"/>
  <c r="AI429" i="2"/>
  <c r="AM389" i="2"/>
  <c r="T389" i="2"/>
  <c r="AB429" i="2"/>
  <c r="AK389" i="2"/>
  <c r="R389" i="2"/>
  <c r="AA429" i="2"/>
  <c r="AJ389" i="2"/>
  <c r="Q389" i="2"/>
  <c r="Z429" i="2"/>
  <c r="AI389" i="2"/>
  <c r="P389" i="2"/>
  <c r="AO389" i="2"/>
  <c r="AO429" i="2" s="1"/>
  <c r="N389" i="2"/>
  <c r="AK429" i="2"/>
  <c r="AN389" i="2"/>
  <c r="L389" i="2"/>
  <c r="X429" i="2"/>
  <c r="AH389" i="2"/>
  <c r="H389" i="2"/>
  <c r="L429" i="2"/>
  <c r="AG389" i="2"/>
  <c r="G389" i="2"/>
  <c r="K429" i="2"/>
  <c r="AF389" i="2"/>
  <c r="F389" i="2"/>
  <c r="J429" i="2"/>
  <c r="X389" i="2"/>
  <c r="G429" i="2"/>
  <c r="W389" i="2"/>
  <c r="V389" i="2"/>
  <c r="U389" i="2"/>
  <c r="E389" i="2"/>
  <c r="C389" i="2"/>
  <c r="AP429" i="2" s="1"/>
  <c r="AB389" i="2"/>
  <c r="Y389" i="2"/>
  <c r="S389" i="2"/>
  <c r="O389" i="2"/>
  <c r="D389" i="2"/>
  <c r="B389" i="2"/>
  <c r="AP389" i="2"/>
  <c r="AL389" i="2"/>
  <c r="Z389" i="2"/>
  <c r="I389" i="2"/>
  <c r="AG429" i="2"/>
  <c r="AE389" i="2"/>
  <c r="Y413" i="2"/>
  <c r="AL413" i="2"/>
  <c r="V413" i="2"/>
  <c r="AF413" i="2"/>
  <c r="AL373" i="2"/>
  <c r="V373" i="2"/>
  <c r="F373" i="2"/>
  <c r="AD413" i="2"/>
  <c r="AC413" i="2"/>
  <c r="AN413" i="2"/>
  <c r="U413" i="2"/>
  <c r="AK413" i="2"/>
  <c r="AI413" i="2"/>
  <c r="AB413" i="2"/>
  <c r="AG413" i="2"/>
  <c r="AI373" i="2"/>
  <c r="R373" i="2"/>
  <c r="AA413" i="2"/>
  <c r="AG373" i="2"/>
  <c r="P373" i="2"/>
  <c r="Z413" i="2"/>
  <c r="AF373" i="2"/>
  <c r="O373" i="2"/>
  <c r="X413" i="2"/>
  <c r="AE373" i="2"/>
  <c r="N373" i="2"/>
  <c r="Y373" i="2"/>
  <c r="C373" i="2"/>
  <c r="AP413" i="2" s="1"/>
  <c r="X373" i="2"/>
  <c r="B373" i="2"/>
  <c r="AM413" i="2"/>
  <c r="U373" i="2"/>
  <c r="AJ413" i="2"/>
  <c r="AP373" i="2"/>
  <c r="T373" i="2"/>
  <c r="AH413" i="2"/>
  <c r="AO373" i="2"/>
  <c r="AO413" i="2" s="1"/>
  <c r="S373" i="2"/>
  <c r="AN373" i="2"/>
  <c r="I373" i="2"/>
  <c r="AM373" i="2"/>
  <c r="H373" i="2"/>
  <c r="AJ373" i="2"/>
  <c r="E373" i="2"/>
  <c r="AB373" i="2"/>
  <c r="AE413" i="2"/>
  <c r="AH373" i="2"/>
  <c r="AC373" i="2"/>
  <c r="W413" i="2"/>
  <c r="AA373" i="2"/>
  <c r="T413" i="2"/>
  <c r="Z373" i="2"/>
  <c r="S413" i="2"/>
  <c r="J373" i="2"/>
  <c r="G373" i="2"/>
  <c r="AK373" i="2"/>
  <c r="M373" i="2"/>
  <c r="L373" i="2"/>
  <c r="D373" i="2"/>
  <c r="W373" i="2"/>
  <c r="AD373" i="2"/>
  <c r="Q373" i="2"/>
  <c r="K373" i="2"/>
  <c r="T485" i="2"/>
  <c r="AD490" i="2"/>
  <c r="F146" i="2"/>
  <c r="U154" i="2" s="1"/>
  <c r="U265" i="2" s="1"/>
  <c r="W345" i="2" s="1"/>
  <c r="W152" i="2"/>
  <c r="W263" i="2" s="1"/>
  <c r="Y343" i="2" s="1"/>
  <c r="BL261" i="2"/>
  <c r="BJ262" i="2"/>
  <c r="AN436" i="2"/>
  <c r="X436" i="2"/>
  <c r="H436" i="2"/>
  <c r="Z436" i="2"/>
  <c r="I436" i="2"/>
  <c r="G476" i="2"/>
  <c r="E476" i="2"/>
  <c r="AP516" i="2" s="1"/>
  <c r="AG436" i="2"/>
  <c r="O436" i="2"/>
  <c r="AF436" i="2"/>
  <c r="N436" i="2"/>
  <c r="AL436" i="2"/>
  <c r="R436" i="2"/>
  <c r="AK436" i="2"/>
  <c r="Q436" i="2"/>
  <c r="AI436" i="2"/>
  <c r="M436" i="2"/>
  <c r="AD436" i="2"/>
  <c r="J436" i="2"/>
  <c r="W436" i="2"/>
  <c r="AM396" i="2"/>
  <c r="W396" i="2"/>
  <c r="G396" i="2"/>
  <c r="V436" i="2"/>
  <c r="F476" i="2"/>
  <c r="T436" i="2"/>
  <c r="S436" i="2"/>
  <c r="U436" i="2"/>
  <c r="AO396" i="2"/>
  <c r="AO436" i="2" s="1"/>
  <c r="X396" i="2"/>
  <c r="F396" i="2"/>
  <c r="P436" i="2"/>
  <c r="L436" i="2"/>
  <c r="K436" i="2"/>
  <c r="AK396" i="2"/>
  <c r="T396" i="2"/>
  <c r="C396" i="2"/>
  <c r="AP436" i="2" s="1"/>
  <c r="AJ436" i="2"/>
  <c r="AH436" i="2"/>
  <c r="AB436" i="2"/>
  <c r="Y396" i="2"/>
  <c r="D396" i="2"/>
  <c r="Y436" i="2"/>
  <c r="AP396" i="2"/>
  <c r="U396" i="2"/>
  <c r="F436" i="2"/>
  <c r="AL396" i="2"/>
  <c r="R396" i="2"/>
  <c r="AG396" i="2"/>
  <c r="N396" i="2"/>
  <c r="AC436" i="2"/>
  <c r="P396" i="2"/>
  <c r="G436" i="2"/>
  <c r="AN396" i="2"/>
  <c r="M396" i="2"/>
  <c r="E436" i="2"/>
  <c r="AJ396" i="2"/>
  <c r="L396" i="2"/>
  <c r="AI396" i="2"/>
  <c r="K396" i="2"/>
  <c r="S396" i="2"/>
  <c r="Q396" i="2"/>
  <c r="J396" i="2"/>
  <c r="AM436" i="2"/>
  <c r="I396" i="2"/>
  <c r="AE436" i="2"/>
  <c r="H396" i="2"/>
  <c r="AF396" i="2"/>
  <c r="AE396" i="2"/>
  <c r="AD396" i="2"/>
  <c r="AC396" i="2"/>
  <c r="V396" i="2"/>
  <c r="E396" i="2"/>
  <c r="O396" i="2"/>
  <c r="AA436" i="2"/>
  <c r="AA396" i="2"/>
  <c r="Z396" i="2"/>
  <c r="AH396" i="2"/>
  <c r="AB396" i="2"/>
  <c r="B396" i="2"/>
  <c r="V484" i="2"/>
  <c r="V404" i="2"/>
  <c r="G459" i="2"/>
  <c r="AI419" i="2"/>
  <c r="S419" i="2"/>
  <c r="F459" i="2"/>
  <c r="E459" i="2"/>
  <c r="AP499" i="2" s="1"/>
  <c r="AD419" i="2"/>
  <c r="M419" i="2"/>
  <c r="AA419" i="2"/>
  <c r="J419" i="2"/>
  <c r="AJ419" i="2"/>
  <c r="P419" i="2"/>
  <c r="AP379" i="2"/>
  <c r="Z379" i="2"/>
  <c r="J379" i="2"/>
  <c r="AH419" i="2"/>
  <c r="O419" i="2"/>
  <c r="AG419" i="2"/>
  <c r="N419" i="2"/>
  <c r="AF419" i="2"/>
  <c r="L419" i="2"/>
  <c r="X419" i="2"/>
  <c r="E419" i="2"/>
  <c r="W419" i="2"/>
  <c r="Q419" i="2"/>
  <c r="I419" i="2"/>
  <c r="AM419" i="2"/>
  <c r="G419" i="2"/>
  <c r="AC419" i="2"/>
  <c r="AM379" i="2"/>
  <c r="V379" i="2"/>
  <c r="E379" i="2"/>
  <c r="AN419" i="2"/>
  <c r="AK379" i="2"/>
  <c r="T379" i="2"/>
  <c r="C379" i="2"/>
  <c r="AP419" i="2" s="1"/>
  <c r="AL419" i="2"/>
  <c r="AJ379" i="2"/>
  <c r="S379" i="2"/>
  <c r="B379" i="2"/>
  <c r="AK419" i="2"/>
  <c r="AI379" i="2"/>
  <c r="R379" i="2"/>
  <c r="X379" i="2"/>
  <c r="W379" i="2"/>
  <c r="AE419" i="2"/>
  <c r="Q379" i="2"/>
  <c r="AB419" i="2"/>
  <c r="AO379" i="2"/>
  <c r="AO419" i="2" s="1"/>
  <c r="P379" i="2"/>
  <c r="Z419" i="2"/>
  <c r="AN379" i="2"/>
  <c r="O379" i="2"/>
  <c r="Y379" i="2"/>
  <c r="U379" i="2"/>
  <c r="Y419" i="2"/>
  <c r="N379" i="2"/>
  <c r="V419" i="2"/>
  <c r="M379" i="2"/>
  <c r="K419" i="2"/>
  <c r="AL379" i="2"/>
  <c r="H379" i="2"/>
  <c r="F419" i="2"/>
  <c r="AA379" i="2"/>
  <c r="T419" i="2"/>
  <c r="K379" i="2"/>
  <c r="R419" i="2"/>
  <c r="I379" i="2"/>
  <c r="H419" i="2"/>
  <c r="G379" i="2"/>
  <c r="D379" i="2"/>
  <c r="U419" i="2"/>
  <c r="AF379" i="2"/>
  <c r="AG379" i="2"/>
  <c r="AE379" i="2"/>
  <c r="AC379" i="2"/>
  <c r="AB379" i="2"/>
  <c r="AH379" i="2"/>
  <c r="L379" i="2"/>
  <c r="AD379" i="2"/>
  <c r="F379" i="2"/>
  <c r="AC439" i="2"/>
  <c r="M439" i="2"/>
  <c r="AM439" i="2"/>
  <c r="V439" i="2"/>
  <c r="E439" i="2"/>
  <c r="F479" i="2"/>
  <c r="E479" i="2"/>
  <c r="AP519" i="2" s="1"/>
  <c r="AK439" i="2"/>
  <c r="S439" i="2"/>
  <c r="AJ439" i="2"/>
  <c r="R439" i="2"/>
  <c r="G479" i="2"/>
  <c r="U439" i="2"/>
  <c r="T439" i="2"/>
  <c r="AN439" i="2"/>
  <c r="Q439" i="2"/>
  <c r="AI439" i="2"/>
  <c r="O439" i="2"/>
  <c r="AF439" i="2"/>
  <c r="K439" i="2"/>
  <c r="P439" i="2"/>
  <c r="AO399" i="2"/>
  <c r="AO439" i="2" s="1"/>
  <c r="Y399" i="2"/>
  <c r="I399" i="2"/>
  <c r="N439" i="2"/>
  <c r="J439" i="2"/>
  <c r="I439" i="2"/>
  <c r="L439" i="2"/>
  <c r="AH399" i="2"/>
  <c r="Q399" i="2"/>
  <c r="H439" i="2"/>
  <c r="G439" i="2"/>
  <c r="F439" i="2"/>
  <c r="AE399" i="2"/>
  <c r="N399" i="2"/>
  <c r="AD439" i="2"/>
  <c r="AB439" i="2"/>
  <c r="AA439" i="2"/>
  <c r="AI399" i="2"/>
  <c r="O399" i="2"/>
  <c r="Y439" i="2"/>
  <c r="AF399" i="2"/>
  <c r="L399" i="2"/>
  <c r="W439" i="2"/>
  <c r="AC399" i="2"/>
  <c r="J399" i="2"/>
  <c r="X399" i="2"/>
  <c r="E399" i="2"/>
  <c r="U399" i="2"/>
  <c r="S399" i="2"/>
  <c r="AP399" i="2"/>
  <c r="R399" i="2"/>
  <c r="AN399" i="2"/>
  <c r="P399" i="2"/>
  <c r="AG439" i="2"/>
  <c r="AD399" i="2"/>
  <c r="AL439" i="2"/>
  <c r="AB399" i="2"/>
  <c r="AE439" i="2"/>
  <c r="Z399" i="2"/>
  <c r="Z439" i="2"/>
  <c r="W399" i="2"/>
  <c r="X439" i="2"/>
  <c r="V399" i="2"/>
  <c r="H399" i="2"/>
  <c r="G399" i="2"/>
  <c r="F399" i="2"/>
  <c r="AH439" i="2"/>
  <c r="D399" i="2"/>
  <c r="AM399" i="2"/>
  <c r="AK399" i="2"/>
  <c r="AL399" i="2"/>
  <c r="AJ399" i="2"/>
  <c r="AG399" i="2"/>
  <c r="M399" i="2"/>
  <c r="AA399" i="2"/>
  <c r="K399" i="2"/>
  <c r="C399" i="2"/>
  <c r="AP439" i="2" s="1"/>
  <c r="T399" i="2"/>
  <c r="B399" i="2"/>
  <c r="Q485" i="2"/>
  <c r="AI509" i="2"/>
  <c r="S509" i="2"/>
  <c r="C509" i="2"/>
  <c r="C549" i="2" s="1"/>
  <c r="Y509" i="2"/>
  <c r="H509" i="2"/>
  <c r="H549" i="2"/>
  <c r="I549" i="2"/>
  <c r="AB509" i="2"/>
  <c r="J509" i="2"/>
  <c r="G549" i="2"/>
  <c r="AA509" i="2"/>
  <c r="I509" i="2"/>
  <c r="E549" i="2"/>
  <c r="X509" i="2"/>
  <c r="F509" i="2"/>
  <c r="AL509" i="2"/>
  <c r="T509" i="2"/>
  <c r="AD509" i="2"/>
  <c r="D509" i="2"/>
  <c r="D549" i="2" s="1"/>
  <c r="AC509" i="2"/>
  <c r="B509" i="2"/>
  <c r="B549" i="2" s="1"/>
  <c r="W509" i="2"/>
  <c r="AN509" i="2"/>
  <c r="P509" i="2"/>
  <c r="AM509" i="2"/>
  <c r="O509" i="2"/>
  <c r="AO509" i="2"/>
  <c r="G509" i="2"/>
  <c r="AJ509" i="2"/>
  <c r="AH509" i="2"/>
  <c r="AF509" i="2"/>
  <c r="AE509" i="2"/>
  <c r="Z509" i="2"/>
  <c r="U509" i="2"/>
  <c r="N509" i="2"/>
  <c r="AK509" i="2"/>
  <c r="AG509" i="2"/>
  <c r="V509" i="2"/>
  <c r="R509" i="2"/>
  <c r="F549" i="2"/>
  <c r="K509" i="2"/>
  <c r="E509" i="2"/>
  <c r="M509" i="2"/>
  <c r="L509" i="2"/>
  <c r="Q509" i="2"/>
  <c r="J490" i="2"/>
  <c r="AJ490" i="2"/>
  <c r="P490" i="2"/>
  <c r="N489" i="2"/>
  <c r="AN489" i="2"/>
  <c r="M487" i="2"/>
  <c r="Q487" i="2"/>
  <c r="AM487" i="2"/>
  <c r="AB486" i="2"/>
  <c r="O486" i="2"/>
  <c r="AM486" i="2"/>
  <c r="BJ265" i="2"/>
  <c r="AN520" i="2"/>
  <c r="AM520" i="2"/>
  <c r="R513" i="2"/>
  <c r="W513" i="2"/>
  <c r="F519" i="2"/>
  <c r="AF519" i="2"/>
  <c r="AK513" i="2"/>
  <c r="AG498" i="2"/>
  <c r="Q498" i="2"/>
  <c r="Z498" i="2"/>
  <c r="I498" i="2"/>
  <c r="AI498" i="2"/>
  <c r="P498" i="2"/>
  <c r="I538" i="2"/>
  <c r="AE498" i="2"/>
  <c r="M498" i="2"/>
  <c r="E538" i="2"/>
  <c r="G538" i="2"/>
  <c r="AN498" i="2"/>
  <c r="T498" i="2"/>
  <c r="F538" i="2"/>
  <c r="AM498" i="2"/>
  <c r="S498" i="2"/>
  <c r="AK498" i="2"/>
  <c r="O498" i="2"/>
  <c r="AC498" i="2"/>
  <c r="H498" i="2"/>
  <c r="AL498" i="2"/>
  <c r="J498" i="2"/>
  <c r="AH498" i="2"/>
  <c r="F498" i="2"/>
  <c r="AF498" i="2"/>
  <c r="E498" i="2"/>
  <c r="AO498" i="2"/>
  <c r="C498" i="2"/>
  <c r="C538" i="2" s="1"/>
  <c r="AJ498" i="2"/>
  <c r="B498" i="2"/>
  <c r="B538" i="2" s="1"/>
  <c r="AD498" i="2"/>
  <c r="AA498" i="2"/>
  <c r="W498" i="2"/>
  <c r="N498" i="2"/>
  <c r="L498" i="2"/>
  <c r="G498" i="2"/>
  <c r="D498" i="2"/>
  <c r="D538" i="2" s="1"/>
  <c r="H538" i="2"/>
  <c r="V498" i="2"/>
  <c r="U498" i="2"/>
  <c r="AB498" i="2"/>
  <c r="Y498" i="2"/>
  <c r="R498" i="2"/>
  <c r="K498" i="2"/>
  <c r="X498" i="2"/>
  <c r="I484" i="2"/>
  <c r="I404" i="2"/>
  <c r="F489" i="2"/>
  <c r="G468" i="2"/>
  <c r="AH428" i="2"/>
  <c r="R428" i="2"/>
  <c r="Z428" i="2"/>
  <c r="I428" i="2"/>
  <c r="X428" i="2"/>
  <c r="AL428" i="2"/>
  <c r="U428" i="2"/>
  <c r="V428" i="2"/>
  <c r="AM388" i="2"/>
  <c r="W388" i="2"/>
  <c r="G388" i="2"/>
  <c r="AM428" i="2"/>
  <c r="Q428" i="2"/>
  <c r="AK428" i="2"/>
  <c r="P428" i="2"/>
  <c r="E468" i="2"/>
  <c r="AP508" i="2" s="1"/>
  <c r="AG428" i="2"/>
  <c r="J428" i="2"/>
  <c r="AI388" i="2"/>
  <c r="R388" i="2"/>
  <c r="AF428" i="2"/>
  <c r="H428" i="2"/>
  <c r="AE428" i="2"/>
  <c r="G428" i="2"/>
  <c r="AD428" i="2"/>
  <c r="F428" i="2"/>
  <c r="T428" i="2"/>
  <c r="S428" i="2"/>
  <c r="K428" i="2"/>
  <c r="F468" i="2"/>
  <c r="AH388" i="2"/>
  <c r="P388" i="2"/>
  <c r="AN428" i="2"/>
  <c r="AB428" i="2"/>
  <c r="W428" i="2"/>
  <c r="X388" i="2"/>
  <c r="D388" i="2"/>
  <c r="N428" i="2"/>
  <c r="AO388" i="2"/>
  <c r="AO428" i="2" s="1"/>
  <c r="U388" i="2"/>
  <c r="B388" i="2"/>
  <c r="M428" i="2"/>
  <c r="AN388" i="2"/>
  <c r="T388" i="2"/>
  <c r="L428" i="2"/>
  <c r="AL388" i="2"/>
  <c r="S388" i="2"/>
  <c r="AD388" i="2"/>
  <c r="F388" i="2"/>
  <c r="AC388" i="2"/>
  <c r="E388" i="2"/>
  <c r="AA388" i="2"/>
  <c r="Z388" i="2"/>
  <c r="Y388" i="2"/>
  <c r="AE388" i="2"/>
  <c r="AB388" i="2"/>
  <c r="V388" i="2"/>
  <c r="AJ428" i="2"/>
  <c r="Q388" i="2"/>
  <c r="Y428" i="2"/>
  <c r="L388" i="2"/>
  <c r="E428" i="2"/>
  <c r="J388" i="2"/>
  <c r="K388" i="2"/>
  <c r="H388" i="2"/>
  <c r="C388" i="2"/>
  <c r="AP428" i="2" s="1"/>
  <c r="AK388" i="2"/>
  <c r="AJ388" i="2"/>
  <c r="M388" i="2"/>
  <c r="AC428" i="2"/>
  <c r="N388" i="2"/>
  <c r="AF388" i="2"/>
  <c r="I388" i="2"/>
  <c r="AI428" i="2"/>
  <c r="AA428" i="2"/>
  <c r="O428" i="2"/>
  <c r="AG388" i="2"/>
  <c r="AP388" i="2"/>
  <c r="O388" i="2"/>
  <c r="U485" i="2"/>
  <c r="AE487" i="2"/>
  <c r="AJ486" i="2"/>
  <c r="AB418" i="2"/>
  <c r="AK418" i="2"/>
  <c r="T418" i="2"/>
  <c r="AH418" i="2"/>
  <c r="AL418" i="2"/>
  <c r="AJ378" i="2"/>
  <c r="T378" i="2"/>
  <c r="D378" i="2"/>
  <c r="AJ418" i="2"/>
  <c r="AI418" i="2"/>
  <c r="AG418" i="2"/>
  <c r="Z418" i="2"/>
  <c r="Y418" i="2"/>
  <c r="W418" i="2"/>
  <c r="U418" i="2"/>
  <c r="AD378" i="2"/>
  <c r="M378" i="2"/>
  <c r="AN418" i="2"/>
  <c r="AB378" i="2"/>
  <c r="K378" i="2"/>
  <c r="AM418" i="2"/>
  <c r="AA378" i="2"/>
  <c r="J378" i="2"/>
  <c r="AF418" i="2"/>
  <c r="Z378" i="2"/>
  <c r="I378" i="2"/>
  <c r="AD418" i="2"/>
  <c r="AO378" i="2"/>
  <c r="AO418" i="2" s="1"/>
  <c r="S378" i="2"/>
  <c r="AC418" i="2"/>
  <c r="AN378" i="2"/>
  <c r="R378" i="2"/>
  <c r="X418" i="2"/>
  <c r="AL378" i="2"/>
  <c r="P378" i="2"/>
  <c r="V418" i="2"/>
  <c r="AK378" i="2"/>
  <c r="O378" i="2"/>
  <c r="S418" i="2"/>
  <c r="AI378" i="2"/>
  <c r="N378" i="2"/>
  <c r="AE378" i="2"/>
  <c r="AC378" i="2"/>
  <c r="Y378" i="2"/>
  <c r="X378" i="2"/>
  <c r="Q378" i="2"/>
  <c r="H378" i="2"/>
  <c r="F378" i="2"/>
  <c r="E378" i="2"/>
  <c r="C378" i="2"/>
  <c r="AP418" i="2" s="1"/>
  <c r="AA418" i="2"/>
  <c r="AP378" i="2"/>
  <c r="AH378" i="2"/>
  <c r="AG378" i="2"/>
  <c r="L378" i="2"/>
  <c r="W378" i="2"/>
  <c r="G378" i="2"/>
  <c r="AE418" i="2"/>
  <c r="AM378" i="2"/>
  <c r="AF378" i="2"/>
  <c r="V378" i="2"/>
  <c r="U378" i="2"/>
  <c r="B378" i="2"/>
  <c r="AL408" i="2"/>
  <c r="V408" i="2"/>
  <c r="AI408" i="2"/>
  <c r="S408" i="2"/>
  <c r="AJ408" i="2"/>
  <c r="AN368" i="2"/>
  <c r="X368" i="2"/>
  <c r="AG408" i="2"/>
  <c r="AF408" i="2"/>
  <c r="AD408" i="2"/>
  <c r="AB408" i="2"/>
  <c r="Z408" i="2"/>
  <c r="U408" i="2"/>
  <c r="AO368" i="2"/>
  <c r="AO408" i="2" s="1"/>
  <c r="W368" i="2"/>
  <c r="G368" i="2"/>
  <c r="AL368" i="2"/>
  <c r="U368" i="2"/>
  <c r="E368" i="2"/>
  <c r="AK368" i="2"/>
  <c r="T368" i="2"/>
  <c r="D368" i="2"/>
  <c r="AN408" i="2"/>
  <c r="AJ368" i="2"/>
  <c r="S368" i="2"/>
  <c r="C368" i="2"/>
  <c r="AP408" i="2" s="1"/>
  <c r="AK408" i="2"/>
  <c r="AD368" i="2"/>
  <c r="I368" i="2"/>
  <c r="AH408" i="2"/>
  <c r="AC368" i="2"/>
  <c r="H368" i="2"/>
  <c r="AC408" i="2"/>
  <c r="AA368" i="2"/>
  <c r="B368" i="2"/>
  <c r="AA408" i="2"/>
  <c r="Z368" i="2"/>
  <c r="Y408" i="2"/>
  <c r="Y368" i="2"/>
  <c r="X408" i="2"/>
  <c r="Q368" i="2"/>
  <c r="W408" i="2"/>
  <c r="P368" i="2"/>
  <c r="T408" i="2"/>
  <c r="N368" i="2"/>
  <c r="AM368" i="2"/>
  <c r="J368" i="2"/>
  <c r="AB368" i="2"/>
  <c r="R368" i="2"/>
  <c r="O368" i="2"/>
  <c r="M368" i="2"/>
  <c r="AP368" i="2"/>
  <c r="AI368" i="2"/>
  <c r="AG368" i="2"/>
  <c r="AF368" i="2"/>
  <c r="F368" i="2"/>
  <c r="AH368" i="2"/>
  <c r="V368" i="2"/>
  <c r="L368" i="2"/>
  <c r="K368" i="2"/>
  <c r="AE368" i="2"/>
  <c r="AE408" i="2"/>
  <c r="AM408" i="2"/>
  <c r="O484" i="2"/>
  <c r="O404" i="2"/>
  <c r="R489" i="2"/>
  <c r="Y484" i="2"/>
  <c r="Y404" i="2"/>
  <c r="AD484" i="2"/>
  <c r="AD404" i="2"/>
  <c r="H528" i="2"/>
  <c r="F528" i="2"/>
  <c r="AG488" i="2"/>
  <c r="Q488" i="2"/>
  <c r="AN488" i="2"/>
  <c r="W488" i="2"/>
  <c r="F488" i="2"/>
  <c r="AK488" i="2"/>
  <c r="T488" i="2"/>
  <c r="C488" i="2"/>
  <c r="C528" i="2" s="1"/>
  <c r="AE488" i="2"/>
  <c r="N488" i="2"/>
  <c r="X488" i="2"/>
  <c r="B488" i="2"/>
  <c r="B528" i="2" s="1"/>
  <c r="I528" i="2" s="1"/>
  <c r="U488" i="2"/>
  <c r="AO488" i="2"/>
  <c r="S488" i="2"/>
  <c r="AL488" i="2"/>
  <c r="L488" i="2"/>
  <c r="AJ488" i="2"/>
  <c r="K488" i="2"/>
  <c r="AI488" i="2"/>
  <c r="J488" i="2"/>
  <c r="AF488" i="2"/>
  <c r="H488" i="2"/>
  <c r="AB488" i="2"/>
  <c r="D488" i="2"/>
  <c r="D528" i="2" s="1"/>
  <c r="G488" i="2"/>
  <c r="E488" i="2"/>
  <c r="AM488" i="2"/>
  <c r="AH488" i="2"/>
  <c r="P488" i="2"/>
  <c r="O488" i="2"/>
  <c r="M488" i="2"/>
  <c r="I488" i="2"/>
  <c r="AD488" i="2"/>
  <c r="AC488" i="2"/>
  <c r="R488" i="2"/>
  <c r="V488" i="2"/>
  <c r="AA488" i="2"/>
  <c r="Y488" i="2"/>
  <c r="Z488" i="2"/>
  <c r="BD256" i="2"/>
  <c r="AZ248" i="2"/>
  <c r="AU285" i="2" s="1" a="1"/>
  <c r="E478" i="2"/>
  <c r="AP518" i="2" s="1"/>
  <c r="AL438" i="2"/>
  <c r="V438" i="2"/>
  <c r="F438" i="2"/>
  <c r="AC438" i="2"/>
  <c r="L438" i="2"/>
  <c r="G478" i="2"/>
  <c r="X438" i="2"/>
  <c r="E438" i="2"/>
  <c r="W438" i="2"/>
  <c r="AN438" i="2"/>
  <c r="S438" i="2"/>
  <c r="AM438" i="2"/>
  <c r="R438" i="2"/>
  <c r="AK438" i="2"/>
  <c r="Q438" i="2"/>
  <c r="AI438" i="2"/>
  <c r="O438" i="2"/>
  <c r="AF438" i="2"/>
  <c r="K438" i="2"/>
  <c r="AB438" i="2"/>
  <c r="AI398" i="2"/>
  <c r="S398" i="2"/>
  <c r="C398" i="2"/>
  <c r="AP438" i="2" s="1"/>
  <c r="AA438" i="2"/>
  <c r="Y438" i="2"/>
  <c r="U438" i="2"/>
  <c r="M438" i="2"/>
  <c r="AP398" i="2"/>
  <c r="Y398" i="2"/>
  <c r="H398" i="2"/>
  <c r="J438" i="2"/>
  <c r="I438" i="2"/>
  <c r="H438" i="2"/>
  <c r="AM398" i="2"/>
  <c r="V398" i="2"/>
  <c r="E398" i="2"/>
  <c r="AG438" i="2"/>
  <c r="AE438" i="2"/>
  <c r="AK398" i="2"/>
  <c r="Q398" i="2"/>
  <c r="AH398" i="2"/>
  <c r="O398" i="2"/>
  <c r="AF398" i="2"/>
  <c r="M398" i="2"/>
  <c r="AJ438" i="2"/>
  <c r="AB398" i="2"/>
  <c r="I398" i="2"/>
  <c r="Z438" i="2"/>
  <c r="AL398" i="2"/>
  <c r="K398" i="2"/>
  <c r="P438" i="2"/>
  <c r="AG398" i="2"/>
  <c r="G398" i="2"/>
  <c r="N438" i="2"/>
  <c r="AE398" i="2"/>
  <c r="F398" i="2"/>
  <c r="G438" i="2"/>
  <c r="AD398" i="2"/>
  <c r="D398" i="2"/>
  <c r="AO398" i="2"/>
  <c r="AO438" i="2" s="1"/>
  <c r="AN398" i="2"/>
  <c r="AC398" i="2"/>
  <c r="AA398" i="2"/>
  <c r="F478" i="2"/>
  <c r="Z398" i="2"/>
  <c r="J398" i="2"/>
  <c r="B398" i="2"/>
  <c r="AH438" i="2"/>
  <c r="AJ398" i="2"/>
  <c r="T438" i="2"/>
  <c r="W398" i="2"/>
  <c r="P398" i="2"/>
  <c r="L398" i="2"/>
  <c r="T398" i="2"/>
  <c r="R398" i="2"/>
  <c r="N398" i="2"/>
  <c r="U398" i="2"/>
  <c r="AD438" i="2"/>
  <c r="X398" i="2"/>
  <c r="E484" i="2"/>
  <c r="E404" i="2"/>
  <c r="Z484" i="2"/>
  <c r="Z404" i="2"/>
  <c r="Z420" i="2"/>
  <c r="J420" i="2"/>
  <c r="X420" i="2"/>
  <c r="G420" i="2"/>
  <c r="G460" i="2"/>
  <c r="Y420" i="2"/>
  <c r="F420" i="2"/>
  <c r="F460" i="2"/>
  <c r="AM420" i="2"/>
  <c r="U420" i="2"/>
  <c r="AI420" i="2"/>
  <c r="O420" i="2"/>
  <c r="AF380" i="2"/>
  <c r="P380" i="2"/>
  <c r="AH420" i="2"/>
  <c r="N420" i="2"/>
  <c r="AG420" i="2"/>
  <c r="M420" i="2"/>
  <c r="AF420" i="2"/>
  <c r="L420" i="2"/>
  <c r="W420" i="2"/>
  <c r="V420" i="2"/>
  <c r="AL420" i="2"/>
  <c r="E420" i="2"/>
  <c r="AJ420" i="2"/>
  <c r="AD420" i="2"/>
  <c r="T420" i="2"/>
  <c r="H420" i="2"/>
  <c r="AE380" i="2"/>
  <c r="N380" i="2"/>
  <c r="AC380" i="2"/>
  <c r="L380" i="2"/>
  <c r="AB380" i="2"/>
  <c r="K380" i="2"/>
  <c r="AN420" i="2"/>
  <c r="AA380" i="2"/>
  <c r="J380" i="2"/>
  <c r="K420" i="2"/>
  <c r="Y380" i="2"/>
  <c r="D380" i="2"/>
  <c r="I420" i="2"/>
  <c r="X380" i="2"/>
  <c r="C380" i="2"/>
  <c r="AP420" i="2" s="1"/>
  <c r="E460" i="2"/>
  <c r="AP500" i="2" s="1"/>
  <c r="V380" i="2"/>
  <c r="AP380" i="2"/>
  <c r="U380" i="2"/>
  <c r="AO380" i="2"/>
  <c r="AO420" i="2" s="1"/>
  <c r="T380" i="2"/>
  <c r="P420" i="2"/>
  <c r="M380" i="2"/>
  <c r="AN380" i="2"/>
  <c r="I380" i="2"/>
  <c r="AM380" i="2"/>
  <c r="H380" i="2"/>
  <c r="AL380" i="2"/>
  <c r="G380" i="2"/>
  <c r="AH380" i="2"/>
  <c r="AE420" i="2"/>
  <c r="Q420" i="2"/>
  <c r="Z380" i="2"/>
  <c r="S380" i="2"/>
  <c r="R380" i="2"/>
  <c r="Q380" i="2"/>
  <c r="AG380" i="2"/>
  <c r="AD380" i="2"/>
  <c r="AK420" i="2"/>
  <c r="O380" i="2"/>
  <c r="AC420" i="2"/>
  <c r="F380" i="2"/>
  <c r="AA420" i="2"/>
  <c r="AK380" i="2"/>
  <c r="AJ380" i="2"/>
  <c r="AB420" i="2"/>
  <c r="AI380" i="2"/>
  <c r="R420" i="2"/>
  <c r="S420" i="2"/>
  <c r="W380" i="2"/>
  <c r="E380" i="2"/>
  <c r="B380" i="2"/>
  <c r="P484" i="2"/>
  <c r="P404" i="2"/>
  <c r="AE511" i="2"/>
  <c r="O511" i="2"/>
  <c r="Z511" i="2"/>
  <c r="I511" i="2"/>
  <c r="I551" i="2"/>
  <c r="AI511" i="2"/>
  <c r="Q511" i="2"/>
  <c r="AH511" i="2"/>
  <c r="P511" i="2"/>
  <c r="AF511" i="2"/>
  <c r="M511" i="2"/>
  <c r="E551" i="2"/>
  <c r="AA511" i="2"/>
  <c r="H511" i="2"/>
  <c r="AO511" i="2"/>
  <c r="S511" i="2"/>
  <c r="AN511" i="2"/>
  <c r="R511" i="2"/>
  <c r="H551" i="2"/>
  <c r="AL511" i="2"/>
  <c r="L511" i="2"/>
  <c r="F551" i="2"/>
  <c r="AC511" i="2"/>
  <c r="E511" i="2"/>
  <c r="AB511" i="2"/>
  <c r="D511" i="2"/>
  <c r="D551" i="2" s="1"/>
  <c r="Y511" i="2"/>
  <c r="W511" i="2"/>
  <c r="V511" i="2"/>
  <c r="G551" i="2"/>
  <c r="AK511" i="2"/>
  <c r="AJ511" i="2"/>
  <c r="AG511" i="2"/>
  <c r="X511" i="2"/>
  <c r="N511" i="2"/>
  <c r="AD511" i="2"/>
  <c r="U511" i="2"/>
  <c r="K511" i="2"/>
  <c r="J511" i="2"/>
  <c r="AM511" i="2"/>
  <c r="T511" i="2"/>
  <c r="G511" i="2"/>
  <c r="F511" i="2"/>
  <c r="C511" i="2"/>
  <c r="C551" i="2" s="1"/>
  <c r="B511" i="2"/>
  <c r="B551" i="2" s="1"/>
  <c r="R485" i="2"/>
  <c r="AL490" i="2"/>
  <c r="AK490" i="2"/>
  <c r="AH490" i="2"/>
  <c r="Q489" i="2"/>
  <c r="T489" i="2"/>
  <c r="U487" i="2"/>
  <c r="X487" i="2"/>
  <c r="J487" i="2"/>
  <c r="F486" i="2"/>
  <c r="P486" i="2"/>
  <c r="E486" i="2"/>
  <c r="P520" i="2"/>
  <c r="AM513" i="2"/>
  <c r="Z513" i="2"/>
  <c r="AG519" i="2"/>
  <c r="O519" i="2"/>
  <c r="BG283" i="2"/>
  <c r="N297" i="2"/>
  <c r="F490" i="2"/>
  <c r="U513" i="2"/>
  <c r="AJ410" i="2"/>
  <c r="T410" i="2"/>
  <c r="AG410" i="2"/>
  <c r="AA410" i="2"/>
  <c r="AJ370" i="2"/>
  <c r="T370" i="2"/>
  <c r="D370" i="2"/>
  <c r="Y410" i="2"/>
  <c r="X410" i="2"/>
  <c r="AI410" i="2"/>
  <c r="AM410" i="2"/>
  <c r="AK410" i="2"/>
  <c r="AD410" i="2"/>
  <c r="Z410" i="2"/>
  <c r="AP370" i="2"/>
  <c r="Y370" i="2"/>
  <c r="H370" i="2"/>
  <c r="V410" i="2"/>
  <c r="AN370" i="2"/>
  <c r="W370" i="2"/>
  <c r="F370" i="2"/>
  <c r="U410" i="2"/>
  <c r="AM370" i="2"/>
  <c r="V370" i="2"/>
  <c r="E370" i="2"/>
  <c r="S410" i="2"/>
  <c r="AL370" i="2"/>
  <c r="U370" i="2"/>
  <c r="C370" i="2"/>
  <c r="AP410" i="2" s="1"/>
  <c r="AL410" i="2"/>
  <c r="AI370" i="2"/>
  <c r="N370" i="2"/>
  <c r="AH410" i="2"/>
  <c r="AH370" i="2"/>
  <c r="M370" i="2"/>
  <c r="AE410" i="2"/>
  <c r="AF370" i="2"/>
  <c r="K370" i="2"/>
  <c r="AC410" i="2"/>
  <c r="AE370" i="2"/>
  <c r="J370" i="2"/>
  <c r="AB410" i="2"/>
  <c r="AD370" i="2"/>
  <c r="I370" i="2"/>
  <c r="AK370" i="2"/>
  <c r="AG370" i="2"/>
  <c r="AB370" i="2"/>
  <c r="S370" i="2"/>
  <c r="AF410" i="2"/>
  <c r="AA370" i="2"/>
  <c r="X370" i="2"/>
  <c r="R370" i="2"/>
  <c r="Q370" i="2"/>
  <c r="W410" i="2"/>
  <c r="O370" i="2"/>
  <c r="L370" i="2"/>
  <c r="B370" i="2"/>
  <c r="AN410" i="2"/>
  <c r="G370" i="2"/>
  <c r="Z370" i="2"/>
  <c r="P370" i="2"/>
  <c r="AO370" i="2"/>
  <c r="AO410" i="2" s="1"/>
  <c r="AC370" i="2"/>
  <c r="AA505" i="2"/>
  <c r="K505" i="2"/>
  <c r="I545" i="2"/>
  <c r="AM505" i="2"/>
  <c r="V505" i="2"/>
  <c r="E505" i="2"/>
  <c r="H545" i="2"/>
  <c r="F545" i="2"/>
  <c r="AF505" i="2"/>
  <c r="N505" i="2"/>
  <c r="AC505" i="2"/>
  <c r="J505" i="2"/>
  <c r="X505" i="2"/>
  <c r="F505" i="2"/>
  <c r="G545" i="2"/>
  <c r="AE505" i="2"/>
  <c r="H505" i="2"/>
  <c r="E545" i="2"/>
  <c r="AD505" i="2"/>
  <c r="G505" i="2"/>
  <c r="Z505" i="2"/>
  <c r="C505" i="2"/>
  <c r="C545" i="2" s="1"/>
  <c r="AO505" i="2"/>
  <c r="S505" i="2"/>
  <c r="AN505" i="2"/>
  <c r="AJ505" i="2"/>
  <c r="D505" i="2"/>
  <c r="D545" i="2" s="1"/>
  <c r="AH505" i="2"/>
  <c r="AG505" i="2"/>
  <c r="AB505" i="2"/>
  <c r="Y505" i="2"/>
  <c r="W505" i="2"/>
  <c r="T505" i="2"/>
  <c r="P505" i="2"/>
  <c r="AK505" i="2"/>
  <c r="AI505" i="2"/>
  <c r="R505" i="2"/>
  <c r="Q505" i="2"/>
  <c r="AL505" i="2"/>
  <c r="B505" i="2"/>
  <c r="B545" i="2" s="1"/>
  <c r="U505" i="2"/>
  <c r="I505" i="2"/>
  <c r="O505" i="2"/>
  <c r="M505" i="2"/>
  <c r="L505" i="2"/>
  <c r="M404" i="2"/>
  <c r="M484" i="2"/>
  <c r="AJ485" i="2"/>
  <c r="Z434" i="2"/>
  <c r="J434" i="2"/>
  <c r="E474" i="2"/>
  <c r="AP514" i="2" s="1"/>
  <c r="AM434" i="2"/>
  <c r="V434" i="2"/>
  <c r="E434" i="2"/>
  <c r="X434" i="2"/>
  <c r="F434" i="2"/>
  <c r="AK434" i="2"/>
  <c r="R434" i="2"/>
  <c r="G474" i="2"/>
  <c r="AJ434" i="2"/>
  <c r="Q434" i="2"/>
  <c r="AH434" i="2"/>
  <c r="O434" i="2"/>
  <c r="AE434" i="2"/>
  <c r="L434" i="2"/>
  <c r="Y434" i="2"/>
  <c r="AA394" i="2"/>
  <c r="K394" i="2"/>
  <c r="W434" i="2"/>
  <c r="T434" i="2"/>
  <c r="S434" i="2"/>
  <c r="AD434" i="2"/>
  <c r="AM394" i="2"/>
  <c r="V394" i="2"/>
  <c r="E394" i="2"/>
  <c r="AC434" i="2"/>
  <c r="AB434" i="2"/>
  <c r="F474" i="2"/>
  <c r="AA434" i="2"/>
  <c r="AJ394" i="2"/>
  <c r="S394" i="2"/>
  <c r="B394" i="2"/>
  <c r="I434" i="2"/>
  <c r="H434" i="2"/>
  <c r="AD394" i="2"/>
  <c r="J394" i="2"/>
  <c r="AN434" i="2"/>
  <c r="AB394" i="2"/>
  <c r="H394" i="2"/>
  <c r="AI434" i="2"/>
  <c r="Y394" i="2"/>
  <c r="F394" i="2"/>
  <c r="P434" i="2"/>
  <c r="AN394" i="2"/>
  <c r="T394" i="2"/>
  <c r="AF434" i="2"/>
  <c r="W394" i="2"/>
  <c r="N434" i="2"/>
  <c r="R394" i="2"/>
  <c r="M434" i="2"/>
  <c r="Q394" i="2"/>
  <c r="K434" i="2"/>
  <c r="AP394" i="2"/>
  <c r="P394" i="2"/>
  <c r="AG434" i="2"/>
  <c r="AG394" i="2"/>
  <c r="U434" i="2"/>
  <c r="AF394" i="2"/>
  <c r="AC394" i="2"/>
  <c r="Z394" i="2"/>
  <c r="X394" i="2"/>
  <c r="O394" i="2"/>
  <c r="N394" i="2"/>
  <c r="M394" i="2"/>
  <c r="L394" i="2"/>
  <c r="C394" i="2"/>
  <c r="AP434" i="2" s="1"/>
  <c r="G434" i="2"/>
  <c r="AO394" i="2"/>
  <c r="AO434" i="2" s="1"/>
  <c r="U394" i="2"/>
  <c r="G394" i="2"/>
  <c r="D394" i="2"/>
  <c r="AL434" i="2"/>
  <c r="AE394" i="2"/>
  <c r="I394" i="2"/>
  <c r="AL394" i="2"/>
  <c r="AK394" i="2"/>
  <c r="AI394" i="2"/>
  <c r="AH394" i="2"/>
  <c r="AK485" i="2"/>
  <c r="I330" i="2"/>
  <c r="AY250" i="2"/>
  <c r="AC409" i="2"/>
  <c r="Z409" i="2"/>
  <c r="AF409" i="2"/>
  <c r="AD369" i="2"/>
  <c r="N369" i="2"/>
  <c r="AD409" i="2"/>
  <c r="AB409" i="2"/>
  <c r="AJ409" i="2"/>
  <c r="AH409" i="2"/>
  <c r="AE409" i="2"/>
  <c r="W409" i="2"/>
  <c r="AK409" i="2"/>
  <c r="AG369" i="2"/>
  <c r="P369" i="2"/>
  <c r="AG409" i="2"/>
  <c r="AE369" i="2"/>
  <c r="M369" i="2"/>
  <c r="AA409" i="2"/>
  <c r="AC369" i="2"/>
  <c r="L369" i="2"/>
  <c r="Y409" i="2"/>
  <c r="AB369" i="2"/>
  <c r="K369" i="2"/>
  <c r="AM409" i="2"/>
  <c r="AI369" i="2"/>
  <c r="I369" i="2"/>
  <c r="AL409" i="2"/>
  <c r="AH369" i="2"/>
  <c r="H369" i="2"/>
  <c r="X409" i="2"/>
  <c r="AA369" i="2"/>
  <c r="F369" i="2"/>
  <c r="V409" i="2"/>
  <c r="Z369" i="2"/>
  <c r="E369" i="2"/>
  <c r="U409" i="2"/>
  <c r="Y369" i="2"/>
  <c r="D369" i="2"/>
  <c r="AP369" i="2"/>
  <c r="O369" i="2"/>
  <c r="AO369" i="2"/>
  <c r="AO409" i="2" s="1"/>
  <c r="J369" i="2"/>
  <c r="AN409" i="2"/>
  <c r="AM369" i="2"/>
  <c r="C369" i="2"/>
  <c r="AP409" i="2" s="1"/>
  <c r="AF369" i="2"/>
  <c r="W369" i="2"/>
  <c r="U369" i="2"/>
  <c r="T369" i="2"/>
  <c r="S369" i="2"/>
  <c r="T409" i="2"/>
  <c r="S409" i="2"/>
  <c r="X369" i="2"/>
  <c r="Q369" i="2"/>
  <c r="G369" i="2"/>
  <c r="B369" i="2"/>
  <c r="AN369" i="2"/>
  <c r="AL369" i="2"/>
  <c r="AI409" i="2"/>
  <c r="AK369" i="2"/>
  <c r="AJ369" i="2"/>
  <c r="V369" i="2"/>
  <c r="R369" i="2"/>
  <c r="AC425" i="2"/>
  <c r="M425" i="2"/>
  <c r="E465" i="2"/>
  <c r="AP505" i="2" s="1"/>
  <c r="AD425" i="2"/>
  <c r="L425" i="2"/>
  <c r="F465" i="2"/>
  <c r="X425" i="2"/>
  <c r="G425" i="2"/>
  <c r="AA425" i="2"/>
  <c r="H425" i="2"/>
  <c r="AK385" i="2"/>
  <c r="U385" i="2"/>
  <c r="E385" i="2"/>
  <c r="W425" i="2"/>
  <c r="V425" i="2"/>
  <c r="AJ425" i="2"/>
  <c r="N425" i="2"/>
  <c r="AP385" i="2"/>
  <c r="Y385" i="2"/>
  <c r="H385" i="2"/>
  <c r="AI425" i="2"/>
  <c r="K425" i="2"/>
  <c r="AH425" i="2"/>
  <c r="J425" i="2"/>
  <c r="AG425" i="2"/>
  <c r="I425" i="2"/>
  <c r="U425" i="2"/>
  <c r="T425" i="2"/>
  <c r="Q425" i="2"/>
  <c r="O425" i="2"/>
  <c r="E425" i="2"/>
  <c r="AK425" i="2"/>
  <c r="AM425" i="2"/>
  <c r="AL385" i="2"/>
  <c r="S385" i="2"/>
  <c r="AF425" i="2"/>
  <c r="AI385" i="2"/>
  <c r="Q385" i="2"/>
  <c r="AE425" i="2"/>
  <c r="AH385" i="2"/>
  <c r="P385" i="2"/>
  <c r="AB425" i="2"/>
  <c r="AG385" i="2"/>
  <c r="O385" i="2"/>
  <c r="AE385" i="2"/>
  <c r="I385" i="2"/>
  <c r="AD385" i="2"/>
  <c r="G385" i="2"/>
  <c r="AB385" i="2"/>
  <c r="D385" i="2"/>
  <c r="AA385" i="2"/>
  <c r="C385" i="2"/>
  <c r="AP425" i="2" s="1"/>
  <c r="AN425" i="2"/>
  <c r="Z385" i="2"/>
  <c r="B385" i="2"/>
  <c r="L385" i="2"/>
  <c r="K385" i="2"/>
  <c r="J385" i="2"/>
  <c r="AO385" i="2"/>
  <c r="AO425" i="2" s="1"/>
  <c r="F385" i="2"/>
  <c r="Z425" i="2"/>
  <c r="AF385" i="2"/>
  <c r="S425" i="2"/>
  <c r="X385" i="2"/>
  <c r="V385" i="2"/>
  <c r="G465" i="2"/>
  <c r="R385" i="2"/>
  <c r="N385" i="2"/>
  <c r="M385" i="2"/>
  <c r="R425" i="2"/>
  <c r="AC385" i="2"/>
  <c r="W385" i="2"/>
  <c r="AL425" i="2"/>
  <c r="AM385" i="2"/>
  <c r="Y425" i="2"/>
  <c r="AN385" i="2"/>
  <c r="AJ385" i="2"/>
  <c r="T385" i="2"/>
  <c r="P425" i="2"/>
  <c r="F425" i="2"/>
  <c r="Q484" i="2"/>
  <c r="Q404" i="2"/>
  <c r="AF484" i="2"/>
  <c r="AF404" i="2"/>
  <c r="X485" i="2"/>
  <c r="L490" i="2"/>
  <c r="V490" i="2"/>
  <c r="Z489" i="2"/>
  <c r="AG487" i="2"/>
  <c r="AB487" i="2"/>
  <c r="W486" i="2"/>
  <c r="Q486" i="2"/>
  <c r="U486" i="2"/>
  <c r="AI520" i="2"/>
  <c r="Q520" i="2"/>
  <c r="G520" i="2"/>
  <c r="F513" i="2"/>
  <c r="J513" i="2"/>
  <c r="G519" i="2"/>
  <c r="AE519" i="2"/>
  <c r="AN599" i="4" l="1"/>
  <c r="AN583" i="4"/>
  <c r="AN597" i="4"/>
  <c r="AN580" i="4"/>
  <c r="AN596" i="4"/>
  <c r="AN579" i="4"/>
  <c r="AN595" i="4"/>
  <c r="AN578" i="4"/>
  <c r="AN594" i="4"/>
  <c r="AN607" i="4"/>
  <c r="AN586" i="4"/>
  <c r="AN606" i="4"/>
  <c r="AN585" i="4"/>
  <c r="AN605" i="4"/>
  <c r="AN584" i="4"/>
  <c r="AN604" i="4"/>
  <c r="AN582" i="4"/>
  <c r="AN592" i="4"/>
  <c r="AN591" i="4"/>
  <c r="AN590" i="4"/>
  <c r="AN589" i="4"/>
  <c r="AN609" i="4"/>
  <c r="AN588" i="4"/>
  <c r="AN581" i="4"/>
  <c r="AN610" i="4"/>
  <c r="AN608" i="4"/>
  <c r="AN601" i="4"/>
  <c r="AN602" i="4"/>
  <c r="AN600" i="4"/>
  <c r="AN598" i="4"/>
  <c r="AN603" i="4"/>
  <c r="AN593" i="4"/>
  <c r="AN587" i="4"/>
  <c r="BR320" i="2"/>
  <c r="BB320" i="2"/>
  <c r="BV319" i="2"/>
  <c r="BF319" i="2"/>
  <c r="BZ318" i="2"/>
  <c r="BJ318" i="2"/>
  <c r="CD317" i="2"/>
  <c r="BN317" i="2"/>
  <c r="AX317" i="2"/>
  <c r="BR316" i="2"/>
  <c r="BB316" i="2"/>
  <c r="BV315" i="2"/>
  <c r="BF315" i="2"/>
  <c r="BZ314" i="2"/>
  <c r="BJ314" i="2"/>
  <c r="CD313" i="2"/>
  <c r="BN313" i="2"/>
  <c r="AX313" i="2"/>
  <c r="BR312" i="2"/>
  <c r="BB312" i="2"/>
  <c r="BV311" i="2"/>
  <c r="BF311" i="2"/>
  <c r="BZ310" i="2"/>
  <c r="BJ310" i="2"/>
  <c r="CD309" i="2"/>
  <c r="BN309" i="2"/>
  <c r="AX309" i="2"/>
  <c r="BR308" i="2"/>
  <c r="BB308" i="2"/>
  <c r="BV307" i="2"/>
  <c r="BF307" i="2"/>
  <c r="BZ306" i="2"/>
  <c r="BJ306" i="2"/>
  <c r="CD305" i="2"/>
  <c r="BP320" i="2"/>
  <c r="AZ320" i="2"/>
  <c r="BT319" i="2"/>
  <c r="BD319" i="2"/>
  <c r="BX318" i="2"/>
  <c r="BH318" i="2"/>
  <c r="CB317" i="2"/>
  <c r="BL317" i="2"/>
  <c r="AV317" i="2"/>
  <c r="BP316" i="2"/>
  <c r="AZ316" i="2"/>
  <c r="BT315" i="2"/>
  <c r="BD315" i="2"/>
  <c r="BX314" i="2"/>
  <c r="BH314" i="2"/>
  <c r="CB313" i="2"/>
  <c r="BL313" i="2"/>
  <c r="AV313" i="2"/>
  <c r="BP312" i="2"/>
  <c r="AZ312" i="2"/>
  <c r="BT311" i="2"/>
  <c r="BD311" i="2"/>
  <c r="BX310" i="2"/>
  <c r="BH310" i="2"/>
  <c r="CB309" i="2"/>
  <c r="BL309" i="2"/>
  <c r="AV309" i="2"/>
  <c r="BP308" i="2"/>
  <c r="AZ308" i="2"/>
  <c r="BO320" i="2"/>
  <c r="AY320" i="2"/>
  <c r="BS319" i="2"/>
  <c r="BC319" i="2"/>
  <c r="BW318" i="2"/>
  <c r="BG318" i="2"/>
  <c r="CA317" i="2"/>
  <c r="BK317" i="2"/>
  <c r="AU317" i="2"/>
  <c r="BO316" i="2"/>
  <c r="AY316" i="2"/>
  <c r="BS315" i="2"/>
  <c r="BC315" i="2"/>
  <c r="BW314" i="2"/>
  <c r="BG314" i="2"/>
  <c r="CA313" i="2"/>
  <c r="BK313" i="2"/>
  <c r="AU313" i="2"/>
  <c r="BO312" i="2"/>
  <c r="AY312" i="2"/>
  <c r="BS311" i="2"/>
  <c r="BC311" i="2"/>
  <c r="BW310" i="2"/>
  <c r="BG310" i="2"/>
  <c r="CA309" i="2"/>
  <c r="BK309" i="2"/>
  <c r="AU309" i="2"/>
  <c r="BO308" i="2"/>
  <c r="AY308" i="2"/>
  <c r="BS307" i="2"/>
  <c r="BC307" i="2"/>
  <c r="BW306" i="2"/>
  <c r="BG306" i="2"/>
  <c r="CA305" i="2"/>
  <c r="BK305" i="2"/>
  <c r="P418" i="2" s="1"/>
  <c r="AU305" i="2"/>
  <c r="BO304" i="2"/>
  <c r="AY304" i="2"/>
  <c r="BS303" i="2"/>
  <c r="BC303" i="2"/>
  <c r="BW302" i="2"/>
  <c r="BG302" i="2"/>
  <c r="CA301" i="2"/>
  <c r="BK301" i="2"/>
  <c r="P416" i="2" s="1"/>
  <c r="AU301" i="2"/>
  <c r="BO300" i="2"/>
  <c r="R415" i="2" s="1"/>
  <c r="AY300" i="2"/>
  <c r="G415" i="2" s="1"/>
  <c r="BS299" i="2"/>
  <c r="BC299" i="2"/>
  <c r="J414" i="2" s="1"/>
  <c r="BW298" i="2"/>
  <c r="BG298" i="2"/>
  <c r="CA297" i="2"/>
  <c r="BK297" i="2"/>
  <c r="AU297" i="2"/>
  <c r="BO296" i="2"/>
  <c r="R413" i="2" s="1"/>
  <c r="AY296" i="2"/>
  <c r="G413" i="2" s="1"/>
  <c r="CD320" i="2"/>
  <c r="BN320" i="2"/>
  <c r="BT320" i="2"/>
  <c r="AW320" i="2"/>
  <c r="BN319" i="2"/>
  <c r="AU319" i="2"/>
  <c r="BL318" i="2"/>
  <c r="BZ317" i="2"/>
  <c r="BG317" i="2"/>
  <c r="BX316" i="2"/>
  <c r="BE316" i="2"/>
  <c r="BU315" i="2"/>
  <c r="AZ315" i="2"/>
  <c r="BQ314" i="2"/>
  <c r="AX314" i="2"/>
  <c r="BO313" i="2"/>
  <c r="CC312" i="2"/>
  <c r="BJ312" i="2"/>
  <c r="CA311" i="2"/>
  <c r="BH311" i="2"/>
  <c r="BV310" i="2"/>
  <c r="BC310" i="2"/>
  <c r="BT309" i="2"/>
  <c r="BA309" i="2"/>
  <c r="BQ308" i="2"/>
  <c r="AV308" i="2"/>
  <c r="BN307" i="2"/>
  <c r="AV307" i="2"/>
  <c r="BN306" i="2"/>
  <c r="AV306" i="2"/>
  <c r="BN305" i="2"/>
  <c r="AW305" i="2"/>
  <c r="E418" i="2" s="1"/>
  <c r="BP304" i="2"/>
  <c r="AX304" i="2"/>
  <c r="BQ303" i="2"/>
  <c r="AZ303" i="2"/>
  <c r="BS302" i="2"/>
  <c r="BB302" i="2"/>
  <c r="BU301" i="2"/>
  <c r="BD301" i="2"/>
  <c r="K416" i="2" s="1"/>
  <c r="BW300" i="2"/>
  <c r="BF300" i="2"/>
  <c r="M415" i="2" s="1"/>
  <c r="BY299" i="2"/>
  <c r="BH299" i="2"/>
  <c r="CA298" i="2"/>
  <c r="BJ298" i="2"/>
  <c r="CC297" i="2"/>
  <c r="BL297" i="2"/>
  <c r="CD296" i="2"/>
  <c r="BM296" i="2"/>
  <c r="AV296" i="2"/>
  <c r="BP295" i="2"/>
  <c r="AZ295" i="2"/>
  <c r="H412" i="2" s="1"/>
  <c r="BT294" i="2"/>
  <c r="BD294" i="2"/>
  <c r="K411" i="2" s="1"/>
  <c r="BX293" i="2"/>
  <c r="BH293" i="2"/>
  <c r="CB292" i="2"/>
  <c r="BL292" i="2"/>
  <c r="AV292" i="2"/>
  <c r="BP291" i="2"/>
  <c r="AZ291" i="2"/>
  <c r="H409" i="2" s="1"/>
  <c r="BT290" i="2"/>
  <c r="BD290" i="2"/>
  <c r="K408" i="2" s="1"/>
  <c r="BX289" i="2"/>
  <c r="BH289" i="2"/>
  <c r="CB288" i="2"/>
  <c r="BL288" i="2"/>
  <c r="Q406" i="2" s="1"/>
  <c r="AV288" i="2"/>
  <c r="BP287" i="2"/>
  <c r="AZ287" i="2"/>
  <c r="H405" i="2" s="1"/>
  <c r="BT286" i="2"/>
  <c r="BD286" i="2"/>
  <c r="BX285" i="2"/>
  <c r="BH285" i="2"/>
  <c r="BS320" i="2"/>
  <c r="AV320" i="2"/>
  <c r="BM319" i="2"/>
  <c r="CD318" i="2"/>
  <c r="BK318" i="2"/>
  <c r="BY317" i="2"/>
  <c r="BF317" i="2"/>
  <c r="BW316" i="2"/>
  <c r="BD316" i="2"/>
  <c r="BR315" i="2"/>
  <c r="AY315" i="2"/>
  <c r="BP314" i="2"/>
  <c r="AW314" i="2"/>
  <c r="BM313" i="2"/>
  <c r="CB312" i="2"/>
  <c r="BI312" i="2"/>
  <c r="BZ311" i="2"/>
  <c r="BG311" i="2"/>
  <c r="BU310" i="2"/>
  <c r="BB310" i="2"/>
  <c r="BS309" i="2"/>
  <c r="AZ309" i="2"/>
  <c r="BN308" i="2"/>
  <c r="AU308" i="2"/>
  <c r="BM307" i="2"/>
  <c r="AU307" i="2"/>
  <c r="BM306" i="2"/>
  <c r="AU306" i="2"/>
  <c r="BM305" i="2"/>
  <c r="AV305" i="2"/>
  <c r="BN304" i="2"/>
  <c r="AW304" i="2"/>
  <c r="BP303" i="2"/>
  <c r="AY303" i="2"/>
  <c r="BR302" i="2"/>
  <c r="BA302" i="2"/>
  <c r="I417" i="2" s="1"/>
  <c r="BT301" i="2"/>
  <c r="BC301" i="2"/>
  <c r="J416" i="2" s="1"/>
  <c r="BV300" i="2"/>
  <c r="BE300" i="2"/>
  <c r="L415" i="2" s="1"/>
  <c r="BX299" i="2"/>
  <c r="BG299" i="2"/>
  <c r="BZ298" i="2"/>
  <c r="BI298" i="2"/>
  <c r="CB297" i="2"/>
  <c r="BJ297" i="2"/>
  <c r="CC296" i="2"/>
  <c r="BL296" i="2"/>
  <c r="Q413" i="2" s="1"/>
  <c r="AU296" i="2"/>
  <c r="BO295" i="2"/>
  <c r="R412" i="2" s="1"/>
  <c r="AY295" i="2"/>
  <c r="G412" i="2" s="1"/>
  <c r="BS294" i="2"/>
  <c r="BC294" i="2"/>
  <c r="J411" i="2" s="1"/>
  <c r="BW293" i="2"/>
  <c r="BG293" i="2"/>
  <c r="CA292" i="2"/>
  <c r="BK292" i="2"/>
  <c r="AU292" i="2"/>
  <c r="BO291" i="2"/>
  <c r="R409" i="2" s="1"/>
  <c r="AY291" i="2"/>
  <c r="G409" i="2" s="1"/>
  <c r="BS290" i="2"/>
  <c r="BC290" i="2"/>
  <c r="J408" i="2" s="1"/>
  <c r="BW289" i="2"/>
  <c r="BG289" i="2"/>
  <c r="CA288" i="2"/>
  <c r="BK288" i="2"/>
  <c r="P406" i="2" s="1"/>
  <c r="AU288" i="2"/>
  <c r="BO287" i="2"/>
  <c r="R405" i="2" s="1"/>
  <c r="AY287" i="2"/>
  <c r="G405" i="2" s="1"/>
  <c r="BS286" i="2"/>
  <c r="BC286" i="2"/>
  <c r="BW285" i="2"/>
  <c r="BG285" i="2"/>
  <c r="BM320" i="2"/>
  <c r="CD319" i="2"/>
  <c r="BK319" i="2"/>
  <c r="CB318" i="2"/>
  <c r="BF318" i="2"/>
  <c r="BW317" i="2"/>
  <c r="BD317" i="2"/>
  <c r="BU316" i="2"/>
  <c r="BA316" i="2"/>
  <c r="BP315" i="2"/>
  <c r="AW315" i="2"/>
  <c r="BN314" i="2"/>
  <c r="AU314" i="2"/>
  <c r="BI313" i="2"/>
  <c r="BZ312" i="2"/>
  <c r="BG312" i="2"/>
  <c r="BX311" i="2"/>
  <c r="BB311" i="2"/>
  <c r="BS310" i="2"/>
  <c r="AZ310" i="2"/>
  <c r="BQ309" i="2"/>
  <c r="AW309" i="2"/>
  <c r="BL308" i="2"/>
  <c r="CC307" i="2"/>
  <c r="BK307" i="2"/>
  <c r="CC306" i="2"/>
  <c r="BK306" i="2"/>
  <c r="CB305" i="2"/>
  <c r="BJ305" i="2"/>
  <c r="O418" i="2" s="1"/>
  <c r="CC304" i="2"/>
  <c r="BL304" i="2"/>
  <c r="AU304" i="2"/>
  <c r="BN303" i="2"/>
  <c r="AW303" i="2"/>
  <c r="BP302" i="2"/>
  <c r="AY302" i="2"/>
  <c r="G417" i="2" s="1"/>
  <c r="BR301" i="2"/>
  <c r="BA301" i="2"/>
  <c r="I416" i="2" s="1"/>
  <c r="BT300" i="2"/>
  <c r="BC300" i="2"/>
  <c r="J415" i="2" s="1"/>
  <c r="BV299" i="2"/>
  <c r="BE299" i="2"/>
  <c r="L414" i="2" s="1"/>
  <c r="BX298" i="2"/>
  <c r="BF298" i="2"/>
  <c r="BY297" i="2"/>
  <c r="BH297" i="2"/>
  <c r="CA296" i="2"/>
  <c r="BJ296" i="2"/>
  <c r="O413" i="2" s="1"/>
  <c r="CC295" i="2"/>
  <c r="BM295" i="2"/>
  <c r="AW295" i="2"/>
  <c r="E412" i="2" s="1"/>
  <c r="BQ294" i="2"/>
  <c r="BA294" i="2"/>
  <c r="I411" i="2" s="1"/>
  <c r="BU293" i="2"/>
  <c r="BE293" i="2"/>
  <c r="L410" i="2" s="1"/>
  <c r="BY292" i="2"/>
  <c r="BI292" i="2"/>
  <c r="CC291" i="2"/>
  <c r="BM291" i="2"/>
  <c r="AW291" i="2"/>
  <c r="E409" i="2" s="1"/>
  <c r="BQ290" i="2"/>
  <c r="BA290" i="2"/>
  <c r="I408" i="2" s="1"/>
  <c r="BU289" i="2"/>
  <c r="BE289" i="2"/>
  <c r="L407" i="2" s="1"/>
  <c r="BY288" i="2"/>
  <c r="BI288" i="2"/>
  <c r="N406" i="2" s="1"/>
  <c r="CC287" i="2"/>
  <c r="BM287" i="2"/>
  <c r="AW287" i="2"/>
  <c r="E405" i="2" s="1"/>
  <c r="BL320" i="2"/>
  <c r="CC319" i="2"/>
  <c r="BJ319" i="2"/>
  <c r="CA318" i="2"/>
  <c r="BE318" i="2"/>
  <c r="BV317" i="2"/>
  <c r="BC317" i="2"/>
  <c r="BT316" i="2"/>
  <c r="AX316" i="2"/>
  <c r="BO315" i="2"/>
  <c r="AV315" i="2"/>
  <c r="BM314" i="2"/>
  <c r="CC313" i="2"/>
  <c r="BH313" i="2"/>
  <c r="BY312" i="2"/>
  <c r="BF312" i="2"/>
  <c r="BW311" i="2"/>
  <c r="BA311" i="2"/>
  <c r="BR310" i="2"/>
  <c r="AY310" i="2"/>
  <c r="BP309" i="2"/>
  <c r="CD308" i="2"/>
  <c r="BK308" i="2"/>
  <c r="CB307" i="2"/>
  <c r="BJ307" i="2"/>
  <c r="CB306" i="2"/>
  <c r="BI306" i="2"/>
  <c r="BZ305" i="2"/>
  <c r="BI305" i="2"/>
  <c r="N418" i="2" s="1"/>
  <c r="CB304" i="2"/>
  <c r="BK304" i="2"/>
  <c r="CD303" i="2"/>
  <c r="BM303" i="2"/>
  <c r="AV303" i="2"/>
  <c r="BO302" i="2"/>
  <c r="R417" i="2" s="1"/>
  <c r="AX302" i="2"/>
  <c r="F417" i="2" s="1"/>
  <c r="BQ301" i="2"/>
  <c r="AZ301" i="2"/>
  <c r="H416" i="2" s="1"/>
  <c r="BS300" i="2"/>
  <c r="BB300" i="2"/>
  <c r="BU299" i="2"/>
  <c r="BD299" i="2"/>
  <c r="K414" i="2" s="1"/>
  <c r="BV298" i="2"/>
  <c r="BE298" i="2"/>
  <c r="BX297" i="2"/>
  <c r="BG297" i="2"/>
  <c r="BZ296" i="2"/>
  <c r="BI296" i="2"/>
  <c r="N413" i="2" s="1"/>
  <c r="CB295" i="2"/>
  <c r="BL295" i="2"/>
  <c r="Q412" i="2" s="1"/>
  <c r="AV295" i="2"/>
  <c r="BP294" i="2"/>
  <c r="AZ294" i="2"/>
  <c r="H411" i="2" s="1"/>
  <c r="BT293" i="2"/>
  <c r="BD293" i="2"/>
  <c r="K410" i="2" s="1"/>
  <c r="BX292" i="2"/>
  <c r="BH292" i="2"/>
  <c r="CB291" i="2"/>
  <c r="BL291" i="2"/>
  <c r="Q409" i="2" s="1"/>
  <c r="AV291" i="2"/>
  <c r="BP290" i="2"/>
  <c r="AZ290" i="2"/>
  <c r="H408" i="2" s="1"/>
  <c r="BT289" i="2"/>
  <c r="BD289" i="2"/>
  <c r="K407" i="2" s="1"/>
  <c r="BX288" i="2"/>
  <c r="BH288" i="2"/>
  <c r="CB287" i="2"/>
  <c r="BL287" i="2"/>
  <c r="Q405" i="2" s="1"/>
  <c r="AV287" i="2"/>
  <c r="BP286" i="2"/>
  <c r="AZ286" i="2"/>
  <c r="BT285" i="2"/>
  <c r="BD285" i="2"/>
  <c r="BX320" i="2"/>
  <c r="AU320" i="2"/>
  <c r="BE319" i="2"/>
  <c r="BP318" i="2"/>
  <c r="BX317" i="2"/>
  <c r="AY317" i="2"/>
  <c r="BI316" i="2"/>
  <c r="BQ315" i="2"/>
  <c r="CB314" i="2"/>
  <c r="BB314" i="2"/>
  <c r="BJ313" i="2"/>
  <c r="BU312" i="2"/>
  <c r="AU312" i="2"/>
  <c r="BE311" i="2"/>
  <c r="BN310" i="2"/>
  <c r="BX309" i="2"/>
  <c r="AY309" i="2"/>
  <c r="BG308" i="2"/>
  <c r="BR307" i="2"/>
  <c r="CD306" i="2"/>
  <c r="BD306" i="2"/>
  <c r="BR305" i="2"/>
  <c r="CD304" i="2"/>
  <c r="BG304" i="2"/>
  <c r="BV303" i="2"/>
  <c r="AX303" i="2"/>
  <c r="BK302" i="2"/>
  <c r="P417" i="2" s="1"/>
  <c r="BY301" i="2"/>
  <c r="BB301" i="2"/>
  <c r="BN300" i="2"/>
  <c r="CC299" i="2"/>
  <c r="BF299" i="2"/>
  <c r="M414" i="2" s="1"/>
  <c r="BR298" i="2"/>
  <c r="AW298" i="2"/>
  <c r="BI297" i="2"/>
  <c r="BV296" i="2"/>
  <c r="BA296" i="2"/>
  <c r="I413" i="2" s="1"/>
  <c r="BN295" i="2"/>
  <c r="CB294" i="2"/>
  <c r="BH294" i="2"/>
  <c r="BV293" i="2"/>
  <c r="AZ293" i="2"/>
  <c r="H410" i="2" s="1"/>
  <c r="BP292" i="2"/>
  <c r="CD291" i="2"/>
  <c r="BH291" i="2"/>
  <c r="BX290" i="2"/>
  <c r="BB290" i="2"/>
  <c r="BP289" i="2"/>
  <c r="AV289" i="2"/>
  <c r="BJ288" i="2"/>
  <c r="O406" i="2" s="1"/>
  <c r="BX287" i="2"/>
  <c r="BD287" i="2"/>
  <c r="K405" i="2" s="1"/>
  <c r="BR286" i="2"/>
  <c r="AX286" i="2"/>
  <c r="BO285" i="2"/>
  <c r="AV285" i="2"/>
  <c r="BW320" i="2"/>
  <c r="CB319" i="2"/>
  <c r="BB319" i="2"/>
  <c r="BO318" i="2"/>
  <c r="BU317" i="2"/>
  <c r="AW317" i="2"/>
  <c r="BH316" i="2"/>
  <c r="BN315" i="2"/>
  <c r="CA314" i="2"/>
  <c r="BA314" i="2"/>
  <c r="BG313" i="2"/>
  <c r="BT312" i="2"/>
  <c r="CD311" i="2"/>
  <c r="AZ311" i="2"/>
  <c r="BM310" i="2"/>
  <c r="BW309" i="2"/>
  <c r="CC308" i="2"/>
  <c r="BF308" i="2"/>
  <c r="BQ307" i="2"/>
  <c r="CA306" i="2"/>
  <c r="BC306" i="2"/>
  <c r="BQ305" i="2"/>
  <c r="CA304" i="2"/>
  <c r="BF304" i="2"/>
  <c r="BU303" i="2"/>
  <c r="AU303" i="2"/>
  <c r="BJ302" i="2"/>
  <c r="O417" i="2" s="1"/>
  <c r="BX301" i="2"/>
  <c r="AY301" i="2"/>
  <c r="G416" i="2" s="1"/>
  <c r="BM300" i="2"/>
  <c r="CB299" i="2"/>
  <c r="BB299" i="2"/>
  <c r="BQ298" i="2"/>
  <c r="AV298" i="2"/>
  <c r="BF297" i="2"/>
  <c r="BU296" i="2"/>
  <c r="AZ296" i="2"/>
  <c r="H413" i="2" s="1"/>
  <c r="BK295" i="2"/>
  <c r="P412" i="2" s="1"/>
  <c r="CA294" i="2"/>
  <c r="BG294" i="2"/>
  <c r="BS293" i="2"/>
  <c r="AY293" i="2"/>
  <c r="G410" i="2" s="1"/>
  <c r="BO292" i="2"/>
  <c r="CA291" i="2"/>
  <c r="BG291" i="2"/>
  <c r="BW290" i="2"/>
  <c r="AY290" i="2"/>
  <c r="G408" i="2" s="1"/>
  <c r="BO289" i="2"/>
  <c r="R407" i="2" s="1"/>
  <c r="AU289" i="2"/>
  <c r="BG288" i="2"/>
  <c r="BW287" i="2"/>
  <c r="BC287" i="2"/>
  <c r="J405" i="2" s="1"/>
  <c r="BQ286" i="2"/>
  <c r="AW286" i="2"/>
  <c r="BN285" i="2"/>
  <c r="AU285" i="2"/>
  <c r="BU320" i="2"/>
  <c r="BZ319" i="2"/>
  <c r="AZ319" i="2"/>
  <c r="BM318" i="2"/>
  <c r="BS317" i="2"/>
  <c r="CC316" i="2"/>
  <c r="BF316" i="2"/>
  <c r="BL315" i="2"/>
  <c r="BV314" i="2"/>
  <c r="AY314" i="2"/>
  <c r="BE313" i="2"/>
  <c r="BQ312" i="2"/>
  <c r="CB311" i="2"/>
  <c r="AX311" i="2"/>
  <c r="BK310" i="2"/>
  <c r="BU309" i="2"/>
  <c r="CA308" i="2"/>
  <c r="BD308" i="2"/>
  <c r="BO307" i="2"/>
  <c r="BX306" i="2"/>
  <c r="BA306" i="2"/>
  <c r="BO305" i="2"/>
  <c r="R418" i="2" s="1"/>
  <c r="BY304" i="2"/>
  <c r="BD304" i="2"/>
  <c r="BR303" i="2"/>
  <c r="CC302" i="2"/>
  <c r="BH302" i="2"/>
  <c r="BV301" i="2"/>
  <c r="AW301" i="2"/>
  <c r="E416" i="2" s="1"/>
  <c r="BK300" i="2"/>
  <c r="P415" i="2" s="1"/>
  <c r="BZ299" i="2"/>
  <c r="AZ299" i="2"/>
  <c r="H414" i="2" s="1"/>
  <c r="BO298" i="2"/>
  <c r="CD297" i="2"/>
  <c r="BD297" i="2"/>
  <c r="BS296" i="2"/>
  <c r="AW296" i="2"/>
  <c r="E413" i="2" s="1"/>
  <c r="BI295" i="2"/>
  <c r="N412" i="2" s="1"/>
  <c r="BY294" i="2"/>
  <c r="BE294" i="2"/>
  <c r="L411" i="2" s="1"/>
  <c r="BQ293" i="2"/>
  <c r="AW293" i="2"/>
  <c r="E410" i="2" s="1"/>
  <c r="BM292" i="2"/>
  <c r="BY291" i="2"/>
  <c r="BE291" i="2"/>
  <c r="L409" i="2" s="1"/>
  <c r="BU290" i="2"/>
  <c r="AW290" i="2"/>
  <c r="E408" i="2" s="1"/>
  <c r="BM289" i="2"/>
  <c r="CC288" i="2"/>
  <c r="BE288" i="2"/>
  <c r="L406" i="2" s="1"/>
  <c r="BU287" i="2"/>
  <c r="BA287" i="2"/>
  <c r="I405" i="2" s="1"/>
  <c r="BN286" i="2"/>
  <c r="AU286" i="2"/>
  <c r="BL285" i="2"/>
  <c r="BQ320" i="2"/>
  <c r="BY319" i="2"/>
  <c r="AY319" i="2"/>
  <c r="BI318" i="2"/>
  <c r="BR317" i="2"/>
  <c r="CB316" i="2"/>
  <c r="BC316" i="2"/>
  <c r="BK315" i="2"/>
  <c r="BU314" i="2"/>
  <c r="AV314" i="2"/>
  <c r="BD313" i="2"/>
  <c r="BN312" i="2"/>
  <c r="BY311" i="2"/>
  <c r="AW311" i="2"/>
  <c r="BI310" i="2"/>
  <c r="BR309" i="2"/>
  <c r="BZ308" i="2"/>
  <c r="BC308" i="2"/>
  <c r="BL307" i="2"/>
  <c r="BV306" i="2"/>
  <c r="AZ306" i="2"/>
  <c r="BL305" i="2"/>
  <c r="Q418" i="2" s="1"/>
  <c r="BX304" i="2"/>
  <c r="BC304" i="2"/>
  <c r="BO303" i="2"/>
  <c r="CB302" i="2"/>
  <c r="BF302" i="2"/>
  <c r="M417" i="2" s="1"/>
  <c r="BS301" i="2"/>
  <c r="AV301" i="2"/>
  <c r="BJ300" i="2"/>
  <c r="O415" i="2" s="1"/>
  <c r="BW299" i="2"/>
  <c r="AY299" i="2"/>
  <c r="G414" i="2" s="1"/>
  <c r="BN298" i="2"/>
  <c r="BZ297" i="2"/>
  <c r="BC297" i="2"/>
  <c r="BR296" i="2"/>
  <c r="CD295" i="2"/>
  <c r="BH295" i="2"/>
  <c r="BX294" i="2"/>
  <c r="BB294" i="2"/>
  <c r="BP293" i="2"/>
  <c r="AV293" i="2"/>
  <c r="BJ292" i="2"/>
  <c r="BX291" i="2"/>
  <c r="BD291" i="2"/>
  <c r="K409" i="2" s="1"/>
  <c r="BR290" i="2"/>
  <c r="AV290" i="2"/>
  <c r="BL289" i="2"/>
  <c r="Q407" i="2" s="1"/>
  <c r="BZ288" i="2"/>
  <c r="BD288" i="2"/>
  <c r="K406" i="2" s="1"/>
  <c r="BT287" i="2"/>
  <c r="AX287" i="2"/>
  <c r="F405" i="2" s="1"/>
  <c r="BM286" i="2"/>
  <c r="CD285" i="2"/>
  <c r="BK285" i="2"/>
  <c r="BG320" i="2"/>
  <c r="BQ319" i="2"/>
  <c r="BY318" i="2"/>
  <c r="AZ318" i="2"/>
  <c r="BJ317" i="2"/>
  <c r="BS316" i="2"/>
  <c r="CC315" i="2"/>
  <c r="BE315" i="2"/>
  <c r="BL314" i="2"/>
  <c r="BV313" i="2"/>
  <c r="AY313" i="2"/>
  <c r="BE312" i="2"/>
  <c r="BO311" i="2"/>
  <c r="CB310" i="2"/>
  <c r="BH320" i="2"/>
  <c r="BH319" i="2"/>
  <c r="BB318" i="2"/>
  <c r="BB317" i="2"/>
  <c r="AV316" i="2"/>
  <c r="AX315" i="2"/>
  <c r="BZ313" i="2"/>
  <c r="CD312" i="2"/>
  <c r="CC311" i="2"/>
  <c r="CA310" i="2"/>
  <c r="BZ309" i="2"/>
  <c r="BX308" i="2"/>
  <c r="BZ307" i="2"/>
  <c r="AX307" i="2"/>
  <c r="AX306" i="2"/>
  <c r="BC305" i="2"/>
  <c r="J418" i="2" s="1"/>
  <c r="BI304" i="2"/>
  <c r="BK303" i="2"/>
  <c r="BU302" i="2"/>
  <c r="CB301" i="2"/>
  <c r="CC300" i="2"/>
  <c r="AZ300" i="2"/>
  <c r="H415" i="2" s="1"/>
  <c r="BJ299" i="2"/>
  <c r="O414" i="2" s="1"/>
  <c r="BL298" i="2"/>
  <c r="BR297" i="2"/>
  <c r="BX296" i="2"/>
  <c r="BZ295" i="2"/>
  <c r="BB295" i="2"/>
  <c r="BJ294" i="2"/>
  <c r="O411" i="2" s="1"/>
  <c r="BN293" i="2"/>
  <c r="BV292" i="2"/>
  <c r="AX292" i="2"/>
  <c r="BB291" i="2"/>
  <c r="BJ290" i="2"/>
  <c r="O408" i="2" s="1"/>
  <c r="BR289" i="2"/>
  <c r="BV288" i="2"/>
  <c r="AX288" i="2"/>
  <c r="F406" i="2" s="1"/>
  <c r="BF287" i="2"/>
  <c r="M405" i="2" s="1"/>
  <c r="BK286" i="2"/>
  <c r="BV285" i="2"/>
  <c r="AX285" i="2"/>
  <c r="BE320" i="2"/>
  <c r="BA319" i="2"/>
  <c r="AY318" i="2"/>
  <c r="AZ317" i="2"/>
  <c r="CD315" i="2"/>
  <c r="CD314" i="2"/>
  <c r="BX313" i="2"/>
  <c r="BX312" i="2"/>
  <c r="BR311" i="2"/>
  <c r="BT310" i="2"/>
  <c r="BV309" i="2"/>
  <c r="BV308" i="2"/>
  <c r="BX307" i="2"/>
  <c r="BY306" i="2"/>
  <c r="CC305" i="2"/>
  <c r="BA305" i="2"/>
  <c r="I418" i="2" s="1"/>
  <c r="BE304" i="2"/>
  <c r="BI303" i="2"/>
  <c r="BQ302" i="2"/>
  <c r="BW301" i="2"/>
  <c r="CA300" i="2"/>
  <c r="AW300" i="2"/>
  <c r="E415" i="2" s="1"/>
  <c r="BA299" i="2"/>
  <c r="I414" i="2" s="1"/>
  <c r="BH298" i="2"/>
  <c r="BP297" i="2"/>
  <c r="BT296" i="2"/>
  <c r="BX295" i="2"/>
  <c r="AX295" i="2"/>
  <c r="F412" i="2" s="1"/>
  <c r="BF294" i="2"/>
  <c r="M411" i="2" s="1"/>
  <c r="BL293" i="2"/>
  <c r="Q410" i="2" s="1"/>
  <c r="BT292" i="2"/>
  <c r="BZ291" i="2"/>
  <c r="AX291" i="2"/>
  <c r="F409" i="2" s="1"/>
  <c r="BH290" i="2"/>
  <c r="BN289" i="2"/>
  <c r="BT288" i="2"/>
  <c r="CD287" i="2"/>
  <c r="BB287" i="2"/>
  <c r="BI286" i="2"/>
  <c r="BS285" i="2"/>
  <c r="BC320" i="2"/>
  <c r="AW319" i="2"/>
  <c r="AW318" i="2"/>
  <c r="CA316" i="2"/>
  <c r="CA315" i="2"/>
  <c r="BY314" i="2"/>
  <c r="BU313" i="2"/>
  <c r="BV312" i="2"/>
  <c r="BP311" i="2"/>
  <c r="BP310" i="2"/>
  <c r="BM309" i="2"/>
  <c r="BT308" i="2"/>
  <c r="BU307" i="2"/>
  <c r="BT306" i="2"/>
  <c r="BX305" i="2"/>
  <c r="AY305" i="2"/>
  <c r="G418" i="2" s="1"/>
  <c r="BA304" i="2"/>
  <c r="BG303" i="2"/>
  <c r="BM302" i="2"/>
  <c r="BO301" i="2"/>
  <c r="R416" i="2" s="1"/>
  <c r="BY300" i="2"/>
  <c r="AU300" i="2"/>
  <c r="AW299" i="2"/>
  <c r="E414" i="2" s="1"/>
  <c r="BC298" i="2"/>
  <c r="BN297" i="2"/>
  <c r="BP296" i="2"/>
  <c r="BV295" i="2"/>
  <c r="CD294" i="2"/>
  <c r="AX294" i="2"/>
  <c r="F411" i="2" s="1"/>
  <c r="BJ293" i="2"/>
  <c r="O410" i="2" s="1"/>
  <c r="BR292" i="2"/>
  <c r="BV291" i="2"/>
  <c r="CD290" i="2"/>
  <c r="BF290" i="2"/>
  <c r="M408" i="2" s="1"/>
  <c r="BJ289" i="2"/>
  <c r="O407" i="2" s="1"/>
  <c r="BR288" i="2"/>
  <c r="BZ287" i="2"/>
  <c r="CD286" i="2"/>
  <c r="BG286" i="2"/>
  <c r="BQ285" i="2"/>
  <c r="CB320" i="2"/>
  <c r="BX319" i="2"/>
  <c r="BU318" i="2"/>
  <c r="BT317" i="2"/>
  <c r="BQ316" i="2"/>
  <c r="BW315" i="2"/>
  <c r="BO314" i="2"/>
  <c r="BQ313" i="2"/>
  <c r="BK312" i="2"/>
  <c r="BK311" i="2"/>
  <c r="BE310" i="2"/>
  <c r="BG309" i="2"/>
  <c r="BI308" i="2"/>
  <c r="BH307" i="2"/>
  <c r="BP306" i="2"/>
  <c r="BT305" i="2"/>
  <c r="BV304" i="2"/>
  <c r="CB303" i="2"/>
  <c r="BB303" i="2"/>
  <c r="BD302" i="2"/>
  <c r="K417" i="2" s="1"/>
  <c r="BJ301" i="2"/>
  <c r="O416" i="2" s="1"/>
  <c r="BQ300" i="2"/>
  <c r="BR299" i="2"/>
  <c r="CC298" i="2"/>
  <c r="AY298" i="2"/>
  <c r="BA297" i="2"/>
  <c r="BG296" i="2"/>
  <c r="BR295" i="2"/>
  <c r="BV294" i="2"/>
  <c r="CD293" i="2"/>
  <c r="BB293" i="2"/>
  <c r="BF292" i="2"/>
  <c r="BR291" i="2"/>
  <c r="BZ290" i="2"/>
  <c r="CD289" i="2"/>
  <c r="BB289" i="2"/>
  <c r="BN288" i="2"/>
  <c r="BR287" i="2"/>
  <c r="BZ286" i="2"/>
  <c r="BA286" i="2"/>
  <c r="BI285" i="2"/>
  <c r="AX320" i="2"/>
  <c r="BR318" i="2"/>
  <c r="BE317" i="2"/>
  <c r="BY315" i="2"/>
  <c r="BF314" i="2"/>
  <c r="AW313" i="2"/>
  <c r="BM311" i="2"/>
  <c r="AX310" i="2"/>
  <c r="BY308" i="2"/>
  <c r="BP307" i="2"/>
  <c r="BH306" i="2"/>
  <c r="BD305" i="2"/>
  <c r="K418" i="2" s="1"/>
  <c r="AV304" i="2"/>
  <c r="CA302" i="2"/>
  <c r="CC301" i="2"/>
  <c r="BU300" i="2"/>
  <c r="BO299" i="2"/>
  <c r="R414" i="2" s="1"/>
  <c r="BM298" i="2"/>
  <c r="BE297" i="2"/>
  <c r="BD296" i="2"/>
  <c r="K413" i="2" s="1"/>
  <c r="BC295" i="2"/>
  <c r="J412" i="2" s="1"/>
  <c r="AV294" i="2"/>
  <c r="AU293" i="2"/>
  <c r="AY292" i="2"/>
  <c r="CB290" i="2"/>
  <c r="CA289" i="2"/>
  <c r="BW288" i="2"/>
  <c r="BV287" i="2"/>
  <c r="BW286" i="2"/>
  <c r="BY285" i="2"/>
  <c r="CA319" i="2"/>
  <c r="BQ318" i="2"/>
  <c r="BA317" i="2"/>
  <c r="BX315" i="2"/>
  <c r="BE314" i="2"/>
  <c r="CA312" i="2"/>
  <c r="BL311" i="2"/>
  <c r="AW310" i="2"/>
  <c r="BW308" i="2"/>
  <c r="BI307" i="2"/>
  <c r="BF306" i="2"/>
  <c r="BB305" i="2"/>
  <c r="CC303" i="2"/>
  <c r="BZ302" i="2"/>
  <c r="BZ301" i="2"/>
  <c r="BR300" i="2"/>
  <c r="BN299" i="2"/>
  <c r="BK298" i="2"/>
  <c r="BB297" i="2"/>
  <c r="BC296" i="2"/>
  <c r="J413" i="2" s="1"/>
  <c r="BA295" i="2"/>
  <c r="I412" i="2" s="1"/>
  <c r="AU294" i="2"/>
  <c r="CD292" i="2"/>
  <c r="AW292" i="2"/>
  <c r="CA290" i="2"/>
  <c r="BZ289" i="2"/>
  <c r="BU288" i="2"/>
  <c r="BS287" i="2"/>
  <c r="BV286" i="2"/>
  <c r="BU285" i="2"/>
  <c r="BW319" i="2"/>
  <c r="BN318" i="2"/>
  <c r="CD316" i="2"/>
  <c r="BM315" i="2"/>
  <c r="BD314" i="2"/>
  <c r="BW312" i="2"/>
  <c r="BJ311" i="2"/>
  <c r="AV310" i="2"/>
  <c r="BU308" i="2"/>
  <c r="BG307" i="2"/>
  <c r="BE306" i="2"/>
  <c r="AZ305" i="2"/>
  <c r="H418" i="2" s="1"/>
  <c r="CA303" i="2"/>
  <c r="BY302" i="2"/>
  <c r="BP301" i="2"/>
  <c r="BP300" i="2"/>
  <c r="BM299" i="2"/>
  <c r="BD298" i="2"/>
  <c r="AZ297" i="2"/>
  <c r="BB296" i="2"/>
  <c r="AU295" i="2"/>
  <c r="CC293" i="2"/>
  <c r="CC292" i="2"/>
  <c r="BW291" i="2"/>
  <c r="BY290" i="2"/>
  <c r="BY289" i="2"/>
  <c r="BS288" i="2"/>
  <c r="BQ287" i="2"/>
  <c r="BU286" i="2"/>
  <c r="BR285" i="2"/>
  <c r="BU319" i="2"/>
  <c r="BD318" i="2"/>
  <c r="BZ316" i="2"/>
  <c r="BJ315" i="2"/>
  <c r="BC314" i="2"/>
  <c r="BS312" i="2"/>
  <c r="BI311" i="2"/>
  <c r="AU310" i="2"/>
  <c r="BS308" i="2"/>
  <c r="BE307" i="2"/>
  <c r="BB306" i="2"/>
  <c r="AX305" i="2"/>
  <c r="F418" i="2" s="1"/>
  <c r="BZ303" i="2"/>
  <c r="BX302" i="2"/>
  <c r="BN301" i="2"/>
  <c r="BL300" i="2"/>
  <c r="Q415" i="2" s="1"/>
  <c r="BL299" i="2"/>
  <c r="Q414" i="2" s="1"/>
  <c r="BB298" i="2"/>
  <c r="AY297" i="2"/>
  <c r="AX296" i="2"/>
  <c r="F413" i="2" s="1"/>
  <c r="CC294" i="2"/>
  <c r="CB293" i="2"/>
  <c r="BZ292" i="2"/>
  <c r="BU291" i="2"/>
  <c r="BV290" i="2"/>
  <c r="BV289" i="2"/>
  <c r="BQ288" i="2"/>
  <c r="BN287" i="2"/>
  <c r="BO286" i="2"/>
  <c r="BP285" i="2"/>
  <c r="BR319" i="2"/>
  <c r="BC318" i="2"/>
  <c r="BY316" i="2"/>
  <c r="BI315" i="2"/>
  <c r="AZ314" i="2"/>
  <c r="BM312" i="2"/>
  <c r="AY311" i="2"/>
  <c r="CC309" i="2"/>
  <c r="BM308" i="2"/>
  <c r="BD307" i="2"/>
  <c r="AY306" i="2"/>
  <c r="BZ304" i="2"/>
  <c r="BY303" i="2"/>
  <c r="BV302" i="2"/>
  <c r="BM301" i="2"/>
  <c r="BI300" i="2"/>
  <c r="N415" i="2" s="1"/>
  <c r="BK299" i="2"/>
  <c r="P414" i="2" s="1"/>
  <c r="BA298" i="2"/>
  <c r="AX297" i="2"/>
  <c r="CA295" i="2"/>
  <c r="BZ294" i="2"/>
  <c r="CA293" i="2"/>
  <c r="BW292" i="2"/>
  <c r="BT291" i="2"/>
  <c r="BO290" i="2"/>
  <c r="R408" i="2" s="1"/>
  <c r="BS289" i="2"/>
  <c r="BP288" i="2"/>
  <c r="BK287" i="2"/>
  <c r="P405" i="2" s="1"/>
  <c r="BL286" i="2"/>
  <c r="BM285" i="2"/>
  <c r="BV320" i="2"/>
  <c r="BG319" i="2"/>
  <c r="CC317" i="2"/>
  <c r="BK316" i="2"/>
  <c r="AU315" i="2"/>
  <c r="BR313" i="2"/>
  <c r="BA312" i="2"/>
  <c r="BY310" i="2"/>
  <c r="BH309" i="2"/>
  <c r="AX308" i="2"/>
  <c r="AW307" i="2"/>
  <c r="BU305" i="2"/>
  <c r="BR304" i="2"/>
  <c r="BJ303" i="2"/>
  <c r="BE302" i="2"/>
  <c r="L417" i="2" s="1"/>
  <c r="BF301" i="2"/>
  <c r="M416" i="2" s="1"/>
  <c r="AX300" i="2"/>
  <c r="F415" i="2" s="1"/>
  <c r="CD298" i="2"/>
  <c r="BV297" i="2"/>
  <c r="BW296" i="2"/>
  <c r="BS295" i="2"/>
  <c r="BN294" i="2"/>
  <c r="BM293" i="2"/>
  <c r="BG292" i="2"/>
  <c r="BJ291" i="2"/>
  <c r="O409" i="2" s="1"/>
  <c r="BI290" i="2"/>
  <c r="N408" i="2" s="1"/>
  <c r="BC289" i="2"/>
  <c r="J407" i="2" s="1"/>
  <c r="BB288" i="2"/>
  <c r="BE287" i="2"/>
  <c r="L405" i="2" s="1"/>
  <c r="BB286" i="2"/>
  <c r="BB285" i="2"/>
  <c r="BY320" i="2"/>
  <c r="BS318" i="2"/>
  <c r="BG316" i="2"/>
  <c r="BW313" i="2"/>
  <c r="BU311" i="2"/>
  <c r="BI309" i="2"/>
  <c r="BT307" i="2"/>
  <c r="BP305" i="2"/>
  <c r="BW303" i="2"/>
  <c r="AV302" i="2"/>
  <c r="BA300" i="2"/>
  <c r="I415" i="2" s="1"/>
  <c r="BP298" i="2"/>
  <c r="BN296" i="2"/>
  <c r="BU294" i="2"/>
  <c r="BC293" i="2"/>
  <c r="J410" i="2" s="1"/>
  <c r="BK291" i="2"/>
  <c r="P409" i="2" s="1"/>
  <c r="CB289" i="2"/>
  <c r="AZ288" i="2"/>
  <c r="H406" i="2" s="1"/>
  <c r="BH286" i="2"/>
  <c r="AW285" i="2"/>
  <c r="BK320" i="2"/>
  <c r="BA318" i="2"/>
  <c r="AW316" i="2"/>
  <c r="BT313" i="2"/>
  <c r="BQ311" i="2"/>
  <c r="BF309" i="2"/>
  <c r="BB307" i="2"/>
  <c r="BH305" i="2"/>
  <c r="BT303" i="2"/>
  <c r="AU302" i="2"/>
  <c r="AV300" i="2"/>
  <c r="AZ298" i="2"/>
  <c r="BK296" i="2"/>
  <c r="P413" i="2" s="1"/>
  <c r="BR294" i="2"/>
  <c r="BA293" i="2"/>
  <c r="I410" i="2" s="1"/>
  <c r="BI291" i="2"/>
  <c r="N409" i="2" s="1"/>
  <c r="BQ289" i="2"/>
  <c r="AY288" i="2"/>
  <c r="G406" i="2" s="1"/>
  <c r="BF286" i="2"/>
  <c r="BJ320" i="2"/>
  <c r="AX318" i="2"/>
  <c r="AU316" i="2"/>
  <c r="BS313" i="2"/>
  <c r="BN311" i="2"/>
  <c r="BE309" i="2"/>
  <c r="BA307" i="2"/>
  <c r="BG305" i="2"/>
  <c r="BL303" i="2"/>
  <c r="CD301" i="2"/>
  <c r="CD299" i="2"/>
  <c r="AX298" i="2"/>
  <c r="BH296" i="2"/>
  <c r="BO294" i="2"/>
  <c r="R411" i="2" s="1"/>
  <c r="AX293" i="2"/>
  <c r="F410" i="2" s="1"/>
  <c r="BF291" i="2"/>
  <c r="M409" i="2" s="1"/>
  <c r="BK289" i="2"/>
  <c r="P407" i="2" s="1"/>
  <c r="AW288" i="2"/>
  <c r="E406" i="2" s="1"/>
  <c r="BE286" i="2"/>
  <c r="BI320" i="2"/>
  <c r="AV318" i="2"/>
  <c r="CB315" i="2"/>
  <c r="BP313" i="2"/>
  <c r="AV311" i="2"/>
  <c r="BD309" i="2"/>
  <c r="AZ307" i="2"/>
  <c r="BF305" i="2"/>
  <c r="M418" i="2" s="1"/>
  <c r="BH303" i="2"/>
  <c r="BL301" i="2"/>
  <c r="Q416" i="2" s="1"/>
  <c r="CA299" i="2"/>
  <c r="AU298" i="2"/>
  <c r="BF296" i="2"/>
  <c r="M413" i="2" s="1"/>
  <c r="BM294" i="2"/>
  <c r="BU292" i="2"/>
  <c r="BC291" i="2"/>
  <c r="J409" i="2" s="1"/>
  <c r="BI289" i="2"/>
  <c r="N407" i="2" s="1"/>
  <c r="CA287" i="2"/>
  <c r="AY286" i="2"/>
  <c r="BF320" i="2"/>
  <c r="AU318" i="2"/>
  <c r="BZ315" i="2"/>
  <c r="BF313" i="2"/>
  <c r="AU311" i="2"/>
  <c r="BC309" i="2"/>
  <c r="AY307" i="2"/>
  <c r="BE305" i="2"/>
  <c r="L418" i="2" s="1"/>
  <c r="BF303" i="2"/>
  <c r="BI301" i="2"/>
  <c r="N416" i="2" s="1"/>
  <c r="BT299" i="2"/>
  <c r="BW297" i="2"/>
  <c r="BE296" i="2"/>
  <c r="L413" i="2" s="1"/>
  <c r="BL294" i="2"/>
  <c r="Q411" i="2" s="1"/>
  <c r="BS292" i="2"/>
  <c r="BA291" i="2"/>
  <c r="I409" i="2" s="1"/>
  <c r="BF289" i="2"/>
  <c r="M407" i="2" s="1"/>
  <c r="BY287" i="2"/>
  <c r="AV286" i="2"/>
  <c r="BA320" i="2"/>
  <c r="BP317" i="2"/>
  <c r="BG315" i="2"/>
  <c r="BB313" i="2"/>
  <c r="CC310" i="2"/>
  <c r="CB308" i="2"/>
  <c r="BS306" i="2"/>
  <c r="BU304" i="2"/>
  <c r="BD303" i="2"/>
  <c r="BG301" i="2"/>
  <c r="BP299" i="2"/>
  <c r="BT297" i="2"/>
  <c r="BW295" i="2"/>
  <c r="BI294" i="2"/>
  <c r="N411" i="2" s="1"/>
  <c r="BN292" i="2"/>
  <c r="CC290" i="2"/>
  <c r="AZ289" i="2"/>
  <c r="H407" i="2" s="1"/>
  <c r="BI287" i="2"/>
  <c r="N405" i="2" s="1"/>
  <c r="CB285" i="2"/>
  <c r="BP319" i="2"/>
  <c r="BO317" i="2"/>
  <c r="BB315" i="2"/>
  <c r="BA313" i="2"/>
  <c r="BQ310" i="2"/>
  <c r="BJ308" i="2"/>
  <c r="BR306" i="2"/>
  <c r="BT304" i="2"/>
  <c r="CC320" i="2"/>
  <c r="BV316" i="2"/>
  <c r="BL312" i="2"/>
  <c r="BB309" i="2"/>
  <c r="BV305" i="2"/>
  <c r="BL302" i="2"/>
  <c r="Q417" i="2" s="1"/>
  <c r="BI299" i="2"/>
  <c r="N414" i="2" s="1"/>
  <c r="CB296" i="2"/>
  <c r="BZ293" i="2"/>
  <c r="BN291" i="2"/>
  <c r="BO288" i="2"/>
  <c r="R406" i="2" s="1"/>
  <c r="CA285" i="2"/>
  <c r="CA320" i="2"/>
  <c r="BN316" i="2"/>
  <c r="BH312" i="2"/>
  <c r="BH308" i="2"/>
  <c r="BS305" i="2"/>
  <c r="BI302" i="2"/>
  <c r="N417" i="2" s="1"/>
  <c r="AX299" i="2"/>
  <c r="F414" i="2" s="1"/>
  <c r="BY296" i="2"/>
  <c r="BY293" i="2"/>
  <c r="AU291" i="2"/>
  <c r="BM288" i="2"/>
  <c r="BZ285" i="2"/>
  <c r="BZ320" i="2"/>
  <c r="BM316" i="2"/>
  <c r="BD312" i="2"/>
  <c r="BE308" i="2"/>
  <c r="BW304" i="2"/>
  <c r="BC302" i="2"/>
  <c r="J417" i="2" s="1"/>
  <c r="AV299" i="2"/>
  <c r="BQ296" i="2"/>
  <c r="BR293" i="2"/>
  <c r="BN290" i="2"/>
  <c r="BF288" i="2"/>
  <c r="M406" i="2" s="1"/>
  <c r="BJ285" i="2"/>
  <c r="BD320" i="2"/>
  <c r="BL316" i="2"/>
  <c r="BC312" i="2"/>
  <c r="BA308" i="2"/>
  <c r="BS304" i="2"/>
  <c r="AZ302" i="2"/>
  <c r="H417" i="2" s="1"/>
  <c r="AU299" i="2"/>
  <c r="BY295" i="2"/>
  <c r="BO293" i="2"/>
  <c r="R410" i="2" s="1"/>
  <c r="BM290" i="2"/>
  <c r="BC288" i="2"/>
  <c r="J406" i="2" s="1"/>
  <c r="BF285" i="2"/>
  <c r="BO319" i="2"/>
  <c r="BJ316" i="2"/>
  <c r="AX312" i="2"/>
  <c r="AW308" i="2"/>
  <c r="BQ304" i="2"/>
  <c r="AW302" i="2"/>
  <c r="E417" i="2" s="1"/>
  <c r="CB298" i="2"/>
  <c r="BU295" i="2"/>
  <c r="BK293" i="2"/>
  <c r="P410" i="2" s="1"/>
  <c r="BL290" i="2"/>
  <c r="Q408" i="2" s="1"/>
  <c r="BA288" i="2"/>
  <c r="I406" i="2" s="1"/>
  <c r="BE285" i="2"/>
  <c r="BC285" i="2"/>
  <c r="BL319" i="2"/>
  <c r="BH315" i="2"/>
  <c r="AW312" i="2"/>
  <c r="CD307" i="2"/>
  <c r="BM304" i="2"/>
  <c r="BH301" i="2"/>
  <c r="BY298" i="2"/>
  <c r="BT295" i="2"/>
  <c r="BI293" i="2"/>
  <c r="N410" i="2" s="1"/>
  <c r="BK290" i="2"/>
  <c r="P408" i="2" s="1"/>
  <c r="BJ287" i="2"/>
  <c r="O405" i="2" s="1"/>
  <c r="BI319" i="2"/>
  <c r="BA315" i="2"/>
  <c r="AV312" i="2"/>
  <c r="CA307" i="2"/>
  <c r="BJ304" i="2"/>
  <c r="BE301" i="2"/>
  <c r="L416" i="2" s="1"/>
  <c r="BU298" i="2"/>
  <c r="BQ295" i="2"/>
  <c r="BF293" i="2"/>
  <c r="M410" i="2" s="1"/>
  <c r="BG290" i="2"/>
  <c r="BH287" i="2"/>
  <c r="BA285" i="2"/>
  <c r="AX319" i="2"/>
  <c r="CC314" i="2"/>
  <c r="CD310" i="2"/>
  <c r="BY307" i="2"/>
  <c r="BH304" i="2"/>
  <c r="AX301" i="2"/>
  <c r="F416" i="2" s="1"/>
  <c r="BT298" i="2"/>
  <c r="BJ295" i="2"/>
  <c r="O412" i="2" s="1"/>
  <c r="BQ292" i="2"/>
  <c r="BE290" i="2"/>
  <c r="L408" i="2" s="1"/>
  <c r="BG287" i="2"/>
  <c r="AZ285" i="2"/>
  <c r="AV319" i="2"/>
  <c r="BT314" i="2"/>
  <c r="BO310" i="2"/>
  <c r="BW307" i="2"/>
  <c r="BB304" i="2"/>
  <c r="CD300" i="2"/>
  <c r="BS298" i="2"/>
  <c r="BG295" i="2"/>
  <c r="BE292" i="2"/>
  <c r="AX290" i="2"/>
  <c r="F408" i="2" s="1"/>
  <c r="AU287" i="2"/>
  <c r="AY285" i="2"/>
  <c r="BT318" i="2"/>
  <c r="BK314" i="2"/>
  <c r="BD310" i="2"/>
  <c r="BO306" i="2"/>
  <c r="BE303" i="2"/>
  <c r="BX300" i="2"/>
  <c r="BQ297" i="2"/>
  <c r="BD295" i="2"/>
  <c r="K412" i="2" s="1"/>
  <c r="BB292" i="2"/>
  <c r="BA289" i="2"/>
  <c r="I407" i="2" s="1"/>
  <c r="CA286" i="2"/>
  <c r="BA310" i="2"/>
  <c r="CB300" i="2"/>
  <c r="AY294" i="2"/>
  <c r="G411" i="2" s="1"/>
  <c r="BY286" i="2"/>
  <c r="BM317" i="2"/>
  <c r="BY309" i="2"/>
  <c r="BZ300" i="2"/>
  <c r="AW294" i="2"/>
  <c r="E411" i="2" s="1"/>
  <c r="BX286" i="2"/>
  <c r="BT302" i="2"/>
  <c r="CC318" i="2"/>
  <c r="BO309" i="2"/>
  <c r="BH300" i="2"/>
  <c r="BD292" i="2"/>
  <c r="BJ286" i="2"/>
  <c r="BQ306" i="2"/>
  <c r="BL310" i="2"/>
  <c r="BV318" i="2"/>
  <c r="BJ309" i="2"/>
  <c r="BG300" i="2"/>
  <c r="BC292" i="2"/>
  <c r="CC285" i="2"/>
  <c r="BQ317" i="2"/>
  <c r="BU306" i="2"/>
  <c r="BD300" i="2"/>
  <c r="K415" i="2" s="1"/>
  <c r="BA292" i="2"/>
  <c r="BM297" i="2"/>
  <c r="AZ304" i="2"/>
  <c r="BY313" i="2"/>
  <c r="AV297" i="2"/>
  <c r="BQ299" i="2"/>
  <c r="AZ292" i="2"/>
  <c r="CC286" i="2"/>
  <c r="BI317" i="2"/>
  <c r="BL306" i="2"/>
  <c r="BU297" i="2"/>
  <c r="BS291" i="2"/>
  <c r="BH317" i="2"/>
  <c r="AW306" i="2"/>
  <c r="BS297" i="2"/>
  <c r="BQ291" i="2"/>
  <c r="BI314" i="2"/>
  <c r="AW297" i="2"/>
  <c r="AY289" i="2"/>
  <c r="G407" i="2" s="1"/>
  <c r="BX303" i="2"/>
  <c r="AX289" i="2"/>
  <c r="F407" i="2" s="1"/>
  <c r="BF310" i="2"/>
  <c r="BN302" i="2"/>
  <c r="CB286" i="2"/>
  <c r="BS314" i="2"/>
  <c r="BY305" i="2"/>
  <c r="BO297" i="2"/>
  <c r="AU290" i="2"/>
  <c r="BW294" i="2"/>
  <c r="BR314" i="2"/>
  <c r="BW305" i="2"/>
  <c r="CC289" i="2"/>
  <c r="BC313" i="2"/>
  <c r="BA303" i="2"/>
  <c r="BF295" i="2"/>
  <c r="M412" i="2" s="1"/>
  <c r="AW289" i="2"/>
  <c r="E407" i="2" s="1"/>
  <c r="AZ313" i="2"/>
  <c r="CD302" i="2"/>
  <c r="BE295" i="2"/>
  <c r="L412" i="2" s="1"/>
  <c r="CD288" i="2"/>
  <c r="BK294" i="2"/>
  <c r="P411" i="2" s="1"/>
  <c r="B450" i="2"/>
  <c r="B410" i="2"/>
  <c r="C422" i="2"/>
  <c r="C462" i="2"/>
  <c r="B454" i="2"/>
  <c r="B414" i="2"/>
  <c r="D445" i="2"/>
  <c r="D405" i="2"/>
  <c r="D467" i="2"/>
  <c r="D427" i="2"/>
  <c r="B471" i="2"/>
  <c r="B431" i="2"/>
  <c r="D457" i="2"/>
  <c r="D417" i="2"/>
  <c r="C471" i="2"/>
  <c r="C431" i="2"/>
  <c r="B474" i="2"/>
  <c r="B434" i="2"/>
  <c r="D479" i="2"/>
  <c r="D439" i="2"/>
  <c r="C453" i="2"/>
  <c r="C413" i="2"/>
  <c r="B466" i="2"/>
  <c r="B426" i="2"/>
  <c r="D462" i="2"/>
  <c r="D422" i="2"/>
  <c r="C454" i="2"/>
  <c r="C414" i="2"/>
  <c r="D423" i="2"/>
  <c r="D463" i="2"/>
  <c r="D440" i="2"/>
  <c r="D480" i="2"/>
  <c r="D452" i="2"/>
  <c r="D412" i="2"/>
  <c r="C452" i="2"/>
  <c r="C412" i="2"/>
  <c r="B473" i="2"/>
  <c r="B433" i="2"/>
  <c r="D465" i="2"/>
  <c r="D425" i="2"/>
  <c r="C477" i="2"/>
  <c r="C437" i="2"/>
  <c r="B461" i="2"/>
  <c r="B421" i="2"/>
  <c r="C479" i="2"/>
  <c r="C439" i="2"/>
  <c r="D453" i="2"/>
  <c r="D413" i="2"/>
  <c r="C429" i="2"/>
  <c r="C469" i="2"/>
  <c r="B422" i="2"/>
  <c r="B462" i="2"/>
  <c r="D446" i="2"/>
  <c r="D406" i="2"/>
  <c r="B430" i="2"/>
  <c r="B470" i="2"/>
  <c r="D471" i="2"/>
  <c r="D431" i="2"/>
  <c r="B411" i="2"/>
  <c r="B451" i="2"/>
  <c r="B458" i="2"/>
  <c r="B418" i="2"/>
  <c r="B429" i="2"/>
  <c r="B469" i="2"/>
  <c r="B463" i="2"/>
  <c r="B423" i="2"/>
  <c r="C446" i="2"/>
  <c r="C406" i="2"/>
  <c r="B480" i="2"/>
  <c r="B440" i="2"/>
  <c r="C451" i="2"/>
  <c r="C411" i="2"/>
  <c r="B437" i="2"/>
  <c r="B477" i="2"/>
  <c r="C475" i="2"/>
  <c r="C435" i="2"/>
  <c r="D458" i="2"/>
  <c r="D418" i="2"/>
  <c r="B453" i="2"/>
  <c r="B413" i="2"/>
  <c r="D469" i="2"/>
  <c r="D429" i="2"/>
  <c r="B447" i="2"/>
  <c r="B407" i="2"/>
  <c r="B455" i="2"/>
  <c r="B415" i="2"/>
  <c r="D454" i="2"/>
  <c r="D414" i="2"/>
  <c r="C457" i="2"/>
  <c r="C417" i="2"/>
  <c r="B435" i="2"/>
  <c r="B475" i="2"/>
  <c r="C449" i="2"/>
  <c r="C409" i="2"/>
  <c r="D411" i="2"/>
  <c r="D451" i="2"/>
  <c r="D455" i="2"/>
  <c r="D415" i="2"/>
  <c r="D438" i="2"/>
  <c r="D478" i="2"/>
  <c r="D476" i="2"/>
  <c r="D436" i="2"/>
  <c r="B459" i="2"/>
  <c r="B419" i="2"/>
  <c r="D472" i="2"/>
  <c r="D432" i="2"/>
  <c r="D433" i="2"/>
  <c r="D473" i="2"/>
  <c r="B449" i="2"/>
  <c r="B409" i="2"/>
  <c r="C447" i="2"/>
  <c r="C407" i="2"/>
  <c r="B445" i="2"/>
  <c r="B405" i="2"/>
  <c r="C480" i="2"/>
  <c r="C440" i="2"/>
  <c r="D424" i="2"/>
  <c r="D464" i="2"/>
  <c r="D435" i="2"/>
  <c r="D475" i="2"/>
  <c r="C405" i="2"/>
  <c r="C445" i="2"/>
  <c r="B478" i="2"/>
  <c r="B438" i="2"/>
  <c r="B476" i="2"/>
  <c r="B436" i="2"/>
  <c r="C455" i="2"/>
  <c r="C415" i="2"/>
  <c r="B412" i="2"/>
  <c r="B452" i="2"/>
  <c r="D461" i="2"/>
  <c r="D421" i="2"/>
  <c r="D409" i="2"/>
  <c r="D449" i="2"/>
  <c r="C448" i="2"/>
  <c r="C408" i="2"/>
  <c r="D460" i="2"/>
  <c r="D420" i="2"/>
  <c r="D459" i="2"/>
  <c r="D419" i="2"/>
  <c r="C467" i="2"/>
  <c r="C427" i="2"/>
  <c r="C410" i="2"/>
  <c r="C450" i="2"/>
  <c r="D410" i="2"/>
  <c r="D450" i="2"/>
  <c r="B456" i="2"/>
  <c r="B416" i="2"/>
  <c r="C456" i="2"/>
  <c r="C416" i="2"/>
  <c r="R491" i="2"/>
  <c r="C430" i="2"/>
  <c r="C470" i="2"/>
  <c r="C465" i="2"/>
  <c r="C425" i="2"/>
  <c r="B424" i="2"/>
  <c r="B464" i="2"/>
  <c r="D468" i="2"/>
  <c r="D428" i="2"/>
  <c r="B448" i="2"/>
  <c r="B408" i="2"/>
  <c r="C473" i="2"/>
  <c r="C433" i="2"/>
  <c r="B465" i="2"/>
  <c r="B425" i="2"/>
  <c r="D474" i="2"/>
  <c r="D434" i="2"/>
  <c r="C460" i="2"/>
  <c r="C420" i="2"/>
  <c r="C419" i="2"/>
  <c r="C459" i="2"/>
  <c r="C466" i="2"/>
  <c r="C426" i="2"/>
  <c r="C432" i="2"/>
  <c r="C472" i="2"/>
  <c r="B457" i="2"/>
  <c r="B417" i="2"/>
  <c r="C421" i="2"/>
  <c r="C461" i="2"/>
  <c r="B467" i="2"/>
  <c r="B427" i="2"/>
  <c r="C418" i="2"/>
  <c r="C458" i="2"/>
  <c r="B446" i="2"/>
  <c r="B406" i="2"/>
  <c r="B460" i="2"/>
  <c r="B420" i="2"/>
  <c r="B428" i="2"/>
  <c r="B468" i="2"/>
  <c r="D456" i="2"/>
  <c r="D416" i="2"/>
  <c r="D477" i="2"/>
  <c r="D437" i="2"/>
  <c r="D426" i="2"/>
  <c r="D466" i="2"/>
  <c r="C438" i="2"/>
  <c r="C478" i="2"/>
  <c r="D448" i="2"/>
  <c r="D408" i="2"/>
  <c r="C468" i="2"/>
  <c r="C428" i="2"/>
  <c r="B479" i="2"/>
  <c r="B439" i="2"/>
  <c r="C434" i="2"/>
  <c r="C474" i="2"/>
  <c r="C476" i="2"/>
  <c r="C436" i="2"/>
  <c r="D447" i="2"/>
  <c r="D407" i="2"/>
  <c r="C463" i="2"/>
  <c r="C423" i="2"/>
  <c r="C424" i="2"/>
  <c r="C464" i="2"/>
  <c r="D470" i="2"/>
  <c r="D430" i="2"/>
  <c r="B432" i="2"/>
  <c r="B472" i="2"/>
  <c r="CE300" i="2" l="1"/>
  <c r="CE301" i="2"/>
  <c r="F454" i="2"/>
  <c r="G454" i="2"/>
  <c r="CE294" i="2"/>
  <c r="F445" i="2"/>
  <c r="G445" i="2"/>
  <c r="CE302" i="2"/>
  <c r="G455" i="2"/>
  <c r="F455" i="2"/>
  <c r="F457" i="2"/>
  <c r="G457" i="2"/>
  <c r="F450" i="2"/>
  <c r="G450" i="2"/>
  <c r="CE295" i="2"/>
  <c r="F449" i="2"/>
  <c r="G449" i="2"/>
  <c r="F451" i="2"/>
  <c r="G451" i="2"/>
  <c r="CE288" i="2"/>
  <c r="CE291" i="2"/>
  <c r="CE293" i="2"/>
  <c r="F458" i="2"/>
  <c r="G458" i="2"/>
  <c r="G456" i="2"/>
  <c r="F456" i="2"/>
  <c r="G453" i="2"/>
  <c r="F453" i="2"/>
  <c r="G446" i="2"/>
  <c r="F446" i="2"/>
  <c r="F452" i="2"/>
  <c r="G452" i="2"/>
  <c r="CE290" i="2"/>
  <c r="CE296" i="2"/>
  <c r="CE305" i="2"/>
  <c r="F448" i="2"/>
  <c r="G448" i="2"/>
  <c r="CE287" i="2"/>
  <c r="CE299" i="2"/>
  <c r="CE289" i="2"/>
  <c r="F447" i="2"/>
  <c r="G447" i="2"/>
  <c r="BE283" i="2" l="1"/>
  <c r="N295" i="2"/>
  <c r="E452" i="2"/>
  <c r="AP492" i="2" s="1"/>
  <c r="BL283" i="2"/>
  <c r="N302" i="2"/>
  <c r="E457" i="2"/>
  <c r="AP497" i="2" s="1"/>
  <c r="BC283" i="2"/>
  <c r="N293" i="2"/>
  <c r="E450" i="2"/>
  <c r="AP490" i="2" s="1"/>
  <c r="AX283" i="2"/>
  <c r="N288" i="2"/>
  <c r="E446" i="2"/>
  <c r="AP486" i="2" s="1"/>
  <c r="BI283" i="2"/>
  <c r="N299" i="2"/>
  <c r="E454" i="2"/>
  <c r="AP494" i="2" s="1"/>
  <c r="BD283" i="2"/>
  <c r="N294" i="2"/>
  <c r="E451" i="2"/>
  <c r="AP491" i="2" s="1"/>
  <c r="AY283" i="2"/>
  <c r="N289" i="2"/>
  <c r="E447" i="2"/>
  <c r="AP487" i="2" s="1"/>
  <c r="AW283" i="2"/>
  <c r="N287" i="2"/>
  <c r="E445" i="2"/>
  <c r="AP485" i="2" s="1"/>
  <c r="BA283" i="2"/>
  <c r="N291" i="2"/>
  <c r="E449" i="2"/>
  <c r="AP489" i="2" s="1"/>
  <c r="BO283" i="2"/>
  <c r="N305" i="2"/>
  <c r="E458" i="2"/>
  <c r="AP498" i="2" s="1"/>
  <c r="BK283" i="2"/>
  <c r="N301" i="2"/>
  <c r="E456" i="2"/>
  <c r="AP496" i="2" s="1"/>
  <c r="BF283" i="2"/>
  <c r="N296" i="2"/>
  <c r="E453" i="2"/>
  <c r="AP493" i="2" s="1"/>
  <c r="AZ283" i="2"/>
  <c r="N290" i="2"/>
  <c r="E448" i="2"/>
  <c r="AP488" i="2" s="1"/>
  <c r="BJ283" i="2"/>
  <c r="N300" i="2"/>
  <c r="E455" i="2"/>
  <c r="AP495" i="2" s="1"/>
  <c r="CF289" i="2" l="1"/>
  <c r="CF300" i="2"/>
  <c r="CF290" i="2"/>
  <c r="CF305" i="2"/>
  <c r="CF294" i="2"/>
  <c r="CF292" i="2"/>
  <c r="E527" i="2" s="1"/>
  <c r="G527" i="2" s="1"/>
  <c r="CF298" i="2"/>
  <c r="E529" i="2" s="1"/>
  <c r="G529" i="2" s="1"/>
  <c r="CF288" i="2"/>
  <c r="CF286" i="2"/>
  <c r="E526" i="2" s="1"/>
  <c r="G526" i="2" s="1"/>
  <c r="CF302" i="2"/>
  <c r="CF299" i="2"/>
  <c r="CF291" i="2"/>
  <c r="CF293" i="2"/>
  <c r="CF287" i="2"/>
  <c r="CF297" i="2"/>
  <c r="E528" i="2" s="1"/>
  <c r="G528" i="2" s="1"/>
  <c r="CF303" i="2"/>
  <c r="E530" i="2" s="1"/>
  <c r="G530" i="2" s="1"/>
  <c r="CF296" i="2"/>
  <c r="CF301" i="2"/>
  <c r="CF285" i="2"/>
  <c r="E525" i="2" s="1"/>
  <c r="G525" i="2" s="1"/>
  <c r="CF295" i="2"/>
  <c r="CF304" i="2"/>
  <c r="E531" i="2" s="1"/>
  <c r="G531" i="2" s="1"/>
</calcChain>
</file>

<file path=xl/sharedStrings.xml><?xml version="1.0" encoding="utf-8"?>
<sst xmlns="http://schemas.openxmlformats.org/spreadsheetml/2006/main" count="4841" uniqueCount="438">
  <si>
    <t>1A. PROPIEDADES DEL MATERIAL Y SELECTOR UNIVERSAL DE SECCIÓN (CON MENÚ DESPLEGABLE)</t>
  </si>
  <si>
    <t>1B. CALCULADORA DE CUALQUIER SECCIÓN COMPUESTA POR TEOREMA DE STEINER: I_x = ∑(I_0i + A_i · d_yi²)</t>
  </si>
  <si>
    <t>E (Elasticidad) =</t>
  </si>
  <si>
    <t>kgf/cm²</t>
  </si>
  <si>
    <t>Área Activa A =</t>
  </si>
  <si>
    <t>cm²</t>
  </si>
  <si>
    <t>Calculado Auto</t>
  </si>
  <si>
    <t>Pieza</t>
  </si>
  <si>
    <t>Sub-Figura (Menú)</t>
  </si>
  <si>
    <t>b o D (cm)</t>
  </si>
  <si>
    <t>b_sup (Trap.)</t>
  </si>
  <si>
    <t>h (Altura cm)</t>
  </si>
  <si>
    <t>y_base (Cota Inf.)</t>
  </si>
  <si>
    <t>x_c (Centro X)</t>
  </si>
  <si>
    <t>Área A_i (cm²)</t>
  </si>
  <si>
    <t>Centroide y_i (cm)</t>
  </si>
  <si>
    <t>A_i · y_i (cm³)</t>
  </si>
  <si>
    <t>I_0i Propia (cm⁴)</t>
  </si>
  <si>
    <t>Steiner A_i·d_y²</t>
  </si>
  <si>
    <t>I_xi Total (cm⁴)</t>
  </si>
  <si>
    <t>Tipo de Sección =</t>
  </si>
  <si>
    <t>RECTANGULAR</t>
  </si>
  <si>
    <t>← Menú Desplegable</t>
  </si>
  <si>
    <t>Centroide Y_CG =</t>
  </si>
  <si>
    <t>cm</t>
  </si>
  <si>
    <t>Eje Neutro</t>
  </si>
  <si>
    <t>RECTANGULO</t>
  </si>
  <si>
    <t>Inercia Activa I =</t>
  </si>
  <si>
    <t>cm⁴</t>
  </si>
  <si>
    <t>Modo Propiedades =</t>
  </si>
  <si>
    <t>CONSTANTE</t>
  </si>
  <si>
    <t>← Menú</t>
  </si>
  <si>
    <t>Global en barras</t>
  </si>
  <si>
    <t>NINGUNO</t>
  </si>
  <si>
    <t>Barras Activas =</t>
  </si>
  <si>
    <t>barras</t>
  </si>
  <si>
    <t>Detectado Auto</t>
  </si>
  <si>
    <t>Nudos Activos =</t>
  </si>
  <si>
    <t>nudos</t>
  </si>
  <si>
    <t>Correlacional</t>
  </si>
  <si>
    <t>TOTALES SECCIÓN COMPUESTA POR STEINER (A_total, Y_CG, I_xx,Steiner) →</t>
  </si>
  <si>
    <t>BARRA</t>
  </si>
  <si>
    <t>Nudo Inicio</t>
  </si>
  <si>
    <t>Nudo Final</t>
  </si>
  <si>
    <t>Dx</t>
  </si>
  <si>
    <t>Dy</t>
  </si>
  <si>
    <t>L</t>
  </si>
  <si>
    <t>Cosx</t>
  </si>
  <si>
    <t>Cosy</t>
  </si>
  <si>
    <t>A</t>
  </si>
  <si>
    <t>E</t>
  </si>
  <si>
    <t>I</t>
  </si>
  <si>
    <t>12EI/L^3</t>
  </si>
  <si>
    <t>6EI/L^2</t>
  </si>
  <si>
    <t>4EI/L</t>
  </si>
  <si>
    <t>2EI/L</t>
  </si>
  <si>
    <t>EA/L</t>
  </si>
  <si>
    <t>q_dist (kgf/cm)</t>
  </si>
  <si>
    <t>P_tramo (kgf)</t>
  </si>
  <si>
    <t>a_dist (cm)</t>
  </si>
  <si>
    <t>V_ini (kgf)</t>
  </si>
  <si>
    <t>M_ini (kgf·cm)</t>
  </si>
  <si>
    <t>V_fin (kgf)</t>
  </si>
  <si>
    <t>M_fin (kgf·cm)</t>
  </si>
  <si>
    <t>Xi</t>
  </si>
  <si>
    <t>Yi</t>
  </si>
  <si>
    <t>Xf</t>
  </si>
  <si>
    <t>Yf</t>
  </si>
  <si>
    <t>Grado de Libertad Inicio (Automático)</t>
  </si>
  <si>
    <t>Grado de Libertad Fin (Automático)</t>
  </si>
  <si>
    <t>2B. HERRAMIENTA AUTOMÁTICA DE DESCOMPOSICIÓN DE CARGAS PUNTUALES OBLICUAS EN NUDOS</t>
  </si>
  <si>
    <t>X</t>
  </si>
  <si>
    <t>Y</t>
  </si>
  <si>
    <t>θ</t>
  </si>
  <si>
    <t>N°</t>
  </si>
  <si>
    <t>Nudo Destino</t>
  </si>
  <si>
    <t>Carga P (kgf)</t>
  </si>
  <si>
    <t>Método (Menú)</t>
  </si>
  <si>
    <t>dx o Ángulo α°</t>
  </si>
  <si>
    <t>dy (Vert.)</t>
  </si>
  <si>
    <t>Hipotenusa L</t>
  </si>
  <si>
    <t>Cos α (X)</t>
  </si>
  <si>
    <t>Sen α (Y)</t>
  </si>
  <si>
    <t>Sentido X</t>
  </si>
  <si>
    <t>Sentido Y</t>
  </si>
  <si>
    <t>Px Nudo (kgf)</t>
  </si>
  <si>
    <t>Py Nudo (kgf)</t>
  </si>
  <si>
    <t>PENDIENTE_dx_dy</t>
  </si>
  <si>
    <t>-X (IZQ)</t>
  </si>
  <si>
    <t>-Y (ABAJO)</t>
  </si>
  <si>
    <t>2C. AUXILIAR DE GEOMETRÍA PARA BARRAS OBLICUAS (DADA LONGITUD L Y ÁNGULO α O PENDIENTE → HALLAR Xf, Yf)</t>
  </si>
  <si>
    <t>Barra</t>
  </si>
  <si>
    <t>Longitud L</t>
  </si>
  <si>
    <t>Modo</t>
  </si>
  <si>
    <t>Ángulo α° o dx</t>
  </si>
  <si>
    <t>dy</t>
  </si>
  <si>
    <t>Cos x</t>
  </si>
  <si>
    <t>Cos y</t>
  </si>
  <si>
    <t>Dx = L·Cosx</t>
  </si>
  <si>
    <t>Dy = L·Cosy</t>
  </si>
  <si>
    <t>Xf = Xi+Dx</t>
  </si>
  <si>
    <t>Yf = Yi+Dy</t>
  </si>
  <si>
    <t>ANGULO_GRADOS</t>
  </si>
  <si>
    <t>3. TABLA DE EVALUACIÓN NODAL: MENÚ DE APOYOS (FIJO / LIBRE / RODILLO / EMPOTRADO), CUADRO DE DESPLAZAMIENTOS Y CARGAS PUNTUALES</t>
  </si>
  <si>
    <t>NUDO</t>
  </si>
  <si>
    <t>CONDICIÓN (Menú)</t>
  </si>
  <si>
    <t>¿Hay Dx?</t>
  </si>
  <si>
    <t>¿Hay Dy?</t>
  </si>
  <si>
    <t>¿Hay Dθ?</t>
  </si>
  <si>
    <t>Cuadro Dx</t>
  </si>
  <si>
    <t>Cuadro Dy</t>
  </si>
  <si>
    <t>Cuadro Dθ</t>
  </si>
  <si>
    <t>Px Directa (kgf)</t>
  </si>
  <si>
    <t>Py Directa (kgf)</t>
  </si>
  <si>
    <t>Mz Directo (kgf·cm)</t>
  </si>
  <si>
    <t>Px Oblicua Auto</t>
  </si>
  <si>
    <t>Py Oblicua Auto</t>
  </si>
  <si>
    <t>Px Total Nudo</t>
  </si>
  <si>
    <t>Py Total Nudo</t>
  </si>
  <si>
    <t>Mz Total Nudo</t>
  </si>
  <si>
    <t>FIJO</t>
  </si>
  <si>
    <t>LIBRE</t>
  </si>
  <si>
    <t>RODILLO</t>
  </si>
  <si>
    <t>GDL</t>
  </si>
  <si>
    <t>K1=</t>
  </si>
  <si>
    <t>U1X</t>
  </si>
  <si>
    <t>U1Y</t>
  </si>
  <si>
    <t>U1θ</t>
  </si>
  <si>
    <t>U2X</t>
  </si>
  <si>
    <t>U2Y</t>
  </si>
  <si>
    <t>U2θ</t>
  </si>
  <si>
    <t>U3X</t>
  </si>
  <si>
    <t>U3Y</t>
  </si>
  <si>
    <t>U3θ</t>
  </si>
  <si>
    <t>U4X</t>
  </si>
  <si>
    <t>U4Y</t>
  </si>
  <si>
    <t>U4θ</t>
  </si>
  <si>
    <t>U5X</t>
  </si>
  <si>
    <t>U5Y</t>
  </si>
  <si>
    <t>U5θ</t>
  </si>
  <si>
    <t>U6X</t>
  </si>
  <si>
    <t>U6Y</t>
  </si>
  <si>
    <t>U6θ</t>
  </si>
  <si>
    <t>U7X</t>
  </si>
  <si>
    <t>U7Y</t>
  </si>
  <si>
    <t>U7θ</t>
  </si>
  <si>
    <t>U8X</t>
  </si>
  <si>
    <t>U8Y</t>
  </si>
  <si>
    <t>U8θ</t>
  </si>
  <si>
    <t>U9X</t>
  </si>
  <si>
    <t>U9Y</t>
  </si>
  <si>
    <t>U9θ</t>
  </si>
  <si>
    <t>U10X</t>
  </si>
  <si>
    <t>U10Y</t>
  </si>
  <si>
    <t>U10θ</t>
  </si>
  <si>
    <t>U11X</t>
  </si>
  <si>
    <t>U11Y</t>
  </si>
  <si>
    <t>U11θ</t>
  </si>
  <si>
    <t>U12X</t>
  </si>
  <si>
    <t>U12Y</t>
  </si>
  <si>
    <t>U12θ</t>
  </si>
  <si>
    <t>K2=</t>
  </si>
  <si>
    <t>K3=</t>
  </si>
  <si>
    <t>K4=</t>
  </si>
  <si>
    <t>K5=</t>
  </si>
  <si>
    <t>K6=</t>
  </si>
  <si>
    <t>K7=</t>
  </si>
  <si>
    <t>K8=</t>
  </si>
  <si>
    <t>K9=</t>
  </si>
  <si>
    <t>K10=</t>
  </si>
  <si>
    <t>K11=</t>
  </si>
  <si>
    <t>4. MATRIZ DE RIGIDEZ GLOBAL DE LA VIGA [K] (ENSAMBLE EN DIAGONAL POR TRAMOS - HASTA 12 NODOS / 36 GDL)</t>
  </si>
  <si>
    <t>BLOQUE TÉCNICO DE INVERSIÓN AUTOMÁTICA [K_SOLVER] (NO TOCAR)</t>
  </si>
  <si>
    <t>5A. MATRIZ DE CARGAS [C] (AUTOMÁTICA)</t>
  </si>
  <si>
    <t>5B. MATRIZ DE DESPLAZAMIENTO [D] (AUTOMÁTICA)</t>
  </si>
  <si>
    <t>C_i</t>
  </si>
  <si>
    <t>P_Puntual Nudo</t>
  </si>
  <si>
    <t>C_Dist/Tramo Eq.</t>
  </si>
  <si>
    <t>Carga Numérica</t>
  </si>
  <si>
    <t>VECTOR [C]</t>
  </si>
  <si>
    <t>D_i</t>
  </si>
  <si>
    <t>¿Hay Despl.?</t>
  </si>
  <si>
    <t>VECTOR [D]</t>
  </si>
  <si>
    <t>VALOR D (cm/rad)</t>
  </si>
  <si>
    <t>Idx</t>
  </si>
  <si>
    <t>Activo</t>
  </si>
  <si>
    <t>N° Libre</t>
  </si>
  <si>
    <t>N° Restr.</t>
  </si>
  <si>
    <t>6. ECUACIÓN MATRICIAL COMPLETA: [C] = [K] * [D] (LAS FILAS EN AMARILLO SON RESTRINGIDAS: D = 0)</t>
  </si>
  <si>
    <t>[C]</t>
  </si>
  <si>
    <t>=</t>
  </si>
  <si>
    <t>*</t>
  </si>
  <si>
    <t>[D]</t>
  </si>
  <si>
    <t>7. ECUACIÓN MATRICIAL REDUCIDA PARA CÁLCULO DE DESPLAZAMIENTOS: [C_libres] = [K_LL] * [D_libres] (AUTOMÁTICA)</t>
  </si>
  <si>
    <t>[C_libre]</t>
  </si>
  <si>
    <t>[D_libre]</t>
  </si>
  <si>
    <t>8. INVERSA DE LA MATRIZ REDUCIDA: [D_libres] = [K_LL]^-1 * [C_libres] (CALCULADA AUTOMÁTICAMENTE CON MINVERSE)</t>
  </si>
  <si>
    <t>9. RESULTADOS DE LOS DESPLAZAMIENTOS NODALES [D] = [K_LL]^-1 * [C_libres]</t>
  </si>
  <si>
    <t>INCÓGNITA D</t>
  </si>
  <si>
    <t>DESPLAZAMIENTO CALCULADO</t>
  </si>
  <si>
    <t>UNIDAD</t>
  </si>
  <si>
    <t>INTERPRETACIÓN FÍSICA</t>
  </si>
  <si>
    <t>10. ECUACIÓN MATRICIAL REDUCIDA PARA CÁLCULO DE CARGAS (REACCIONES): [C_restringidos] = [K_RL] * [D_libres]</t>
  </si>
  <si>
    <t>[C_apoyo]</t>
  </si>
  <si>
    <t>11. RESULTADOS DE LAS CARGAS Y REACCIONES EN LOS APOYOS [R] = [K_RL] * [D_libres]</t>
  </si>
  <si>
    <t>EXPRESIÓN EN [C]</t>
  </si>
  <si>
    <t>PRODUCTO [K_RL]*[D]</t>
  </si>
  <si>
    <t>CARGA EN APOYO</t>
  </si>
  <si>
    <t>REACCIÓN DESPEJADA FINAL</t>
  </si>
  <si>
    <t>DESCRIPCIÓN</t>
  </si>
  <si>
    <t>CEREBRO ESTRUCTURAL — GRÁFICAS DE VIGAS</t>
  </si>
  <si>
    <t>Los diagramas corresponden al análisis de la estructura en vivo.</t>
  </si>
  <si>
    <t>Kgf/cm2</t>
  </si>
  <si>
    <t>HERRAMIENTA 1: DESCOMPOSICIÓN ORTOGONAL DE CARGAS PUNTUALES (CARTESIANAS X - Y)</t>
  </si>
  <si>
    <t>b</t>
  </si>
  <si>
    <t>Carga / Nudo</t>
  </si>
  <si>
    <t>Magnitud P (Kgf)</t>
  </si>
  <si>
    <t>Ángulo α (°)</t>
  </si>
  <si>
    <t>α (rad)</t>
  </si>
  <si>
    <t>Px = P*COS(α) (Kgf)</t>
  </si>
  <si>
    <t>Py = -P*SEN(α) (Kgf)</t>
  </si>
  <si>
    <t>Momento M (Kgf.cm)</t>
  </si>
  <si>
    <t>M en Kgf.m</t>
  </si>
  <si>
    <t>h</t>
  </si>
  <si>
    <t>Carga 1 (Nudo 1)</t>
  </si>
  <si>
    <t>cm2</t>
  </si>
  <si>
    <t>Tramos Utilizados =</t>
  </si>
  <si>
    <t>Carga 2 (Nudo 2)</t>
  </si>
  <si>
    <t>cm4</t>
  </si>
  <si>
    <t>Nodos Utilizados =</t>
  </si>
  <si>
    <t>Carga 3 (Nudo 3)</t>
  </si>
  <si>
    <t>Carga 4 (Nudo 4)</t>
  </si>
  <si>
    <t>INICIO</t>
  </si>
  <si>
    <t>FIN</t>
  </si>
  <si>
    <t>DX</t>
  </si>
  <si>
    <t>DY</t>
  </si>
  <si>
    <t>Cx</t>
  </si>
  <si>
    <t>Cy</t>
  </si>
  <si>
    <t>12EI/L3</t>
  </si>
  <si>
    <t>6EI/L2</t>
  </si>
  <si>
    <t>Carga 5 (Nudo 5)</t>
  </si>
  <si>
    <t>Carga 6 (Nudo 6)</t>
  </si>
  <si>
    <t>Carga 7 (Nudo 7)</t>
  </si>
  <si>
    <t>Carga 8 (Nudo 8)</t>
  </si>
  <si>
    <t>Carga 9 (Nudo 9)</t>
  </si>
  <si>
    <t>Carga 10 (Nudo 10)</t>
  </si>
  <si>
    <t>HERRAMIENTA 2: CARGAS PUNTUALES EN EL TRAMO (ACCIONES DE EMPOTRAMIENTO PERFECTO)</t>
  </si>
  <si>
    <t>P (Kgf)</t>
  </si>
  <si>
    <t>a (cm)</t>
  </si>
  <si>
    <t>b (cm)</t>
  </si>
  <si>
    <t>L = a+b (cm)</t>
  </si>
  <si>
    <t>Vi Izq (Kgf)</t>
  </si>
  <si>
    <t>Mi Izq (Kgf.cm)</t>
  </si>
  <si>
    <t>Vj Der (Kgf)</t>
  </si>
  <si>
    <t>Mj Der (Kgf.cm)</t>
  </si>
  <si>
    <t>K1 =</t>
  </si>
  <si>
    <t>K2 =</t>
  </si>
  <si>
    <t>K3 =</t>
  </si>
  <si>
    <t>K4 =</t>
  </si>
  <si>
    <t>K5 =</t>
  </si>
  <si>
    <t>K6 =</t>
  </si>
  <si>
    <t>K7 =</t>
  </si>
  <si>
    <t>K8 =</t>
  </si>
  <si>
    <t>K9 =</t>
  </si>
  <si>
    <t>K10 =</t>
  </si>
  <si>
    <t>MATRIZ DE RIGIDEZ GLOBAL DE LA VIGA [Kviga] (ENSAMBLE COMPLETO 10 TRAMOS / 11 NODOS / 33 GDL)</t>
  </si>
  <si>
    <t>Kviga =</t>
  </si>
  <si>
    <t>VECTORES DE CARGAS GLOBALES {C} Y CONDICIONES DE FRONTERA / DESPLAZAMIENTOS {D}</t>
  </si>
  <si>
    <t>VECTOR DE CARGAS {C}</t>
  </si>
  <si>
    <t>VECTOR DE DESPLAZAMIENTOS {D}</t>
  </si>
  <si>
    <t>Condición GDL</t>
  </si>
  <si>
    <t>C1X</t>
  </si>
  <si>
    <t>D1X</t>
  </si>
  <si>
    <t>C1Y</t>
  </si>
  <si>
    <t>D1Y</t>
  </si>
  <si>
    <t>C1θ</t>
  </si>
  <si>
    <t>D1θ</t>
  </si>
  <si>
    <t>C2X</t>
  </si>
  <si>
    <t>D2X</t>
  </si>
  <si>
    <t>C2Y</t>
  </si>
  <si>
    <t>D2Y</t>
  </si>
  <si>
    <t>C2θ</t>
  </si>
  <si>
    <t>D2θ</t>
  </si>
  <si>
    <t>C3X</t>
  </si>
  <si>
    <t>D3X</t>
  </si>
  <si>
    <t>C3Y</t>
  </si>
  <si>
    <t>D3Y</t>
  </si>
  <si>
    <t>C3θ</t>
  </si>
  <si>
    <t>D3θ</t>
  </si>
  <si>
    <t>C4X</t>
  </si>
  <si>
    <t>D4X</t>
  </si>
  <si>
    <t>C4Y</t>
  </si>
  <si>
    <t>D4Y</t>
  </si>
  <si>
    <t>C4θ</t>
  </si>
  <si>
    <t>D4θ</t>
  </si>
  <si>
    <t>C5X</t>
  </si>
  <si>
    <t>D5X</t>
  </si>
  <si>
    <t>C5Y</t>
  </si>
  <si>
    <t>D5Y</t>
  </si>
  <si>
    <t>C5θ</t>
  </si>
  <si>
    <t>D5θ</t>
  </si>
  <si>
    <t>C6X</t>
  </si>
  <si>
    <t>D6X</t>
  </si>
  <si>
    <t>C6Y</t>
  </si>
  <si>
    <t>D6Y</t>
  </si>
  <si>
    <t>C6θ</t>
  </si>
  <si>
    <t>D6θ</t>
  </si>
  <si>
    <t>C7X</t>
  </si>
  <si>
    <t>D7X</t>
  </si>
  <si>
    <t>C7Y</t>
  </si>
  <si>
    <t>D7Y</t>
  </si>
  <si>
    <t>C7θ</t>
  </si>
  <si>
    <t>D7θ</t>
  </si>
  <si>
    <t>C8X</t>
  </si>
  <si>
    <t>D8X</t>
  </si>
  <si>
    <t>C8Y</t>
  </si>
  <si>
    <t>D8Y</t>
  </si>
  <si>
    <t>C8θ</t>
  </si>
  <si>
    <t>D8θ</t>
  </si>
  <si>
    <t>C9X</t>
  </si>
  <si>
    <t>D9X</t>
  </si>
  <si>
    <t>C9Y</t>
  </si>
  <si>
    <t>D9Y</t>
  </si>
  <si>
    <t>C9θ</t>
  </si>
  <si>
    <t>D9θ</t>
  </si>
  <si>
    <t>C10X</t>
  </si>
  <si>
    <t>D10X</t>
  </si>
  <si>
    <t>C10Y</t>
  </si>
  <si>
    <t>D10Y</t>
  </si>
  <si>
    <t>C10θ</t>
  </si>
  <si>
    <t>D10θ</t>
  </si>
  <si>
    <t>C11X</t>
  </si>
  <si>
    <t>D11X</t>
  </si>
  <si>
    <t>C11Y</t>
  </si>
  <si>
    <t>D11Y</t>
  </si>
  <si>
    <t>C11θ</t>
  </si>
  <si>
    <t>D11θ</t>
  </si>
  <si>
    <t>ECUACION MATRICIAL DEL SISTEMA: {C} = [Kviga] * {D}</t>
  </si>
  <si>
    <t>BLOQUE TÉCNICO DE RESOLUCIÓN AUTOMÁTICA [K_SOLVER] (INVERSIÓN POR PENALIZACIÓN/IDENTIDAD)</t>
  </si>
  <si>
    <t>D_CALCULADO</t>
  </si>
  <si>
    <t>R_CALCULADO</t>
  </si>
  <si>
    <t>RESUMEN DE DESPLAZAMIENTOS</t>
  </si>
  <si>
    <t>rad</t>
  </si>
  <si>
    <t>DATOS PARA GRAFICAR LA CURVA ELASTICA</t>
  </si>
  <si>
    <t>Nudo</t>
  </si>
  <si>
    <t>X (cm)</t>
  </si>
  <si>
    <t>DY (cm)</t>
  </si>
  <si>
    <t>CUADRO MAESTRO DE DIVISIÓN DE CARGAS DISTRIBUIDAS EN FUERZA PUNTUAL Y MOMENTO</t>
  </si>
  <si>
    <t>CONTROL ESTRICTO DE UNIDADES: 1 m = 100 cm | w(Kgf/cm) = w(Kgf/m) / 100 | V = (w_cm * L_cm)/2</t>
  </si>
  <si>
    <t>DIVISIÓN A LA IZQUIERDA (NUDO INICIAL i)</t>
  </si>
  <si>
    <t>DIVISIÓN A LA DERECHA (NUDO FINAL j)</t>
  </si>
  <si>
    <t>w (Kgf/m)</t>
  </si>
  <si>
    <t>L (m)</t>
  </si>
  <si>
    <t>L (cm)</t>
  </si>
  <si>
    <t>w (Kgf/cm)</t>
  </si>
  <si>
    <t>Signo</t>
  </si>
  <si>
    <t>Mi (Kgf.cm)</t>
  </si>
  <si>
    <t>Mi (Kgf.m)</t>
  </si>
  <si>
    <t>Sentido</t>
  </si>
  <si>
    <t>Mj (Kgf.cm)</t>
  </si>
  <si>
    <t>Mj (Kgf.m)</t>
  </si>
  <si>
    <t>↑ (+)</t>
  </si>
  <si>
    <t>↷ (+) Horario</t>
  </si>
  <si>
    <t>↺ (-) Antihorario</t>
  </si>
  <si>
    <t>VECTOR DE CARGAS NODALES EQUIVALENTES APLICADAS AL SISTEMA: {P_eq} = -{P_fijación}</t>
  </si>
  <si>
    <t>G.D.L. Y</t>
  </si>
  <si>
    <t>Fuerza Py_eq (Kgf)</t>
  </si>
  <si>
    <t>Fórmula</t>
  </si>
  <si>
    <t>G.D.L. θ</t>
  </si>
  <si>
    <t>Momento M_eq (Kgf.cm)</t>
  </si>
  <si>
    <t>M_eq (Kgf.m)</t>
  </si>
  <si>
    <t>Efecto</t>
  </si>
  <si>
    <t>Nudo 1</t>
  </si>
  <si>
    <t>-Vi,1</t>
  </si>
  <si>
    <t>-Mi,1</t>
  </si>
  <si>
    <t>Extremo Inicial</t>
  </si>
  <si>
    <t>Nudo 2</t>
  </si>
  <si>
    <t>-(Vj,1 + Vi,2)</t>
  </si>
  <si>
    <t>-(Mj,1 + Mi,2)</t>
  </si>
  <si>
    <t>Nudo Interior 2</t>
  </si>
  <si>
    <t>Nudo 3</t>
  </si>
  <si>
    <t>-(Vj,2 + Vi,3)</t>
  </si>
  <si>
    <t>-(Mj,2 + Mi,3)</t>
  </si>
  <si>
    <t>Nudo Interior 3</t>
  </si>
  <si>
    <t>Nudo 4</t>
  </si>
  <si>
    <t>-(Vj,3 + Vi,4)</t>
  </si>
  <si>
    <t>-(Mj,3 + Mi,4)</t>
  </si>
  <si>
    <t>Nudo Interior 4</t>
  </si>
  <si>
    <t>Nudo 5</t>
  </si>
  <si>
    <t>-(Vj,4 + Vi,5)</t>
  </si>
  <si>
    <t>-(Mj,4 + Mi,5)</t>
  </si>
  <si>
    <t>Nudo Interior 5</t>
  </si>
  <si>
    <t>Nudo 6</t>
  </si>
  <si>
    <t>-(Vj,5 + Vi,6)</t>
  </si>
  <si>
    <t>-(Mj,5 + Mi,6)</t>
  </si>
  <si>
    <t>Nudo Interior 6</t>
  </si>
  <si>
    <t>Nudo 7</t>
  </si>
  <si>
    <t>-(Vj,6 + Vi,7)</t>
  </si>
  <si>
    <t>-(Mj,6 + Mi,7)</t>
  </si>
  <si>
    <t>Nudo Interior 7</t>
  </si>
  <si>
    <t>Nudo 8</t>
  </si>
  <si>
    <t>-(Vj,7 + Vi,8)</t>
  </si>
  <si>
    <t>-(Mj,7 + Mi,8)</t>
  </si>
  <si>
    <t>Nudo Interior 8</t>
  </si>
  <si>
    <t>Nudo 9</t>
  </si>
  <si>
    <t>-(Vj,8 + Vi,9)</t>
  </si>
  <si>
    <t>-(Mj,8 + Mi,9)</t>
  </si>
  <si>
    <t>Nudo Interior 9</t>
  </si>
  <si>
    <t>Nudo 10</t>
  </si>
  <si>
    <t>-(Vj,9 + Vi,10)</t>
  </si>
  <si>
    <t>-(Mj,9 + Mi,10)</t>
  </si>
  <si>
    <t>Nudo Interior 10</t>
  </si>
  <si>
    <t>Nudo 11</t>
  </si>
  <si>
    <t>-Vj,10</t>
  </si>
  <si>
    <t>-Mj,10</t>
  </si>
  <si>
    <t>Extremo Final</t>
  </si>
  <si>
    <t>MODULO A: CARGAS PUNTUALES Y OBLICUAS (CARTESIANAS X - Y)</t>
  </si>
  <si>
    <t>MODULO B: CARGAS DISTRIBUIDAS (DIVISIÓN IZQUIERDA / DERECHA)</t>
  </si>
  <si>
    <t>MODULO C: SUPERPOSICIÓN LINEAL DE CARGAS NODALES TOTALES {C_total}</t>
  </si>
  <si>
    <t>G.D.L.</t>
  </si>
  <si>
    <t>Py Puntual (Kgf)</t>
  </si>
  <si>
    <t>Py Distr. (Kgf)</t>
  </si>
  <si>
    <t>Py Total (Kgf)</t>
  </si>
  <si>
    <t>M Puntual (Kgf.cm)</t>
  </si>
  <si>
    <t>M Distr. (Kgf.cm)</t>
  </si>
  <si>
    <t>M Total (Kgf.cm)</t>
  </si>
  <si>
    <t>M Total (Kgf.m)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</si>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</sst>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000"/>
    <numFmt numFmtId="167" formatCode="0.0000E+00"/>
    <numFmt numFmtId="168" formatCode="0.00000"/>
  </numFmts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CCECFF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DEDFA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D0CECE"/>
      </patternFill>
    </fill>
    <fill>
      <patternFill patternType="solid">
        <f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2" fontId="2" fillId="6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64" fontId="2" fillId="7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2" fontId="5" fillId="6" borderId="2" xfId="0" applyNumberFormat="1" applyFont="1" applyFill="1" applyBorder="1" applyAlignment="1">
      <alignment horizontal="center" vertical="center" wrapText="1"/>
    </xf>
    <xf numFmtId="2" fontId="2" fillId="9" borderId="2" xfId="0" applyNumberFormat="1" applyFont="1" applyFill="1" applyBorder="1" applyAlignment="1">
      <alignment horizontal="center" vertical="center" wrapText="1"/>
    </xf>
    <xf numFmtId="2" fontId="5" fillId="9" borderId="2" xfId="0" applyNumberFormat="1" applyFont="1" applyFill="1" applyBorder="1" applyAlignment="1">
      <alignment horizontal="center" vertical="center" wrapText="1"/>
    </xf>
    <xf numFmtId="2" fontId="2" fillId="7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right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5" fontId="5" fillId="9" borderId="2" xfId="0" applyNumberFormat="1" applyFont="1" applyFill="1" applyBorder="1" applyAlignment="1">
      <alignment horizontal="center" vertical="center" wrapText="1"/>
    </xf>
    <xf numFmtId="2" fontId="5" fillId="7" borderId="2" xfId="0" applyNumberFormat="1" applyFont="1" applyFill="1" applyBorder="1" applyAlignment="1">
      <alignment horizontal="center" vertical="center" wrapText="1"/>
    </xf>
    <xf numFmtId="2" fontId="5" fillId="10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" fontId="2" fillId="10" borderId="2" xfId="0" applyNumberFormat="1" applyFont="1" applyFill="1" applyBorder="1" applyAlignment="1">
      <alignment horizontal="center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3" fillId="9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2" fontId="4" fillId="6" borderId="2" xfId="0" applyNumberFormat="1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 wrapText="1"/>
    </xf>
    <xf numFmtId="2" fontId="5" fillId="11" borderId="2" xfId="0" applyNumberFormat="1" applyFont="1" applyFill="1" applyBorder="1" applyAlignment="1">
      <alignment horizontal="center" vertical="center" wrapText="1"/>
    </xf>
    <xf numFmtId="2" fontId="4" fillId="11" borderId="2" xfId="0" applyNumberFormat="1" applyFont="1" applyFill="1" applyBorder="1" applyAlignment="1">
      <alignment horizontal="center" vertical="center" wrapText="1"/>
    </xf>
    <xf numFmtId="2" fontId="5" fillId="8" borderId="2" xfId="0" applyNumberFormat="1" applyFont="1" applyFill="1" applyBorder="1" applyAlignment="1">
      <alignment horizontal="center" vertical="center" wrapText="1"/>
    </xf>
    <xf numFmtId="2" fontId="4" fillId="8" borderId="2" xfId="0" applyNumberFormat="1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 wrapText="1"/>
    </xf>
    <xf numFmtId="2" fontId="5" fillId="12" borderId="2" xfId="0" applyNumberFormat="1" applyFont="1" applyFill="1" applyBorder="1" applyAlignment="1">
      <alignment horizontal="center" vertical="center" wrapText="1"/>
    </xf>
    <xf numFmtId="2" fontId="4" fillId="12" borderId="2" xfId="0" applyNumberFormat="1" applyFont="1" applyFill="1" applyBorder="1" applyAlignment="1">
      <alignment horizontal="center" vertical="center" wrapText="1"/>
    </xf>
    <xf numFmtId="2" fontId="5" fillId="13" borderId="2" xfId="0" applyNumberFormat="1" applyFont="1" applyFill="1" applyBorder="1" applyAlignment="1">
      <alignment horizontal="center" vertical="center" wrapText="1"/>
    </xf>
    <xf numFmtId="2" fontId="4" fillId="13" borderId="2" xfId="0" applyNumberFormat="1" applyFont="1" applyFill="1" applyBorder="1" applyAlignment="1">
      <alignment horizontal="center" vertical="center" wrapText="1"/>
    </xf>
    <xf numFmtId="2" fontId="5" fillId="14" borderId="2" xfId="0" applyNumberFormat="1" applyFont="1" applyFill="1" applyBorder="1" applyAlignment="1">
      <alignment horizontal="center" vertical="center" wrapText="1"/>
    </xf>
    <xf numFmtId="2" fontId="4" fillId="14" borderId="2" xfId="0" applyNumberFormat="1" applyFont="1" applyFill="1" applyBorder="1" applyAlignment="1">
      <alignment horizontal="center" vertical="center" wrapText="1"/>
    </xf>
    <xf numFmtId="2" fontId="5" fillId="15" borderId="2" xfId="0" applyNumberFormat="1" applyFont="1" applyFill="1" applyBorder="1" applyAlignment="1">
      <alignment horizontal="center" vertical="center" wrapText="1"/>
    </xf>
    <xf numFmtId="2" fontId="4" fillId="15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" fillId="16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  <xf numFmtId="2" fontId="4" fillId="16" borderId="2" xfId="0" applyNumberFormat="1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2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center" vertical="center" wrapText="1"/>
    </xf>
    <xf numFmtId="167" fontId="3" fillId="9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166" fontId="4" fillId="7" borderId="2" xfId="0" applyNumberFormat="1" applyFont="1" applyFill="1" applyBorder="1" applyAlignment="1">
      <alignment horizontal="center" vertical="center" wrapText="1"/>
    </xf>
    <xf numFmtId="165" fontId="2" fillId="7" borderId="2" xfId="0" applyNumberFormat="1" applyFont="1" applyFill="1" applyBorder="1" applyAlignment="1">
      <alignment horizontal="center" vertical="center" wrapText="1"/>
    </xf>
    <xf numFmtId="165" fontId="5" fillId="10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17" borderId="0" xfId="0" applyFont="1" applyFill="1" applyAlignment="1">
      <alignment horizontal="center" vertical="center" wrapText="1"/>
    </xf>
    <xf numFmtId="0" fontId="0" fillId="0" borderId="0" xfId="0"/>
    <xf numFmtId="0" fontId="9" fillId="1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7" fillId="18" borderId="6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 wrapText="1"/>
    </xf>
    <xf numFmtId="2" fontId="10" fillId="19" borderId="5" xfId="0" applyNumberFormat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0" fillId="0" borderId="5" xfId="0" applyBorder="1"/>
    <xf numFmtId="2" fontId="9" fillId="19" borderId="5" xfId="0" applyNumberFormat="1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10" fillId="18" borderId="5" xfId="0" applyFont="1" applyFill="1" applyBorder="1" applyAlignment="1">
      <alignment horizontal="center" vertical="center" wrapText="1"/>
    </xf>
    <xf numFmtId="2" fontId="10" fillId="20" borderId="5" xfId="0" applyNumberFormat="1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9" fillId="17" borderId="5" xfId="0" applyFont="1" applyFill="1" applyBorder="1" applyAlignment="1">
      <alignment horizontal="center" vertical="center" wrapText="1"/>
    </xf>
    <xf numFmtId="168" fontId="10" fillId="0" borderId="5" xfId="0" applyNumberFormat="1" applyFont="1" applyBorder="1" applyAlignment="1">
      <alignment horizontal="center" vertical="center" wrapText="1"/>
    </xf>
    <xf numFmtId="168" fontId="10" fillId="20" borderId="5" xfId="0" applyNumberFormat="1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center" vertical="center" wrapText="1"/>
    </xf>
    <xf numFmtId="0" fontId="9" fillId="19" borderId="0" xfId="0" applyFont="1" applyFill="1" applyAlignment="1">
      <alignment horizontal="center" vertical="center" wrapText="1"/>
    </xf>
    <xf numFmtId="0" fontId="9" fillId="21" borderId="0" xfId="0" applyFont="1" applyFill="1" applyAlignment="1">
      <alignment horizontal="center" vertical="center" wrapText="1"/>
    </xf>
    <xf numFmtId="0" fontId="9" fillId="2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4739-BA20-49BB-AC89-4CE89F48AD1A}">
  <dimension ref="B1:CF560"/>
  <sheetViews>
    <sheetView zoomScale="85" workbookViewId="0"/>
  </sheetViews>
  <sheetFormatPr baseColWidth="10" defaultColWidth="8.88671875" defaultRowHeight="14.4" x14ac:dyDescent="0.3"/>
  <cols>
    <col min="1" max="1" width="3" customWidth="1"/>
    <col min="2" max="2" width="18" customWidth="1"/>
    <col min="3" max="3" width="14" customWidth="1"/>
    <col min="4" max="5" width="11" customWidth="1"/>
    <col min="6" max="6" width="16" customWidth="1"/>
    <col min="7" max="7" width="14" customWidth="1"/>
    <col min="8" max="8" width="11" customWidth="1"/>
    <col min="9" max="9" width="13" customWidth="1"/>
    <col min="10" max="11" width="11" customWidth="1"/>
    <col min="12" max="12" width="14" customWidth="1"/>
    <col min="13" max="13" width="13" customWidth="1"/>
    <col min="14" max="14" width="14" customWidth="1"/>
    <col min="15" max="22" width="13" customWidth="1"/>
    <col min="23" max="26" width="14" customWidth="1"/>
    <col min="27" max="46" width="10.44140625" customWidth="1"/>
  </cols>
  <sheetData>
    <row r="1" spans="2:26" ht="22.05" customHeight="1" thickBot="1" x14ac:dyDescent="0.35">
      <c r="B1" s="1" t="s">
        <v>0</v>
      </c>
      <c r="C1" s="1"/>
      <c r="D1" s="1"/>
      <c r="E1" s="1"/>
      <c r="F1" s="1"/>
      <c r="G1" s="1"/>
      <c r="H1" s="1"/>
      <c r="I1" s="1"/>
      <c r="K1" s="1" t="s">
        <v>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6" ht="19.95" customHeight="1" thickBot="1" x14ac:dyDescent="0.35">
      <c r="B2" s="2" t="s">
        <v>2</v>
      </c>
      <c r="C2" s="3">
        <v>300000</v>
      </c>
      <c r="D2" s="4" t="s">
        <v>3</v>
      </c>
      <c r="F2" s="2" t="s">
        <v>4</v>
      </c>
      <c r="G2" s="5">
        <f>IF(C3="RECTANGULAR",C4*C5,IF(C3="CIRCULAR",PI()*(C4^2)/4,IF(C3="TUBULAR_CIRCULAR",PI()*((C4^2)-(C5^2))/4,IF(C3="TRAPEZOIDAL",((C4+C6)/2)*C5,IF(C3="TRIANGULAR",(C4*C5)/2,IF(C3="CAJON_HUECO",(C4*C5)-(C6*C7),IF(C3="STEINER_COMPUESTA",R10,C4)))))))</f>
        <v>1125</v>
      </c>
      <c r="H2" s="4" t="s">
        <v>5</v>
      </c>
      <c r="I2" s="4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</row>
    <row r="3" spans="2:26" ht="19.95" customHeight="1" x14ac:dyDescent="0.3">
      <c r="B3" s="2" t="s">
        <v>20</v>
      </c>
      <c r="C3" s="7" t="s">
        <v>21</v>
      </c>
      <c r="D3" s="4" t="s">
        <v>22</v>
      </c>
      <c r="F3" s="2" t="s">
        <v>23</v>
      </c>
      <c r="G3" s="8">
        <f>IF(C3="RECTANGULAR",C5/2,IF(C3="CIRCULAR",C4/2,IF(C3="TUBULAR_CIRCULAR",C4/2,IF(C3="TRAPEZOIDAL",IF((C4+C6)&gt;0,C5*(C4+2*C6)/(3*(C4+C6)),0),IF(C3="TRIANGULAR",C5/3,IF(C3="CAJON_HUECO",C5/2,IF(C3="STEINER_COMPUESTA",S10,0)))))))</f>
        <v>22.5</v>
      </c>
      <c r="H3" s="4" t="s">
        <v>24</v>
      </c>
      <c r="I3" s="4" t="s">
        <v>25</v>
      </c>
      <c r="K3" s="9">
        <v>1</v>
      </c>
      <c r="L3" s="7" t="s">
        <v>26</v>
      </c>
      <c r="M3" s="10">
        <v>25</v>
      </c>
      <c r="N3" s="10">
        <v>0</v>
      </c>
      <c r="O3" s="10">
        <v>22.5</v>
      </c>
      <c r="P3" s="10">
        <v>0</v>
      </c>
      <c r="Q3" s="10">
        <v>12.5</v>
      </c>
      <c r="R3" s="11">
        <f t="shared" ref="R3:R9" si="0">IF(OR(L3="NINGUNO",L3="",M3="",M3=0),"",IF(L3="RECTANGULO",M3*O3,IF(L3="TRIANGULO",(M3*O3)/2,IF(L3="TRAPECIO",((M3+N3)/2)*O3,IF(L3="CIRCULO",PI()*(M3^2)/4,IF(L3="SEMICIRCULO",PI()*((M3/2)^2)/2,IF(L3="HUECO_RECT",-M3*O3,IF(L3="HUECO_CIRC",-PI()*(M3^2)/4,""))))))))</f>
        <v>562.5</v>
      </c>
      <c r="S3" s="12">
        <f t="shared" ref="S3:S9" si="1">IF(R3="","",N(P3)+IF(OR(L3="RECTANGULO",L3="HUECO_RECT"),O3/2,IF(L3="TRIANGULO",O3/3,IF(L3="TRAPECIO",IF((M3+N3)&gt;0,O3*(M3+2*N3)/(3*(M3+N3)),0),IF(OR(L3="CIRCULO",L3="HUECO_CIRC"),M3/2,IF(L3="SEMICIRCULO",(4*(M3/2))/(3*PI()),0))))))</f>
        <v>11.25</v>
      </c>
      <c r="T3" s="12">
        <f t="shared" ref="T3:T9" si="2">IF(R3="","",R3*S3)</f>
        <v>6328.125</v>
      </c>
      <c r="U3" s="12">
        <f t="shared" ref="U3:U9" si="3">IF(R3="","",IF(L3="RECTANGULO",(M3*(O3^3))/12,IF(L3="TRIANGULO",(M3*(O3^3))/36,IF(L3="TRAPECIO",IF((M3+N3)&gt;0,(O3^3)*((M3^2)+4*M3*N3+(N3^2))/(36*(M3+N3)),0),IF(L3="CIRCULO",PI()*(M3^4)/64,IF(L3="SEMICIRCULO",((PI()/8)-(8/(9*PI())))*((M3/2)^4),IF(L3="HUECO_RECT",-(M3*(O3^3))/12,IF(L3="HUECO_CIRC",-PI()*(M3^4)/64,0))))))))</f>
        <v>23730.46875</v>
      </c>
      <c r="V3" s="12">
        <f t="shared" ref="V3:V9" si="4">IF(R3="","",R3*((S3-$S$10)^2))</f>
        <v>71191.40625</v>
      </c>
      <c r="W3" s="13">
        <f t="shared" ref="W3:W9" si="5">IF(R3="","",U3+V3)</f>
        <v>94921.875</v>
      </c>
    </row>
    <row r="4" spans="2:26" ht="19.95" customHeight="1" x14ac:dyDescent="0.3">
      <c r="B4" s="2" t="str">
        <f>IF(OR(C3="RECTANGULAR",C3="TRIANGULAR"),"b (Base)",IF(C3="CIRCULAR","D (Diámetro)",IF(C3="TUBULAR_CIRCULAR","D_ext (Diám. Ext.)",IF(C3="TRAPEZOIDAL","B_inf (Base Inferior)",IF(C3="CAJON_HUECO","B_ext (Base Exterior)",IF(C3="STEINER_COMPUESTA","Usando Steiner →","A_directa (Área)"))))))</f>
        <v>b (Base)</v>
      </c>
      <c r="C4" s="3">
        <v>25</v>
      </c>
      <c r="D4" s="4" t="str">
        <f>IF(C3="DIRECTO_A_I","cm²","cm")</f>
        <v>cm</v>
      </c>
      <c r="F4" s="2" t="s">
        <v>27</v>
      </c>
      <c r="G4" s="5">
        <f>IF(C3="RECTANGULAR",(C4*(C5^3))/12,IF(C3="CIRCULAR",PI()*(C4^4)/64,IF(C3="TUBULAR_CIRCULAR",PI()*((C4^4)-(C5^4))/64,IF(C3="TRAPEZOIDAL",IF((C4+C6)&gt;0,(C5^3)*((C4^2)+4*C4*C6+(C6^2))/(36*(C4+C6)),0),IF(C3="TRIANGULAR",(C4*(C5^3))/36,IF(C3="CAJON_HUECO",((C4*(C5^3))-(C6*(C7^3)))/12,IF(C3="STEINER_COMPUESTA",W10,C5)))))))</f>
        <v>189843.75</v>
      </c>
      <c r="H4" s="4" t="s">
        <v>28</v>
      </c>
      <c r="I4" s="4" t="s">
        <v>6</v>
      </c>
      <c r="K4" s="9">
        <v>2</v>
      </c>
      <c r="L4" s="7" t="s">
        <v>26</v>
      </c>
      <c r="M4" s="10">
        <v>25</v>
      </c>
      <c r="N4" s="10">
        <v>0</v>
      </c>
      <c r="O4" s="10">
        <v>22.5</v>
      </c>
      <c r="P4" s="10">
        <v>22.5</v>
      </c>
      <c r="Q4" s="10">
        <v>12.5</v>
      </c>
      <c r="R4" s="11">
        <f t="shared" si="0"/>
        <v>562.5</v>
      </c>
      <c r="S4" s="12">
        <f t="shared" si="1"/>
        <v>33.75</v>
      </c>
      <c r="T4" s="12">
        <f t="shared" si="2"/>
        <v>18984.375</v>
      </c>
      <c r="U4" s="12">
        <f t="shared" si="3"/>
        <v>23730.46875</v>
      </c>
      <c r="V4" s="12">
        <f t="shared" si="4"/>
        <v>71191.40625</v>
      </c>
      <c r="W4" s="13">
        <f t="shared" si="5"/>
        <v>94921.875</v>
      </c>
    </row>
    <row r="5" spans="2:26" ht="19.95" customHeight="1" x14ac:dyDescent="0.3">
      <c r="B5" s="2" t="str">
        <f>IF(OR(C3="RECTANGULAR",C3="TRIANGULAR",C3="TRAPEZOIDAL"),"h (Altura)",IF(C3="TUBULAR_CIRCULAR","d_int (Diám. Int.)",IF(C3="CAJON_HUECO","H_ext (Altura Exterior)",IF(C3="DIRECTO_A_I","I_directa (Inercia)","- (No requiere)"))))</f>
        <v>h (Altura)</v>
      </c>
      <c r="C5" s="3">
        <v>45</v>
      </c>
      <c r="D5" s="4" t="str">
        <f>IF(C3="DIRECTO_A_I","cm⁴","cm")</f>
        <v>cm</v>
      </c>
      <c r="F5" s="2" t="s">
        <v>29</v>
      </c>
      <c r="G5" s="7" t="s">
        <v>30</v>
      </c>
      <c r="H5" s="4" t="s">
        <v>31</v>
      </c>
      <c r="I5" s="4" t="s">
        <v>32</v>
      </c>
      <c r="K5" s="9">
        <v>3</v>
      </c>
      <c r="L5" s="7" t="s">
        <v>33</v>
      </c>
      <c r="M5" s="10"/>
      <c r="N5" s="10"/>
      <c r="O5" s="10"/>
      <c r="P5" s="10"/>
      <c r="Q5" s="10"/>
      <c r="R5" s="11" t="str">
        <f t="shared" si="0"/>
        <v/>
      </c>
      <c r="S5" s="12" t="str">
        <f t="shared" si="1"/>
        <v/>
      </c>
      <c r="T5" s="12" t="str">
        <f t="shared" si="2"/>
        <v/>
      </c>
      <c r="U5" s="12" t="str">
        <f t="shared" si="3"/>
        <v/>
      </c>
      <c r="V5" s="12" t="str">
        <f t="shared" si="4"/>
        <v/>
      </c>
      <c r="W5" s="13" t="str">
        <f t="shared" si="5"/>
        <v/>
      </c>
    </row>
    <row r="6" spans="2:26" ht="19.95" customHeight="1" x14ac:dyDescent="0.3">
      <c r="B6" s="14" t="str">
        <f>IF(C3="TRAPEZOIDAL","b_sup (Base Superior)",IF(C3="CAJON_HUECO","b_int (Base Interior)","- (Opcional)"))</f>
        <v>- (Opcional)</v>
      </c>
      <c r="C6" s="3">
        <v>0</v>
      </c>
      <c r="D6" s="4" t="s">
        <v>24</v>
      </c>
      <c r="F6" s="14" t="s">
        <v>34</v>
      </c>
      <c r="G6" s="15">
        <f>COUNT(I14:I24)</f>
        <v>6</v>
      </c>
      <c r="H6" s="4" t="s">
        <v>35</v>
      </c>
      <c r="I6" s="4" t="s">
        <v>36</v>
      </c>
      <c r="K6" s="9">
        <v>4</v>
      </c>
      <c r="L6" s="7" t="s">
        <v>33</v>
      </c>
      <c r="M6" s="10"/>
      <c r="N6" s="10"/>
      <c r="O6" s="10"/>
      <c r="P6" s="10"/>
      <c r="Q6" s="10"/>
      <c r="R6" s="11" t="str">
        <f t="shared" si="0"/>
        <v/>
      </c>
      <c r="S6" s="12" t="str">
        <f t="shared" si="1"/>
        <v/>
      </c>
      <c r="T6" s="12" t="str">
        <f t="shared" si="2"/>
        <v/>
      </c>
      <c r="U6" s="12" t="str">
        <f t="shared" si="3"/>
        <v/>
      </c>
      <c r="V6" s="12" t="str">
        <f t="shared" si="4"/>
        <v/>
      </c>
      <c r="W6" s="13" t="str">
        <f t="shared" si="5"/>
        <v/>
      </c>
    </row>
    <row r="7" spans="2:26" ht="19.95" customHeight="1" x14ac:dyDescent="0.3">
      <c r="B7" s="14" t="str">
        <f>IF(C3="CAJON_HUECO","h_int (Altura Interior)","- (Opcional)")</f>
        <v>- (Opcional)</v>
      </c>
      <c r="C7" s="3">
        <v>0</v>
      </c>
      <c r="D7" s="4" t="s">
        <v>24</v>
      </c>
      <c r="F7" s="14" t="s">
        <v>37</v>
      </c>
      <c r="G7" s="15">
        <f>IF(G6&gt;0,MAX(F28:H38),0)</f>
        <v>7</v>
      </c>
      <c r="H7" s="4" t="s">
        <v>38</v>
      </c>
      <c r="I7" s="4" t="s">
        <v>39</v>
      </c>
      <c r="K7" s="9">
        <v>5</v>
      </c>
      <c r="L7" s="7" t="s">
        <v>33</v>
      </c>
      <c r="M7" s="10"/>
      <c r="N7" s="10"/>
      <c r="O7" s="10"/>
      <c r="P7" s="10"/>
      <c r="Q7" s="10"/>
      <c r="R7" s="11" t="str">
        <f t="shared" si="0"/>
        <v/>
      </c>
      <c r="S7" s="12" t="str">
        <f t="shared" si="1"/>
        <v/>
      </c>
      <c r="T7" s="12" t="str">
        <f t="shared" si="2"/>
        <v/>
      </c>
      <c r="U7" s="12" t="str">
        <f t="shared" si="3"/>
        <v/>
      </c>
      <c r="V7" s="12" t="str">
        <f t="shared" si="4"/>
        <v/>
      </c>
      <c r="W7" s="13" t="str">
        <f t="shared" si="5"/>
        <v/>
      </c>
    </row>
    <row r="8" spans="2:26" x14ac:dyDescent="0.3">
      <c r="K8" s="9">
        <v>6</v>
      </c>
      <c r="L8" s="7" t="s">
        <v>33</v>
      </c>
      <c r="M8" s="10"/>
      <c r="N8" s="10"/>
      <c r="O8" s="10"/>
      <c r="P8" s="10"/>
      <c r="Q8" s="10"/>
      <c r="R8" s="11" t="str">
        <f t="shared" si="0"/>
        <v/>
      </c>
      <c r="S8" s="12" t="str">
        <f t="shared" si="1"/>
        <v/>
      </c>
      <c r="T8" s="12" t="str">
        <f t="shared" si="2"/>
        <v/>
      </c>
      <c r="U8" s="12" t="str">
        <f t="shared" si="3"/>
        <v/>
      </c>
      <c r="V8" s="12" t="str">
        <f t="shared" si="4"/>
        <v/>
      </c>
      <c r="W8" s="13" t="str">
        <f t="shared" si="5"/>
        <v/>
      </c>
    </row>
    <row r="9" spans="2:26" x14ac:dyDescent="0.3">
      <c r="K9" s="9">
        <v>7</v>
      </c>
      <c r="L9" s="7" t="s">
        <v>33</v>
      </c>
      <c r="M9" s="10"/>
      <c r="N9" s="10"/>
      <c r="O9" s="10"/>
      <c r="P9" s="10"/>
      <c r="Q9" s="10"/>
      <c r="R9" s="11" t="str">
        <f t="shared" si="0"/>
        <v/>
      </c>
      <c r="S9" s="12" t="str">
        <f t="shared" si="1"/>
        <v/>
      </c>
      <c r="T9" s="12" t="str">
        <f t="shared" si="2"/>
        <v/>
      </c>
      <c r="U9" s="12" t="str">
        <f t="shared" si="3"/>
        <v/>
      </c>
      <c r="V9" s="12" t="str">
        <f t="shared" si="4"/>
        <v/>
      </c>
      <c r="W9" s="13" t="str">
        <f t="shared" si="5"/>
        <v/>
      </c>
    </row>
    <row r="10" spans="2:26" ht="21" customHeight="1" thickBot="1" x14ac:dyDescent="0.35">
      <c r="K10" s="16" t="s">
        <v>40</v>
      </c>
      <c r="L10" s="16"/>
      <c r="M10" s="16"/>
      <c r="N10" s="16"/>
      <c r="O10" s="16"/>
      <c r="P10" s="16"/>
      <c r="Q10" s="16"/>
      <c r="R10" s="17">
        <f>SUM(R3:R9)</f>
        <v>1125</v>
      </c>
      <c r="S10" s="17">
        <f>IF(R10&lt;&gt;0,T10/R10,0)</f>
        <v>22.5</v>
      </c>
      <c r="T10" s="17">
        <f>SUM(T3:T9)</f>
        <v>25312.5</v>
      </c>
      <c r="U10" s="17">
        <f>SUM(U3:U9)</f>
        <v>47460.9375</v>
      </c>
      <c r="V10" s="17">
        <f>SUM(V3:V9)</f>
        <v>142382.8125</v>
      </c>
      <c r="W10" s="17">
        <f>SUM(W3:W9)</f>
        <v>189843.75</v>
      </c>
    </row>
    <row r="12" spans="2:26" ht="19.95" customHeight="1" thickBot="1" x14ac:dyDescent="0.35">
      <c r="B12" s="18" t="s">
        <v>41</v>
      </c>
      <c r="C12" s="18" t="s">
        <v>42</v>
      </c>
      <c r="D12" s="18"/>
      <c r="E12" s="18" t="s">
        <v>43</v>
      </c>
      <c r="F12" s="18"/>
      <c r="G12" s="18" t="s">
        <v>44</v>
      </c>
      <c r="H12" s="18" t="s">
        <v>45</v>
      </c>
      <c r="I12" s="18" t="s">
        <v>46</v>
      </c>
      <c r="J12" s="18" t="s">
        <v>47</v>
      </c>
      <c r="K12" s="18" t="s">
        <v>48</v>
      </c>
      <c r="L12" s="18" t="s">
        <v>49</v>
      </c>
      <c r="M12" s="18" t="s">
        <v>50</v>
      </c>
      <c r="N12" s="18" t="s">
        <v>51</v>
      </c>
      <c r="O12" s="18" t="s">
        <v>52</v>
      </c>
      <c r="P12" s="18" t="s">
        <v>53</v>
      </c>
      <c r="Q12" s="18" t="s">
        <v>54</v>
      </c>
      <c r="R12" s="18" t="s">
        <v>55</v>
      </c>
      <c r="S12" s="18" t="s">
        <v>56</v>
      </c>
      <c r="T12" s="18" t="s">
        <v>57</v>
      </c>
      <c r="U12" s="18" t="s">
        <v>58</v>
      </c>
      <c r="V12" s="18" t="s">
        <v>59</v>
      </c>
      <c r="W12" s="18" t="s">
        <v>60</v>
      </c>
      <c r="X12" s="18" t="s">
        <v>61</v>
      </c>
      <c r="Y12" s="18" t="s">
        <v>62</v>
      </c>
      <c r="Z12" s="18" t="s">
        <v>63</v>
      </c>
    </row>
    <row r="13" spans="2:26" ht="19.95" customHeight="1" thickBot="1" x14ac:dyDescent="0.35">
      <c r="B13" s="18"/>
      <c r="C13" s="19" t="s">
        <v>64</v>
      </c>
      <c r="D13" s="19" t="s">
        <v>65</v>
      </c>
      <c r="E13" s="19" t="s">
        <v>66</v>
      </c>
      <c r="F13" s="19" t="s">
        <v>67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2:26" ht="19.05" customHeight="1" x14ac:dyDescent="0.3">
      <c r="B14" s="20">
        <v>1</v>
      </c>
      <c r="C14" s="3">
        <v>0</v>
      </c>
      <c r="D14" s="3">
        <v>0</v>
      </c>
      <c r="E14" s="3">
        <v>200</v>
      </c>
      <c r="F14" s="3">
        <v>0</v>
      </c>
      <c r="G14" s="12">
        <f t="shared" ref="G14:G24" si="6">IF(COUNTA(C14:F14)=4,E14-C14,"")</f>
        <v>200</v>
      </c>
      <c r="H14" s="12">
        <f t="shared" ref="H14:H24" si="7">IF(COUNTA(C14:F14)=4,F14-D14,"")</f>
        <v>0</v>
      </c>
      <c r="I14" s="12">
        <f t="shared" ref="I14:I24" si="8">IF(COUNTA(C14:F14)=4,SQRT(G14^2+H14^2),"")</f>
        <v>200</v>
      </c>
      <c r="J14" s="21">
        <f t="shared" ref="J14:J24" si="9">IF(OR(I14="",I14=0),"",G14/I14)</f>
        <v>1</v>
      </c>
      <c r="K14" s="21">
        <f t="shared" ref="K14:K24" si="10">IF(OR(I14="",I14=0),"",H14/I14)</f>
        <v>0</v>
      </c>
      <c r="L14" s="12">
        <f t="shared" ref="L14:L24" si="11">IF(OR(I14="",I14=0),"",$G$2)</f>
        <v>1125</v>
      </c>
      <c r="M14" s="12">
        <f t="shared" ref="M14:M24" si="12">IF(OR(I14="",I14=0),"",$C$2)</f>
        <v>300000</v>
      </c>
      <c r="N14" s="12">
        <f t="shared" ref="N14:N24" si="13">IF(OR(I14="",I14=0),"",$G$4)</f>
        <v>189843.75</v>
      </c>
      <c r="O14" s="22">
        <f t="shared" ref="O14:O24" si="14">IF(OR(I14="",I14=0),"",(12*M14*N14)/(I14^3))</f>
        <v>85429.6875</v>
      </c>
      <c r="P14" s="22">
        <f t="shared" ref="P14:P24" si="15">IF(OR(I14="",I14=0),"",(6*M14*N14)/(I14^2))</f>
        <v>8542968.75</v>
      </c>
      <c r="Q14" s="22">
        <f t="shared" ref="Q14:Q24" si="16">IF(OR(I14="",I14=0),"",(4*M14*N14)/I14)</f>
        <v>1139062500</v>
      </c>
      <c r="R14" s="22">
        <f t="shared" ref="R14:R24" si="17">IF(OR(I14="",I14=0),"",(2*M14*N14)/I14)</f>
        <v>569531250</v>
      </c>
      <c r="S14" s="22">
        <f t="shared" ref="S14:S24" si="18">IF(OR(I14="",I14=0),"",(M14*L14)/I14)</f>
        <v>1687500</v>
      </c>
      <c r="T14" s="3">
        <v>0</v>
      </c>
      <c r="U14" s="3">
        <v>0</v>
      </c>
      <c r="V14" s="3">
        <v>0</v>
      </c>
      <c r="W14" s="23">
        <f t="shared" ref="W14:W24" si="19">IF(OR(I14="",I14=0),"",(N(T14)*I14/2)+IF(N(U14)&lt;&gt;0,N(U14)*((I14-IF(OR(V14="",V14=0),I14/2,V14))^2)*(3*IF(OR(V14="",V14=0),I14/2,V14)+(I14-IF(OR(V14="",V14=0),I14/2,V14)))/(I14^3),0))</f>
        <v>0</v>
      </c>
      <c r="X14" s="23">
        <f t="shared" ref="X14:X24" si="20">IF(OR(I14="",I14=0),"",(N(T14)*(I14^2)/12)+IF(N(U14)&lt;&gt;0,N(U14)*IF(OR(V14="",V14=0),I14/2,V14)*((I14-IF(OR(V14="",V14=0),I14/2,V14))^2)/(I14^2),0))</f>
        <v>0</v>
      </c>
      <c r="Y14" s="23">
        <f t="shared" ref="Y14:Y24" si="21">IF(OR(I14="",I14=0),"",(N(T14)*I14/2)+IF(N(U14)&lt;&gt;0,N(U14)*(IF(OR(V14="",V14=0),I14/2,V14)^2)*(IF(OR(V14="",V14=0),I14/2,V14)+3*(I14-IF(OR(V14="",V14=0),I14/2,V14)))/(I14^3),0))</f>
        <v>0</v>
      </c>
      <c r="Z14" s="23">
        <f t="shared" ref="Z14:Z24" si="22">IF(OR(I14="",I14=0),"",-(N(T14)*(I14^2)/12)-IF(N(U14)&lt;&gt;0,N(U14)*(IF(OR(V14="",V14=0),I14/2,V14)^2)*(I14-IF(OR(V14="",V14=0),I14/2,V14))/(I14^2),0))</f>
        <v>0</v>
      </c>
    </row>
    <row r="15" spans="2:26" ht="19.05" customHeight="1" x14ac:dyDescent="0.3">
      <c r="B15" s="24">
        <v>2</v>
      </c>
      <c r="C15" s="3">
        <v>200</v>
      </c>
      <c r="D15" s="3">
        <v>0</v>
      </c>
      <c r="E15" s="3">
        <v>400</v>
      </c>
      <c r="F15" s="3">
        <v>0</v>
      </c>
      <c r="G15" s="12">
        <f t="shared" si="6"/>
        <v>200</v>
      </c>
      <c r="H15" s="12">
        <f t="shared" si="7"/>
        <v>0</v>
      </c>
      <c r="I15" s="12">
        <f t="shared" si="8"/>
        <v>200</v>
      </c>
      <c r="J15" s="21">
        <f t="shared" si="9"/>
        <v>1</v>
      </c>
      <c r="K15" s="21">
        <f t="shared" si="10"/>
        <v>0</v>
      </c>
      <c r="L15" s="12">
        <f t="shared" si="11"/>
        <v>1125</v>
      </c>
      <c r="M15" s="12">
        <f t="shared" si="12"/>
        <v>300000</v>
      </c>
      <c r="N15" s="12">
        <f t="shared" si="13"/>
        <v>189843.75</v>
      </c>
      <c r="O15" s="22">
        <f t="shared" si="14"/>
        <v>85429.6875</v>
      </c>
      <c r="P15" s="22">
        <f t="shared" si="15"/>
        <v>8542968.75</v>
      </c>
      <c r="Q15" s="22">
        <f t="shared" si="16"/>
        <v>1139062500</v>
      </c>
      <c r="R15" s="22">
        <f t="shared" si="17"/>
        <v>569531250</v>
      </c>
      <c r="S15" s="22">
        <f t="shared" si="18"/>
        <v>1687500</v>
      </c>
      <c r="T15" s="3">
        <v>0</v>
      </c>
      <c r="U15" s="3">
        <v>0</v>
      </c>
      <c r="V15" s="3">
        <v>0</v>
      </c>
      <c r="W15" s="23">
        <f t="shared" si="19"/>
        <v>0</v>
      </c>
      <c r="X15" s="23">
        <f t="shared" si="20"/>
        <v>0</v>
      </c>
      <c r="Y15" s="23">
        <f t="shared" si="21"/>
        <v>0</v>
      </c>
      <c r="Z15" s="23">
        <f t="shared" si="22"/>
        <v>0</v>
      </c>
    </row>
    <row r="16" spans="2:26" ht="19.05" customHeight="1" x14ac:dyDescent="0.3">
      <c r="B16" s="7">
        <v>3</v>
      </c>
      <c r="C16" s="3">
        <v>400</v>
      </c>
      <c r="D16" s="3">
        <v>0</v>
      </c>
      <c r="E16" s="3">
        <v>800</v>
      </c>
      <c r="F16" s="3">
        <v>0</v>
      </c>
      <c r="G16" s="12">
        <f t="shared" si="6"/>
        <v>400</v>
      </c>
      <c r="H16" s="12">
        <f t="shared" si="7"/>
        <v>0</v>
      </c>
      <c r="I16" s="12">
        <f t="shared" si="8"/>
        <v>400</v>
      </c>
      <c r="J16" s="21">
        <f t="shared" si="9"/>
        <v>1</v>
      </c>
      <c r="K16" s="21">
        <f t="shared" si="10"/>
        <v>0</v>
      </c>
      <c r="L16" s="12">
        <f t="shared" si="11"/>
        <v>1125</v>
      </c>
      <c r="M16" s="12">
        <f t="shared" si="12"/>
        <v>300000</v>
      </c>
      <c r="N16" s="12">
        <f t="shared" si="13"/>
        <v>189843.75</v>
      </c>
      <c r="O16" s="22">
        <f t="shared" si="14"/>
        <v>10678.7109375</v>
      </c>
      <c r="P16" s="22">
        <f t="shared" si="15"/>
        <v>2135742.1875</v>
      </c>
      <c r="Q16" s="22">
        <f t="shared" si="16"/>
        <v>569531250</v>
      </c>
      <c r="R16" s="22">
        <f t="shared" si="17"/>
        <v>284765625</v>
      </c>
      <c r="S16" s="22">
        <f t="shared" si="18"/>
        <v>843750</v>
      </c>
      <c r="T16" s="3">
        <v>0</v>
      </c>
      <c r="U16" s="3">
        <v>0</v>
      </c>
      <c r="V16" s="3">
        <v>0</v>
      </c>
      <c r="W16" s="23">
        <f t="shared" si="19"/>
        <v>0</v>
      </c>
      <c r="X16" s="23">
        <f t="shared" si="20"/>
        <v>0</v>
      </c>
      <c r="Y16" s="23">
        <f t="shared" si="21"/>
        <v>0</v>
      </c>
      <c r="Z16" s="23">
        <f t="shared" si="22"/>
        <v>0</v>
      </c>
    </row>
    <row r="17" spans="2:26" ht="19.05" customHeight="1" x14ac:dyDescent="0.3">
      <c r="B17" s="25">
        <v>4</v>
      </c>
      <c r="C17" s="3">
        <v>800</v>
      </c>
      <c r="D17" s="3">
        <v>0</v>
      </c>
      <c r="E17" s="3">
        <v>1200</v>
      </c>
      <c r="F17" s="3">
        <v>0</v>
      </c>
      <c r="G17" s="12">
        <f t="shared" si="6"/>
        <v>400</v>
      </c>
      <c r="H17" s="12">
        <f t="shared" si="7"/>
        <v>0</v>
      </c>
      <c r="I17" s="12">
        <f t="shared" si="8"/>
        <v>400</v>
      </c>
      <c r="J17" s="21">
        <f t="shared" si="9"/>
        <v>1</v>
      </c>
      <c r="K17" s="21">
        <f t="shared" si="10"/>
        <v>0</v>
      </c>
      <c r="L17" s="12">
        <f t="shared" si="11"/>
        <v>1125</v>
      </c>
      <c r="M17" s="12">
        <f t="shared" si="12"/>
        <v>300000</v>
      </c>
      <c r="N17" s="12">
        <f t="shared" si="13"/>
        <v>189843.75</v>
      </c>
      <c r="O17" s="22">
        <f t="shared" si="14"/>
        <v>10678.7109375</v>
      </c>
      <c r="P17" s="22">
        <f t="shared" si="15"/>
        <v>2135742.1875</v>
      </c>
      <c r="Q17" s="22">
        <f t="shared" si="16"/>
        <v>569531250</v>
      </c>
      <c r="R17" s="22">
        <f t="shared" si="17"/>
        <v>284765625</v>
      </c>
      <c r="S17" s="22">
        <f t="shared" si="18"/>
        <v>843750</v>
      </c>
      <c r="T17" s="3">
        <v>0</v>
      </c>
      <c r="U17" s="3">
        <v>0</v>
      </c>
      <c r="V17" s="3">
        <v>0</v>
      </c>
      <c r="W17" s="23">
        <f t="shared" si="19"/>
        <v>0</v>
      </c>
      <c r="X17" s="23">
        <f t="shared" si="20"/>
        <v>0</v>
      </c>
      <c r="Y17" s="23">
        <f t="shared" si="21"/>
        <v>0</v>
      </c>
      <c r="Z17" s="23">
        <f t="shared" si="22"/>
        <v>0</v>
      </c>
    </row>
    <row r="18" spans="2:26" ht="19.05" customHeight="1" x14ac:dyDescent="0.3">
      <c r="B18" s="26">
        <v>5</v>
      </c>
      <c r="C18" s="3">
        <v>1200</v>
      </c>
      <c r="D18" s="3">
        <v>0</v>
      </c>
      <c r="E18" s="3">
        <v>1450</v>
      </c>
      <c r="F18" s="3">
        <v>0</v>
      </c>
      <c r="G18" s="12">
        <f t="shared" si="6"/>
        <v>250</v>
      </c>
      <c r="H18" s="12">
        <f t="shared" si="7"/>
        <v>0</v>
      </c>
      <c r="I18" s="12">
        <f t="shared" si="8"/>
        <v>250</v>
      </c>
      <c r="J18" s="21">
        <f t="shared" si="9"/>
        <v>1</v>
      </c>
      <c r="K18" s="21">
        <f t="shared" si="10"/>
        <v>0</v>
      </c>
      <c r="L18" s="12">
        <f t="shared" si="11"/>
        <v>1125</v>
      </c>
      <c r="M18" s="12">
        <f t="shared" si="12"/>
        <v>300000</v>
      </c>
      <c r="N18" s="12">
        <f t="shared" si="13"/>
        <v>189843.75</v>
      </c>
      <c r="O18" s="22">
        <f t="shared" si="14"/>
        <v>43740</v>
      </c>
      <c r="P18" s="22">
        <f t="shared" si="15"/>
        <v>5467500</v>
      </c>
      <c r="Q18" s="22">
        <f t="shared" si="16"/>
        <v>911250000</v>
      </c>
      <c r="R18" s="22">
        <f t="shared" si="17"/>
        <v>455625000</v>
      </c>
      <c r="S18" s="22">
        <f t="shared" si="18"/>
        <v>1350000</v>
      </c>
      <c r="T18" s="3">
        <v>0</v>
      </c>
      <c r="U18" s="3">
        <v>0</v>
      </c>
      <c r="V18" s="3">
        <v>0</v>
      </c>
      <c r="W18" s="23">
        <f t="shared" si="19"/>
        <v>0</v>
      </c>
      <c r="X18" s="23">
        <f t="shared" si="20"/>
        <v>0</v>
      </c>
      <c r="Y18" s="23">
        <f t="shared" si="21"/>
        <v>0</v>
      </c>
      <c r="Z18" s="23">
        <f t="shared" si="22"/>
        <v>0</v>
      </c>
    </row>
    <row r="19" spans="2:26" ht="19.05" customHeight="1" x14ac:dyDescent="0.3">
      <c r="B19" s="9">
        <v>6</v>
      </c>
      <c r="C19" s="3">
        <v>1450</v>
      </c>
      <c r="D19" s="3">
        <v>0</v>
      </c>
      <c r="E19" s="3">
        <v>1700</v>
      </c>
      <c r="F19" s="3">
        <v>0</v>
      </c>
      <c r="G19" s="12">
        <f t="shared" si="6"/>
        <v>250</v>
      </c>
      <c r="H19" s="12">
        <f t="shared" si="7"/>
        <v>0</v>
      </c>
      <c r="I19" s="12">
        <f t="shared" si="8"/>
        <v>250</v>
      </c>
      <c r="J19" s="21">
        <f t="shared" si="9"/>
        <v>1</v>
      </c>
      <c r="K19" s="21">
        <f t="shared" si="10"/>
        <v>0</v>
      </c>
      <c r="L19" s="12">
        <f t="shared" si="11"/>
        <v>1125</v>
      </c>
      <c r="M19" s="12">
        <f t="shared" si="12"/>
        <v>300000</v>
      </c>
      <c r="N19" s="12">
        <f t="shared" si="13"/>
        <v>189843.75</v>
      </c>
      <c r="O19" s="22">
        <f t="shared" si="14"/>
        <v>43740</v>
      </c>
      <c r="P19" s="22">
        <f t="shared" si="15"/>
        <v>5467500</v>
      </c>
      <c r="Q19" s="22">
        <f t="shared" si="16"/>
        <v>911250000</v>
      </c>
      <c r="R19" s="22">
        <f t="shared" si="17"/>
        <v>455625000</v>
      </c>
      <c r="S19" s="22">
        <f t="shared" si="18"/>
        <v>1350000</v>
      </c>
      <c r="T19" s="3">
        <v>0</v>
      </c>
      <c r="U19" s="3">
        <v>0</v>
      </c>
      <c r="V19" s="3">
        <v>0</v>
      </c>
      <c r="W19" s="23">
        <f t="shared" si="19"/>
        <v>0</v>
      </c>
      <c r="X19" s="23">
        <f t="shared" si="20"/>
        <v>0</v>
      </c>
      <c r="Y19" s="23">
        <f t="shared" si="21"/>
        <v>0</v>
      </c>
      <c r="Z19" s="23">
        <f t="shared" si="22"/>
        <v>0</v>
      </c>
    </row>
    <row r="20" spans="2:26" ht="19.05" customHeight="1" x14ac:dyDescent="0.3">
      <c r="B20" s="27">
        <v>7</v>
      </c>
      <c r="C20" s="3"/>
      <c r="D20" s="3"/>
      <c r="E20" s="3"/>
      <c r="F20" s="3"/>
      <c r="G20" s="12" t="str">
        <f t="shared" si="6"/>
        <v/>
      </c>
      <c r="H20" s="12" t="str">
        <f t="shared" si="7"/>
        <v/>
      </c>
      <c r="I20" s="12" t="str">
        <f t="shared" si="8"/>
        <v/>
      </c>
      <c r="J20" s="21" t="str">
        <f t="shared" si="9"/>
        <v/>
      </c>
      <c r="K20" s="21" t="str">
        <f t="shared" si="10"/>
        <v/>
      </c>
      <c r="L20" s="12" t="str">
        <f t="shared" si="11"/>
        <v/>
      </c>
      <c r="M20" s="12" t="str">
        <f t="shared" si="12"/>
        <v/>
      </c>
      <c r="N20" s="12" t="str">
        <f t="shared" si="13"/>
        <v/>
      </c>
      <c r="O20" s="22" t="str">
        <f t="shared" si="14"/>
        <v/>
      </c>
      <c r="P20" s="22" t="str">
        <f t="shared" si="15"/>
        <v/>
      </c>
      <c r="Q20" s="22" t="str">
        <f t="shared" si="16"/>
        <v/>
      </c>
      <c r="R20" s="22" t="str">
        <f t="shared" si="17"/>
        <v/>
      </c>
      <c r="S20" s="22" t="str">
        <f t="shared" si="18"/>
        <v/>
      </c>
      <c r="T20" s="3"/>
      <c r="U20" s="3"/>
      <c r="V20" s="3"/>
      <c r="W20" s="23" t="str">
        <f t="shared" si="19"/>
        <v/>
      </c>
      <c r="X20" s="23" t="str">
        <f t="shared" si="20"/>
        <v/>
      </c>
      <c r="Y20" s="23" t="str">
        <f t="shared" si="21"/>
        <v/>
      </c>
      <c r="Z20" s="23" t="str">
        <f t="shared" si="22"/>
        <v/>
      </c>
    </row>
    <row r="21" spans="2:26" ht="19.05" customHeight="1" x14ac:dyDescent="0.3">
      <c r="B21" s="28">
        <v>8</v>
      </c>
      <c r="C21" s="3"/>
      <c r="D21" s="3"/>
      <c r="E21" s="3"/>
      <c r="F21" s="3"/>
      <c r="G21" s="12" t="str">
        <f t="shared" si="6"/>
        <v/>
      </c>
      <c r="H21" s="12" t="str">
        <f t="shared" si="7"/>
        <v/>
      </c>
      <c r="I21" s="12" t="str">
        <f t="shared" si="8"/>
        <v/>
      </c>
      <c r="J21" s="21" t="str">
        <f t="shared" si="9"/>
        <v/>
      </c>
      <c r="K21" s="21" t="str">
        <f t="shared" si="10"/>
        <v/>
      </c>
      <c r="L21" s="12" t="str">
        <f t="shared" si="11"/>
        <v/>
      </c>
      <c r="M21" s="12" t="str">
        <f t="shared" si="12"/>
        <v/>
      </c>
      <c r="N21" s="12" t="str">
        <f t="shared" si="13"/>
        <v/>
      </c>
      <c r="O21" s="22" t="str">
        <f t="shared" si="14"/>
        <v/>
      </c>
      <c r="P21" s="22" t="str">
        <f t="shared" si="15"/>
        <v/>
      </c>
      <c r="Q21" s="22" t="str">
        <f t="shared" si="16"/>
        <v/>
      </c>
      <c r="R21" s="22" t="str">
        <f t="shared" si="17"/>
        <v/>
      </c>
      <c r="S21" s="22" t="str">
        <f t="shared" si="18"/>
        <v/>
      </c>
      <c r="T21" s="3"/>
      <c r="U21" s="3"/>
      <c r="V21" s="3"/>
      <c r="W21" s="23" t="str">
        <f t="shared" si="19"/>
        <v/>
      </c>
      <c r="X21" s="23" t="str">
        <f t="shared" si="20"/>
        <v/>
      </c>
      <c r="Y21" s="23" t="str">
        <f t="shared" si="21"/>
        <v/>
      </c>
      <c r="Z21" s="23" t="str">
        <f t="shared" si="22"/>
        <v/>
      </c>
    </row>
    <row r="22" spans="2:26" ht="19.05" customHeight="1" x14ac:dyDescent="0.3">
      <c r="B22" s="29">
        <v>9</v>
      </c>
      <c r="C22" s="3"/>
      <c r="D22" s="3"/>
      <c r="E22" s="3"/>
      <c r="F22" s="3"/>
      <c r="G22" s="12" t="str">
        <f t="shared" si="6"/>
        <v/>
      </c>
      <c r="H22" s="12" t="str">
        <f t="shared" si="7"/>
        <v/>
      </c>
      <c r="I22" s="12" t="str">
        <f t="shared" si="8"/>
        <v/>
      </c>
      <c r="J22" s="21" t="str">
        <f t="shared" si="9"/>
        <v/>
      </c>
      <c r="K22" s="21" t="str">
        <f t="shared" si="10"/>
        <v/>
      </c>
      <c r="L22" s="12" t="str">
        <f t="shared" si="11"/>
        <v/>
      </c>
      <c r="M22" s="12" t="str">
        <f t="shared" si="12"/>
        <v/>
      </c>
      <c r="N22" s="12" t="str">
        <f t="shared" si="13"/>
        <v/>
      </c>
      <c r="O22" s="22" t="str">
        <f t="shared" si="14"/>
        <v/>
      </c>
      <c r="P22" s="22" t="str">
        <f t="shared" si="15"/>
        <v/>
      </c>
      <c r="Q22" s="22" t="str">
        <f t="shared" si="16"/>
        <v/>
      </c>
      <c r="R22" s="22" t="str">
        <f t="shared" si="17"/>
        <v/>
      </c>
      <c r="S22" s="22" t="str">
        <f t="shared" si="18"/>
        <v/>
      </c>
      <c r="T22" s="3"/>
      <c r="U22" s="3"/>
      <c r="V22" s="3"/>
      <c r="W22" s="23" t="str">
        <f t="shared" si="19"/>
        <v/>
      </c>
      <c r="X22" s="23" t="str">
        <f t="shared" si="20"/>
        <v/>
      </c>
      <c r="Y22" s="23" t="str">
        <f t="shared" si="21"/>
        <v/>
      </c>
      <c r="Z22" s="23" t="str">
        <f t="shared" si="22"/>
        <v/>
      </c>
    </row>
    <row r="23" spans="2:26" ht="19.05" customHeight="1" x14ac:dyDescent="0.3">
      <c r="B23" s="30">
        <v>10</v>
      </c>
      <c r="C23" s="3"/>
      <c r="D23" s="3"/>
      <c r="E23" s="3"/>
      <c r="F23" s="3"/>
      <c r="G23" s="12" t="str">
        <f t="shared" si="6"/>
        <v/>
      </c>
      <c r="H23" s="12" t="str">
        <f t="shared" si="7"/>
        <v/>
      </c>
      <c r="I23" s="12" t="str">
        <f t="shared" si="8"/>
        <v/>
      </c>
      <c r="J23" s="21" t="str">
        <f t="shared" si="9"/>
        <v/>
      </c>
      <c r="K23" s="21" t="str">
        <f t="shared" si="10"/>
        <v/>
      </c>
      <c r="L23" s="12" t="str">
        <f t="shared" si="11"/>
        <v/>
      </c>
      <c r="M23" s="12" t="str">
        <f t="shared" si="12"/>
        <v/>
      </c>
      <c r="N23" s="12" t="str">
        <f t="shared" si="13"/>
        <v/>
      </c>
      <c r="O23" s="22" t="str">
        <f t="shared" si="14"/>
        <v/>
      </c>
      <c r="P23" s="22" t="str">
        <f t="shared" si="15"/>
        <v/>
      </c>
      <c r="Q23" s="22" t="str">
        <f t="shared" si="16"/>
        <v/>
      </c>
      <c r="R23" s="22" t="str">
        <f t="shared" si="17"/>
        <v/>
      </c>
      <c r="S23" s="22" t="str">
        <f t="shared" si="18"/>
        <v/>
      </c>
      <c r="T23" s="3"/>
      <c r="U23" s="3"/>
      <c r="V23" s="3"/>
      <c r="W23" s="23" t="str">
        <f t="shared" si="19"/>
        <v/>
      </c>
      <c r="X23" s="23" t="str">
        <f t="shared" si="20"/>
        <v/>
      </c>
      <c r="Y23" s="23" t="str">
        <f t="shared" si="21"/>
        <v/>
      </c>
      <c r="Z23" s="23" t="str">
        <f t="shared" si="22"/>
        <v/>
      </c>
    </row>
    <row r="24" spans="2:26" ht="19.05" customHeight="1" x14ac:dyDescent="0.3">
      <c r="B24" s="31">
        <v>11</v>
      </c>
      <c r="C24" s="3"/>
      <c r="D24" s="3"/>
      <c r="E24" s="3"/>
      <c r="F24" s="3"/>
      <c r="G24" s="12" t="str">
        <f t="shared" si="6"/>
        <v/>
      </c>
      <c r="H24" s="12" t="str">
        <f t="shared" si="7"/>
        <v/>
      </c>
      <c r="I24" s="12" t="str">
        <f t="shared" si="8"/>
        <v/>
      </c>
      <c r="J24" s="21" t="str">
        <f t="shared" si="9"/>
        <v/>
      </c>
      <c r="K24" s="21" t="str">
        <f t="shared" si="10"/>
        <v/>
      </c>
      <c r="L24" s="12" t="str">
        <f t="shared" si="11"/>
        <v/>
      </c>
      <c r="M24" s="12" t="str">
        <f t="shared" si="12"/>
        <v/>
      </c>
      <c r="N24" s="12" t="str">
        <f t="shared" si="13"/>
        <v/>
      </c>
      <c r="O24" s="22" t="str">
        <f t="shared" si="14"/>
        <v/>
      </c>
      <c r="P24" s="22" t="str">
        <f t="shared" si="15"/>
        <v/>
      </c>
      <c r="Q24" s="22" t="str">
        <f t="shared" si="16"/>
        <v/>
      </c>
      <c r="R24" s="22" t="str">
        <f t="shared" si="17"/>
        <v/>
      </c>
      <c r="S24" s="22" t="str">
        <f t="shared" si="18"/>
        <v/>
      </c>
      <c r="T24" s="3"/>
      <c r="U24" s="3"/>
      <c r="V24" s="3"/>
      <c r="W24" s="23" t="str">
        <f t="shared" si="19"/>
        <v/>
      </c>
      <c r="X24" s="23" t="str">
        <f t="shared" si="20"/>
        <v/>
      </c>
      <c r="Y24" s="23" t="str">
        <f t="shared" si="21"/>
        <v/>
      </c>
      <c r="Z24" s="23" t="str">
        <f t="shared" si="22"/>
        <v/>
      </c>
    </row>
    <row r="26" spans="2:26" ht="22.05" customHeight="1" thickBot="1" x14ac:dyDescent="0.35">
      <c r="B26" s="18" t="s">
        <v>41</v>
      </c>
      <c r="C26" s="18" t="s">
        <v>68</v>
      </c>
      <c r="D26" s="18"/>
      <c r="E26" s="18"/>
      <c r="F26" s="18" t="s">
        <v>69</v>
      </c>
      <c r="G26" s="18"/>
      <c r="H26" s="18"/>
      <c r="K26" s="1" t="s">
        <v>70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6" ht="15" thickBot="1" x14ac:dyDescent="0.35">
      <c r="B27" s="18"/>
      <c r="C27" s="19" t="s">
        <v>71</v>
      </c>
      <c r="D27" s="19" t="s">
        <v>72</v>
      </c>
      <c r="E27" s="19" t="s">
        <v>73</v>
      </c>
      <c r="F27" s="19" t="s">
        <v>71</v>
      </c>
      <c r="G27" s="19" t="s">
        <v>72</v>
      </c>
      <c r="H27" s="19" t="s">
        <v>73</v>
      </c>
      <c r="K27" s="6" t="s">
        <v>74</v>
      </c>
      <c r="L27" s="6" t="s">
        <v>75</v>
      </c>
      <c r="M27" s="6" t="s">
        <v>76</v>
      </c>
      <c r="N27" s="6" t="s">
        <v>77</v>
      </c>
      <c r="O27" s="6" t="s">
        <v>78</v>
      </c>
      <c r="P27" s="6" t="s">
        <v>79</v>
      </c>
      <c r="Q27" s="6" t="s">
        <v>80</v>
      </c>
      <c r="R27" s="6" t="s">
        <v>81</v>
      </c>
      <c r="S27" s="6" t="s">
        <v>82</v>
      </c>
      <c r="T27" s="6" t="s">
        <v>83</v>
      </c>
      <c r="U27" s="6" t="s">
        <v>84</v>
      </c>
      <c r="V27" s="6" t="s">
        <v>85</v>
      </c>
      <c r="W27" s="6" t="s">
        <v>86</v>
      </c>
    </row>
    <row r="28" spans="2:26" ht="18" customHeight="1" x14ac:dyDescent="0.3">
      <c r="B28" s="20">
        <f t="shared" ref="B28:B38" si="23">IF(I14="","",B14)</f>
        <v>1</v>
      </c>
      <c r="C28" s="32">
        <f t="shared" ref="C28:C38" si="24">IF(I14="","",B14)</f>
        <v>1</v>
      </c>
      <c r="D28" s="32">
        <f t="shared" ref="D28:D38" si="25">IF(I14="","",B14)</f>
        <v>1</v>
      </c>
      <c r="E28" s="32">
        <f t="shared" ref="E28:E38" si="26">IF(I14="","",B14)</f>
        <v>1</v>
      </c>
      <c r="F28" s="32">
        <f t="shared" ref="F28:F38" si="27">IF(I14="","",B14+1)</f>
        <v>2</v>
      </c>
      <c r="G28" s="32">
        <f t="shared" ref="G28:G38" si="28">IF(I14="","",B14+1)</f>
        <v>2</v>
      </c>
      <c r="H28" s="32">
        <f t="shared" ref="H28:H38" si="29">IF(I14="","",B14+1)</f>
        <v>2</v>
      </c>
      <c r="K28" s="9">
        <v>1</v>
      </c>
      <c r="L28" s="7">
        <v>4</v>
      </c>
      <c r="M28" s="7">
        <v>2500</v>
      </c>
      <c r="N28" s="7" t="s">
        <v>87</v>
      </c>
      <c r="O28" s="7">
        <v>3</v>
      </c>
      <c r="P28" s="7">
        <v>4</v>
      </c>
      <c r="Q28" s="21">
        <f>IF(OR(L28="",M28="",M28=0),"",IF(N28="PENDIENTE_dx_dy",SQRT(O28^2+P28^2),1))</f>
        <v>5</v>
      </c>
      <c r="R28" s="21">
        <f>IF(Q28="","",IF(N28="PENDIENTE_dx_dy",O28/Q28,COS(RADIANS(O28))))</f>
        <v>0.6</v>
      </c>
      <c r="S28" s="21">
        <f>IF(Q28="","",IF(N28="PENDIENTE_dx_dy",P28/Q28,SIN(RADIANS(O28))))</f>
        <v>0.8</v>
      </c>
      <c r="T28" s="7" t="s">
        <v>88</v>
      </c>
      <c r="U28" s="7" t="s">
        <v>89</v>
      </c>
      <c r="V28" s="5">
        <f>IF(Q28="","",M28*R28*IF(T28="-X (IZQ)",-1,1))</f>
        <v>-1500</v>
      </c>
      <c r="W28" s="5">
        <f>IF(Q28="","",M28*S28*IF(U28="-Y (ABAJO)",-1,1))</f>
        <v>-2000</v>
      </c>
    </row>
    <row r="29" spans="2:26" ht="18" customHeight="1" x14ac:dyDescent="0.3">
      <c r="B29" s="24">
        <f t="shared" si="23"/>
        <v>2</v>
      </c>
      <c r="C29" s="32">
        <f t="shared" si="24"/>
        <v>2</v>
      </c>
      <c r="D29" s="32">
        <f t="shared" si="25"/>
        <v>2</v>
      </c>
      <c r="E29" s="32">
        <f t="shared" si="26"/>
        <v>2</v>
      </c>
      <c r="F29" s="32">
        <f t="shared" si="27"/>
        <v>3</v>
      </c>
      <c r="G29" s="32">
        <f t="shared" si="28"/>
        <v>3</v>
      </c>
      <c r="H29" s="32">
        <f t="shared" si="29"/>
        <v>3</v>
      </c>
      <c r="K29" s="9">
        <v>2</v>
      </c>
      <c r="L29" s="7"/>
      <c r="M29" s="7"/>
      <c r="N29" s="7" t="s">
        <v>87</v>
      </c>
      <c r="O29" s="7"/>
      <c r="P29" s="7"/>
      <c r="Q29" s="21" t="str">
        <f>IF(OR(L29="",M29="",M29=0),"",IF(N29="PENDIENTE_dx_dy",SQRT(O29^2+P29^2),1))</f>
        <v/>
      </c>
      <c r="R29" s="21" t="str">
        <f>IF(Q29="","",IF(N29="PENDIENTE_dx_dy",O29/Q29,COS(RADIANS(O29))))</f>
        <v/>
      </c>
      <c r="S29" s="21" t="str">
        <f>IF(Q29="","",IF(N29="PENDIENTE_dx_dy",P29/Q29,SIN(RADIANS(O29))))</f>
        <v/>
      </c>
      <c r="T29" s="7" t="s">
        <v>88</v>
      </c>
      <c r="U29" s="7" t="s">
        <v>89</v>
      </c>
      <c r="V29" s="5" t="str">
        <f>IF(Q29="","",M29*R29*IF(T29="-X (IZQ)",-1,1))</f>
        <v/>
      </c>
      <c r="W29" s="5" t="str">
        <f>IF(Q29="","",M29*S29*IF(U29="-Y (ABAJO)",-1,1))</f>
        <v/>
      </c>
    </row>
    <row r="30" spans="2:26" ht="18" customHeight="1" x14ac:dyDescent="0.3">
      <c r="B30" s="7">
        <f t="shared" si="23"/>
        <v>3</v>
      </c>
      <c r="C30" s="32">
        <f t="shared" si="24"/>
        <v>3</v>
      </c>
      <c r="D30" s="32">
        <f t="shared" si="25"/>
        <v>3</v>
      </c>
      <c r="E30" s="32">
        <f t="shared" si="26"/>
        <v>3</v>
      </c>
      <c r="F30" s="32">
        <f t="shared" si="27"/>
        <v>4</v>
      </c>
      <c r="G30" s="32">
        <f t="shared" si="28"/>
        <v>4</v>
      </c>
      <c r="H30" s="32">
        <f t="shared" si="29"/>
        <v>4</v>
      </c>
      <c r="K30" s="9">
        <v>3</v>
      </c>
      <c r="L30" s="7"/>
      <c r="M30" s="7"/>
      <c r="N30" s="7" t="s">
        <v>87</v>
      </c>
      <c r="O30" s="7"/>
      <c r="P30" s="7"/>
      <c r="Q30" s="21" t="str">
        <f>IF(OR(L30="",M30="",M30=0),"",IF(N30="PENDIENTE_dx_dy",SQRT(O30^2+P30^2),1))</f>
        <v/>
      </c>
      <c r="R30" s="21" t="str">
        <f>IF(Q30="","",IF(N30="PENDIENTE_dx_dy",O30/Q30,COS(RADIANS(O30))))</f>
        <v/>
      </c>
      <c r="S30" s="21" t="str">
        <f>IF(Q30="","",IF(N30="PENDIENTE_dx_dy",P30/Q30,SIN(RADIANS(O30))))</f>
        <v/>
      </c>
      <c r="T30" s="7" t="s">
        <v>88</v>
      </c>
      <c r="U30" s="7" t="s">
        <v>89</v>
      </c>
      <c r="V30" s="5" t="str">
        <f>IF(Q30="","",M30*R30*IF(T30="-X (IZQ)",-1,1))</f>
        <v/>
      </c>
      <c r="W30" s="5" t="str">
        <f>IF(Q30="","",M30*S30*IF(U30="-Y (ABAJO)",-1,1))</f>
        <v/>
      </c>
    </row>
    <row r="31" spans="2:26" ht="18" customHeight="1" x14ac:dyDescent="0.3">
      <c r="B31" s="25">
        <f t="shared" si="23"/>
        <v>4</v>
      </c>
      <c r="C31" s="32">
        <f t="shared" si="24"/>
        <v>4</v>
      </c>
      <c r="D31" s="32">
        <f t="shared" si="25"/>
        <v>4</v>
      </c>
      <c r="E31" s="32">
        <f t="shared" si="26"/>
        <v>4</v>
      </c>
      <c r="F31" s="32">
        <f t="shared" si="27"/>
        <v>5</v>
      </c>
      <c r="G31" s="32">
        <f t="shared" si="28"/>
        <v>5</v>
      </c>
      <c r="H31" s="32">
        <f t="shared" si="29"/>
        <v>5</v>
      </c>
      <c r="K31" s="9">
        <v>4</v>
      </c>
      <c r="L31" s="7"/>
      <c r="M31" s="7"/>
      <c r="N31" s="7" t="s">
        <v>87</v>
      </c>
      <c r="O31" s="7"/>
      <c r="P31" s="7"/>
      <c r="Q31" s="21" t="str">
        <f>IF(OR(L31="",M31="",M31=0),"",IF(N31="PENDIENTE_dx_dy",SQRT(O31^2+P31^2),1))</f>
        <v/>
      </c>
      <c r="R31" s="21" t="str">
        <f>IF(Q31="","",IF(N31="PENDIENTE_dx_dy",O31/Q31,COS(RADIANS(O31))))</f>
        <v/>
      </c>
      <c r="S31" s="21" t="str">
        <f>IF(Q31="","",IF(N31="PENDIENTE_dx_dy",P31/Q31,SIN(RADIANS(O31))))</f>
        <v/>
      </c>
      <c r="T31" s="7" t="s">
        <v>88</v>
      </c>
      <c r="U31" s="7" t="s">
        <v>89</v>
      </c>
      <c r="V31" s="5" t="str">
        <f>IF(Q31="","",M31*R31*IF(T31="-X (IZQ)",-1,1))</f>
        <v/>
      </c>
      <c r="W31" s="5" t="str">
        <f>IF(Q31="","",M31*S31*IF(U31="-Y (ABAJO)",-1,1))</f>
        <v/>
      </c>
    </row>
    <row r="32" spans="2:26" ht="18" customHeight="1" x14ac:dyDescent="0.3">
      <c r="B32" s="26">
        <f t="shared" si="23"/>
        <v>5</v>
      </c>
      <c r="C32" s="32">
        <f t="shared" si="24"/>
        <v>5</v>
      </c>
      <c r="D32" s="32">
        <f t="shared" si="25"/>
        <v>5</v>
      </c>
      <c r="E32" s="32">
        <f t="shared" si="26"/>
        <v>5</v>
      </c>
      <c r="F32" s="32">
        <f t="shared" si="27"/>
        <v>6</v>
      </c>
      <c r="G32" s="32">
        <f t="shared" si="28"/>
        <v>6</v>
      </c>
      <c r="H32" s="32">
        <f t="shared" si="29"/>
        <v>6</v>
      </c>
      <c r="K32" s="9">
        <v>5</v>
      </c>
      <c r="L32" s="7"/>
      <c r="M32" s="7"/>
      <c r="N32" s="7" t="s">
        <v>87</v>
      </c>
      <c r="O32" s="7"/>
      <c r="P32" s="7"/>
      <c r="Q32" s="21" t="str">
        <f>IF(OR(L32="",M32="",M32=0),"",IF(N32="PENDIENTE_dx_dy",SQRT(O32^2+P32^2),1))</f>
        <v/>
      </c>
      <c r="R32" s="21" t="str">
        <f>IF(Q32="","",IF(N32="PENDIENTE_dx_dy",O32/Q32,COS(RADIANS(O32))))</f>
        <v/>
      </c>
      <c r="S32" s="21" t="str">
        <f>IF(Q32="","",IF(N32="PENDIENTE_dx_dy",P32/Q32,SIN(RADIANS(O32))))</f>
        <v/>
      </c>
      <c r="T32" s="7" t="s">
        <v>88</v>
      </c>
      <c r="U32" s="7" t="s">
        <v>89</v>
      </c>
      <c r="V32" s="5" t="str">
        <f>IF(Q32="","",M32*R32*IF(T32="-X (IZQ)",-1,1))</f>
        <v/>
      </c>
      <c r="W32" s="5" t="str">
        <f>IF(Q32="","",M32*S32*IF(U32="-Y (ABAJO)",-1,1))</f>
        <v/>
      </c>
    </row>
    <row r="33" spans="2:23" ht="18" customHeight="1" thickBot="1" x14ac:dyDescent="0.35">
      <c r="B33" s="9">
        <f t="shared" si="23"/>
        <v>6</v>
      </c>
      <c r="C33" s="32">
        <f t="shared" si="24"/>
        <v>6</v>
      </c>
      <c r="D33" s="32">
        <f t="shared" si="25"/>
        <v>6</v>
      </c>
      <c r="E33" s="32">
        <f t="shared" si="26"/>
        <v>6</v>
      </c>
      <c r="F33" s="32">
        <f t="shared" si="27"/>
        <v>7</v>
      </c>
      <c r="G33" s="32">
        <f t="shared" si="28"/>
        <v>7</v>
      </c>
      <c r="H33" s="32">
        <f t="shared" si="29"/>
        <v>7</v>
      </c>
    </row>
    <row r="34" spans="2:23" ht="22.05" customHeight="1" thickBot="1" x14ac:dyDescent="0.35">
      <c r="B34" s="27" t="str">
        <f t="shared" si="23"/>
        <v/>
      </c>
      <c r="C34" s="32" t="str">
        <f t="shared" si="24"/>
        <v/>
      </c>
      <c r="D34" s="32" t="str">
        <f t="shared" si="25"/>
        <v/>
      </c>
      <c r="E34" s="32" t="str">
        <f t="shared" si="26"/>
        <v/>
      </c>
      <c r="F34" s="32" t="str">
        <f t="shared" si="27"/>
        <v/>
      </c>
      <c r="G34" s="32" t="str">
        <f t="shared" si="28"/>
        <v/>
      </c>
      <c r="H34" s="32" t="str">
        <f t="shared" si="29"/>
        <v/>
      </c>
      <c r="K34" s="33" t="s">
        <v>90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</row>
    <row r="35" spans="2:23" ht="18" customHeight="1" thickBot="1" x14ac:dyDescent="0.35">
      <c r="B35" s="28" t="str">
        <f t="shared" si="23"/>
        <v/>
      </c>
      <c r="C35" s="32" t="str">
        <f t="shared" si="24"/>
        <v/>
      </c>
      <c r="D35" s="32" t="str">
        <f t="shared" si="25"/>
        <v/>
      </c>
      <c r="E35" s="32" t="str">
        <f t="shared" si="26"/>
        <v/>
      </c>
      <c r="F35" s="32" t="str">
        <f t="shared" si="27"/>
        <v/>
      </c>
      <c r="G35" s="32" t="str">
        <f t="shared" si="28"/>
        <v/>
      </c>
      <c r="H35" s="32" t="str">
        <f t="shared" si="29"/>
        <v/>
      </c>
      <c r="K35" s="6" t="s">
        <v>91</v>
      </c>
      <c r="L35" s="6" t="s">
        <v>64</v>
      </c>
      <c r="M35" s="6" t="s">
        <v>65</v>
      </c>
      <c r="N35" s="6" t="s">
        <v>92</v>
      </c>
      <c r="O35" s="6" t="s">
        <v>93</v>
      </c>
      <c r="P35" s="6" t="s">
        <v>94</v>
      </c>
      <c r="Q35" s="6" t="s">
        <v>95</v>
      </c>
      <c r="R35" s="6" t="s">
        <v>96</v>
      </c>
      <c r="S35" s="6" t="s">
        <v>97</v>
      </c>
      <c r="T35" s="6" t="s">
        <v>98</v>
      </c>
      <c r="U35" s="6" t="s">
        <v>99</v>
      </c>
      <c r="V35" s="6" t="s">
        <v>100</v>
      </c>
      <c r="W35" s="6" t="s">
        <v>101</v>
      </c>
    </row>
    <row r="36" spans="2:23" ht="18" customHeight="1" x14ac:dyDescent="0.3">
      <c r="B36" s="29" t="str">
        <f t="shared" si="23"/>
        <v/>
      </c>
      <c r="C36" s="32" t="str">
        <f t="shared" si="24"/>
        <v/>
      </c>
      <c r="D36" s="32" t="str">
        <f t="shared" si="25"/>
        <v/>
      </c>
      <c r="E36" s="32" t="str">
        <f t="shared" si="26"/>
        <v/>
      </c>
      <c r="F36" s="32" t="str">
        <f t="shared" si="27"/>
        <v/>
      </c>
      <c r="G36" s="32" t="str">
        <f t="shared" si="28"/>
        <v/>
      </c>
      <c r="H36" s="32" t="str">
        <f t="shared" si="29"/>
        <v/>
      </c>
      <c r="K36" s="9">
        <v>1</v>
      </c>
      <c r="L36" s="34"/>
      <c r="M36" s="34"/>
      <c r="N36" s="34"/>
      <c r="O36" s="34" t="s">
        <v>102</v>
      </c>
      <c r="P36" s="34"/>
      <c r="Q36" s="34"/>
      <c r="R36" s="35" t="str">
        <f>IF(OR(N36="",N36=0),"",IF(O36="ANGULO_GRADOS",COS(RADIANS(P36)),P36/SQRT(P36^2+Q36^2)))</f>
        <v/>
      </c>
      <c r="S36" s="35" t="str">
        <f>IF(OR(N36="",N36=0),"",IF(O36="ANGULO_GRADOS",SIN(RADIANS(P36)),Q36/SQRT(P36^2+Q36^2)))</f>
        <v/>
      </c>
      <c r="T36" s="35" t="str">
        <f>IF(R36="","",N36*R36)</f>
        <v/>
      </c>
      <c r="U36" s="35" t="str">
        <f>IF(S36="","",N36*S36)</f>
        <v/>
      </c>
      <c r="V36" s="27" t="str">
        <f t="shared" ref="V36:W38" si="30">IF(T36="","",L36+T36)</f>
        <v/>
      </c>
      <c r="W36" s="27" t="str">
        <f t="shared" si="30"/>
        <v/>
      </c>
    </row>
    <row r="37" spans="2:23" ht="18" customHeight="1" x14ac:dyDescent="0.3">
      <c r="B37" s="30" t="str">
        <f t="shared" si="23"/>
        <v/>
      </c>
      <c r="C37" s="32" t="str">
        <f t="shared" si="24"/>
        <v/>
      </c>
      <c r="D37" s="32" t="str">
        <f t="shared" si="25"/>
        <v/>
      </c>
      <c r="E37" s="32" t="str">
        <f t="shared" si="26"/>
        <v/>
      </c>
      <c r="F37" s="32" t="str">
        <f t="shared" si="27"/>
        <v/>
      </c>
      <c r="G37" s="32" t="str">
        <f t="shared" si="28"/>
        <v/>
      </c>
      <c r="H37" s="32" t="str">
        <f t="shared" si="29"/>
        <v/>
      </c>
      <c r="K37" s="9">
        <v>2</v>
      </c>
      <c r="L37" s="34"/>
      <c r="M37" s="34"/>
      <c r="N37" s="34"/>
      <c r="O37" s="34" t="s">
        <v>102</v>
      </c>
      <c r="P37" s="34"/>
      <c r="Q37" s="34"/>
      <c r="R37" s="35" t="str">
        <f>IF(OR(N37="",N37=0),"",IF(O37="ANGULO_GRADOS",COS(RADIANS(P37)),P37/SQRT(P37^2+Q37^2)))</f>
        <v/>
      </c>
      <c r="S37" s="35" t="str">
        <f>IF(OR(N37="",N37=0),"",IF(O37="ANGULO_GRADOS",SIN(RADIANS(P37)),Q37/SQRT(P37^2+Q37^2)))</f>
        <v/>
      </c>
      <c r="T37" s="35" t="str">
        <f>IF(R37="","",N37*R37)</f>
        <v/>
      </c>
      <c r="U37" s="35" t="str">
        <f>IF(S37="","",N37*S37)</f>
        <v/>
      </c>
      <c r="V37" s="27" t="str">
        <f t="shared" si="30"/>
        <v/>
      </c>
      <c r="W37" s="27" t="str">
        <f t="shared" si="30"/>
        <v/>
      </c>
    </row>
    <row r="38" spans="2:23" ht="18" customHeight="1" x14ac:dyDescent="0.3">
      <c r="B38" s="31" t="str">
        <f t="shared" si="23"/>
        <v/>
      </c>
      <c r="C38" s="32" t="str">
        <f t="shared" si="24"/>
        <v/>
      </c>
      <c r="D38" s="32" t="str">
        <f t="shared" si="25"/>
        <v/>
      </c>
      <c r="E38" s="32" t="str">
        <f t="shared" si="26"/>
        <v/>
      </c>
      <c r="F38" s="32" t="str">
        <f t="shared" si="27"/>
        <v/>
      </c>
      <c r="G38" s="32" t="str">
        <f t="shared" si="28"/>
        <v/>
      </c>
      <c r="H38" s="32" t="str">
        <f t="shared" si="29"/>
        <v/>
      </c>
      <c r="K38" s="9">
        <v>3</v>
      </c>
      <c r="L38" s="34"/>
      <c r="M38" s="34"/>
      <c r="N38" s="34"/>
      <c r="O38" s="34" t="s">
        <v>102</v>
      </c>
      <c r="P38" s="34"/>
      <c r="Q38" s="34"/>
      <c r="R38" s="35" t="str">
        <f>IF(OR(N38="",N38=0),"",IF(O38="ANGULO_GRADOS",COS(RADIANS(P38)),P38/SQRT(P38^2+Q38^2)))</f>
        <v/>
      </c>
      <c r="S38" s="35" t="str">
        <f>IF(OR(N38="",N38=0),"",IF(O38="ANGULO_GRADOS",SIN(RADIANS(P38)),Q38/SQRT(P38^2+Q38^2)))</f>
        <v/>
      </c>
      <c r="T38" s="35" t="str">
        <f>IF(R38="","",N38*R38)</f>
        <v/>
      </c>
      <c r="U38" s="35" t="str">
        <f>IF(S38="","",N38*S38)</f>
        <v/>
      </c>
      <c r="V38" s="27" t="str">
        <f t="shared" si="30"/>
        <v/>
      </c>
      <c r="W38" s="27" t="str">
        <f t="shared" si="30"/>
        <v/>
      </c>
    </row>
    <row r="40" spans="2:23" ht="22.05" customHeight="1" thickBot="1" x14ac:dyDescent="0.35">
      <c r="B40" s="1" t="s">
        <v>103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23" ht="22.05" customHeight="1" thickBot="1" x14ac:dyDescent="0.35">
      <c r="B41" s="36" t="s">
        <v>104</v>
      </c>
      <c r="C41" s="36" t="s">
        <v>105</v>
      </c>
      <c r="D41" s="36" t="s">
        <v>106</v>
      </c>
      <c r="E41" s="36" t="s">
        <v>107</v>
      </c>
      <c r="F41" s="36" t="s">
        <v>108</v>
      </c>
      <c r="G41" s="36" t="s">
        <v>109</v>
      </c>
      <c r="H41" s="36" t="s">
        <v>110</v>
      </c>
      <c r="I41" s="36" t="s">
        <v>111</v>
      </c>
      <c r="J41" s="36" t="s">
        <v>112</v>
      </c>
      <c r="K41" s="36" t="s">
        <v>113</v>
      </c>
      <c r="L41" s="36" t="s">
        <v>114</v>
      </c>
      <c r="M41" s="36" t="s">
        <v>115</v>
      </c>
      <c r="N41" s="36" t="s">
        <v>116</v>
      </c>
      <c r="O41" s="36" t="s">
        <v>117</v>
      </c>
      <c r="P41" s="36" t="s">
        <v>118</v>
      </c>
      <c r="Q41" s="36" t="s">
        <v>119</v>
      </c>
    </row>
    <row r="42" spans="2:23" ht="19.05" customHeight="1" x14ac:dyDescent="0.3">
      <c r="B42" s="9">
        <v>1</v>
      </c>
      <c r="C42" s="7" t="s">
        <v>120</v>
      </c>
      <c r="D42" s="32" t="str">
        <f t="shared" ref="D42:D53" si="31">IF(OR(B42&gt;$G$7,C42=""),"",IF(OR(C42="LIBRE",C42="RODILLO"),"SÍ","NO"))</f>
        <v>NO</v>
      </c>
      <c r="E42" s="32" t="str">
        <f t="shared" ref="E42:E53" si="32">IF(OR(B42&gt;$G$7,C42=""),"",IF(OR(C42="LIBRE",C42="RODILLO_V"),"SÍ","NO"))</f>
        <v>NO</v>
      </c>
      <c r="F42" s="32" t="str">
        <f t="shared" ref="F42:F53" si="33">IF(OR(B42&gt;$G$7,C42=""),"",IF(C42="EMPOTRADO","NO","SÍ"))</f>
        <v>SÍ</v>
      </c>
      <c r="G42" s="27">
        <f t="shared" ref="G42:G53" si="34">IF(D42="","",IF(D42="NO",0,"D"&amp;B42&amp;"X"))</f>
        <v>0</v>
      </c>
      <c r="H42" s="27">
        <f t="shared" ref="H42:H53" si="35">IF(E42="","",IF(E42="NO",0,"D"&amp;B42&amp;"Y"))</f>
        <v>0</v>
      </c>
      <c r="I42" s="27" t="str">
        <f t="shared" ref="I42:I53" si="36">IF(F42="","",IF(F42="NO",0,"D"&amp;B42&amp;"θ"))</f>
        <v>D1θ</v>
      </c>
      <c r="J42" s="3">
        <v>0</v>
      </c>
      <c r="K42" s="3">
        <v>0</v>
      </c>
      <c r="L42" s="3">
        <v>0</v>
      </c>
      <c r="M42" s="12">
        <f t="shared" ref="M42:M53" si="37">IF(D42="","",SUMIF($L$28:$L$32,B42,$V$28:$V$32))</f>
        <v>0</v>
      </c>
      <c r="N42" s="12">
        <f t="shared" ref="N42:N53" si="38">IF(D42="","",SUMIF($L$28:$L$32,B42,$W$28:$W$32))</f>
        <v>0</v>
      </c>
      <c r="O42" s="37">
        <f t="shared" ref="O42:O53" si="39">IF(D42="","",N(J42)+N(M42))</f>
        <v>0</v>
      </c>
      <c r="P42" s="37">
        <f t="shared" ref="P42:P53" si="40">IF(D42="","",N(K42)+N(N42))</f>
        <v>0</v>
      </c>
      <c r="Q42" s="37">
        <f t="shared" ref="Q42:Q53" si="41">IF(D42="","",N(L42))</f>
        <v>0</v>
      </c>
    </row>
    <row r="43" spans="2:23" ht="19.05" customHeight="1" x14ac:dyDescent="0.3">
      <c r="B43" s="9">
        <v>2</v>
      </c>
      <c r="C43" s="7" t="s">
        <v>121</v>
      </c>
      <c r="D43" s="32" t="str">
        <f t="shared" si="31"/>
        <v>SÍ</v>
      </c>
      <c r="E43" s="32" t="str">
        <f t="shared" si="32"/>
        <v>SÍ</v>
      </c>
      <c r="F43" s="32" t="str">
        <f t="shared" si="33"/>
        <v>SÍ</v>
      </c>
      <c r="G43" s="27" t="str">
        <f t="shared" si="34"/>
        <v>D2X</v>
      </c>
      <c r="H43" s="27" t="str">
        <f t="shared" si="35"/>
        <v>D2Y</v>
      </c>
      <c r="I43" s="27" t="str">
        <f t="shared" si="36"/>
        <v>D2θ</v>
      </c>
      <c r="J43" s="3">
        <v>0</v>
      </c>
      <c r="K43" s="3">
        <v>-1200</v>
      </c>
      <c r="L43" s="3">
        <v>0</v>
      </c>
      <c r="M43" s="12">
        <f t="shared" si="37"/>
        <v>0</v>
      </c>
      <c r="N43" s="12">
        <f t="shared" si="38"/>
        <v>0</v>
      </c>
      <c r="O43" s="37">
        <f t="shared" si="39"/>
        <v>0</v>
      </c>
      <c r="P43" s="37">
        <f t="shared" si="40"/>
        <v>-1200</v>
      </c>
      <c r="Q43" s="37">
        <f t="shared" si="41"/>
        <v>0</v>
      </c>
    </row>
    <row r="44" spans="2:23" ht="19.05" customHeight="1" x14ac:dyDescent="0.3">
      <c r="B44" s="9">
        <v>3</v>
      </c>
      <c r="C44" s="7" t="s">
        <v>122</v>
      </c>
      <c r="D44" s="32" t="str">
        <f t="shared" si="31"/>
        <v>SÍ</v>
      </c>
      <c r="E44" s="32" t="str">
        <f t="shared" si="32"/>
        <v>NO</v>
      </c>
      <c r="F44" s="32" t="str">
        <f t="shared" si="33"/>
        <v>SÍ</v>
      </c>
      <c r="G44" s="27" t="str">
        <f t="shared" si="34"/>
        <v>D3X</v>
      </c>
      <c r="H44" s="27">
        <f t="shared" si="35"/>
        <v>0</v>
      </c>
      <c r="I44" s="27" t="str">
        <f t="shared" si="36"/>
        <v>D3θ</v>
      </c>
      <c r="J44" s="3">
        <v>0</v>
      </c>
      <c r="K44" s="3">
        <v>0</v>
      </c>
      <c r="L44" s="3">
        <v>0</v>
      </c>
      <c r="M44" s="12">
        <f t="shared" si="37"/>
        <v>0</v>
      </c>
      <c r="N44" s="12">
        <f t="shared" si="38"/>
        <v>0</v>
      </c>
      <c r="O44" s="37">
        <f t="shared" si="39"/>
        <v>0</v>
      </c>
      <c r="P44" s="37">
        <f t="shared" si="40"/>
        <v>0</v>
      </c>
      <c r="Q44" s="37">
        <f t="shared" si="41"/>
        <v>0</v>
      </c>
    </row>
    <row r="45" spans="2:23" ht="19.05" customHeight="1" x14ac:dyDescent="0.3">
      <c r="B45" s="9">
        <v>4</v>
      </c>
      <c r="C45" s="7" t="s">
        <v>121</v>
      </c>
      <c r="D45" s="32" t="str">
        <f t="shared" si="31"/>
        <v>SÍ</v>
      </c>
      <c r="E45" s="32" t="str">
        <f t="shared" si="32"/>
        <v>SÍ</v>
      </c>
      <c r="F45" s="32" t="str">
        <f t="shared" si="33"/>
        <v>SÍ</v>
      </c>
      <c r="G45" s="27" t="str">
        <f t="shared" si="34"/>
        <v>D4X</v>
      </c>
      <c r="H45" s="27" t="str">
        <f t="shared" si="35"/>
        <v>D4Y</v>
      </c>
      <c r="I45" s="27" t="str">
        <f t="shared" si="36"/>
        <v>D4θ</v>
      </c>
      <c r="J45" s="3">
        <v>0</v>
      </c>
      <c r="K45" s="3">
        <v>0</v>
      </c>
      <c r="L45" s="3">
        <v>0</v>
      </c>
      <c r="M45" s="12">
        <f t="shared" si="37"/>
        <v>-1500</v>
      </c>
      <c r="N45" s="12">
        <f t="shared" si="38"/>
        <v>-2000</v>
      </c>
      <c r="O45" s="37">
        <f t="shared" si="39"/>
        <v>-1500</v>
      </c>
      <c r="P45" s="37">
        <f t="shared" si="40"/>
        <v>-2000</v>
      </c>
      <c r="Q45" s="37">
        <f t="shared" si="41"/>
        <v>0</v>
      </c>
    </row>
    <row r="46" spans="2:23" ht="19.05" customHeight="1" x14ac:dyDescent="0.3">
      <c r="B46" s="9">
        <v>5</v>
      </c>
      <c r="C46" s="7" t="s">
        <v>120</v>
      </c>
      <c r="D46" s="32" t="str">
        <f t="shared" si="31"/>
        <v>NO</v>
      </c>
      <c r="E46" s="32" t="str">
        <f t="shared" si="32"/>
        <v>NO</v>
      </c>
      <c r="F46" s="32" t="str">
        <f t="shared" si="33"/>
        <v>SÍ</v>
      </c>
      <c r="G46" s="27">
        <f t="shared" si="34"/>
        <v>0</v>
      </c>
      <c r="H46" s="27">
        <f t="shared" si="35"/>
        <v>0</v>
      </c>
      <c r="I46" s="27" t="str">
        <f t="shared" si="36"/>
        <v>D5θ</v>
      </c>
      <c r="J46" s="3">
        <v>0</v>
      </c>
      <c r="K46" s="3">
        <v>0</v>
      </c>
      <c r="L46" s="3">
        <v>0</v>
      </c>
      <c r="M46" s="12">
        <f t="shared" si="37"/>
        <v>0</v>
      </c>
      <c r="N46" s="12">
        <f t="shared" si="38"/>
        <v>0</v>
      </c>
      <c r="O46" s="37">
        <f t="shared" si="39"/>
        <v>0</v>
      </c>
      <c r="P46" s="37">
        <f t="shared" si="40"/>
        <v>0</v>
      </c>
      <c r="Q46" s="37">
        <f t="shared" si="41"/>
        <v>0</v>
      </c>
    </row>
    <row r="47" spans="2:23" ht="19.05" customHeight="1" x14ac:dyDescent="0.3">
      <c r="B47" s="9">
        <v>6</v>
      </c>
      <c r="C47" s="7" t="s">
        <v>121</v>
      </c>
      <c r="D47" s="32" t="str">
        <f t="shared" si="31"/>
        <v>SÍ</v>
      </c>
      <c r="E47" s="32" t="str">
        <f t="shared" si="32"/>
        <v>SÍ</v>
      </c>
      <c r="F47" s="32" t="str">
        <f t="shared" si="33"/>
        <v>SÍ</v>
      </c>
      <c r="G47" s="27" t="str">
        <f t="shared" si="34"/>
        <v>D6X</v>
      </c>
      <c r="H47" s="27" t="str">
        <f t="shared" si="35"/>
        <v>D6Y</v>
      </c>
      <c r="I47" s="27" t="str">
        <f t="shared" si="36"/>
        <v>D6θ</v>
      </c>
      <c r="J47" s="3">
        <v>0</v>
      </c>
      <c r="K47" s="3">
        <v>0</v>
      </c>
      <c r="L47" s="3">
        <v>-80000</v>
      </c>
      <c r="M47" s="12">
        <f t="shared" si="37"/>
        <v>0</v>
      </c>
      <c r="N47" s="12">
        <f t="shared" si="38"/>
        <v>0</v>
      </c>
      <c r="O47" s="37">
        <f t="shared" si="39"/>
        <v>0</v>
      </c>
      <c r="P47" s="37">
        <f t="shared" si="40"/>
        <v>0</v>
      </c>
      <c r="Q47" s="37">
        <f t="shared" si="41"/>
        <v>-80000</v>
      </c>
    </row>
    <row r="48" spans="2:23" ht="19.05" customHeight="1" x14ac:dyDescent="0.3">
      <c r="B48" s="9">
        <v>7</v>
      </c>
      <c r="C48" s="7" t="s">
        <v>120</v>
      </c>
      <c r="D48" s="32" t="str">
        <f t="shared" si="31"/>
        <v>NO</v>
      </c>
      <c r="E48" s="32" t="str">
        <f t="shared" si="32"/>
        <v>NO</v>
      </c>
      <c r="F48" s="32" t="str">
        <f t="shared" si="33"/>
        <v>SÍ</v>
      </c>
      <c r="G48" s="27">
        <f t="shared" si="34"/>
        <v>0</v>
      </c>
      <c r="H48" s="27">
        <f t="shared" si="35"/>
        <v>0</v>
      </c>
      <c r="I48" s="27" t="str">
        <f t="shared" si="36"/>
        <v>D7θ</v>
      </c>
      <c r="J48" s="3">
        <v>0</v>
      </c>
      <c r="K48" s="3">
        <v>0</v>
      </c>
      <c r="L48" s="3">
        <v>0</v>
      </c>
      <c r="M48" s="12">
        <f t="shared" si="37"/>
        <v>0</v>
      </c>
      <c r="N48" s="12">
        <f t="shared" si="38"/>
        <v>0</v>
      </c>
      <c r="O48" s="37">
        <f t="shared" si="39"/>
        <v>0</v>
      </c>
      <c r="P48" s="37">
        <f t="shared" si="40"/>
        <v>0</v>
      </c>
      <c r="Q48" s="37">
        <f t="shared" si="41"/>
        <v>0</v>
      </c>
    </row>
    <row r="49" spans="2:39" ht="19.05" customHeight="1" x14ac:dyDescent="0.3">
      <c r="B49" s="9">
        <v>8</v>
      </c>
      <c r="C49" s="7"/>
      <c r="D49" s="32" t="str">
        <f t="shared" si="31"/>
        <v/>
      </c>
      <c r="E49" s="32" t="str">
        <f t="shared" si="32"/>
        <v/>
      </c>
      <c r="F49" s="32" t="str">
        <f t="shared" si="33"/>
        <v/>
      </c>
      <c r="G49" s="27" t="str">
        <f t="shared" si="34"/>
        <v/>
      </c>
      <c r="H49" s="27" t="str">
        <f t="shared" si="35"/>
        <v/>
      </c>
      <c r="I49" s="27" t="str">
        <f t="shared" si="36"/>
        <v/>
      </c>
      <c r="J49" s="3"/>
      <c r="K49" s="3"/>
      <c r="L49" s="3"/>
      <c r="M49" s="12" t="str">
        <f t="shared" si="37"/>
        <v/>
      </c>
      <c r="N49" s="12" t="str">
        <f t="shared" si="38"/>
        <v/>
      </c>
      <c r="O49" s="37" t="str">
        <f t="shared" si="39"/>
        <v/>
      </c>
      <c r="P49" s="37" t="str">
        <f t="shared" si="40"/>
        <v/>
      </c>
      <c r="Q49" s="37" t="str">
        <f t="shared" si="41"/>
        <v/>
      </c>
    </row>
    <row r="50" spans="2:39" ht="19.05" customHeight="1" x14ac:dyDescent="0.3">
      <c r="B50" s="9">
        <v>9</v>
      </c>
      <c r="C50" s="7"/>
      <c r="D50" s="32" t="str">
        <f t="shared" si="31"/>
        <v/>
      </c>
      <c r="E50" s="32" t="str">
        <f t="shared" si="32"/>
        <v/>
      </c>
      <c r="F50" s="32" t="str">
        <f t="shared" si="33"/>
        <v/>
      </c>
      <c r="G50" s="27" t="str">
        <f t="shared" si="34"/>
        <v/>
      </c>
      <c r="H50" s="27" t="str">
        <f t="shared" si="35"/>
        <v/>
      </c>
      <c r="I50" s="27" t="str">
        <f t="shared" si="36"/>
        <v/>
      </c>
      <c r="J50" s="3"/>
      <c r="K50" s="3"/>
      <c r="L50" s="3"/>
      <c r="M50" s="12" t="str">
        <f t="shared" si="37"/>
        <v/>
      </c>
      <c r="N50" s="12" t="str">
        <f t="shared" si="38"/>
        <v/>
      </c>
      <c r="O50" s="37" t="str">
        <f t="shared" si="39"/>
        <v/>
      </c>
      <c r="P50" s="37" t="str">
        <f t="shared" si="40"/>
        <v/>
      </c>
      <c r="Q50" s="37" t="str">
        <f t="shared" si="41"/>
        <v/>
      </c>
    </row>
    <row r="51" spans="2:39" ht="19.05" customHeight="1" x14ac:dyDescent="0.3">
      <c r="B51" s="9">
        <v>10</v>
      </c>
      <c r="C51" s="7"/>
      <c r="D51" s="32" t="str">
        <f t="shared" si="31"/>
        <v/>
      </c>
      <c r="E51" s="32" t="str">
        <f t="shared" si="32"/>
        <v/>
      </c>
      <c r="F51" s="32" t="str">
        <f t="shared" si="33"/>
        <v/>
      </c>
      <c r="G51" s="27" t="str">
        <f t="shared" si="34"/>
        <v/>
      </c>
      <c r="H51" s="27" t="str">
        <f t="shared" si="35"/>
        <v/>
      </c>
      <c r="I51" s="27" t="str">
        <f t="shared" si="36"/>
        <v/>
      </c>
      <c r="J51" s="3"/>
      <c r="K51" s="3"/>
      <c r="L51" s="3"/>
      <c r="M51" s="12" t="str">
        <f t="shared" si="37"/>
        <v/>
      </c>
      <c r="N51" s="12" t="str">
        <f t="shared" si="38"/>
        <v/>
      </c>
      <c r="O51" s="37" t="str">
        <f t="shared" si="39"/>
        <v/>
      </c>
      <c r="P51" s="37" t="str">
        <f t="shared" si="40"/>
        <v/>
      </c>
      <c r="Q51" s="37" t="str">
        <f t="shared" si="41"/>
        <v/>
      </c>
    </row>
    <row r="52" spans="2:39" ht="19.05" customHeight="1" x14ac:dyDescent="0.3">
      <c r="B52" s="9">
        <v>11</v>
      </c>
      <c r="C52" s="7"/>
      <c r="D52" s="32" t="str">
        <f t="shared" si="31"/>
        <v/>
      </c>
      <c r="E52" s="32" t="str">
        <f t="shared" si="32"/>
        <v/>
      </c>
      <c r="F52" s="32" t="str">
        <f t="shared" si="33"/>
        <v/>
      </c>
      <c r="G52" s="27" t="str">
        <f t="shared" si="34"/>
        <v/>
      </c>
      <c r="H52" s="27" t="str">
        <f t="shared" si="35"/>
        <v/>
      </c>
      <c r="I52" s="27" t="str">
        <f t="shared" si="36"/>
        <v/>
      </c>
      <c r="J52" s="3"/>
      <c r="K52" s="3"/>
      <c r="L52" s="3"/>
      <c r="M52" s="12" t="str">
        <f t="shared" si="37"/>
        <v/>
      </c>
      <c r="N52" s="12" t="str">
        <f t="shared" si="38"/>
        <v/>
      </c>
      <c r="O52" s="37" t="str">
        <f t="shared" si="39"/>
        <v/>
      </c>
      <c r="P52" s="37" t="str">
        <f t="shared" si="40"/>
        <v/>
      </c>
      <c r="Q52" s="37" t="str">
        <f t="shared" si="41"/>
        <v/>
      </c>
    </row>
    <row r="53" spans="2:39" ht="19.05" customHeight="1" x14ac:dyDescent="0.3">
      <c r="B53" s="9">
        <v>12</v>
      </c>
      <c r="C53" s="7"/>
      <c r="D53" s="32" t="str">
        <f t="shared" si="31"/>
        <v/>
      </c>
      <c r="E53" s="32" t="str">
        <f t="shared" si="32"/>
        <v/>
      </c>
      <c r="F53" s="32" t="str">
        <f t="shared" si="33"/>
        <v/>
      </c>
      <c r="G53" s="27" t="str">
        <f t="shared" si="34"/>
        <v/>
      </c>
      <c r="H53" s="27" t="str">
        <f t="shared" si="35"/>
        <v/>
      </c>
      <c r="I53" s="27" t="str">
        <f t="shared" si="36"/>
        <v/>
      </c>
      <c r="J53" s="3"/>
      <c r="K53" s="3"/>
      <c r="L53" s="3"/>
      <c r="M53" s="12" t="str">
        <f t="shared" si="37"/>
        <v/>
      </c>
      <c r="N53" s="12" t="str">
        <f t="shared" si="38"/>
        <v/>
      </c>
      <c r="O53" s="37" t="str">
        <f t="shared" si="39"/>
        <v/>
      </c>
      <c r="P53" s="37" t="str">
        <f t="shared" si="40"/>
        <v/>
      </c>
      <c r="Q53" s="37" t="str">
        <f t="shared" si="41"/>
        <v/>
      </c>
    </row>
    <row r="55" spans="2:39" ht="15" thickBot="1" x14ac:dyDescent="0.35">
      <c r="C55" s="36" t="str">
        <f>IF(C28="","U1X","U"&amp;C28&amp;"X")</f>
        <v>U1X</v>
      </c>
      <c r="D55" s="36" t="str">
        <f>IF(D28="","U1Y","U"&amp;D28&amp;"Y")</f>
        <v>U1Y</v>
      </c>
      <c r="E55" s="36" t="str">
        <f>IF(E28="","U1θ","U"&amp;E28&amp;"θ")</f>
        <v>U1θ</v>
      </c>
      <c r="F55" s="36" t="str">
        <f>IF(F28="","U2X","U"&amp;F28&amp;"X")</f>
        <v>U2X</v>
      </c>
      <c r="G55" s="36" t="str">
        <f>IF(G28="","U2Y","U"&amp;G28&amp;"Y")</f>
        <v>U2Y</v>
      </c>
      <c r="H55" s="36" t="str">
        <f>IF(H28="","U2θ","U"&amp;H28&amp;"θ")</f>
        <v>U2θ</v>
      </c>
      <c r="I55" s="36" t="s">
        <v>123</v>
      </c>
    </row>
    <row r="56" spans="2:39" ht="18" customHeight="1" x14ac:dyDescent="0.3">
      <c r="C56" s="38">
        <f>IF(I14="",0,(S14*(J14^2))+(O14*(K14^2)))</f>
        <v>1687500</v>
      </c>
      <c r="D56" s="38">
        <f>IF(I14="",0,(S14-O14)*J14*K14)</f>
        <v>0</v>
      </c>
      <c r="E56" s="38">
        <f>IF(I14="",0,-P14*K14)</f>
        <v>0</v>
      </c>
      <c r="F56" s="38">
        <f>-1*C56</f>
        <v>-1687500</v>
      </c>
      <c r="G56" s="38">
        <f>-1*D56</f>
        <v>0</v>
      </c>
      <c r="H56" s="38">
        <f>E56</f>
        <v>0</v>
      </c>
      <c r="I56" s="9" t="str">
        <f>C55</f>
        <v>U1X</v>
      </c>
    </row>
    <row r="57" spans="2:39" ht="18" customHeight="1" thickBot="1" x14ac:dyDescent="0.35">
      <c r="C57" s="38">
        <f>D56</f>
        <v>0</v>
      </c>
      <c r="D57" s="38">
        <f>IF(I14="",0,(S14*(K14^2))+(O14*(J14^2)))</f>
        <v>85429.6875</v>
      </c>
      <c r="E57" s="38">
        <f>IF(I14="",0,P14*J14)</f>
        <v>8542968.75</v>
      </c>
      <c r="F57" s="38">
        <f>-1*D56</f>
        <v>0</v>
      </c>
      <c r="G57" s="38">
        <f>-1*D57</f>
        <v>-85429.6875</v>
      </c>
      <c r="H57" s="38">
        <f>E57</f>
        <v>8542968.75</v>
      </c>
      <c r="I57" s="9" t="str">
        <f>D55</f>
        <v>U1Y</v>
      </c>
    </row>
    <row r="58" spans="2:39" ht="18" customHeight="1" thickBot="1" x14ac:dyDescent="0.35">
      <c r="B58" s="39" t="s">
        <v>124</v>
      </c>
      <c r="C58" s="38">
        <f>E56</f>
        <v>0</v>
      </c>
      <c r="D58" s="38">
        <f>E57</f>
        <v>8542968.75</v>
      </c>
      <c r="E58" s="38">
        <f>IF(I14="",0,Q14)</f>
        <v>1139062500</v>
      </c>
      <c r="F58" s="38">
        <f>-1*E56</f>
        <v>0</v>
      </c>
      <c r="G58" s="38">
        <f>-1*E57</f>
        <v>-8542968.75</v>
      </c>
      <c r="H58" s="38">
        <f>IF(I14="",0,R14)</f>
        <v>569531250</v>
      </c>
      <c r="I58" s="9" t="str">
        <f>E55</f>
        <v>U1θ</v>
      </c>
    </row>
    <row r="59" spans="2:39" ht="18" customHeight="1" x14ac:dyDescent="0.3">
      <c r="C59" s="38">
        <f>F56</f>
        <v>-1687500</v>
      </c>
      <c r="D59" s="38">
        <f>F57</f>
        <v>0</v>
      </c>
      <c r="E59" s="38">
        <f>F58</f>
        <v>0</v>
      </c>
      <c r="F59" s="38">
        <f>C56</f>
        <v>1687500</v>
      </c>
      <c r="G59" s="38">
        <f>D56</f>
        <v>0</v>
      </c>
      <c r="H59" s="38">
        <f>-1*H56</f>
        <v>0</v>
      </c>
      <c r="I59" s="9" t="str">
        <f>F55</f>
        <v>U2X</v>
      </c>
    </row>
    <row r="60" spans="2:39" ht="18" customHeight="1" x14ac:dyDescent="0.3">
      <c r="C60" s="38">
        <f>G56</f>
        <v>0</v>
      </c>
      <c r="D60" s="38">
        <f>G57</f>
        <v>-85429.6875</v>
      </c>
      <c r="E60" s="38">
        <f>G58</f>
        <v>-8542968.75</v>
      </c>
      <c r="F60" s="38">
        <f>G59</f>
        <v>0</v>
      </c>
      <c r="G60" s="38">
        <f>D57</f>
        <v>85429.6875</v>
      </c>
      <c r="H60" s="38">
        <f>-1*H57</f>
        <v>-8542968.75</v>
      </c>
      <c r="I60" s="9" t="str">
        <f>G55</f>
        <v>U2Y</v>
      </c>
    </row>
    <row r="61" spans="2:39" ht="18" customHeight="1" x14ac:dyDescent="0.3">
      <c r="C61" s="38">
        <f>H56</f>
        <v>0</v>
      </c>
      <c r="D61" s="38">
        <f>H57</f>
        <v>8542968.75</v>
      </c>
      <c r="E61" s="38">
        <f>H58</f>
        <v>569531250</v>
      </c>
      <c r="F61" s="38">
        <f>H59</f>
        <v>0</v>
      </c>
      <c r="G61" s="38">
        <f>H60</f>
        <v>-8542968.75</v>
      </c>
      <c r="H61" s="38">
        <f>E58</f>
        <v>1139062500</v>
      </c>
      <c r="I61" s="9" t="str">
        <f>H55</f>
        <v>U2θ</v>
      </c>
    </row>
    <row r="63" spans="2:39" ht="15" thickBot="1" x14ac:dyDescent="0.35">
      <c r="C63" s="6" t="s">
        <v>125</v>
      </c>
      <c r="D63" s="6" t="s">
        <v>126</v>
      </c>
      <c r="E63" s="6" t="s">
        <v>127</v>
      </c>
      <c r="F63" s="6" t="s">
        <v>128</v>
      </c>
      <c r="G63" s="6" t="s">
        <v>129</v>
      </c>
      <c r="H63" s="6" t="s">
        <v>130</v>
      </c>
      <c r="I63" s="6" t="s">
        <v>131</v>
      </c>
      <c r="J63" s="6" t="s">
        <v>132</v>
      </c>
      <c r="K63" s="6" t="s">
        <v>133</v>
      </c>
      <c r="L63" s="6" t="s">
        <v>134</v>
      </c>
      <c r="M63" s="6" t="s">
        <v>135</v>
      </c>
      <c r="N63" s="6" t="s">
        <v>136</v>
      </c>
      <c r="O63" s="6" t="s">
        <v>137</v>
      </c>
      <c r="P63" s="6" t="s">
        <v>138</v>
      </c>
      <c r="Q63" s="6" t="s">
        <v>139</v>
      </c>
      <c r="R63" s="6" t="s">
        <v>140</v>
      </c>
      <c r="S63" s="6" t="s">
        <v>141</v>
      </c>
      <c r="T63" s="6" t="s">
        <v>142</v>
      </c>
      <c r="U63" s="6" t="s">
        <v>143</v>
      </c>
      <c r="V63" s="6" t="s">
        <v>144</v>
      </c>
      <c r="W63" s="6" t="s">
        <v>145</v>
      </c>
      <c r="X63" s="6" t="s">
        <v>146</v>
      </c>
      <c r="Y63" s="6" t="s">
        <v>147</v>
      </c>
      <c r="Z63" s="6" t="s">
        <v>148</v>
      </c>
      <c r="AA63" s="6" t="s">
        <v>149</v>
      </c>
      <c r="AB63" s="6" t="s">
        <v>150</v>
      </c>
      <c r="AC63" s="6" t="s">
        <v>151</v>
      </c>
      <c r="AD63" s="6" t="s">
        <v>152</v>
      </c>
      <c r="AE63" s="6" t="s">
        <v>153</v>
      </c>
      <c r="AF63" s="6" t="s">
        <v>154</v>
      </c>
      <c r="AG63" s="6" t="s">
        <v>155</v>
      </c>
      <c r="AH63" s="6" t="s">
        <v>156</v>
      </c>
      <c r="AI63" s="6" t="s">
        <v>157</v>
      </c>
      <c r="AJ63" s="6" t="s">
        <v>158</v>
      </c>
      <c r="AK63" s="6" t="s">
        <v>159</v>
      </c>
      <c r="AL63" s="6" t="s">
        <v>160</v>
      </c>
      <c r="AM63" s="6" t="s">
        <v>123</v>
      </c>
    </row>
    <row r="64" spans="2:39" ht="16.95" customHeight="1" x14ac:dyDescent="0.3">
      <c r="C64" s="40">
        <f t="shared" ref="C64:H69" si="42">C56</f>
        <v>1687500</v>
      </c>
      <c r="D64" s="40">
        <f t="shared" si="42"/>
        <v>0</v>
      </c>
      <c r="E64" s="40">
        <f t="shared" si="42"/>
        <v>0</v>
      </c>
      <c r="F64" s="40">
        <f t="shared" si="42"/>
        <v>-1687500</v>
      </c>
      <c r="G64" s="40">
        <f t="shared" si="42"/>
        <v>0</v>
      </c>
      <c r="H64" s="40">
        <f t="shared" si="42"/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2" t="str">
        <f t="shared" ref="AM64:AM69" si="43">I56</f>
        <v>U1X</v>
      </c>
    </row>
    <row r="65" spans="2:39" ht="16.95" customHeight="1" thickBot="1" x14ac:dyDescent="0.35">
      <c r="C65" s="40">
        <f t="shared" si="42"/>
        <v>0</v>
      </c>
      <c r="D65" s="40">
        <f t="shared" si="42"/>
        <v>85429.6875</v>
      </c>
      <c r="E65" s="40">
        <f t="shared" si="42"/>
        <v>8542968.75</v>
      </c>
      <c r="F65" s="40">
        <f t="shared" si="42"/>
        <v>0</v>
      </c>
      <c r="G65" s="40">
        <f t="shared" si="42"/>
        <v>-85429.6875</v>
      </c>
      <c r="H65" s="40">
        <f t="shared" si="42"/>
        <v>8542968.75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0</v>
      </c>
      <c r="Z65" s="41">
        <v>0</v>
      </c>
      <c r="AA65" s="41">
        <v>0</v>
      </c>
      <c r="AB65" s="41">
        <v>0</v>
      </c>
      <c r="AC65" s="41">
        <v>0</v>
      </c>
      <c r="AD65" s="41">
        <v>0</v>
      </c>
      <c r="AE65" s="41">
        <v>0</v>
      </c>
      <c r="AF65" s="41">
        <v>0</v>
      </c>
      <c r="AG65" s="41">
        <v>0</v>
      </c>
      <c r="AH65" s="41">
        <v>0</v>
      </c>
      <c r="AI65" s="41">
        <v>0</v>
      </c>
      <c r="AJ65" s="41">
        <v>0</v>
      </c>
      <c r="AK65" s="41">
        <v>0</v>
      </c>
      <c r="AL65" s="41">
        <v>0</v>
      </c>
      <c r="AM65" s="42" t="str">
        <f t="shared" si="43"/>
        <v>U1Y</v>
      </c>
    </row>
    <row r="66" spans="2:39" ht="16.95" customHeight="1" thickBot="1" x14ac:dyDescent="0.35">
      <c r="B66" s="39" t="s">
        <v>124</v>
      </c>
      <c r="C66" s="40">
        <f t="shared" si="42"/>
        <v>0</v>
      </c>
      <c r="D66" s="40">
        <f t="shared" si="42"/>
        <v>8542968.75</v>
      </c>
      <c r="E66" s="40">
        <f t="shared" si="42"/>
        <v>1139062500</v>
      </c>
      <c r="F66" s="40">
        <f t="shared" si="42"/>
        <v>0</v>
      </c>
      <c r="G66" s="40">
        <f t="shared" si="42"/>
        <v>-8542968.75</v>
      </c>
      <c r="H66" s="40">
        <f t="shared" si="42"/>
        <v>569531250</v>
      </c>
      <c r="I66" s="41">
        <v>0</v>
      </c>
      <c r="J66" s="41">
        <v>0</v>
      </c>
      <c r="K66" s="41">
        <v>0</v>
      </c>
      <c r="L66" s="41">
        <v>0</v>
      </c>
      <c r="M66" s="41">
        <v>0</v>
      </c>
      <c r="N66" s="41">
        <v>0</v>
      </c>
      <c r="O66" s="41">
        <v>0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0</v>
      </c>
      <c r="Z66" s="41">
        <v>0</v>
      </c>
      <c r="AA66" s="41">
        <v>0</v>
      </c>
      <c r="AB66" s="41">
        <v>0</v>
      </c>
      <c r="AC66" s="41">
        <v>0</v>
      </c>
      <c r="AD66" s="41">
        <v>0</v>
      </c>
      <c r="AE66" s="41">
        <v>0</v>
      </c>
      <c r="AF66" s="41">
        <v>0</v>
      </c>
      <c r="AG66" s="41">
        <v>0</v>
      </c>
      <c r="AH66" s="41">
        <v>0</v>
      </c>
      <c r="AI66" s="41">
        <v>0</v>
      </c>
      <c r="AJ66" s="41">
        <v>0</v>
      </c>
      <c r="AK66" s="41">
        <v>0</v>
      </c>
      <c r="AL66" s="41">
        <v>0</v>
      </c>
      <c r="AM66" s="42" t="str">
        <f t="shared" si="43"/>
        <v>U1θ</v>
      </c>
    </row>
    <row r="67" spans="2:39" ht="16.95" customHeight="1" x14ac:dyDescent="0.3">
      <c r="C67" s="40">
        <f t="shared" si="42"/>
        <v>-1687500</v>
      </c>
      <c r="D67" s="40">
        <f t="shared" si="42"/>
        <v>0</v>
      </c>
      <c r="E67" s="40">
        <f t="shared" si="42"/>
        <v>0</v>
      </c>
      <c r="F67" s="40">
        <f t="shared" si="42"/>
        <v>1687500</v>
      </c>
      <c r="G67" s="40">
        <f t="shared" si="42"/>
        <v>0</v>
      </c>
      <c r="H67" s="40">
        <f t="shared" si="42"/>
        <v>0</v>
      </c>
      <c r="I67" s="41">
        <v>0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0</v>
      </c>
      <c r="P67" s="41">
        <v>0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0</v>
      </c>
      <c r="Z67" s="41">
        <v>0</v>
      </c>
      <c r="AA67" s="41">
        <v>0</v>
      </c>
      <c r="AB67" s="41">
        <v>0</v>
      </c>
      <c r="AC67" s="41">
        <v>0</v>
      </c>
      <c r="AD67" s="41">
        <v>0</v>
      </c>
      <c r="AE67" s="41">
        <v>0</v>
      </c>
      <c r="AF67" s="41">
        <v>0</v>
      </c>
      <c r="AG67" s="41">
        <v>0</v>
      </c>
      <c r="AH67" s="41">
        <v>0</v>
      </c>
      <c r="AI67" s="41">
        <v>0</v>
      </c>
      <c r="AJ67" s="41">
        <v>0</v>
      </c>
      <c r="AK67" s="41">
        <v>0</v>
      </c>
      <c r="AL67" s="41">
        <v>0</v>
      </c>
      <c r="AM67" s="42" t="str">
        <f t="shared" si="43"/>
        <v>U2X</v>
      </c>
    </row>
    <row r="68" spans="2:39" ht="16.95" customHeight="1" x14ac:dyDescent="0.3">
      <c r="C68" s="40">
        <f t="shared" si="42"/>
        <v>0</v>
      </c>
      <c r="D68" s="40">
        <f t="shared" si="42"/>
        <v>-85429.6875</v>
      </c>
      <c r="E68" s="40">
        <f t="shared" si="42"/>
        <v>-8542968.75</v>
      </c>
      <c r="F68" s="40">
        <f t="shared" si="42"/>
        <v>0</v>
      </c>
      <c r="G68" s="40">
        <f t="shared" si="42"/>
        <v>85429.6875</v>
      </c>
      <c r="H68" s="40">
        <f t="shared" si="42"/>
        <v>-8542968.75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v>0</v>
      </c>
      <c r="T68" s="41">
        <v>0</v>
      </c>
      <c r="U68" s="41">
        <v>0</v>
      </c>
      <c r="V68" s="41">
        <v>0</v>
      </c>
      <c r="W68" s="41">
        <v>0</v>
      </c>
      <c r="X68" s="41">
        <v>0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0</v>
      </c>
      <c r="AE68" s="41">
        <v>0</v>
      </c>
      <c r="AF68" s="41">
        <v>0</v>
      </c>
      <c r="AG68" s="41">
        <v>0</v>
      </c>
      <c r="AH68" s="41">
        <v>0</v>
      </c>
      <c r="AI68" s="41">
        <v>0</v>
      </c>
      <c r="AJ68" s="41">
        <v>0</v>
      </c>
      <c r="AK68" s="41">
        <v>0</v>
      </c>
      <c r="AL68" s="41">
        <v>0</v>
      </c>
      <c r="AM68" s="42" t="str">
        <f t="shared" si="43"/>
        <v>U2Y</v>
      </c>
    </row>
    <row r="69" spans="2:39" ht="16.95" customHeight="1" x14ac:dyDescent="0.3">
      <c r="C69" s="40">
        <f t="shared" si="42"/>
        <v>0</v>
      </c>
      <c r="D69" s="40">
        <f t="shared" si="42"/>
        <v>8542968.75</v>
      </c>
      <c r="E69" s="40">
        <f t="shared" si="42"/>
        <v>569531250</v>
      </c>
      <c r="F69" s="40">
        <f t="shared" si="42"/>
        <v>0</v>
      </c>
      <c r="G69" s="40">
        <f t="shared" si="42"/>
        <v>-8542968.75</v>
      </c>
      <c r="H69" s="40">
        <f t="shared" si="42"/>
        <v>1139062500</v>
      </c>
      <c r="I69" s="41">
        <v>0</v>
      </c>
      <c r="J69" s="41">
        <v>0</v>
      </c>
      <c r="K69" s="41">
        <v>0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0</v>
      </c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41">
        <v>0</v>
      </c>
      <c r="X69" s="41">
        <v>0</v>
      </c>
      <c r="Y69" s="41">
        <v>0</v>
      </c>
      <c r="Z69" s="41">
        <v>0</v>
      </c>
      <c r="AA69" s="41">
        <v>0</v>
      </c>
      <c r="AB69" s="41">
        <v>0</v>
      </c>
      <c r="AC69" s="41">
        <v>0</v>
      </c>
      <c r="AD69" s="41">
        <v>0</v>
      </c>
      <c r="AE69" s="41">
        <v>0</v>
      </c>
      <c r="AF69" s="41">
        <v>0</v>
      </c>
      <c r="AG69" s="41">
        <v>0</v>
      </c>
      <c r="AH69" s="41">
        <v>0</v>
      </c>
      <c r="AI69" s="41">
        <v>0</v>
      </c>
      <c r="AJ69" s="41">
        <v>0</v>
      </c>
      <c r="AK69" s="41">
        <v>0</v>
      </c>
      <c r="AL69" s="41">
        <v>0</v>
      </c>
      <c r="AM69" s="42" t="str">
        <f t="shared" si="43"/>
        <v>U2θ</v>
      </c>
    </row>
    <row r="72" spans="2:39" ht="15" thickBot="1" x14ac:dyDescent="0.35">
      <c r="C72" s="36" t="str">
        <f>IF(C29="","U2X","U"&amp;C29&amp;"X")</f>
        <v>U2X</v>
      </c>
      <c r="D72" s="36" t="str">
        <f>IF(D29="","U2Y","U"&amp;D29&amp;"Y")</f>
        <v>U2Y</v>
      </c>
      <c r="E72" s="36" t="str">
        <f>IF(E29="","U2θ","U"&amp;E29&amp;"θ")</f>
        <v>U2θ</v>
      </c>
      <c r="F72" s="36" t="str">
        <f>IF(F29="","U3X","U"&amp;F29&amp;"X")</f>
        <v>U3X</v>
      </c>
      <c r="G72" s="36" t="str">
        <f>IF(G29="","U3Y","U"&amp;G29&amp;"Y")</f>
        <v>U3Y</v>
      </c>
      <c r="H72" s="36" t="str">
        <f>IF(H29="","U3θ","U"&amp;H29&amp;"θ")</f>
        <v>U3θ</v>
      </c>
      <c r="I72" s="36" t="s">
        <v>123</v>
      </c>
    </row>
    <row r="73" spans="2:39" ht="18" customHeight="1" x14ac:dyDescent="0.3">
      <c r="C73" s="43">
        <f>IF(I15="",0,(S15*(J15^2))+(O15*(K15^2)))</f>
        <v>1687500</v>
      </c>
      <c r="D73" s="43">
        <f>IF(I15="",0,(S15-O15)*J15*K15)</f>
        <v>0</v>
      </c>
      <c r="E73" s="43">
        <f>IF(I15="",0,-P15*K15)</f>
        <v>0</v>
      </c>
      <c r="F73" s="43">
        <f>-1*C73</f>
        <v>-1687500</v>
      </c>
      <c r="G73" s="43">
        <f>-1*D73</f>
        <v>0</v>
      </c>
      <c r="H73" s="43">
        <f>E73</f>
        <v>0</v>
      </c>
      <c r="I73" s="9" t="str">
        <f>C72</f>
        <v>U2X</v>
      </c>
    </row>
    <row r="74" spans="2:39" ht="18" customHeight="1" thickBot="1" x14ac:dyDescent="0.35">
      <c r="C74" s="43">
        <f>D73</f>
        <v>0</v>
      </c>
      <c r="D74" s="43">
        <f>IF(I15="",0,(S15*(K15^2))+(O15*(J15^2)))</f>
        <v>85429.6875</v>
      </c>
      <c r="E74" s="43">
        <f>IF(I15="",0,P15*J15)</f>
        <v>8542968.75</v>
      </c>
      <c r="F74" s="43">
        <f>-1*D73</f>
        <v>0</v>
      </c>
      <c r="G74" s="43">
        <f>-1*D74</f>
        <v>-85429.6875</v>
      </c>
      <c r="H74" s="43">
        <f>E74</f>
        <v>8542968.75</v>
      </c>
      <c r="I74" s="9" t="str">
        <f>D72</f>
        <v>U2Y</v>
      </c>
    </row>
    <row r="75" spans="2:39" ht="18" customHeight="1" thickBot="1" x14ac:dyDescent="0.35">
      <c r="B75" s="39" t="s">
        <v>161</v>
      </c>
      <c r="C75" s="43">
        <f>E73</f>
        <v>0</v>
      </c>
      <c r="D75" s="43">
        <f>E74</f>
        <v>8542968.75</v>
      </c>
      <c r="E75" s="43">
        <f>IF(I15="",0,Q15)</f>
        <v>1139062500</v>
      </c>
      <c r="F75" s="43">
        <f>-1*E73</f>
        <v>0</v>
      </c>
      <c r="G75" s="43">
        <f>-1*E74</f>
        <v>-8542968.75</v>
      </c>
      <c r="H75" s="43">
        <f>IF(I15="",0,R15)</f>
        <v>569531250</v>
      </c>
      <c r="I75" s="9" t="str">
        <f>E72</f>
        <v>U2θ</v>
      </c>
    </row>
    <row r="76" spans="2:39" ht="18" customHeight="1" x14ac:dyDescent="0.3">
      <c r="C76" s="43">
        <f>F73</f>
        <v>-1687500</v>
      </c>
      <c r="D76" s="43">
        <f>F74</f>
        <v>0</v>
      </c>
      <c r="E76" s="43">
        <f>F75</f>
        <v>0</v>
      </c>
      <c r="F76" s="43">
        <f>C73</f>
        <v>1687500</v>
      </c>
      <c r="G76" s="43">
        <f>D73</f>
        <v>0</v>
      </c>
      <c r="H76" s="43">
        <f>-1*H73</f>
        <v>0</v>
      </c>
      <c r="I76" s="9" t="str">
        <f>F72</f>
        <v>U3X</v>
      </c>
    </row>
    <row r="77" spans="2:39" ht="18" customHeight="1" x14ac:dyDescent="0.3">
      <c r="C77" s="43">
        <f>G73</f>
        <v>0</v>
      </c>
      <c r="D77" s="43">
        <f>G74</f>
        <v>-85429.6875</v>
      </c>
      <c r="E77" s="43">
        <f>G75</f>
        <v>-8542968.75</v>
      </c>
      <c r="F77" s="43">
        <f>G76</f>
        <v>0</v>
      </c>
      <c r="G77" s="43">
        <f>D74</f>
        <v>85429.6875</v>
      </c>
      <c r="H77" s="43">
        <f>-1*H74</f>
        <v>-8542968.75</v>
      </c>
      <c r="I77" s="9" t="str">
        <f>G72</f>
        <v>U3Y</v>
      </c>
    </row>
    <row r="78" spans="2:39" ht="18" customHeight="1" x14ac:dyDescent="0.3">
      <c r="C78" s="43">
        <f>H73</f>
        <v>0</v>
      </c>
      <c r="D78" s="43">
        <f>H74</f>
        <v>8542968.75</v>
      </c>
      <c r="E78" s="43">
        <f>H75</f>
        <v>569531250</v>
      </c>
      <c r="F78" s="43">
        <f>H76</f>
        <v>0</v>
      </c>
      <c r="G78" s="43">
        <f>H77</f>
        <v>-8542968.75</v>
      </c>
      <c r="H78" s="43">
        <f>E75</f>
        <v>1139062500</v>
      </c>
      <c r="I78" s="9" t="str">
        <f>H72</f>
        <v>U3θ</v>
      </c>
    </row>
    <row r="80" spans="2:39" ht="15" thickBot="1" x14ac:dyDescent="0.35">
      <c r="C80" s="6" t="s">
        <v>125</v>
      </c>
      <c r="D80" s="6" t="s">
        <v>126</v>
      </c>
      <c r="E80" s="6" t="s">
        <v>127</v>
      </c>
      <c r="F80" s="6" t="s">
        <v>128</v>
      </c>
      <c r="G80" s="6" t="s">
        <v>129</v>
      </c>
      <c r="H80" s="6" t="s">
        <v>130</v>
      </c>
      <c r="I80" s="6" t="s">
        <v>131</v>
      </c>
      <c r="J80" s="6" t="s">
        <v>132</v>
      </c>
      <c r="K80" s="6" t="s">
        <v>133</v>
      </c>
      <c r="L80" s="6" t="s">
        <v>134</v>
      </c>
      <c r="M80" s="6" t="s">
        <v>135</v>
      </c>
      <c r="N80" s="6" t="s">
        <v>136</v>
      </c>
      <c r="O80" s="6" t="s">
        <v>137</v>
      </c>
      <c r="P80" s="6" t="s">
        <v>138</v>
      </c>
      <c r="Q80" s="6" t="s">
        <v>139</v>
      </c>
      <c r="R80" s="6" t="s">
        <v>140</v>
      </c>
      <c r="S80" s="6" t="s">
        <v>141</v>
      </c>
      <c r="T80" s="6" t="s">
        <v>142</v>
      </c>
      <c r="U80" s="6" t="s">
        <v>143</v>
      </c>
      <c r="V80" s="6" t="s">
        <v>144</v>
      </c>
      <c r="W80" s="6" t="s">
        <v>145</v>
      </c>
      <c r="X80" s="6" t="s">
        <v>146</v>
      </c>
      <c r="Y80" s="6" t="s">
        <v>147</v>
      </c>
      <c r="Z80" s="6" t="s">
        <v>148</v>
      </c>
      <c r="AA80" s="6" t="s">
        <v>149</v>
      </c>
      <c r="AB80" s="6" t="s">
        <v>150</v>
      </c>
      <c r="AC80" s="6" t="s">
        <v>151</v>
      </c>
      <c r="AD80" s="6" t="s">
        <v>152</v>
      </c>
      <c r="AE80" s="6" t="s">
        <v>153</v>
      </c>
      <c r="AF80" s="6" t="s">
        <v>154</v>
      </c>
      <c r="AG80" s="6" t="s">
        <v>155</v>
      </c>
      <c r="AH80" s="6" t="s">
        <v>156</v>
      </c>
      <c r="AI80" s="6" t="s">
        <v>157</v>
      </c>
      <c r="AJ80" s="6" t="s">
        <v>158</v>
      </c>
      <c r="AK80" s="6" t="s">
        <v>159</v>
      </c>
      <c r="AL80" s="6" t="s">
        <v>160</v>
      </c>
      <c r="AM80" s="6" t="s">
        <v>123</v>
      </c>
    </row>
    <row r="81" spans="2:39" ht="16.95" customHeight="1" x14ac:dyDescent="0.3">
      <c r="C81" s="41">
        <v>0</v>
      </c>
      <c r="D81" s="41">
        <v>0</v>
      </c>
      <c r="E81" s="41">
        <v>0</v>
      </c>
      <c r="F81" s="44">
        <f t="shared" ref="F81:K86" si="44">C73</f>
        <v>1687500</v>
      </c>
      <c r="G81" s="44">
        <f t="shared" si="44"/>
        <v>0</v>
      </c>
      <c r="H81" s="44">
        <f t="shared" si="44"/>
        <v>0</v>
      </c>
      <c r="I81" s="44">
        <f t="shared" si="44"/>
        <v>-1687500</v>
      </c>
      <c r="J81" s="44">
        <f t="shared" si="44"/>
        <v>0</v>
      </c>
      <c r="K81" s="44">
        <f t="shared" si="44"/>
        <v>0</v>
      </c>
      <c r="L81" s="41">
        <v>0</v>
      </c>
      <c r="M81" s="41">
        <v>0</v>
      </c>
      <c r="N81" s="41">
        <v>0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  <c r="X81" s="41">
        <v>0</v>
      </c>
      <c r="Y81" s="41">
        <v>0</v>
      </c>
      <c r="Z81" s="41">
        <v>0</v>
      </c>
      <c r="AA81" s="41">
        <v>0</v>
      </c>
      <c r="AB81" s="41">
        <v>0</v>
      </c>
      <c r="AC81" s="41">
        <v>0</v>
      </c>
      <c r="AD81" s="41">
        <v>0</v>
      </c>
      <c r="AE81" s="41">
        <v>0</v>
      </c>
      <c r="AF81" s="41">
        <v>0</v>
      </c>
      <c r="AG81" s="41">
        <v>0</v>
      </c>
      <c r="AH81" s="41">
        <v>0</v>
      </c>
      <c r="AI81" s="41">
        <v>0</v>
      </c>
      <c r="AJ81" s="41">
        <v>0</v>
      </c>
      <c r="AK81" s="41">
        <v>0</v>
      </c>
      <c r="AL81" s="41">
        <v>0</v>
      </c>
      <c r="AM81" s="42" t="str">
        <f t="shared" ref="AM81:AM86" si="45">I73</f>
        <v>U2X</v>
      </c>
    </row>
    <row r="82" spans="2:39" ht="16.95" customHeight="1" thickBot="1" x14ac:dyDescent="0.35">
      <c r="C82" s="41">
        <v>0</v>
      </c>
      <c r="D82" s="41">
        <v>0</v>
      </c>
      <c r="E82" s="41">
        <v>0</v>
      </c>
      <c r="F82" s="44">
        <f t="shared" si="44"/>
        <v>0</v>
      </c>
      <c r="G82" s="44">
        <f t="shared" si="44"/>
        <v>85429.6875</v>
      </c>
      <c r="H82" s="44">
        <f t="shared" si="44"/>
        <v>8542968.75</v>
      </c>
      <c r="I82" s="44">
        <f t="shared" si="44"/>
        <v>0</v>
      </c>
      <c r="J82" s="44">
        <f t="shared" si="44"/>
        <v>-85429.6875</v>
      </c>
      <c r="K82" s="44">
        <f t="shared" si="44"/>
        <v>8542968.75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2" t="str">
        <f t="shared" si="45"/>
        <v>U2Y</v>
      </c>
    </row>
    <row r="83" spans="2:39" ht="16.95" customHeight="1" thickBot="1" x14ac:dyDescent="0.35">
      <c r="B83" s="39" t="s">
        <v>161</v>
      </c>
      <c r="C83" s="41">
        <v>0</v>
      </c>
      <c r="D83" s="41">
        <v>0</v>
      </c>
      <c r="E83" s="41">
        <v>0</v>
      </c>
      <c r="F83" s="44">
        <f t="shared" si="44"/>
        <v>0</v>
      </c>
      <c r="G83" s="44">
        <f t="shared" si="44"/>
        <v>8542968.75</v>
      </c>
      <c r="H83" s="44">
        <f t="shared" si="44"/>
        <v>1139062500</v>
      </c>
      <c r="I83" s="44">
        <f t="shared" si="44"/>
        <v>0</v>
      </c>
      <c r="J83" s="44">
        <f t="shared" si="44"/>
        <v>-8542968.75</v>
      </c>
      <c r="K83" s="44">
        <f t="shared" si="44"/>
        <v>569531250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  <c r="AC83" s="41">
        <v>0</v>
      </c>
      <c r="AD83" s="41">
        <v>0</v>
      </c>
      <c r="AE83" s="41">
        <v>0</v>
      </c>
      <c r="AF83" s="41">
        <v>0</v>
      </c>
      <c r="AG83" s="41">
        <v>0</v>
      </c>
      <c r="AH83" s="41">
        <v>0</v>
      </c>
      <c r="AI83" s="41">
        <v>0</v>
      </c>
      <c r="AJ83" s="41">
        <v>0</v>
      </c>
      <c r="AK83" s="41">
        <v>0</v>
      </c>
      <c r="AL83" s="41">
        <v>0</v>
      </c>
      <c r="AM83" s="42" t="str">
        <f t="shared" si="45"/>
        <v>U2θ</v>
      </c>
    </row>
    <row r="84" spans="2:39" ht="16.95" customHeight="1" x14ac:dyDescent="0.3">
      <c r="C84" s="41">
        <v>0</v>
      </c>
      <c r="D84" s="41">
        <v>0</v>
      </c>
      <c r="E84" s="41">
        <v>0</v>
      </c>
      <c r="F84" s="44">
        <f t="shared" si="44"/>
        <v>-1687500</v>
      </c>
      <c r="G84" s="44">
        <f t="shared" si="44"/>
        <v>0</v>
      </c>
      <c r="H84" s="44">
        <f t="shared" si="44"/>
        <v>0</v>
      </c>
      <c r="I84" s="44">
        <f t="shared" si="44"/>
        <v>1687500</v>
      </c>
      <c r="J84" s="44">
        <f t="shared" si="44"/>
        <v>0</v>
      </c>
      <c r="K84" s="44">
        <f t="shared" si="44"/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0</v>
      </c>
      <c r="AG84" s="41">
        <v>0</v>
      </c>
      <c r="AH84" s="41">
        <v>0</v>
      </c>
      <c r="AI84" s="41">
        <v>0</v>
      </c>
      <c r="AJ84" s="41">
        <v>0</v>
      </c>
      <c r="AK84" s="41">
        <v>0</v>
      </c>
      <c r="AL84" s="41">
        <v>0</v>
      </c>
      <c r="AM84" s="42" t="str">
        <f t="shared" si="45"/>
        <v>U3X</v>
      </c>
    </row>
    <row r="85" spans="2:39" ht="16.95" customHeight="1" x14ac:dyDescent="0.3">
      <c r="C85" s="41">
        <v>0</v>
      </c>
      <c r="D85" s="41">
        <v>0</v>
      </c>
      <c r="E85" s="41">
        <v>0</v>
      </c>
      <c r="F85" s="44">
        <f t="shared" si="44"/>
        <v>0</v>
      </c>
      <c r="G85" s="44">
        <f t="shared" si="44"/>
        <v>-85429.6875</v>
      </c>
      <c r="H85" s="44">
        <f t="shared" si="44"/>
        <v>-8542968.75</v>
      </c>
      <c r="I85" s="44">
        <f t="shared" si="44"/>
        <v>0</v>
      </c>
      <c r="J85" s="44">
        <f t="shared" si="44"/>
        <v>85429.6875</v>
      </c>
      <c r="K85" s="44">
        <f t="shared" si="44"/>
        <v>-8542968.75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2" t="str">
        <f t="shared" si="45"/>
        <v>U3Y</v>
      </c>
    </row>
    <row r="86" spans="2:39" ht="16.95" customHeight="1" x14ac:dyDescent="0.3">
      <c r="C86" s="41">
        <v>0</v>
      </c>
      <c r="D86" s="41">
        <v>0</v>
      </c>
      <c r="E86" s="41">
        <v>0</v>
      </c>
      <c r="F86" s="44">
        <f t="shared" si="44"/>
        <v>0</v>
      </c>
      <c r="G86" s="44">
        <f t="shared" si="44"/>
        <v>8542968.75</v>
      </c>
      <c r="H86" s="44">
        <f t="shared" si="44"/>
        <v>569531250</v>
      </c>
      <c r="I86" s="44">
        <f t="shared" si="44"/>
        <v>0</v>
      </c>
      <c r="J86" s="44">
        <f t="shared" si="44"/>
        <v>-8542968.75</v>
      </c>
      <c r="K86" s="44">
        <f t="shared" si="44"/>
        <v>1139062500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v>0</v>
      </c>
      <c r="T86" s="41">
        <v>0</v>
      </c>
      <c r="U86" s="41">
        <v>0</v>
      </c>
      <c r="V86" s="41">
        <v>0</v>
      </c>
      <c r="W86" s="41">
        <v>0</v>
      </c>
      <c r="X86" s="41">
        <v>0</v>
      </c>
      <c r="Y86" s="41">
        <v>0</v>
      </c>
      <c r="Z86" s="41">
        <v>0</v>
      </c>
      <c r="AA86" s="41">
        <v>0</v>
      </c>
      <c r="AB86" s="41">
        <v>0</v>
      </c>
      <c r="AC86" s="41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0</v>
      </c>
      <c r="AJ86" s="41">
        <v>0</v>
      </c>
      <c r="AK86" s="41">
        <v>0</v>
      </c>
      <c r="AL86" s="41">
        <v>0</v>
      </c>
      <c r="AM86" s="42" t="str">
        <f t="shared" si="45"/>
        <v>U3θ</v>
      </c>
    </row>
    <row r="89" spans="2:39" ht="15" thickBot="1" x14ac:dyDescent="0.35">
      <c r="C89" s="36" t="str">
        <f>IF(C30="","U3X","U"&amp;C30&amp;"X")</f>
        <v>U3X</v>
      </c>
      <c r="D89" s="36" t="str">
        <f>IF(D30="","U3Y","U"&amp;D30&amp;"Y")</f>
        <v>U3Y</v>
      </c>
      <c r="E89" s="36" t="str">
        <f>IF(E30="","U3θ","U"&amp;E30&amp;"θ")</f>
        <v>U3θ</v>
      </c>
      <c r="F89" s="36" t="str">
        <f>IF(F30="","U4X","U"&amp;F30&amp;"X")</f>
        <v>U4X</v>
      </c>
      <c r="G89" s="36" t="str">
        <f>IF(G30="","U4Y","U"&amp;G30&amp;"Y")</f>
        <v>U4Y</v>
      </c>
      <c r="H89" s="36" t="str">
        <f>IF(H30="","U4θ","U"&amp;H30&amp;"θ")</f>
        <v>U4θ</v>
      </c>
      <c r="I89" s="36" t="s">
        <v>123</v>
      </c>
    </row>
    <row r="90" spans="2:39" ht="18" customHeight="1" x14ac:dyDescent="0.3">
      <c r="C90" s="10">
        <f>IF(I16="",0,(S16*(J16^2))+(O16*(K16^2)))</f>
        <v>843750</v>
      </c>
      <c r="D90" s="10">
        <f>IF(I16="",0,(S16-O16)*J16*K16)</f>
        <v>0</v>
      </c>
      <c r="E90" s="10">
        <f>IF(I16="",0,-P16*K16)</f>
        <v>0</v>
      </c>
      <c r="F90" s="10">
        <f>-1*C90</f>
        <v>-843750</v>
      </c>
      <c r="G90" s="10">
        <f>-1*D90</f>
        <v>0</v>
      </c>
      <c r="H90" s="10">
        <f>E90</f>
        <v>0</v>
      </c>
      <c r="I90" s="9" t="str">
        <f>C89</f>
        <v>U3X</v>
      </c>
    </row>
    <row r="91" spans="2:39" ht="18" customHeight="1" thickBot="1" x14ac:dyDescent="0.35">
      <c r="C91" s="10">
        <f>D90</f>
        <v>0</v>
      </c>
      <c r="D91" s="10">
        <f>IF(I16="",0,(S16*(K16^2))+(O16*(J16^2)))</f>
        <v>10678.7109375</v>
      </c>
      <c r="E91" s="10">
        <f>IF(I16="",0,P16*J16)</f>
        <v>2135742.1875</v>
      </c>
      <c r="F91" s="10">
        <f>-1*D90</f>
        <v>0</v>
      </c>
      <c r="G91" s="10">
        <f>-1*D91</f>
        <v>-10678.7109375</v>
      </c>
      <c r="H91" s="10">
        <f>E91</f>
        <v>2135742.1875</v>
      </c>
      <c r="I91" s="9" t="str">
        <f>D89</f>
        <v>U3Y</v>
      </c>
    </row>
    <row r="92" spans="2:39" ht="18" customHeight="1" thickBot="1" x14ac:dyDescent="0.35">
      <c r="B92" s="39" t="s">
        <v>162</v>
      </c>
      <c r="C92" s="10">
        <f>E90</f>
        <v>0</v>
      </c>
      <c r="D92" s="10">
        <f>E91</f>
        <v>2135742.1875</v>
      </c>
      <c r="E92" s="10">
        <f>IF(I16="",0,Q16)</f>
        <v>569531250</v>
      </c>
      <c r="F92" s="10">
        <f>-1*E90</f>
        <v>0</v>
      </c>
      <c r="G92" s="10">
        <f>-1*E91</f>
        <v>-2135742.1875</v>
      </c>
      <c r="H92" s="10">
        <f>IF(I16="",0,R16)</f>
        <v>284765625</v>
      </c>
      <c r="I92" s="9" t="str">
        <f>E89</f>
        <v>U3θ</v>
      </c>
    </row>
    <row r="93" spans="2:39" ht="18" customHeight="1" x14ac:dyDescent="0.3">
      <c r="C93" s="10">
        <f>F90</f>
        <v>-843750</v>
      </c>
      <c r="D93" s="10">
        <f>F91</f>
        <v>0</v>
      </c>
      <c r="E93" s="10">
        <f>F92</f>
        <v>0</v>
      </c>
      <c r="F93" s="10">
        <f>C90</f>
        <v>843750</v>
      </c>
      <c r="G93" s="10">
        <f>D90</f>
        <v>0</v>
      </c>
      <c r="H93" s="10">
        <f>-1*H90</f>
        <v>0</v>
      </c>
      <c r="I93" s="9" t="str">
        <f>F89</f>
        <v>U4X</v>
      </c>
    </row>
    <row r="94" spans="2:39" ht="18" customHeight="1" x14ac:dyDescent="0.3">
      <c r="C94" s="10">
        <f>G90</f>
        <v>0</v>
      </c>
      <c r="D94" s="10">
        <f>G91</f>
        <v>-10678.7109375</v>
      </c>
      <c r="E94" s="10">
        <f>G92</f>
        <v>-2135742.1875</v>
      </c>
      <c r="F94" s="10">
        <f>G93</f>
        <v>0</v>
      </c>
      <c r="G94" s="10">
        <f>D91</f>
        <v>10678.7109375</v>
      </c>
      <c r="H94" s="10">
        <f>-1*H91</f>
        <v>-2135742.1875</v>
      </c>
      <c r="I94" s="9" t="str">
        <f>G89</f>
        <v>U4Y</v>
      </c>
    </row>
    <row r="95" spans="2:39" ht="18" customHeight="1" x14ac:dyDescent="0.3">
      <c r="C95" s="10">
        <f>H90</f>
        <v>0</v>
      </c>
      <c r="D95" s="10">
        <f>H91</f>
        <v>2135742.1875</v>
      </c>
      <c r="E95" s="10">
        <f>H92</f>
        <v>284765625</v>
      </c>
      <c r="F95" s="10">
        <f>H93</f>
        <v>0</v>
      </c>
      <c r="G95" s="10">
        <f>H94</f>
        <v>-2135742.1875</v>
      </c>
      <c r="H95" s="10">
        <f>E92</f>
        <v>569531250</v>
      </c>
      <c r="I95" s="9" t="str">
        <f>H89</f>
        <v>U4θ</v>
      </c>
    </row>
    <row r="97" spans="2:39" ht="15" thickBot="1" x14ac:dyDescent="0.35">
      <c r="C97" s="6" t="s">
        <v>125</v>
      </c>
      <c r="D97" s="6" t="s">
        <v>126</v>
      </c>
      <c r="E97" s="6" t="s">
        <v>127</v>
      </c>
      <c r="F97" s="6" t="s">
        <v>128</v>
      </c>
      <c r="G97" s="6" t="s">
        <v>129</v>
      </c>
      <c r="H97" s="6" t="s">
        <v>130</v>
      </c>
      <c r="I97" s="6" t="s">
        <v>131</v>
      </c>
      <c r="J97" s="6" t="s">
        <v>132</v>
      </c>
      <c r="K97" s="6" t="s">
        <v>133</v>
      </c>
      <c r="L97" s="6" t="s">
        <v>134</v>
      </c>
      <c r="M97" s="6" t="s">
        <v>135</v>
      </c>
      <c r="N97" s="6" t="s">
        <v>136</v>
      </c>
      <c r="O97" s="6" t="s">
        <v>137</v>
      </c>
      <c r="P97" s="6" t="s">
        <v>138</v>
      </c>
      <c r="Q97" s="6" t="s">
        <v>139</v>
      </c>
      <c r="R97" s="6" t="s">
        <v>140</v>
      </c>
      <c r="S97" s="6" t="s">
        <v>141</v>
      </c>
      <c r="T97" s="6" t="s">
        <v>142</v>
      </c>
      <c r="U97" s="6" t="s">
        <v>143</v>
      </c>
      <c r="V97" s="6" t="s">
        <v>144</v>
      </c>
      <c r="W97" s="6" t="s">
        <v>145</v>
      </c>
      <c r="X97" s="6" t="s">
        <v>146</v>
      </c>
      <c r="Y97" s="6" t="s">
        <v>147</v>
      </c>
      <c r="Z97" s="6" t="s">
        <v>148</v>
      </c>
      <c r="AA97" s="6" t="s">
        <v>149</v>
      </c>
      <c r="AB97" s="6" t="s">
        <v>150</v>
      </c>
      <c r="AC97" s="6" t="s">
        <v>151</v>
      </c>
      <c r="AD97" s="6" t="s">
        <v>152</v>
      </c>
      <c r="AE97" s="6" t="s">
        <v>153</v>
      </c>
      <c r="AF97" s="6" t="s">
        <v>154</v>
      </c>
      <c r="AG97" s="6" t="s">
        <v>155</v>
      </c>
      <c r="AH97" s="6" t="s">
        <v>156</v>
      </c>
      <c r="AI97" s="6" t="s">
        <v>157</v>
      </c>
      <c r="AJ97" s="6" t="s">
        <v>158</v>
      </c>
      <c r="AK97" s="6" t="s">
        <v>159</v>
      </c>
      <c r="AL97" s="6" t="s">
        <v>160</v>
      </c>
      <c r="AM97" s="6" t="s">
        <v>123</v>
      </c>
    </row>
    <row r="98" spans="2:39" ht="16.95" customHeight="1" x14ac:dyDescent="0.3"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5">
        <f t="shared" ref="I98:N103" si="46">C90</f>
        <v>843750</v>
      </c>
      <c r="J98" s="45">
        <f t="shared" si="46"/>
        <v>0</v>
      </c>
      <c r="K98" s="45">
        <f t="shared" si="46"/>
        <v>0</v>
      </c>
      <c r="L98" s="45">
        <f t="shared" si="46"/>
        <v>-843750</v>
      </c>
      <c r="M98" s="45">
        <f t="shared" si="46"/>
        <v>0</v>
      </c>
      <c r="N98" s="45">
        <f t="shared" si="46"/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41">
        <v>0</v>
      </c>
      <c r="U98" s="41">
        <v>0</v>
      </c>
      <c r="V98" s="41">
        <v>0</v>
      </c>
      <c r="W98" s="41">
        <v>0</v>
      </c>
      <c r="X98" s="41">
        <v>0</v>
      </c>
      <c r="Y98" s="41">
        <v>0</v>
      </c>
      <c r="Z98" s="41">
        <v>0</v>
      </c>
      <c r="AA98" s="41">
        <v>0</v>
      </c>
      <c r="AB98" s="41">
        <v>0</v>
      </c>
      <c r="AC98" s="41">
        <v>0</v>
      </c>
      <c r="AD98" s="41">
        <v>0</v>
      </c>
      <c r="AE98" s="41">
        <v>0</v>
      </c>
      <c r="AF98" s="41">
        <v>0</v>
      </c>
      <c r="AG98" s="41">
        <v>0</v>
      </c>
      <c r="AH98" s="41">
        <v>0</v>
      </c>
      <c r="AI98" s="41">
        <v>0</v>
      </c>
      <c r="AJ98" s="41">
        <v>0</v>
      </c>
      <c r="AK98" s="41">
        <v>0</v>
      </c>
      <c r="AL98" s="41">
        <v>0</v>
      </c>
      <c r="AM98" s="42" t="str">
        <f t="shared" ref="AM98:AM103" si="47">I90</f>
        <v>U3X</v>
      </c>
    </row>
    <row r="99" spans="2:39" ht="16.95" customHeight="1" thickBot="1" x14ac:dyDescent="0.35"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5">
        <f t="shared" si="46"/>
        <v>0</v>
      </c>
      <c r="J99" s="45">
        <f t="shared" si="46"/>
        <v>10678.7109375</v>
      </c>
      <c r="K99" s="45">
        <f t="shared" si="46"/>
        <v>2135742.1875</v>
      </c>
      <c r="L99" s="45">
        <f t="shared" si="46"/>
        <v>0</v>
      </c>
      <c r="M99" s="45">
        <f t="shared" si="46"/>
        <v>-10678.7109375</v>
      </c>
      <c r="N99" s="45">
        <f t="shared" si="46"/>
        <v>2135742.1875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41">
        <v>0</v>
      </c>
      <c r="U99" s="41">
        <v>0</v>
      </c>
      <c r="V99" s="41">
        <v>0</v>
      </c>
      <c r="W99" s="41">
        <v>0</v>
      </c>
      <c r="X99" s="41">
        <v>0</v>
      </c>
      <c r="Y99" s="41">
        <v>0</v>
      </c>
      <c r="Z99" s="41">
        <v>0</v>
      </c>
      <c r="AA99" s="41">
        <v>0</v>
      </c>
      <c r="AB99" s="41">
        <v>0</v>
      </c>
      <c r="AC99" s="41">
        <v>0</v>
      </c>
      <c r="AD99" s="41">
        <v>0</v>
      </c>
      <c r="AE99" s="41">
        <v>0</v>
      </c>
      <c r="AF99" s="41">
        <v>0</v>
      </c>
      <c r="AG99" s="41">
        <v>0</v>
      </c>
      <c r="AH99" s="41">
        <v>0</v>
      </c>
      <c r="AI99" s="41">
        <v>0</v>
      </c>
      <c r="AJ99" s="41">
        <v>0</v>
      </c>
      <c r="AK99" s="41">
        <v>0</v>
      </c>
      <c r="AL99" s="41">
        <v>0</v>
      </c>
      <c r="AM99" s="42" t="str">
        <f t="shared" si="47"/>
        <v>U3Y</v>
      </c>
    </row>
    <row r="100" spans="2:39" ht="16.95" customHeight="1" thickBot="1" x14ac:dyDescent="0.35">
      <c r="B100" s="39" t="s">
        <v>162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5">
        <f t="shared" si="46"/>
        <v>0</v>
      </c>
      <c r="J100" s="45">
        <f t="shared" si="46"/>
        <v>2135742.1875</v>
      </c>
      <c r="K100" s="45">
        <f t="shared" si="46"/>
        <v>569531250</v>
      </c>
      <c r="L100" s="45">
        <f t="shared" si="46"/>
        <v>0</v>
      </c>
      <c r="M100" s="45">
        <f t="shared" si="46"/>
        <v>-2135742.1875</v>
      </c>
      <c r="N100" s="45">
        <f t="shared" si="46"/>
        <v>284765625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41">
        <v>0</v>
      </c>
      <c r="U100" s="41">
        <v>0</v>
      </c>
      <c r="V100" s="41">
        <v>0</v>
      </c>
      <c r="W100" s="41">
        <v>0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>
        <v>0</v>
      </c>
      <c r="AD100" s="41">
        <v>0</v>
      </c>
      <c r="AE100" s="41">
        <v>0</v>
      </c>
      <c r="AF100" s="41">
        <v>0</v>
      </c>
      <c r="AG100" s="41">
        <v>0</v>
      </c>
      <c r="AH100" s="41">
        <v>0</v>
      </c>
      <c r="AI100" s="41">
        <v>0</v>
      </c>
      <c r="AJ100" s="41">
        <v>0</v>
      </c>
      <c r="AK100" s="41">
        <v>0</v>
      </c>
      <c r="AL100" s="41">
        <v>0</v>
      </c>
      <c r="AM100" s="42" t="str">
        <f t="shared" si="47"/>
        <v>U3θ</v>
      </c>
    </row>
    <row r="101" spans="2:39" ht="16.95" customHeight="1" x14ac:dyDescent="0.3"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5">
        <f t="shared" si="46"/>
        <v>-843750</v>
      </c>
      <c r="J101" s="45">
        <f t="shared" si="46"/>
        <v>0</v>
      </c>
      <c r="K101" s="45">
        <f t="shared" si="46"/>
        <v>0</v>
      </c>
      <c r="L101" s="45">
        <f t="shared" si="46"/>
        <v>843750</v>
      </c>
      <c r="M101" s="45">
        <f t="shared" si="46"/>
        <v>0</v>
      </c>
      <c r="N101" s="45">
        <f t="shared" si="46"/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2" t="str">
        <f t="shared" si="47"/>
        <v>U4X</v>
      </c>
    </row>
    <row r="102" spans="2:39" ht="16.95" customHeight="1" x14ac:dyDescent="0.3"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5">
        <f t="shared" si="46"/>
        <v>0</v>
      </c>
      <c r="J102" s="45">
        <f t="shared" si="46"/>
        <v>-10678.7109375</v>
      </c>
      <c r="K102" s="45">
        <f t="shared" si="46"/>
        <v>-2135742.1875</v>
      </c>
      <c r="L102" s="45">
        <f t="shared" si="46"/>
        <v>0</v>
      </c>
      <c r="M102" s="45">
        <f t="shared" si="46"/>
        <v>10678.7109375</v>
      </c>
      <c r="N102" s="45">
        <f t="shared" si="46"/>
        <v>-2135742.1875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2" t="str">
        <f t="shared" si="47"/>
        <v>U4Y</v>
      </c>
    </row>
    <row r="103" spans="2:39" ht="16.95" customHeight="1" x14ac:dyDescent="0.3"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5">
        <f t="shared" si="46"/>
        <v>0</v>
      </c>
      <c r="J103" s="45">
        <f t="shared" si="46"/>
        <v>2135742.1875</v>
      </c>
      <c r="K103" s="45">
        <f t="shared" si="46"/>
        <v>284765625</v>
      </c>
      <c r="L103" s="45">
        <f t="shared" si="46"/>
        <v>0</v>
      </c>
      <c r="M103" s="45">
        <f t="shared" si="46"/>
        <v>-2135742.1875</v>
      </c>
      <c r="N103" s="45">
        <f t="shared" si="46"/>
        <v>569531250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2" t="str">
        <f t="shared" si="47"/>
        <v>U4θ</v>
      </c>
    </row>
    <row r="106" spans="2:39" ht="15" thickBot="1" x14ac:dyDescent="0.35">
      <c r="C106" s="36" t="str">
        <f>IF(C31="","U4X","U"&amp;C31&amp;"X")</f>
        <v>U4X</v>
      </c>
      <c r="D106" s="36" t="str">
        <f>IF(D31="","U4Y","U"&amp;D31&amp;"Y")</f>
        <v>U4Y</v>
      </c>
      <c r="E106" s="36" t="str">
        <f>IF(E31="","U4θ","U"&amp;E31&amp;"θ")</f>
        <v>U4θ</v>
      </c>
      <c r="F106" s="36" t="str">
        <f>IF(F31="","U5X","U"&amp;F31&amp;"X")</f>
        <v>U5X</v>
      </c>
      <c r="G106" s="36" t="str">
        <f>IF(G31="","U5Y","U"&amp;G31&amp;"Y")</f>
        <v>U5Y</v>
      </c>
      <c r="H106" s="36" t="str">
        <f>IF(H31="","U5θ","U"&amp;H31&amp;"θ")</f>
        <v>U5θ</v>
      </c>
      <c r="I106" s="36" t="s">
        <v>123</v>
      </c>
    </row>
    <row r="107" spans="2:39" ht="18" customHeight="1" x14ac:dyDescent="0.3">
      <c r="C107" s="23">
        <f>IF(I17="",0,(S17*(J17^2))+(O17*(K17^2)))</f>
        <v>843750</v>
      </c>
      <c r="D107" s="23">
        <f>IF(I17="",0,(S17-O17)*J17*K17)</f>
        <v>0</v>
      </c>
      <c r="E107" s="23">
        <f>IF(I17="",0,-P17*K17)</f>
        <v>0</v>
      </c>
      <c r="F107" s="23">
        <f>-1*C107</f>
        <v>-843750</v>
      </c>
      <c r="G107" s="23">
        <f>-1*D107</f>
        <v>0</v>
      </c>
      <c r="H107" s="23">
        <f>E107</f>
        <v>0</v>
      </c>
      <c r="I107" s="9" t="str">
        <f>C106</f>
        <v>U4X</v>
      </c>
    </row>
    <row r="108" spans="2:39" ht="18" customHeight="1" thickBot="1" x14ac:dyDescent="0.35">
      <c r="C108" s="23">
        <f>D107</f>
        <v>0</v>
      </c>
      <c r="D108" s="23">
        <f>IF(I17="",0,(S17*(K17^2))+(O17*(J17^2)))</f>
        <v>10678.7109375</v>
      </c>
      <c r="E108" s="23">
        <f>IF(I17="",0,P17*J17)</f>
        <v>2135742.1875</v>
      </c>
      <c r="F108" s="23">
        <f>-1*D107</f>
        <v>0</v>
      </c>
      <c r="G108" s="23">
        <f>-1*D108</f>
        <v>-10678.7109375</v>
      </c>
      <c r="H108" s="23">
        <f>E108</f>
        <v>2135742.1875</v>
      </c>
      <c r="I108" s="9" t="str">
        <f>D106</f>
        <v>U4Y</v>
      </c>
    </row>
    <row r="109" spans="2:39" ht="18" customHeight="1" thickBot="1" x14ac:dyDescent="0.35">
      <c r="B109" s="39" t="s">
        <v>163</v>
      </c>
      <c r="C109" s="23">
        <f>E107</f>
        <v>0</v>
      </c>
      <c r="D109" s="23">
        <f>E108</f>
        <v>2135742.1875</v>
      </c>
      <c r="E109" s="23">
        <f>IF(I17="",0,Q17)</f>
        <v>569531250</v>
      </c>
      <c r="F109" s="23">
        <f>-1*E107</f>
        <v>0</v>
      </c>
      <c r="G109" s="23">
        <f>-1*E108</f>
        <v>-2135742.1875</v>
      </c>
      <c r="H109" s="23">
        <f>IF(I17="",0,R17)</f>
        <v>284765625</v>
      </c>
      <c r="I109" s="9" t="str">
        <f>E106</f>
        <v>U4θ</v>
      </c>
    </row>
    <row r="110" spans="2:39" ht="18" customHeight="1" x14ac:dyDescent="0.3">
      <c r="C110" s="23">
        <f>F107</f>
        <v>-843750</v>
      </c>
      <c r="D110" s="23">
        <f>F108</f>
        <v>0</v>
      </c>
      <c r="E110" s="23">
        <f>F109</f>
        <v>0</v>
      </c>
      <c r="F110" s="23">
        <f>C107</f>
        <v>843750</v>
      </c>
      <c r="G110" s="23">
        <f>D107</f>
        <v>0</v>
      </c>
      <c r="H110" s="23">
        <f>-1*H107</f>
        <v>0</v>
      </c>
      <c r="I110" s="9" t="str">
        <f>F106</f>
        <v>U5X</v>
      </c>
    </row>
    <row r="111" spans="2:39" ht="18" customHeight="1" x14ac:dyDescent="0.3">
      <c r="C111" s="23">
        <f>G107</f>
        <v>0</v>
      </c>
      <c r="D111" s="23">
        <f>G108</f>
        <v>-10678.7109375</v>
      </c>
      <c r="E111" s="23">
        <f>G109</f>
        <v>-2135742.1875</v>
      </c>
      <c r="F111" s="23">
        <f>G110</f>
        <v>0</v>
      </c>
      <c r="G111" s="23">
        <f>D108</f>
        <v>10678.7109375</v>
      </c>
      <c r="H111" s="23">
        <f>-1*H108</f>
        <v>-2135742.1875</v>
      </c>
      <c r="I111" s="9" t="str">
        <f>G106</f>
        <v>U5Y</v>
      </c>
    </row>
    <row r="112" spans="2:39" ht="18" customHeight="1" x14ac:dyDescent="0.3">
      <c r="C112" s="23">
        <f>H107</f>
        <v>0</v>
      </c>
      <c r="D112" s="23">
        <f>H108</f>
        <v>2135742.1875</v>
      </c>
      <c r="E112" s="23">
        <f>H109</f>
        <v>284765625</v>
      </c>
      <c r="F112" s="23">
        <f>H110</f>
        <v>0</v>
      </c>
      <c r="G112" s="23">
        <f>H111</f>
        <v>-2135742.1875</v>
      </c>
      <c r="H112" s="23">
        <f>E109</f>
        <v>569531250</v>
      </c>
      <c r="I112" s="9" t="str">
        <f>H106</f>
        <v>U5θ</v>
      </c>
    </row>
    <row r="114" spans="2:39" ht="15" thickBot="1" x14ac:dyDescent="0.35">
      <c r="C114" s="6" t="s">
        <v>125</v>
      </c>
      <c r="D114" s="6" t="s">
        <v>126</v>
      </c>
      <c r="E114" s="6" t="s">
        <v>127</v>
      </c>
      <c r="F114" s="6" t="s">
        <v>128</v>
      </c>
      <c r="G114" s="6" t="s">
        <v>129</v>
      </c>
      <c r="H114" s="6" t="s">
        <v>130</v>
      </c>
      <c r="I114" s="6" t="s">
        <v>131</v>
      </c>
      <c r="J114" s="6" t="s">
        <v>132</v>
      </c>
      <c r="K114" s="6" t="s">
        <v>133</v>
      </c>
      <c r="L114" s="6" t="s">
        <v>134</v>
      </c>
      <c r="M114" s="6" t="s">
        <v>135</v>
      </c>
      <c r="N114" s="6" t="s">
        <v>136</v>
      </c>
      <c r="O114" s="6" t="s">
        <v>137</v>
      </c>
      <c r="P114" s="6" t="s">
        <v>138</v>
      </c>
      <c r="Q114" s="6" t="s">
        <v>139</v>
      </c>
      <c r="R114" s="6" t="s">
        <v>140</v>
      </c>
      <c r="S114" s="6" t="s">
        <v>141</v>
      </c>
      <c r="T114" s="6" t="s">
        <v>142</v>
      </c>
      <c r="U114" s="6" t="s">
        <v>143</v>
      </c>
      <c r="V114" s="6" t="s">
        <v>144</v>
      </c>
      <c r="W114" s="6" t="s">
        <v>145</v>
      </c>
      <c r="X114" s="6" t="s">
        <v>146</v>
      </c>
      <c r="Y114" s="6" t="s">
        <v>147</v>
      </c>
      <c r="Z114" s="6" t="s">
        <v>148</v>
      </c>
      <c r="AA114" s="6" t="s">
        <v>149</v>
      </c>
      <c r="AB114" s="6" t="s">
        <v>150</v>
      </c>
      <c r="AC114" s="6" t="s">
        <v>151</v>
      </c>
      <c r="AD114" s="6" t="s">
        <v>152</v>
      </c>
      <c r="AE114" s="6" t="s">
        <v>153</v>
      </c>
      <c r="AF114" s="6" t="s">
        <v>154</v>
      </c>
      <c r="AG114" s="6" t="s">
        <v>155</v>
      </c>
      <c r="AH114" s="6" t="s">
        <v>156</v>
      </c>
      <c r="AI114" s="6" t="s">
        <v>157</v>
      </c>
      <c r="AJ114" s="6" t="s">
        <v>158</v>
      </c>
      <c r="AK114" s="6" t="s">
        <v>159</v>
      </c>
      <c r="AL114" s="6" t="s">
        <v>160</v>
      </c>
      <c r="AM114" s="6" t="s">
        <v>123</v>
      </c>
    </row>
    <row r="115" spans="2:39" ht="16.95" customHeight="1" x14ac:dyDescent="0.3">
      <c r="C115" s="41">
        <v>0</v>
      </c>
      <c r="D115" s="41">
        <v>0</v>
      </c>
      <c r="E115" s="41">
        <v>0</v>
      </c>
      <c r="F115" s="41">
        <v>0</v>
      </c>
      <c r="G115" s="41">
        <v>0</v>
      </c>
      <c r="H115" s="41">
        <v>0</v>
      </c>
      <c r="I115" s="41">
        <v>0</v>
      </c>
      <c r="J115" s="41">
        <v>0</v>
      </c>
      <c r="K115" s="41">
        <v>0</v>
      </c>
      <c r="L115" s="46">
        <f t="shared" ref="L115:Q120" si="48">C107</f>
        <v>843750</v>
      </c>
      <c r="M115" s="46">
        <f t="shared" si="48"/>
        <v>0</v>
      </c>
      <c r="N115" s="46">
        <f t="shared" si="48"/>
        <v>0</v>
      </c>
      <c r="O115" s="46">
        <f t="shared" si="48"/>
        <v>-843750</v>
      </c>
      <c r="P115" s="46">
        <f t="shared" si="48"/>
        <v>0</v>
      </c>
      <c r="Q115" s="46">
        <f t="shared" si="48"/>
        <v>0</v>
      </c>
      <c r="R115" s="41">
        <v>0</v>
      </c>
      <c r="S115" s="41">
        <v>0</v>
      </c>
      <c r="T115" s="41">
        <v>0</v>
      </c>
      <c r="U115" s="41">
        <v>0</v>
      </c>
      <c r="V115" s="41">
        <v>0</v>
      </c>
      <c r="W115" s="41">
        <v>0</v>
      </c>
      <c r="X115" s="41">
        <v>0</v>
      </c>
      <c r="Y115" s="41">
        <v>0</v>
      </c>
      <c r="Z115" s="41">
        <v>0</v>
      </c>
      <c r="AA115" s="41">
        <v>0</v>
      </c>
      <c r="AB115" s="41">
        <v>0</v>
      </c>
      <c r="AC115" s="41">
        <v>0</v>
      </c>
      <c r="AD115" s="41">
        <v>0</v>
      </c>
      <c r="AE115" s="41">
        <v>0</v>
      </c>
      <c r="AF115" s="41">
        <v>0</v>
      </c>
      <c r="AG115" s="41">
        <v>0</v>
      </c>
      <c r="AH115" s="41">
        <v>0</v>
      </c>
      <c r="AI115" s="41">
        <v>0</v>
      </c>
      <c r="AJ115" s="41">
        <v>0</v>
      </c>
      <c r="AK115" s="41">
        <v>0</v>
      </c>
      <c r="AL115" s="41">
        <v>0</v>
      </c>
      <c r="AM115" s="42" t="str">
        <f t="shared" ref="AM115:AM120" si="49">I107</f>
        <v>U4X</v>
      </c>
    </row>
    <row r="116" spans="2:39" ht="16.95" customHeight="1" thickBot="1" x14ac:dyDescent="0.35">
      <c r="C116" s="41">
        <v>0</v>
      </c>
      <c r="D116" s="41">
        <v>0</v>
      </c>
      <c r="E116" s="41">
        <v>0</v>
      </c>
      <c r="F116" s="41">
        <v>0</v>
      </c>
      <c r="G116" s="41">
        <v>0</v>
      </c>
      <c r="H116" s="41">
        <v>0</v>
      </c>
      <c r="I116" s="41">
        <v>0</v>
      </c>
      <c r="J116" s="41">
        <v>0</v>
      </c>
      <c r="K116" s="41">
        <v>0</v>
      </c>
      <c r="L116" s="46">
        <f t="shared" si="48"/>
        <v>0</v>
      </c>
      <c r="M116" s="46">
        <f t="shared" si="48"/>
        <v>10678.7109375</v>
      </c>
      <c r="N116" s="46">
        <f t="shared" si="48"/>
        <v>2135742.1875</v>
      </c>
      <c r="O116" s="46">
        <f t="shared" si="48"/>
        <v>0</v>
      </c>
      <c r="P116" s="46">
        <f t="shared" si="48"/>
        <v>-10678.7109375</v>
      </c>
      <c r="Q116" s="46">
        <f t="shared" si="48"/>
        <v>2135742.1875</v>
      </c>
      <c r="R116" s="41">
        <v>0</v>
      </c>
      <c r="S116" s="41">
        <v>0</v>
      </c>
      <c r="T116" s="41">
        <v>0</v>
      </c>
      <c r="U116" s="41">
        <v>0</v>
      </c>
      <c r="V116" s="41">
        <v>0</v>
      </c>
      <c r="W116" s="41">
        <v>0</v>
      </c>
      <c r="X116" s="41">
        <v>0</v>
      </c>
      <c r="Y116" s="41">
        <v>0</v>
      </c>
      <c r="Z116" s="41">
        <v>0</v>
      </c>
      <c r="AA116" s="41">
        <v>0</v>
      </c>
      <c r="AB116" s="41">
        <v>0</v>
      </c>
      <c r="AC116" s="41">
        <v>0</v>
      </c>
      <c r="AD116" s="41">
        <v>0</v>
      </c>
      <c r="AE116" s="41">
        <v>0</v>
      </c>
      <c r="AF116" s="41">
        <v>0</v>
      </c>
      <c r="AG116" s="41">
        <v>0</v>
      </c>
      <c r="AH116" s="41">
        <v>0</v>
      </c>
      <c r="AI116" s="41">
        <v>0</v>
      </c>
      <c r="AJ116" s="41">
        <v>0</v>
      </c>
      <c r="AK116" s="41">
        <v>0</v>
      </c>
      <c r="AL116" s="41">
        <v>0</v>
      </c>
      <c r="AM116" s="42" t="str">
        <f t="shared" si="49"/>
        <v>U4Y</v>
      </c>
    </row>
    <row r="117" spans="2:39" ht="16.95" customHeight="1" thickBot="1" x14ac:dyDescent="0.35">
      <c r="B117" s="39" t="s">
        <v>163</v>
      </c>
      <c r="C117" s="41">
        <v>0</v>
      </c>
      <c r="D117" s="41">
        <v>0</v>
      </c>
      <c r="E117" s="41">
        <v>0</v>
      </c>
      <c r="F117" s="41">
        <v>0</v>
      </c>
      <c r="G117" s="41">
        <v>0</v>
      </c>
      <c r="H117" s="41">
        <v>0</v>
      </c>
      <c r="I117" s="41">
        <v>0</v>
      </c>
      <c r="J117" s="41">
        <v>0</v>
      </c>
      <c r="K117" s="41">
        <v>0</v>
      </c>
      <c r="L117" s="46">
        <f t="shared" si="48"/>
        <v>0</v>
      </c>
      <c r="M117" s="46">
        <f t="shared" si="48"/>
        <v>2135742.1875</v>
      </c>
      <c r="N117" s="46">
        <f t="shared" si="48"/>
        <v>569531250</v>
      </c>
      <c r="O117" s="46">
        <f t="shared" si="48"/>
        <v>0</v>
      </c>
      <c r="P117" s="46">
        <f t="shared" si="48"/>
        <v>-2135742.1875</v>
      </c>
      <c r="Q117" s="46">
        <f t="shared" si="48"/>
        <v>284765625</v>
      </c>
      <c r="R117" s="41">
        <v>0</v>
      </c>
      <c r="S117" s="41">
        <v>0</v>
      </c>
      <c r="T117" s="41">
        <v>0</v>
      </c>
      <c r="U117" s="41">
        <v>0</v>
      </c>
      <c r="V117" s="41">
        <v>0</v>
      </c>
      <c r="W117" s="41">
        <v>0</v>
      </c>
      <c r="X117" s="41">
        <v>0</v>
      </c>
      <c r="Y117" s="41">
        <v>0</v>
      </c>
      <c r="Z117" s="41">
        <v>0</v>
      </c>
      <c r="AA117" s="41">
        <v>0</v>
      </c>
      <c r="AB117" s="41">
        <v>0</v>
      </c>
      <c r="AC117" s="41">
        <v>0</v>
      </c>
      <c r="AD117" s="41">
        <v>0</v>
      </c>
      <c r="AE117" s="41">
        <v>0</v>
      </c>
      <c r="AF117" s="41">
        <v>0</v>
      </c>
      <c r="AG117" s="41">
        <v>0</v>
      </c>
      <c r="AH117" s="41">
        <v>0</v>
      </c>
      <c r="AI117" s="41">
        <v>0</v>
      </c>
      <c r="AJ117" s="41">
        <v>0</v>
      </c>
      <c r="AK117" s="41">
        <v>0</v>
      </c>
      <c r="AL117" s="41">
        <v>0</v>
      </c>
      <c r="AM117" s="42" t="str">
        <f t="shared" si="49"/>
        <v>U4θ</v>
      </c>
    </row>
    <row r="118" spans="2:39" ht="16.95" customHeight="1" x14ac:dyDescent="0.3">
      <c r="C118" s="41">
        <v>0</v>
      </c>
      <c r="D118" s="41">
        <v>0</v>
      </c>
      <c r="E118" s="41">
        <v>0</v>
      </c>
      <c r="F118" s="41">
        <v>0</v>
      </c>
      <c r="G118" s="41">
        <v>0</v>
      </c>
      <c r="H118" s="41">
        <v>0</v>
      </c>
      <c r="I118" s="41">
        <v>0</v>
      </c>
      <c r="J118" s="41">
        <v>0</v>
      </c>
      <c r="K118" s="41">
        <v>0</v>
      </c>
      <c r="L118" s="46">
        <f t="shared" si="48"/>
        <v>-843750</v>
      </c>
      <c r="M118" s="46">
        <f t="shared" si="48"/>
        <v>0</v>
      </c>
      <c r="N118" s="46">
        <f t="shared" si="48"/>
        <v>0</v>
      </c>
      <c r="O118" s="46">
        <f t="shared" si="48"/>
        <v>843750</v>
      </c>
      <c r="P118" s="46">
        <f t="shared" si="48"/>
        <v>0</v>
      </c>
      <c r="Q118" s="46">
        <f t="shared" si="48"/>
        <v>0</v>
      </c>
      <c r="R118" s="41">
        <v>0</v>
      </c>
      <c r="S118" s="41">
        <v>0</v>
      </c>
      <c r="T118" s="41">
        <v>0</v>
      </c>
      <c r="U118" s="41">
        <v>0</v>
      </c>
      <c r="V118" s="41">
        <v>0</v>
      </c>
      <c r="W118" s="41">
        <v>0</v>
      </c>
      <c r="X118" s="41">
        <v>0</v>
      </c>
      <c r="Y118" s="41">
        <v>0</v>
      </c>
      <c r="Z118" s="41">
        <v>0</v>
      </c>
      <c r="AA118" s="41">
        <v>0</v>
      </c>
      <c r="AB118" s="41">
        <v>0</v>
      </c>
      <c r="AC118" s="41">
        <v>0</v>
      </c>
      <c r="AD118" s="41">
        <v>0</v>
      </c>
      <c r="AE118" s="41">
        <v>0</v>
      </c>
      <c r="AF118" s="41">
        <v>0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2" t="str">
        <f t="shared" si="49"/>
        <v>U5X</v>
      </c>
    </row>
    <row r="119" spans="2:39" ht="16.95" customHeight="1" x14ac:dyDescent="0.3">
      <c r="C119" s="41">
        <v>0</v>
      </c>
      <c r="D119" s="41">
        <v>0</v>
      </c>
      <c r="E119" s="41">
        <v>0</v>
      </c>
      <c r="F119" s="41">
        <v>0</v>
      </c>
      <c r="G119" s="41">
        <v>0</v>
      </c>
      <c r="H119" s="41">
        <v>0</v>
      </c>
      <c r="I119" s="41">
        <v>0</v>
      </c>
      <c r="J119" s="41">
        <v>0</v>
      </c>
      <c r="K119" s="41">
        <v>0</v>
      </c>
      <c r="L119" s="46">
        <f t="shared" si="48"/>
        <v>0</v>
      </c>
      <c r="M119" s="46">
        <f t="shared" si="48"/>
        <v>-10678.7109375</v>
      </c>
      <c r="N119" s="46">
        <f t="shared" si="48"/>
        <v>-2135742.1875</v>
      </c>
      <c r="O119" s="46">
        <f t="shared" si="48"/>
        <v>0</v>
      </c>
      <c r="P119" s="46">
        <f t="shared" si="48"/>
        <v>10678.7109375</v>
      </c>
      <c r="Q119" s="46">
        <f t="shared" si="48"/>
        <v>-2135742.1875</v>
      </c>
      <c r="R119" s="41">
        <v>0</v>
      </c>
      <c r="S119" s="41">
        <v>0</v>
      </c>
      <c r="T119" s="41">
        <v>0</v>
      </c>
      <c r="U119" s="41">
        <v>0</v>
      </c>
      <c r="V119" s="41">
        <v>0</v>
      </c>
      <c r="W119" s="41">
        <v>0</v>
      </c>
      <c r="X119" s="41">
        <v>0</v>
      </c>
      <c r="Y119" s="41">
        <v>0</v>
      </c>
      <c r="Z119" s="41">
        <v>0</v>
      </c>
      <c r="AA119" s="41">
        <v>0</v>
      </c>
      <c r="AB119" s="41">
        <v>0</v>
      </c>
      <c r="AC119" s="41">
        <v>0</v>
      </c>
      <c r="AD119" s="41">
        <v>0</v>
      </c>
      <c r="AE119" s="41">
        <v>0</v>
      </c>
      <c r="AF119" s="41">
        <v>0</v>
      </c>
      <c r="AG119" s="41">
        <v>0</v>
      </c>
      <c r="AH119" s="41">
        <v>0</v>
      </c>
      <c r="AI119" s="41">
        <v>0</v>
      </c>
      <c r="AJ119" s="41">
        <v>0</v>
      </c>
      <c r="AK119" s="41">
        <v>0</v>
      </c>
      <c r="AL119" s="41">
        <v>0</v>
      </c>
      <c r="AM119" s="42" t="str">
        <f t="shared" si="49"/>
        <v>U5Y</v>
      </c>
    </row>
    <row r="120" spans="2:39" ht="16.95" customHeight="1" x14ac:dyDescent="0.3">
      <c r="C120" s="41">
        <v>0</v>
      </c>
      <c r="D120" s="41">
        <v>0</v>
      </c>
      <c r="E120" s="41">
        <v>0</v>
      </c>
      <c r="F120" s="41">
        <v>0</v>
      </c>
      <c r="G120" s="41">
        <v>0</v>
      </c>
      <c r="H120" s="41">
        <v>0</v>
      </c>
      <c r="I120" s="41">
        <v>0</v>
      </c>
      <c r="J120" s="41">
        <v>0</v>
      </c>
      <c r="K120" s="41">
        <v>0</v>
      </c>
      <c r="L120" s="46">
        <f t="shared" si="48"/>
        <v>0</v>
      </c>
      <c r="M120" s="46">
        <f t="shared" si="48"/>
        <v>2135742.1875</v>
      </c>
      <c r="N120" s="46">
        <f t="shared" si="48"/>
        <v>284765625</v>
      </c>
      <c r="O120" s="46">
        <f t="shared" si="48"/>
        <v>0</v>
      </c>
      <c r="P120" s="46">
        <f t="shared" si="48"/>
        <v>-2135742.1875</v>
      </c>
      <c r="Q120" s="46">
        <f t="shared" si="48"/>
        <v>569531250</v>
      </c>
      <c r="R120" s="41">
        <v>0</v>
      </c>
      <c r="S120" s="41">
        <v>0</v>
      </c>
      <c r="T120" s="41">
        <v>0</v>
      </c>
      <c r="U120" s="41">
        <v>0</v>
      </c>
      <c r="V120" s="41">
        <v>0</v>
      </c>
      <c r="W120" s="41">
        <v>0</v>
      </c>
      <c r="X120" s="41">
        <v>0</v>
      </c>
      <c r="Y120" s="41">
        <v>0</v>
      </c>
      <c r="Z120" s="41">
        <v>0</v>
      </c>
      <c r="AA120" s="41">
        <v>0</v>
      </c>
      <c r="AB120" s="41">
        <v>0</v>
      </c>
      <c r="AC120" s="41">
        <v>0</v>
      </c>
      <c r="AD120" s="41">
        <v>0</v>
      </c>
      <c r="AE120" s="41">
        <v>0</v>
      </c>
      <c r="AF120" s="41">
        <v>0</v>
      </c>
      <c r="AG120" s="41">
        <v>0</v>
      </c>
      <c r="AH120" s="41">
        <v>0</v>
      </c>
      <c r="AI120" s="41">
        <v>0</v>
      </c>
      <c r="AJ120" s="41">
        <v>0</v>
      </c>
      <c r="AK120" s="41">
        <v>0</v>
      </c>
      <c r="AL120" s="41">
        <v>0</v>
      </c>
      <c r="AM120" s="42" t="str">
        <f t="shared" si="49"/>
        <v>U5θ</v>
      </c>
    </row>
    <row r="123" spans="2:39" ht="15" thickBot="1" x14ac:dyDescent="0.35">
      <c r="C123" s="36" t="str">
        <f>IF(C32="","U5X","U"&amp;C32&amp;"X")</f>
        <v>U5X</v>
      </c>
      <c r="D123" s="36" t="str">
        <f>IF(D32="","U5Y","U"&amp;D32&amp;"Y")</f>
        <v>U5Y</v>
      </c>
      <c r="E123" s="36" t="str">
        <f>IF(E32="","U5θ","U"&amp;E32&amp;"θ")</f>
        <v>U5θ</v>
      </c>
      <c r="F123" s="36" t="str">
        <f>IF(F32="","U6X","U"&amp;F32&amp;"X")</f>
        <v>U6X</v>
      </c>
      <c r="G123" s="36" t="str">
        <f>IF(G32="","U6Y","U"&amp;G32&amp;"Y")</f>
        <v>U6Y</v>
      </c>
      <c r="H123" s="36" t="str">
        <f>IF(H32="","U6θ","U"&amp;H32&amp;"θ")</f>
        <v>U6θ</v>
      </c>
      <c r="I123" s="36" t="s">
        <v>123</v>
      </c>
    </row>
    <row r="124" spans="2:39" ht="18" customHeight="1" x14ac:dyDescent="0.3">
      <c r="C124" s="47">
        <f>IF(I18="",0,(S18*(J18^2))+(O18*(K18^2)))</f>
        <v>1350000</v>
      </c>
      <c r="D124" s="47">
        <f>IF(I18="",0,(S18-O18)*J18*K18)</f>
        <v>0</v>
      </c>
      <c r="E124" s="47">
        <f>IF(I18="",0,-P18*K18)</f>
        <v>0</v>
      </c>
      <c r="F124" s="47">
        <f>-1*C124</f>
        <v>-1350000</v>
      </c>
      <c r="G124" s="47">
        <f>-1*D124</f>
        <v>0</v>
      </c>
      <c r="H124" s="47">
        <f>E124</f>
        <v>0</v>
      </c>
      <c r="I124" s="9" t="str">
        <f>C123</f>
        <v>U5X</v>
      </c>
    </row>
    <row r="125" spans="2:39" ht="18" customHeight="1" thickBot="1" x14ac:dyDescent="0.35">
      <c r="C125" s="47">
        <f>D124</f>
        <v>0</v>
      </c>
      <c r="D125" s="47">
        <f>IF(I18="",0,(S18*(K18^2))+(O18*(J18^2)))</f>
        <v>43740</v>
      </c>
      <c r="E125" s="47">
        <f>IF(I18="",0,P18*J18)</f>
        <v>5467500</v>
      </c>
      <c r="F125" s="47">
        <f>-1*D124</f>
        <v>0</v>
      </c>
      <c r="G125" s="47">
        <f>-1*D125</f>
        <v>-43740</v>
      </c>
      <c r="H125" s="47">
        <f>E125</f>
        <v>5467500</v>
      </c>
      <c r="I125" s="9" t="str">
        <f>D123</f>
        <v>U5Y</v>
      </c>
    </row>
    <row r="126" spans="2:39" ht="18" customHeight="1" thickBot="1" x14ac:dyDescent="0.35">
      <c r="B126" s="39" t="s">
        <v>164</v>
      </c>
      <c r="C126" s="47">
        <f>E124</f>
        <v>0</v>
      </c>
      <c r="D126" s="47">
        <f>E125</f>
        <v>5467500</v>
      </c>
      <c r="E126" s="47">
        <f>IF(I18="",0,Q18)</f>
        <v>911250000</v>
      </c>
      <c r="F126" s="47">
        <f>-1*E124</f>
        <v>0</v>
      </c>
      <c r="G126" s="47">
        <f>-1*E125</f>
        <v>-5467500</v>
      </c>
      <c r="H126" s="47">
        <f>IF(I18="",0,R18)</f>
        <v>455625000</v>
      </c>
      <c r="I126" s="9" t="str">
        <f>E123</f>
        <v>U5θ</v>
      </c>
    </row>
    <row r="127" spans="2:39" ht="18" customHeight="1" x14ac:dyDescent="0.3">
      <c r="C127" s="47">
        <f>F124</f>
        <v>-1350000</v>
      </c>
      <c r="D127" s="47">
        <f>F125</f>
        <v>0</v>
      </c>
      <c r="E127" s="47">
        <f>F126</f>
        <v>0</v>
      </c>
      <c r="F127" s="47">
        <f>C124</f>
        <v>1350000</v>
      </c>
      <c r="G127" s="47">
        <f>D124</f>
        <v>0</v>
      </c>
      <c r="H127" s="47">
        <f>-1*H124</f>
        <v>0</v>
      </c>
      <c r="I127" s="9" t="str">
        <f>F123</f>
        <v>U6X</v>
      </c>
    </row>
    <row r="128" spans="2:39" ht="18" customHeight="1" x14ac:dyDescent="0.3">
      <c r="C128" s="47">
        <f>G124</f>
        <v>0</v>
      </c>
      <c r="D128" s="47">
        <f>G125</f>
        <v>-43740</v>
      </c>
      <c r="E128" s="47">
        <f>G126</f>
        <v>-5467500</v>
      </c>
      <c r="F128" s="47">
        <f>G127</f>
        <v>0</v>
      </c>
      <c r="G128" s="47">
        <f>D125</f>
        <v>43740</v>
      </c>
      <c r="H128" s="47">
        <f>-1*H125</f>
        <v>-5467500</v>
      </c>
      <c r="I128" s="9" t="str">
        <f>G123</f>
        <v>U6Y</v>
      </c>
    </row>
    <row r="129" spans="2:39" ht="18" customHeight="1" x14ac:dyDescent="0.3">
      <c r="C129" s="47">
        <f>H124</f>
        <v>0</v>
      </c>
      <c r="D129" s="47">
        <f>H125</f>
        <v>5467500</v>
      </c>
      <c r="E129" s="47">
        <f>H126</f>
        <v>455625000</v>
      </c>
      <c r="F129" s="47">
        <f>H127</f>
        <v>0</v>
      </c>
      <c r="G129" s="47">
        <f>H128</f>
        <v>-5467500</v>
      </c>
      <c r="H129" s="47">
        <f>E126</f>
        <v>911250000</v>
      </c>
      <c r="I129" s="9" t="str">
        <f>H123</f>
        <v>U6θ</v>
      </c>
    </row>
    <row r="131" spans="2:39" ht="15" thickBot="1" x14ac:dyDescent="0.35">
      <c r="C131" s="6" t="s">
        <v>125</v>
      </c>
      <c r="D131" s="6" t="s">
        <v>126</v>
      </c>
      <c r="E131" s="6" t="s">
        <v>127</v>
      </c>
      <c r="F131" s="6" t="s">
        <v>128</v>
      </c>
      <c r="G131" s="6" t="s">
        <v>129</v>
      </c>
      <c r="H131" s="6" t="s">
        <v>130</v>
      </c>
      <c r="I131" s="6" t="s">
        <v>131</v>
      </c>
      <c r="J131" s="6" t="s">
        <v>132</v>
      </c>
      <c r="K131" s="6" t="s">
        <v>133</v>
      </c>
      <c r="L131" s="6" t="s">
        <v>134</v>
      </c>
      <c r="M131" s="6" t="s">
        <v>135</v>
      </c>
      <c r="N131" s="6" t="s">
        <v>136</v>
      </c>
      <c r="O131" s="6" t="s">
        <v>137</v>
      </c>
      <c r="P131" s="6" t="s">
        <v>138</v>
      </c>
      <c r="Q131" s="6" t="s">
        <v>139</v>
      </c>
      <c r="R131" s="6" t="s">
        <v>140</v>
      </c>
      <c r="S131" s="6" t="s">
        <v>141</v>
      </c>
      <c r="T131" s="6" t="s">
        <v>142</v>
      </c>
      <c r="U131" s="6" t="s">
        <v>143</v>
      </c>
      <c r="V131" s="6" t="s">
        <v>144</v>
      </c>
      <c r="W131" s="6" t="s">
        <v>145</v>
      </c>
      <c r="X131" s="6" t="s">
        <v>146</v>
      </c>
      <c r="Y131" s="6" t="s">
        <v>147</v>
      </c>
      <c r="Z131" s="6" t="s">
        <v>148</v>
      </c>
      <c r="AA131" s="6" t="s">
        <v>149</v>
      </c>
      <c r="AB131" s="6" t="s">
        <v>150</v>
      </c>
      <c r="AC131" s="6" t="s">
        <v>151</v>
      </c>
      <c r="AD131" s="6" t="s">
        <v>152</v>
      </c>
      <c r="AE131" s="6" t="s">
        <v>153</v>
      </c>
      <c r="AF131" s="6" t="s">
        <v>154</v>
      </c>
      <c r="AG131" s="6" t="s">
        <v>155</v>
      </c>
      <c r="AH131" s="6" t="s">
        <v>156</v>
      </c>
      <c r="AI131" s="6" t="s">
        <v>157</v>
      </c>
      <c r="AJ131" s="6" t="s">
        <v>158</v>
      </c>
      <c r="AK131" s="6" t="s">
        <v>159</v>
      </c>
      <c r="AL131" s="6" t="s">
        <v>160</v>
      </c>
      <c r="AM131" s="6" t="s">
        <v>123</v>
      </c>
    </row>
    <row r="132" spans="2:39" ht="16.95" customHeight="1" x14ac:dyDescent="0.3">
      <c r="C132" s="41">
        <v>0</v>
      </c>
      <c r="D132" s="41">
        <v>0</v>
      </c>
      <c r="E132" s="41">
        <v>0</v>
      </c>
      <c r="F132" s="41">
        <v>0</v>
      </c>
      <c r="G132" s="41">
        <v>0</v>
      </c>
      <c r="H132" s="41">
        <v>0</v>
      </c>
      <c r="I132" s="41">
        <v>0</v>
      </c>
      <c r="J132" s="41">
        <v>0</v>
      </c>
      <c r="K132" s="41">
        <v>0</v>
      </c>
      <c r="L132" s="41">
        <v>0</v>
      </c>
      <c r="M132" s="41">
        <v>0</v>
      </c>
      <c r="N132" s="41">
        <v>0</v>
      </c>
      <c r="O132" s="48">
        <f t="shared" ref="O132:T137" si="50">C124</f>
        <v>1350000</v>
      </c>
      <c r="P132" s="48">
        <f t="shared" si="50"/>
        <v>0</v>
      </c>
      <c r="Q132" s="48">
        <f t="shared" si="50"/>
        <v>0</v>
      </c>
      <c r="R132" s="48">
        <f t="shared" si="50"/>
        <v>-1350000</v>
      </c>
      <c r="S132" s="48">
        <f t="shared" si="50"/>
        <v>0</v>
      </c>
      <c r="T132" s="48">
        <f t="shared" si="50"/>
        <v>0</v>
      </c>
      <c r="U132" s="41">
        <v>0</v>
      </c>
      <c r="V132" s="41">
        <v>0</v>
      </c>
      <c r="W132" s="41">
        <v>0</v>
      </c>
      <c r="X132" s="41">
        <v>0</v>
      </c>
      <c r="Y132" s="41">
        <v>0</v>
      </c>
      <c r="Z132" s="41">
        <v>0</v>
      </c>
      <c r="AA132" s="41">
        <v>0</v>
      </c>
      <c r="AB132" s="41">
        <v>0</v>
      </c>
      <c r="AC132" s="41">
        <v>0</v>
      </c>
      <c r="AD132" s="41">
        <v>0</v>
      </c>
      <c r="AE132" s="41">
        <v>0</v>
      </c>
      <c r="AF132" s="41">
        <v>0</v>
      </c>
      <c r="AG132" s="41">
        <v>0</v>
      </c>
      <c r="AH132" s="41">
        <v>0</v>
      </c>
      <c r="AI132" s="41">
        <v>0</v>
      </c>
      <c r="AJ132" s="41">
        <v>0</v>
      </c>
      <c r="AK132" s="41">
        <v>0</v>
      </c>
      <c r="AL132" s="41">
        <v>0</v>
      </c>
      <c r="AM132" s="42" t="str">
        <f t="shared" ref="AM132:AM137" si="51">I124</f>
        <v>U5X</v>
      </c>
    </row>
    <row r="133" spans="2:39" ht="16.95" customHeight="1" thickBot="1" x14ac:dyDescent="0.35">
      <c r="C133" s="41">
        <v>0</v>
      </c>
      <c r="D133" s="41">
        <v>0</v>
      </c>
      <c r="E133" s="41">
        <v>0</v>
      </c>
      <c r="F133" s="41">
        <v>0</v>
      </c>
      <c r="G133" s="41">
        <v>0</v>
      </c>
      <c r="H133" s="41">
        <v>0</v>
      </c>
      <c r="I133" s="41">
        <v>0</v>
      </c>
      <c r="J133" s="41">
        <v>0</v>
      </c>
      <c r="K133" s="41">
        <v>0</v>
      </c>
      <c r="L133" s="41">
        <v>0</v>
      </c>
      <c r="M133" s="41">
        <v>0</v>
      </c>
      <c r="N133" s="41">
        <v>0</v>
      </c>
      <c r="O133" s="48">
        <f t="shared" si="50"/>
        <v>0</v>
      </c>
      <c r="P133" s="48">
        <f t="shared" si="50"/>
        <v>43740</v>
      </c>
      <c r="Q133" s="48">
        <f t="shared" si="50"/>
        <v>5467500</v>
      </c>
      <c r="R133" s="48">
        <f t="shared" si="50"/>
        <v>0</v>
      </c>
      <c r="S133" s="48">
        <f t="shared" si="50"/>
        <v>-43740</v>
      </c>
      <c r="T133" s="48">
        <f t="shared" si="50"/>
        <v>5467500</v>
      </c>
      <c r="U133" s="41">
        <v>0</v>
      </c>
      <c r="V133" s="41">
        <v>0</v>
      </c>
      <c r="W133" s="41">
        <v>0</v>
      </c>
      <c r="X133" s="41">
        <v>0</v>
      </c>
      <c r="Y133" s="41">
        <v>0</v>
      </c>
      <c r="Z133" s="41">
        <v>0</v>
      </c>
      <c r="AA133" s="41">
        <v>0</v>
      </c>
      <c r="AB133" s="41">
        <v>0</v>
      </c>
      <c r="AC133" s="41">
        <v>0</v>
      </c>
      <c r="AD133" s="41">
        <v>0</v>
      </c>
      <c r="AE133" s="41">
        <v>0</v>
      </c>
      <c r="AF133" s="41">
        <v>0</v>
      </c>
      <c r="AG133" s="41">
        <v>0</v>
      </c>
      <c r="AH133" s="41">
        <v>0</v>
      </c>
      <c r="AI133" s="41">
        <v>0</v>
      </c>
      <c r="AJ133" s="41">
        <v>0</v>
      </c>
      <c r="AK133" s="41">
        <v>0</v>
      </c>
      <c r="AL133" s="41">
        <v>0</v>
      </c>
      <c r="AM133" s="42" t="str">
        <f t="shared" si="51"/>
        <v>U5Y</v>
      </c>
    </row>
    <row r="134" spans="2:39" ht="16.95" customHeight="1" thickBot="1" x14ac:dyDescent="0.35">
      <c r="B134" s="39" t="s">
        <v>164</v>
      </c>
      <c r="C134" s="41">
        <v>0</v>
      </c>
      <c r="D134" s="41">
        <v>0</v>
      </c>
      <c r="E134" s="41">
        <v>0</v>
      </c>
      <c r="F134" s="41">
        <v>0</v>
      </c>
      <c r="G134" s="41">
        <v>0</v>
      </c>
      <c r="H134" s="41">
        <v>0</v>
      </c>
      <c r="I134" s="41">
        <v>0</v>
      </c>
      <c r="J134" s="41">
        <v>0</v>
      </c>
      <c r="K134" s="41">
        <v>0</v>
      </c>
      <c r="L134" s="41">
        <v>0</v>
      </c>
      <c r="M134" s="41">
        <v>0</v>
      </c>
      <c r="N134" s="41">
        <v>0</v>
      </c>
      <c r="O134" s="48">
        <f t="shared" si="50"/>
        <v>0</v>
      </c>
      <c r="P134" s="48">
        <f t="shared" si="50"/>
        <v>5467500</v>
      </c>
      <c r="Q134" s="48">
        <f t="shared" si="50"/>
        <v>911250000</v>
      </c>
      <c r="R134" s="48">
        <f t="shared" si="50"/>
        <v>0</v>
      </c>
      <c r="S134" s="48">
        <f t="shared" si="50"/>
        <v>-5467500</v>
      </c>
      <c r="T134" s="48">
        <f t="shared" si="50"/>
        <v>455625000</v>
      </c>
      <c r="U134" s="41">
        <v>0</v>
      </c>
      <c r="V134" s="41">
        <v>0</v>
      </c>
      <c r="W134" s="41">
        <v>0</v>
      </c>
      <c r="X134" s="41">
        <v>0</v>
      </c>
      <c r="Y134" s="41">
        <v>0</v>
      </c>
      <c r="Z134" s="41">
        <v>0</v>
      </c>
      <c r="AA134" s="41">
        <v>0</v>
      </c>
      <c r="AB134" s="41">
        <v>0</v>
      </c>
      <c r="AC134" s="41">
        <v>0</v>
      </c>
      <c r="AD134" s="41">
        <v>0</v>
      </c>
      <c r="AE134" s="41">
        <v>0</v>
      </c>
      <c r="AF134" s="41">
        <v>0</v>
      </c>
      <c r="AG134" s="41">
        <v>0</v>
      </c>
      <c r="AH134" s="41">
        <v>0</v>
      </c>
      <c r="AI134" s="41">
        <v>0</v>
      </c>
      <c r="AJ134" s="41">
        <v>0</v>
      </c>
      <c r="AK134" s="41">
        <v>0</v>
      </c>
      <c r="AL134" s="41">
        <v>0</v>
      </c>
      <c r="AM134" s="42" t="str">
        <f t="shared" si="51"/>
        <v>U5θ</v>
      </c>
    </row>
    <row r="135" spans="2:39" ht="16.95" customHeight="1" x14ac:dyDescent="0.3">
      <c r="C135" s="41">
        <v>0</v>
      </c>
      <c r="D135" s="41">
        <v>0</v>
      </c>
      <c r="E135" s="41">
        <v>0</v>
      </c>
      <c r="F135" s="41">
        <v>0</v>
      </c>
      <c r="G135" s="41">
        <v>0</v>
      </c>
      <c r="H135" s="41">
        <v>0</v>
      </c>
      <c r="I135" s="41">
        <v>0</v>
      </c>
      <c r="J135" s="41">
        <v>0</v>
      </c>
      <c r="K135" s="41">
        <v>0</v>
      </c>
      <c r="L135" s="41">
        <v>0</v>
      </c>
      <c r="M135" s="41">
        <v>0</v>
      </c>
      <c r="N135" s="41">
        <v>0</v>
      </c>
      <c r="O135" s="48">
        <f t="shared" si="50"/>
        <v>-1350000</v>
      </c>
      <c r="P135" s="48">
        <f t="shared" si="50"/>
        <v>0</v>
      </c>
      <c r="Q135" s="48">
        <f t="shared" si="50"/>
        <v>0</v>
      </c>
      <c r="R135" s="48">
        <f t="shared" si="50"/>
        <v>1350000</v>
      </c>
      <c r="S135" s="48">
        <f t="shared" si="50"/>
        <v>0</v>
      </c>
      <c r="T135" s="48">
        <f t="shared" si="50"/>
        <v>0</v>
      </c>
      <c r="U135" s="41">
        <v>0</v>
      </c>
      <c r="V135" s="41">
        <v>0</v>
      </c>
      <c r="W135" s="41">
        <v>0</v>
      </c>
      <c r="X135" s="41">
        <v>0</v>
      </c>
      <c r="Y135" s="41">
        <v>0</v>
      </c>
      <c r="Z135" s="41">
        <v>0</v>
      </c>
      <c r="AA135" s="41">
        <v>0</v>
      </c>
      <c r="AB135" s="41">
        <v>0</v>
      </c>
      <c r="AC135" s="41">
        <v>0</v>
      </c>
      <c r="AD135" s="41">
        <v>0</v>
      </c>
      <c r="AE135" s="41">
        <v>0</v>
      </c>
      <c r="AF135" s="41">
        <v>0</v>
      </c>
      <c r="AG135" s="41">
        <v>0</v>
      </c>
      <c r="AH135" s="41">
        <v>0</v>
      </c>
      <c r="AI135" s="41">
        <v>0</v>
      </c>
      <c r="AJ135" s="41">
        <v>0</v>
      </c>
      <c r="AK135" s="41">
        <v>0</v>
      </c>
      <c r="AL135" s="41">
        <v>0</v>
      </c>
      <c r="AM135" s="42" t="str">
        <f t="shared" si="51"/>
        <v>U6X</v>
      </c>
    </row>
    <row r="136" spans="2:39" ht="16.95" customHeight="1" x14ac:dyDescent="0.3">
      <c r="C136" s="41">
        <v>0</v>
      </c>
      <c r="D136" s="41">
        <v>0</v>
      </c>
      <c r="E136" s="41">
        <v>0</v>
      </c>
      <c r="F136" s="41">
        <v>0</v>
      </c>
      <c r="G136" s="41">
        <v>0</v>
      </c>
      <c r="H136" s="41">
        <v>0</v>
      </c>
      <c r="I136" s="41">
        <v>0</v>
      </c>
      <c r="J136" s="41">
        <v>0</v>
      </c>
      <c r="K136" s="41">
        <v>0</v>
      </c>
      <c r="L136" s="41">
        <v>0</v>
      </c>
      <c r="M136" s="41">
        <v>0</v>
      </c>
      <c r="N136" s="41">
        <v>0</v>
      </c>
      <c r="O136" s="48">
        <f t="shared" si="50"/>
        <v>0</v>
      </c>
      <c r="P136" s="48">
        <f t="shared" si="50"/>
        <v>-43740</v>
      </c>
      <c r="Q136" s="48">
        <f t="shared" si="50"/>
        <v>-5467500</v>
      </c>
      <c r="R136" s="48">
        <f t="shared" si="50"/>
        <v>0</v>
      </c>
      <c r="S136" s="48">
        <f t="shared" si="50"/>
        <v>43740</v>
      </c>
      <c r="T136" s="48">
        <f t="shared" si="50"/>
        <v>-5467500</v>
      </c>
      <c r="U136" s="41">
        <v>0</v>
      </c>
      <c r="V136" s="41">
        <v>0</v>
      </c>
      <c r="W136" s="41">
        <v>0</v>
      </c>
      <c r="X136" s="41">
        <v>0</v>
      </c>
      <c r="Y136" s="41">
        <v>0</v>
      </c>
      <c r="Z136" s="41">
        <v>0</v>
      </c>
      <c r="AA136" s="41">
        <v>0</v>
      </c>
      <c r="AB136" s="41">
        <v>0</v>
      </c>
      <c r="AC136" s="41">
        <v>0</v>
      </c>
      <c r="AD136" s="41">
        <v>0</v>
      </c>
      <c r="AE136" s="41">
        <v>0</v>
      </c>
      <c r="AF136" s="41">
        <v>0</v>
      </c>
      <c r="AG136" s="41">
        <v>0</v>
      </c>
      <c r="AH136" s="41">
        <v>0</v>
      </c>
      <c r="AI136" s="41">
        <v>0</v>
      </c>
      <c r="AJ136" s="41">
        <v>0</v>
      </c>
      <c r="AK136" s="41">
        <v>0</v>
      </c>
      <c r="AL136" s="41">
        <v>0</v>
      </c>
      <c r="AM136" s="42" t="str">
        <f t="shared" si="51"/>
        <v>U6Y</v>
      </c>
    </row>
    <row r="137" spans="2:39" ht="16.95" customHeight="1" x14ac:dyDescent="0.3">
      <c r="C137" s="41">
        <v>0</v>
      </c>
      <c r="D137" s="41">
        <v>0</v>
      </c>
      <c r="E137" s="41">
        <v>0</v>
      </c>
      <c r="F137" s="41">
        <v>0</v>
      </c>
      <c r="G137" s="41">
        <v>0</v>
      </c>
      <c r="H137" s="41">
        <v>0</v>
      </c>
      <c r="I137" s="41">
        <v>0</v>
      </c>
      <c r="J137" s="41">
        <v>0</v>
      </c>
      <c r="K137" s="41">
        <v>0</v>
      </c>
      <c r="L137" s="41">
        <v>0</v>
      </c>
      <c r="M137" s="41">
        <v>0</v>
      </c>
      <c r="N137" s="41">
        <v>0</v>
      </c>
      <c r="O137" s="48">
        <f t="shared" si="50"/>
        <v>0</v>
      </c>
      <c r="P137" s="48">
        <f t="shared" si="50"/>
        <v>5467500</v>
      </c>
      <c r="Q137" s="48">
        <f t="shared" si="50"/>
        <v>455625000</v>
      </c>
      <c r="R137" s="48">
        <f t="shared" si="50"/>
        <v>0</v>
      </c>
      <c r="S137" s="48">
        <f t="shared" si="50"/>
        <v>-5467500</v>
      </c>
      <c r="T137" s="48">
        <f t="shared" si="50"/>
        <v>911250000</v>
      </c>
      <c r="U137" s="41">
        <v>0</v>
      </c>
      <c r="V137" s="41">
        <v>0</v>
      </c>
      <c r="W137" s="41">
        <v>0</v>
      </c>
      <c r="X137" s="41">
        <v>0</v>
      </c>
      <c r="Y137" s="41">
        <v>0</v>
      </c>
      <c r="Z137" s="41">
        <v>0</v>
      </c>
      <c r="AA137" s="41">
        <v>0</v>
      </c>
      <c r="AB137" s="41">
        <v>0</v>
      </c>
      <c r="AC137" s="41">
        <v>0</v>
      </c>
      <c r="AD137" s="41">
        <v>0</v>
      </c>
      <c r="AE137" s="41">
        <v>0</v>
      </c>
      <c r="AF137" s="41">
        <v>0</v>
      </c>
      <c r="AG137" s="41">
        <v>0</v>
      </c>
      <c r="AH137" s="41">
        <v>0</v>
      </c>
      <c r="AI137" s="41">
        <v>0</v>
      </c>
      <c r="AJ137" s="41">
        <v>0</v>
      </c>
      <c r="AK137" s="41">
        <v>0</v>
      </c>
      <c r="AL137" s="41">
        <v>0</v>
      </c>
      <c r="AM137" s="42" t="str">
        <f t="shared" si="51"/>
        <v>U6θ</v>
      </c>
    </row>
    <row r="140" spans="2:39" ht="15" thickBot="1" x14ac:dyDescent="0.35">
      <c r="C140" s="36" t="str">
        <f>IF(C33="","U6X","U"&amp;C33&amp;"X")</f>
        <v>U6X</v>
      </c>
      <c r="D140" s="36" t="str">
        <f>IF(D33="","U6Y","U"&amp;D33&amp;"Y")</f>
        <v>U6Y</v>
      </c>
      <c r="E140" s="36" t="str">
        <f>IF(E33="","U6θ","U"&amp;E33&amp;"θ")</f>
        <v>U6θ</v>
      </c>
      <c r="F140" s="36" t="str">
        <f>IF(F33="","U7X","U"&amp;F33&amp;"X")</f>
        <v>U7X</v>
      </c>
      <c r="G140" s="36" t="str">
        <f>IF(G33="","U7Y","U"&amp;G33&amp;"Y")</f>
        <v>U7Y</v>
      </c>
      <c r="H140" s="36" t="str">
        <f>IF(H33="","U7θ","U"&amp;H33&amp;"θ")</f>
        <v>U7θ</v>
      </c>
      <c r="I140" s="36" t="s">
        <v>123</v>
      </c>
    </row>
    <row r="141" spans="2:39" ht="18" customHeight="1" x14ac:dyDescent="0.3">
      <c r="C141" s="49">
        <f>IF(I19="",0,(S19*(J19^2))+(O19*(K19^2)))</f>
        <v>1350000</v>
      </c>
      <c r="D141" s="49">
        <f>IF(I19="",0,(S19-O19)*J19*K19)</f>
        <v>0</v>
      </c>
      <c r="E141" s="49">
        <f>IF(I19="",0,-P19*K19)</f>
        <v>0</v>
      </c>
      <c r="F141" s="49">
        <f>-1*C141</f>
        <v>-1350000</v>
      </c>
      <c r="G141" s="49">
        <f>-1*D141</f>
        <v>0</v>
      </c>
      <c r="H141" s="49">
        <f>E141</f>
        <v>0</v>
      </c>
      <c r="I141" s="9" t="str">
        <f>C140</f>
        <v>U6X</v>
      </c>
    </row>
    <row r="142" spans="2:39" ht="18" customHeight="1" thickBot="1" x14ac:dyDescent="0.35">
      <c r="C142" s="49">
        <f>D141</f>
        <v>0</v>
      </c>
      <c r="D142" s="49">
        <f>IF(I19="",0,(S19*(K19^2))+(O19*(J19^2)))</f>
        <v>43740</v>
      </c>
      <c r="E142" s="49">
        <f>IF(I19="",0,P19*J19)</f>
        <v>5467500</v>
      </c>
      <c r="F142" s="49">
        <f>-1*D141</f>
        <v>0</v>
      </c>
      <c r="G142" s="49">
        <f>-1*D142</f>
        <v>-43740</v>
      </c>
      <c r="H142" s="49">
        <f>E142</f>
        <v>5467500</v>
      </c>
      <c r="I142" s="9" t="str">
        <f>D140</f>
        <v>U6Y</v>
      </c>
    </row>
    <row r="143" spans="2:39" ht="18" customHeight="1" thickBot="1" x14ac:dyDescent="0.35">
      <c r="B143" s="39" t="s">
        <v>165</v>
      </c>
      <c r="C143" s="49">
        <f>E141</f>
        <v>0</v>
      </c>
      <c r="D143" s="49">
        <f>E142</f>
        <v>5467500</v>
      </c>
      <c r="E143" s="49">
        <f>IF(I19="",0,Q19)</f>
        <v>911250000</v>
      </c>
      <c r="F143" s="49">
        <f>-1*E141</f>
        <v>0</v>
      </c>
      <c r="G143" s="49">
        <f>-1*E142</f>
        <v>-5467500</v>
      </c>
      <c r="H143" s="49">
        <f>IF(I19="",0,R19)</f>
        <v>455625000</v>
      </c>
      <c r="I143" s="9" t="str">
        <f>E140</f>
        <v>U6θ</v>
      </c>
    </row>
    <row r="144" spans="2:39" ht="18" customHeight="1" x14ac:dyDescent="0.3">
      <c r="C144" s="49">
        <f>F141</f>
        <v>-1350000</v>
      </c>
      <c r="D144" s="49">
        <f>F142</f>
        <v>0</v>
      </c>
      <c r="E144" s="49">
        <f>F143</f>
        <v>0</v>
      </c>
      <c r="F144" s="49">
        <f>C141</f>
        <v>1350000</v>
      </c>
      <c r="G144" s="49">
        <f>D141</f>
        <v>0</v>
      </c>
      <c r="H144" s="49">
        <f>-1*H141</f>
        <v>0</v>
      </c>
      <c r="I144" s="9" t="str">
        <f>F140</f>
        <v>U7X</v>
      </c>
    </row>
    <row r="145" spans="2:39" ht="18" customHeight="1" x14ac:dyDescent="0.3">
      <c r="C145" s="49">
        <f>G141</f>
        <v>0</v>
      </c>
      <c r="D145" s="49">
        <f>G142</f>
        <v>-43740</v>
      </c>
      <c r="E145" s="49">
        <f>G143</f>
        <v>-5467500</v>
      </c>
      <c r="F145" s="49">
        <f>G144</f>
        <v>0</v>
      </c>
      <c r="G145" s="49">
        <f>D142</f>
        <v>43740</v>
      </c>
      <c r="H145" s="49">
        <f>-1*H142</f>
        <v>-5467500</v>
      </c>
      <c r="I145" s="9" t="str">
        <f>G140</f>
        <v>U7Y</v>
      </c>
    </row>
    <row r="146" spans="2:39" ht="18" customHeight="1" x14ac:dyDescent="0.3">
      <c r="C146" s="49">
        <f>H141</f>
        <v>0</v>
      </c>
      <c r="D146" s="49">
        <f>H142</f>
        <v>5467500</v>
      </c>
      <c r="E146" s="49">
        <f>H143</f>
        <v>455625000</v>
      </c>
      <c r="F146" s="49">
        <f>H144</f>
        <v>0</v>
      </c>
      <c r="G146" s="49">
        <f>H145</f>
        <v>-5467500</v>
      </c>
      <c r="H146" s="49">
        <f>E143</f>
        <v>911250000</v>
      </c>
      <c r="I146" s="9" t="str">
        <f>H140</f>
        <v>U7θ</v>
      </c>
    </row>
    <row r="148" spans="2:39" ht="15" thickBot="1" x14ac:dyDescent="0.35">
      <c r="C148" s="6" t="s">
        <v>125</v>
      </c>
      <c r="D148" s="6" t="s">
        <v>126</v>
      </c>
      <c r="E148" s="6" t="s">
        <v>127</v>
      </c>
      <c r="F148" s="6" t="s">
        <v>128</v>
      </c>
      <c r="G148" s="6" t="s">
        <v>129</v>
      </c>
      <c r="H148" s="6" t="s">
        <v>130</v>
      </c>
      <c r="I148" s="6" t="s">
        <v>131</v>
      </c>
      <c r="J148" s="6" t="s">
        <v>132</v>
      </c>
      <c r="K148" s="6" t="s">
        <v>133</v>
      </c>
      <c r="L148" s="6" t="s">
        <v>134</v>
      </c>
      <c r="M148" s="6" t="s">
        <v>135</v>
      </c>
      <c r="N148" s="6" t="s">
        <v>136</v>
      </c>
      <c r="O148" s="6" t="s">
        <v>137</v>
      </c>
      <c r="P148" s="6" t="s">
        <v>138</v>
      </c>
      <c r="Q148" s="6" t="s">
        <v>139</v>
      </c>
      <c r="R148" s="6" t="s">
        <v>140</v>
      </c>
      <c r="S148" s="6" t="s">
        <v>141</v>
      </c>
      <c r="T148" s="6" t="s">
        <v>142</v>
      </c>
      <c r="U148" s="6" t="s">
        <v>143</v>
      </c>
      <c r="V148" s="6" t="s">
        <v>144</v>
      </c>
      <c r="W148" s="6" t="s">
        <v>145</v>
      </c>
      <c r="X148" s="6" t="s">
        <v>146</v>
      </c>
      <c r="Y148" s="6" t="s">
        <v>147</v>
      </c>
      <c r="Z148" s="6" t="s">
        <v>148</v>
      </c>
      <c r="AA148" s="6" t="s">
        <v>149</v>
      </c>
      <c r="AB148" s="6" t="s">
        <v>150</v>
      </c>
      <c r="AC148" s="6" t="s">
        <v>151</v>
      </c>
      <c r="AD148" s="6" t="s">
        <v>152</v>
      </c>
      <c r="AE148" s="6" t="s">
        <v>153</v>
      </c>
      <c r="AF148" s="6" t="s">
        <v>154</v>
      </c>
      <c r="AG148" s="6" t="s">
        <v>155</v>
      </c>
      <c r="AH148" s="6" t="s">
        <v>156</v>
      </c>
      <c r="AI148" s="6" t="s">
        <v>157</v>
      </c>
      <c r="AJ148" s="6" t="s">
        <v>158</v>
      </c>
      <c r="AK148" s="6" t="s">
        <v>159</v>
      </c>
      <c r="AL148" s="6" t="s">
        <v>160</v>
      </c>
      <c r="AM148" s="6" t="s">
        <v>123</v>
      </c>
    </row>
    <row r="149" spans="2:39" ht="16.95" customHeight="1" x14ac:dyDescent="0.3">
      <c r="C149" s="41">
        <v>0</v>
      </c>
      <c r="D149" s="41">
        <v>0</v>
      </c>
      <c r="E149" s="41">
        <v>0</v>
      </c>
      <c r="F149" s="41">
        <v>0</v>
      </c>
      <c r="G149" s="41">
        <v>0</v>
      </c>
      <c r="H149" s="41">
        <v>0</v>
      </c>
      <c r="I149" s="41">
        <v>0</v>
      </c>
      <c r="J149" s="41">
        <v>0</v>
      </c>
      <c r="K149" s="41">
        <v>0</v>
      </c>
      <c r="L149" s="41">
        <v>0</v>
      </c>
      <c r="M149" s="41">
        <v>0</v>
      </c>
      <c r="N149" s="41">
        <v>0</v>
      </c>
      <c r="O149" s="41">
        <v>0</v>
      </c>
      <c r="P149" s="41">
        <v>0</v>
      </c>
      <c r="Q149" s="41">
        <v>0</v>
      </c>
      <c r="R149" s="50">
        <f t="shared" ref="R149:W154" si="52">C141</f>
        <v>1350000</v>
      </c>
      <c r="S149" s="50">
        <f t="shared" si="52"/>
        <v>0</v>
      </c>
      <c r="T149" s="50">
        <f t="shared" si="52"/>
        <v>0</v>
      </c>
      <c r="U149" s="50">
        <f t="shared" si="52"/>
        <v>-1350000</v>
      </c>
      <c r="V149" s="50">
        <f t="shared" si="52"/>
        <v>0</v>
      </c>
      <c r="W149" s="50">
        <f t="shared" si="52"/>
        <v>0</v>
      </c>
      <c r="X149" s="41">
        <v>0</v>
      </c>
      <c r="Y149" s="41">
        <v>0</v>
      </c>
      <c r="Z149" s="41">
        <v>0</v>
      </c>
      <c r="AA149" s="41">
        <v>0</v>
      </c>
      <c r="AB149" s="41">
        <v>0</v>
      </c>
      <c r="AC149" s="41">
        <v>0</v>
      </c>
      <c r="AD149" s="41">
        <v>0</v>
      </c>
      <c r="AE149" s="41">
        <v>0</v>
      </c>
      <c r="AF149" s="41">
        <v>0</v>
      </c>
      <c r="AG149" s="41">
        <v>0</v>
      </c>
      <c r="AH149" s="41">
        <v>0</v>
      </c>
      <c r="AI149" s="41">
        <v>0</v>
      </c>
      <c r="AJ149" s="41">
        <v>0</v>
      </c>
      <c r="AK149" s="41">
        <v>0</v>
      </c>
      <c r="AL149" s="41">
        <v>0</v>
      </c>
      <c r="AM149" s="42" t="str">
        <f t="shared" ref="AM149:AM154" si="53">I141</f>
        <v>U6X</v>
      </c>
    </row>
    <row r="150" spans="2:39" ht="16.95" customHeight="1" thickBot="1" x14ac:dyDescent="0.35">
      <c r="C150" s="41">
        <v>0</v>
      </c>
      <c r="D150" s="41">
        <v>0</v>
      </c>
      <c r="E150" s="41">
        <v>0</v>
      </c>
      <c r="F150" s="41">
        <v>0</v>
      </c>
      <c r="G150" s="41">
        <v>0</v>
      </c>
      <c r="H150" s="41">
        <v>0</v>
      </c>
      <c r="I150" s="41">
        <v>0</v>
      </c>
      <c r="J150" s="41">
        <v>0</v>
      </c>
      <c r="K150" s="41">
        <v>0</v>
      </c>
      <c r="L150" s="41">
        <v>0</v>
      </c>
      <c r="M150" s="41">
        <v>0</v>
      </c>
      <c r="N150" s="41">
        <v>0</v>
      </c>
      <c r="O150" s="41">
        <v>0</v>
      </c>
      <c r="P150" s="41">
        <v>0</v>
      </c>
      <c r="Q150" s="41">
        <v>0</v>
      </c>
      <c r="R150" s="50">
        <f t="shared" si="52"/>
        <v>0</v>
      </c>
      <c r="S150" s="50">
        <f t="shared" si="52"/>
        <v>43740</v>
      </c>
      <c r="T150" s="50">
        <f t="shared" si="52"/>
        <v>5467500</v>
      </c>
      <c r="U150" s="50">
        <f t="shared" si="52"/>
        <v>0</v>
      </c>
      <c r="V150" s="50">
        <f t="shared" si="52"/>
        <v>-43740</v>
      </c>
      <c r="W150" s="50">
        <f t="shared" si="52"/>
        <v>5467500</v>
      </c>
      <c r="X150" s="41">
        <v>0</v>
      </c>
      <c r="Y150" s="41">
        <v>0</v>
      </c>
      <c r="Z150" s="41">
        <v>0</v>
      </c>
      <c r="AA150" s="41">
        <v>0</v>
      </c>
      <c r="AB150" s="41">
        <v>0</v>
      </c>
      <c r="AC150" s="41">
        <v>0</v>
      </c>
      <c r="AD150" s="41">
        <v>0</v>
      </c>
      <c r="AE150" s="41">
        <v>0</v>
      </c>
      <c r="AF150" s="41">
        <v>0</v>
      </c>
      <c r="AG150" s="41">
        <v>0</v>
      </c>
      <c r="AH150" s="41">
        <v>0</v>
      </c>
      <c r="AI150" s="41">
        <v>0</v>
      </c>
      <c r="AJ150" s="41">
        <v>0</v>
      </c>
      <c r="AK150" s="41">
        <v>0</v>
      </c>
      <c r="AL150" s="41">
        <v>0</v>
      </c>
      <c r="AM150" s="42" t="str">
        <f t="shared" si="53"/>
        <v>U6Y</v>
      </c>
    </row>
    <row r="151" spans="2:39" ht="16.95" customHeight="1" thickBot="1" x14ac:dyDescent="0.35">
      <c r="B151" s="39" t="s">
        <v>165</v>
      </c>
      <c r="C151" s="41">
        <v>0</v>
      </c>
      <c r="D151" s="41">
        <v>0</v>
      </c>
      <c r="E151" s="41">
        <v>0</v>
      </c>
      <c r="F151" s="41">
        <v>0</v>
      </c>
      <c r="G151" s="41">
        <v>0</v>
      </c>
      <c r="H151" s="41">
        <v>0</v>
      </c>
      <c r="I151" s="41">
        <v>0</v>
      </c>
      <c r="J151" s="41">
        <v>0</v>
      </c>
      <c r="K151" s="41">
        <v>0</v>
      </c>
      <c r="L151" s="41">
        <v>0</v>
      </c>
      <c r="M151" s="41">
        <v>0</v>
      </c>
      <c r="N151" s="41">
        <v>0</v>
      </c>
      <c r="O151" s="41">
        <v>0</v>
      </c>
      <c r="P151" s="41">
        <v>0</v>
      </c>
      <c r="Q151" s="41">
        <v>0</v>
      </c>
      <c r="R151" s="50">
        <f t="shared" si="52"/>
        <v>0</v>
      </c>
      <c r="S151" s="50">
        <f t="shared" si="52"/>
        <v>5467500</v>
      </c>
      <c r="T151" s="50">
        <f t="shared" si="52"/>
        <v>911250000</v>
      </c>
      <c r="U151" s="50">
        <f t="shared" si="52"/>
        <v>0</v>
      </c>
      <c r="V151" s="50">
        <f t="shared" si="52"/>
        <v>-5467500</v>
      </c>
      <c r="W151" s="50">
        <f t="shared" si="52"/>
        <v>455625000</v>
      </c>
      <c r="X151" s="41">
        <v>0</v>
      </c>
      <c r="Y151" s="41">
        <v>0</v>
      </c>
      <c r="Z151" s="41">
        <v>0</v>
      </c>
      <c r="AA151" s="41">
        <v>0</v>
      </c>
      <c r="AB151" s="41">
        <v>0</v>
      </c>
      <c r="AC151" s="41">
        <v>0</v>
      </c>
      <c r="AD151" s="41">
        <v>0</v>
      </c>
      <c r="AE151" s="41">
        <v>0</v>
      </c>
      <c r="AF151" s="41">
        <v>0</v>
      </c>
      <c r="AG151" s="41">
        <v>0</v>
      </c>
      <c r="AH151" s="41">
        <v>0</v>
      </c>
      <c r="AI151" s="41">
        <v>0</v>
      </c>
      <c r="AJ151" s="41">
        <v>0</v>
      </c>
      <c r="AK151" s="41">
        <v>0</v>
      </c>
      <c r="AL151" s="41">
        <v>0</v>
      </c>
      <c r="AM151" s="42" t="str">
        <f t="shared" si="53"/>
        <v>U6θ</v>
      </c>
    </row>
    <row r="152" spans="2:39" ht="16.95" customHeight="1" x14ac:dyDescent="0.3">
      <c r="C152" s="41">
        <v>0</v>
      </c>
      <c r="D152" s="41">
        <v>0</v>
      </c>
      <c r="E152" s="41">
        <v>0</v>
      </c>
      <c r="F152" s="41">
        <v>0</v>
      </c>
      <c r="G152" s="41">
        <v>0</v>
      </c>
      <c r="H152" s="41">
        <v>0</v>
      </c>
      <c r="I152" s="41">
        <v>0</v>
      </c>
      <c r="J152" s="41">
        <v>0</v>
      </c>
      <c r="K152" s="41">
        <v>0</v>
      </c>
      <c r="L152" s="41">
        <v>0</v>
      </c>
      <c r="M152" s="41">
        <v>0</v>
      </c>
      <c r="N152" s="41">
        <v>0</v>
      </c>
      <c r="O152" s="41">
        <v>0</v>
      </c>
      <c r="P152" s="41">
        <v>0</v>
      </c>
      <c r="Q152" s="41">
        <v>0</v>
      </c>
      <c r="R152" s="50">
        <f t="shared" si="52"/>
        <v>-1350000</v>
      </c>
      <c r="S152" s="50">
        <f t="shared" si="52"/>
        <v>0</v>
      </c>
      <c r="T152" s="50">
        <f t="shared" si="52"/>
        <v>0</v>
      </c>
      <c r="U152" s="50">
        <f t="shared" si="52"/>
        <v>1350000</v>
      </c>
      <c r="V152" s="50">
        <f t="shared" si="52"/>
        <v>0</v>
      </c>
      <c r="W152" s="50">
        <f t="shared" si="52"/>
        <v>0</v>
      </c>
      <c r="X152" s="41">
        <v>0</v>
      </c>
      <c r="Y152" s="41">
        <v>0</v>
      </c>
      <c r="Z152" s="41">
        <v>0</v>
      </c>
      <c r="AA152" s="41">
        <v>0</v>
      </c>
      <c r="AB152" s="41">
        <v>0</v>
      </c>
      <c r="AC152" s="41">
        <v>0</v>
      </c>
      <c r="AD152" s="41">
        <v>0</v>
      </c>
      <c r="AE152" s="41">
        <v>0</v>
      </c>
      <c r="AF152" s="41">
        <v>0</v>
      </c>
      <c r="AG152" s="41">
        <v>0</v>
      </c>
      <c r="AH152" s="41">
        <v>0</v>
      </c>
      <c r="AI152" s="41">
        <v>0</v>
      </c>
      <c r="AJ152" s="41">
        <v>0</v>
      </c>
      <c r="AK152" s="41">
        <v>0</v>
      </c>
      <c r="AL152" s="41">
        <v>0</v>
      </c>
      <c r="AM152" s="42" t="str">
        <f t="shared" si="53"/>
        <v>U7X</v>
      </c>
    </row>
    <row r="153" spans="2:39" ht="16.95" customHeight="1" x14ac:dyDescent="0.3">
      <c r="C153" s="41">
        <v>0</v>
      </c>
      <c r="D153" s="41">
        <v>0</v>
      </c>
      <c r="E153" s="41">
        <v>0</v>
      </c>
      <c r="F153" s="41">
        <v>0</v>
      </c>
      <c r="G153" s="41">
        <v>0</v>
      </c>
      <c r="H153" s="41">
        <v>0</v>
      </c>
      <c r="I153" s="41">
        <v>0</v>
      </c>
      <c r="J153" s="41">
        <v>0</v>
      </c>
      <c r="K153" s="41">
        <v>0</v>
      </c>
      <c r="L153" s="41">
        <v>0</v>
      </c>
      <c r="M153" s="41">
        <v>0</v>
      </c>
      <c r="N153" s="41">
        <v>0</v>
      </c>
      <c r="O153" s="41">
        <v>0</v>
      </c>
      <c r="P153" s="41">
        <v>0</v>
      </c>
      <c r="Q153" s="41">
        <v>0</v>
      </c>
      <c r="R153" s="50">
        <f t="shared" si="52"/>
        <v>0</v>
      </c>
      <c r="S153" s="50">
        <f t="shared" si="52"/>
        <v>-43740</v>
      </c>
      <c r="T153" s="50">
        <f t="shared" si="52"/>
        <v>-5467500</v>
      </c>
      <c r="U153" s="50">
        <f t="shared" si="52"/>
        <v>0</v>
      </c>
      <c r="V153" s="50">
        <f t="shared" si="52"/>
        <v>43740</v>
      </c>
      <c r="W153" s="50">
        <f t="shared" si="52"/>
        <v>-5467500</v>
      </c>
      <c r="X153" s="41">
        <v>0</v>
      </c>
      <c r="Y153" s="41">
        <v>0</v>
      </c>
      <c r="Z153" s="41">
        <v>0</v>
      </c>
      <c r="AA153" s="41">
        <v>0</v>
      </c>
      <c r="AB153" s="41">
        <v>0</v>
      </c>
      <c r="AC153" s="41">
        <v>0</v>
      </c>
      <c r="AD153" s="41">
        <v>0</v>
      </c>
      <c r="AE153" s="41">
        <v>0</v>
      </c>
      <c r="AF153" s="41">
        <v>0</v>
      </c>
      <c r="AG153" s="41">
        <v>0</v>
      </c>
      <c r="AH153" s="41">
        <v>0</v>
      </c>
      <c r="AI153" s="41">
        <v>0</v>
      </c>
      <c r="AJ153" s="41">
        <v>0</v>
      </c>
      <c r="AK153" s="41">
        <v>0</v>
      </c>
      <c r="AL153" s="41">
        <v>0</v>
      </c>
      <c r="AM153" s="42" t="str">
        <f t="shared" si="53"/>
        <v>U7Y</v>
      </c>
    </row>
    <row r="154" spans="2:39" ht="16.95" customHeight="1" x14ac:dyDescent="0.3">
      <c r="C154" s="41">
        <v>0</v>
      </c>
      <c r="D154" s="41">
        <v>0</v>
      </c>
      <c r="E154" s="41">
        <v>0</v>
      </c>
      <c r="F154" s="41">
        <v>0</v>
      </c>
      <c r="G154" s="41">
        <v>0</v>
      </c>
      <c r="H154" s="41">
        <v>0</v>
      </c>
      <c r="I154" s="41">
        <v>0</v>
      </c>
      <c r="J154" s="41">
        <v>0</v>
      </c>
      <c r="K154" s="41">
        <v>0</v>
      </c>
      <c r="L154" s="41">
        <v>0</v>
      </c>
      <c r="M154" s="41">
        <v>0</v>
      </c>
      <c r="N154" s="41">
        <v>0</v>
      </c>
      <c r="O154" s="41">
        <v>0</v>
      </c>
      <c r="P154" s="41">
        <v>0</v>
      </c>
      <c r="Q154" s="41">
        <v>0</v>
      </c>
      <c r="R154" s="50">
        <f t="shared" si="52"/>
        <v>0</v>
      </c>
      <c r="S154" s="50">
        <f t="shared" si="52"/>
        <v>5467500</v>
      </c>
      <c r="T154" s="50">
        <f t="shared" si="52"/>
        <v>455625000</v>
      </c>
      <c r="U154" s="50">
        <f t="shared" si="52"/>
        <v>0</v>
      </c>
      <c r="V154" s="50">
        <f t="shared" si="52"/>
        <v>-5467500</v>
      </c>
      <c r="W154" s="50">
        <f t="shared" si="52"/>
        <v>911250000</v>
      </c>
      <c r="X154" s="41">
        <v>0</v>
      </c>
      <c r="Y154" s="41">
        <v>0</v>
      </c>
      <c r="Z154" s="41">
        <v>0</v>
      </c>
      <c r="AA154" s="41">
        <v>0</v>
      </c>
      <c r="AB154" s="41">
        <v>0</v>
      </c>
      <c r="AC154" s="41">
        <v>0</v>
      </c>
      <c r="AD154" s="41">
        <v>0</v>
      </c>
      <c r="AE154" s="41">
        <v>0</v>
      </c>
      <c r="AF154" s="41">
        <v>0</v>
      </c>
      <c r="AG154" s="41">
        <v>0</v>
      </c>
      <c r="AH154" s="41">
        <v>0</v>
      </c>
      <c r="AI154" s="41">
        <v>0</v>
      </c>
      <c r="AJ154" s="41">
        <v>0</v>
      </c>
      <c r="AK154" s="41">
        <v>0</v>
      </c>
      <c r="AL154" s="41">
        <v>0</v>
      </c>
      <c r="AM154" s="42" t="str">
        <f t="shared" si="53"/>
        <v>U7θ</v>
      </c>
    </row>
    <row r="157" spans="2:39" ht="15" thickBot="1" x14ac:dyDescent="0.35">
      <c r="C157" s="36" t="str">
        <f>IF(C34="","U7X","U"&amp;C34&amp;"X")</f>
        <v>U7X</v>
      </c>
      <c r="D157" s="36" t="str">
        <f>IF(D34="","U7Y","U"&amp;D34&amp;"Y")</f>
        <v>U7Y</v>
      </c>
      <c r="E157" s="36" t="str">
        <f>IF(E34="","U7θ","U"&amp;E34&amp;"θ")</f>
        <v>U7θ</v>
      </c>
      <c r="F157" s="36" t="str">
        <f>IF(F34="","U8X","U"&amp;F34&amp;"X")</f>
        <v>U8X</v>
      </c>
      <c r="G157" s="36" t="str">
        <f>IF(G34="","U8Y","U"&amp;G34&amp;"Y")</f>
        <v>U8Y</v>
      </c>
      <c r="H157" s="36" t="str">
        <f>IF(H34="","U8θ","U"&amp;H34&amp;"θ")</f>
        <v>U8θ</v>
      </c>
      <c r="I157" s="36" t="s">
        <v>123</v>
      </c>
    </row>
    <row r="158" spans="2:39" ht="18" customHeight="1" x14ac:dyDescent="0.3">
      <c r="C158" s="22">
        <f>IF(I20="",0,(S20*(J20^2))+(O20*(K20^2)))</f>
        <v>0</v>
      </c>
      <c r="D158" s="22">
        <f>IF(I20="",0,(S20-O20)*J20*K20)</f>
        <v>0</v>
      </c>
      <c r="E158" s="22">
        <f>IF(I20="",0,-P20*K20)</f>
        <v>0</v>
      </c>
      <c r="F158" s="22">
        <f>-1*C158</f>
        <v>0</v>
      </c>
      <c r="G158" s="22">
        <f>-1*D158</f>
        <v>0</v>
      </c>
      <c r="H158" s="22">
        <f>E158</f>
        <v>0</v>
      </c>
      <c r="I158" s="9" t="str">
        <f>C157</f>
        <v>U7X</v>
      </c>
    </row>
    <row r="159" spans="2:39" ht="18" customHeight="1" thickBot="1" x14ac:dyDescent="0.35">
      <c r="C159" s="22">
        <f>D158</f>
        <v>0</v>
      </c>
      <c r="D159" s="22">
        <f>IF(I20="",0,(S20*(K20^2))+(O20*(J20^2)))</f>
        <v>0</v>
      </c>
      <c r="E159" s="22">
        <f>IF(I20="",0,P20*J20)</f>
        <v>0</v>
      </c>
      <c r="F159" s="22">
        <f>-1*D158</f>
        <v>0</v>
      </c>
      <c r="G159" s="22">
        <f>-1*D159</f>
        <v>0</v>
      </c>
      <c r="H159" s="22">
        <f>E159</f>
        <v>0</v>
      </c>
      <c r="I159" s="9" t="str">
        <f>D157</f>
        <v>U7Y</v>
      </c>
    </row>
    <row r="160" spans="2:39" ht="18" customHeight="1" thickBot="1" x14ac:dyDescent="0.35">
      <c r="B160" s="39" t="s">
        <v>166</v>
      </c>
      <c r="C160" s="22">
        <f>E158</f>
        <v>0</v>
      </c>
      <c r="D160" s="22">
        <f>E159</f>
        <v>0</v>
      </c>
      <c r="E160" s="22">
        <f>IF(I20="",0,Q20)</f>
        <v>0</v>
      </c>
      <c r="F160" s="22">
        <f>-1*E158</f>
        <v>0</v>
      </c>
      <c r="G160" s="22">
        <f>-1*E159</f>
        <v>0</v>
      </c>
      <c r="H160" s="22">
        <f>IF(I20="",0,R20)</f>
        <v>0</v>
      </c>
      <c r="I160" s="9" t="str">
        <f>E157</f>
        <v>U7θ</v>
      </c>
    </row>
    <row r="161" spans="2:39" ht="18" customHeight="1" x14ac:dyDescent="0.3">
      <c r="C161" s="22">
        <f>F158</f>
        <v>0</v>
      </c>
      <c r="D161" s="22">
        <f>F159</f>
        <v>0</v>
      </c>
      <c r="E161" s="22">
        <f>F160</f>
        <v>0</v>
      </c>
      <c r="F161" s="22">
        <f>C158</f>
        <v>0</v>
      </c>
      <c r="G161" s="22">
        <f>D158</f>
        <v>0</v>
      </c>
      <c r="H161" s="22">
        <f>-1*H158</f>
        <v>0</v>
      </c>
      <c r="I161" s="9" t="str">
        <f>F157</f>
        <v>U8X</v>
      </c>
    </row>
    <row r="162" spans="2:39" ht="18" customHeight="1" x14ac:dyDescent="0.3">
      <c r="C162" s="22">
        <f>G158</f>
        <v>0</v>
      </c>
      <c r="D162" s="22">
        <f>G159</f>
        <v>0</v>
      </c>
      <c r="E162" s="22">
        <f>G160</f>
        <v>0</v>
      </c>
      <c r="F162" s="22">
        <f>G161</f>
        <v>0</v>
      </c>
      <c r="G162" s="22">
        <f>D159</f>
        <v>0</v>
      </c>
      <c r="H162" s="22">
        <f>-1*H159</f>
        <v>0</v>
      </c>
      <c r="I162" s="9" t="str">
        <f>G157</f>
        <v>U8Y</v>
      </c>
    </row>
    <row r="163" spans="2:39" ht="18" customHeight="1" x14ac:dyDescent="0.3">
      <c r="C163" s="22">
        <f>H158</f>
        <v>0</v>
      </c>
      <c r="D163" s="22">
        <f>H159</f>
        <v>0</v>
      </c>
      <c r="E163" s="22">
        <f>H160</f>
        <v>0</v>
      </c>
      <c r="F163" s="22">
        <f>H161</f>
        <v>0</v>
      </c>
      <c r="G163" s="22">
        <f>H162</f>
        <v>0</v>
      </c>
      <c r="H163" s="22">
        <f>E160</f>
        <v>0</v>
      </c>
      <c r="I163" s="9" t="str">
        <f>H157</f>
        <v>U8θ</v>
      </c>
    </row>
    <row r="165" spans="2:39" ht="15" thickBot="1" x14ac:dyDescent="0.35">
      <c r="C165" s="6" t="s">
        <v>125</v>
      </c>
      <c r="D165" s="6" t="s">
        <v>126</v>
      </c>
      <c r="E165" s="6" t="s">
        <v>127</v>
      </c>
      <c r="F165" s="6" t="s">
        <v>128</v>
      </c>
      <c r="G165" s="6" t="s">
        <v>129</v>
      </c>
      <c r="H165" s="6" t="s">
        <v>130</v>
      </c>
      <c r="I165" s="6" t="s">
        <v>131</v>
      </c>
      <c r="J165" s="6" t="s">
        <v>132</v>
      </c>
      <c r="K165" s="6" t="s">
        <v>133</v>
      </c>
      <c r="L165" s="6" t="s">
        <v>134</v>
      </c>
      <c r="M165" s="6" t="s">
        <v>135</v>
      </c>
      <c r="N165" s="6" t="s">
        <v>136</v>
      </c>
      <c r="O165" s="6" t="s">
        <v>137</v>
      </c>
      <c r="P165" s="6" t="s">
        <v>138</v>
      </c>
      <c r="Q165" s="6" t="s">
        <v>139</v>
      </c>
      <c r="R165" s="6" t="s">
        <v>140</v>
      </c>
      <c r="S165" s="6" t="s">
        <v>141</v>
      </c>
      <c r="T165" s="6" t="s">
        <v>142</v>
      </c>
      <c r="U165" s="6" t="s">
        <v>143</v>
      </c>
      <c r="V165" s="6" t="s">
        <v>144</v>
      </c>
      <c r="W165" s="6" t="s">
        <v>145</v>
      </c>
      <c r="X165" s="6" t="s">
        <v>146</v>
      </c>
      <c r="Y165" s="6" t="s">
        <v>147</v>
      </c>
      <c r="Z165" s="6" t="s">
        <v>148</v>
      </c>
      <c r="AA165" s="6" t="s">
        <v>149</v>
      </c>
      <c r="AB165" s="6" t="s">
        <v>150</v>
      </c>
      <c r="AC165" s="6" t="s">
        <v>151</v>
      </c>
      <c r="AD165" s="6" t="s">
        <v>152</v>
      </c>
      <c r="AE165" s="6" t="s">
        <v>153</v>
      </c>
      <c r="AF165" s="6" t="s">
        <v>154</v>
      </c>
      <c r="AG165" s="6" t="s">
        <v>155</v>
      </c>
      <c r="AH165" s="6" t="s">
        <v>156</v>
      </c>
      <c r="AI165" s="6" t="s">
        <v>157</v>
      </c>
      <c r="AJ165" s="6" t="s">
        <v>158</v>
      </c>
      <c r="AK165" s="6" t="s">
        <v>159</v>
      </c>
      <c r="AL165" s="6" t="s">
        <v>160</v>
      </c>
      <c r="AM165" s="6" t="s">
        <v>123</v>
      </c>
    </row>
    <row r="166" spans="2:39" ht="16.95" customHeight="1" x14ac:dyDescent="0.3">
      <c r="C166" s="41">
        <v>0</v>
      </c>
      <c r="D166" s="41">
        <v>0</v>
      </c>
      <c r="E166" s="41">
        <v>0</v>
      </c>
      <c r="F166" s="41">
        <v>0</v>
      </c>
      <c r="G166" s="41">
        <v>0</v>
      </c>
      <c r="H166" s="41">
        <v>0</v>
      </c>
      <c r="I166" s="41">
        <v>0</v>
      </c>
      <c r="J166" s="41">
        <v>0</v>
      </c>
      <c r="K166" s="41">
        <v>0</v>
      </c>
      <c r="L166" s="41">
        <v>0</v>
      </c>
      <c r="M166" s="41">
        <v>0</v>
      </c>
      <c r="N166" s="41">
        <v>0</v>
      </c>
      <c r="O166" s="41">
        <v>0</v>
      </c>
      <c r="P166" s="41">
        <v>0</v>
      </c>
      <c r="Q166" s="41">
        <v>0</v>
      </c>
      <c r="R166" s="41">
        <v>0</v>
      </c>
      <c r="S166" s="41">
        <v>0</v>
      </c>
      <c r="T166" s="41">
        <v>0</v>
      </c>
      <c r="U166" s="51">
        <f t="shared" ref="U166:Z171" si="54">C158</f>
        <v>0</v>
      </c>
      <c r="V166" s="51">
        <f t="shared" si="54"/>
        <v>0</v>
      </c>
      <c r="W166" s="51">
        <f t="shared" si="54"/>
        <v>0</v>
      </c>
      <c r="X166" s="51">
        <f t="shared" si="54"/>
        <v>0</v>
      </c>
      <c r="Y166" s="51">
        <f t="shared" si="54"/>
        <v>0</v>
      </c>
      <c r="Z166" s="51">
        <f t="shared" si="54"/>
        <v>0</v>
      </c>
      <c r="AA166" s="41">
        <v>0</v>
      </c>
      <c r="AB166" s="41">
        <v>0</v>
      </c>
      <c r="AC166" s="41">
        <v>0</v>
      </c>
      <c r="AD166" s="41">
        <v>0</v>
      </c>
      <c r="AE166" s="41">
        <v>0</v>
      </c>
      <c r="AF166" s="41">
        <v>0</v>
      </c>
      <c r="AG166" s="41">
        <v>0</v>
      </c>
      <c r="AH166" s="41">
        <v>0</v>
      </c>
      <c r="AI166" s="41">
        <v>0</v>
      </c>
      <c r="AJ166" s="41">
        <v>0</v>
      </c>
      <c r="AK166" s="41">
        <v>0</v>
      </c>
      <c r="AL166" s="41">
        <v>0</v>
      </c>
      <c r="AM166" s="42" t="str">
        <f t="shared" ref="AM166:AM171" si="55">I158</f>
        <v>U7X</v>
      </c>
    </row>
    <row r="167" spans="2:39" ht="16.95" customHeight="1" thickBot="1" x14ac:dyDescent="0.35">
      <c r="C167" s="41">
        <v>0</v>
      </c>
      <c r="D167" s="41">
        <v>0</v>
      </c>
      <c r="E167" s="41">
        <v>0</v>
      </c>
      <c r="F167" s="41">
        <v>0</v>
      </c>
      <c r="G167" s="41">
        <v>0</v>
      </c>
      <c r="H167" s="41">
        <v>0</v>
      </c>
      <c r="I167" s="41">
        <v>0</v>
      </c>
      <c r="J167" s="41">
        <v>0</v>
      </c>
      <c r="K167" s="41">
        <v>0</v>
      </c>
      <c r="L167" s="41">
        <v>0</v>
      </c>
      <c r="M167" s="41">
        <v>0</v>
      </c>
      <c r="N167" s="41">
        <v>0</v>
      </c>
      <c r="O167" s="41">
        <v>0</v>
      </c>
      <c r="P167" s="41">
        <v>0</v>
      </c>
      <c r="Q167" s="41">
        <v>0</v>
      </c>
      <c r="R167" s="41">
        <v>0</v>
      </c>
      <c r="S167" s="41">
        <v>0</v>
      </c>
      <c r="T167" s="41">
        <v>0</v>
      </c>
      <c r="U167" s="51">
        <f t="shared" si="54"/>
        <v>0</v>
      </c>
      <c r="V167" s="51">
        <f t="shared" si="54"/>
        <v>0</v>
      </c>
      <c r="W167" s="51">
        <f t="shared" si="54"/>
        <v>0</v>
      </c>
      <c r="X167" s="51">
        <f t="shared" si="54"/>
        <v>0</v>
      </c>
      <c r="Y167" s="51">
        <f t="shared" si="54"/>
        <v>0</v>
      </c>
      <c r="Z167" s="51">
        <f t="shared" si="54"/>
        <v>0</v>
      </c>
      <c r="AA167" s="41">
        <v>0</v>
      </c>
      <c r="AB167" s="41">
        <v>0</v>
      </c>
      <c r="AC167" s="41">
        <v>0</v>
      </c>
      <c r="AD167" s="41">
        <v>0</v>
      </c>
      <c r="AE167" s="41">
        <v>0</v>
      </c>
      <c r="AF167" s="41">
        <v>0</v>
      </c>
      <c r="AG167" s="41">
        <v>0</v>
      </c>
      <c r="AH167" s="41">
        <v>0</v>
      </c>
      <c r="AI167" s="41">
        <v>0</v>
      </c>
      <c r="AJ167" s="41">
        <v>0</v>
      </c>
      <c r="AK167" s="41">
        <v>0</v>
      </c>
      <c r="AL167" s="41">
        <v>0</v>
      </c>
      <c r="AM167" s="42" t="str">
        <f t="shared" si="55"/>
        <v>U7Y</v>
      </c>
    </row>
    <row r="168" spans="2:39" ht="16.95" customHeight="1" thickBot="1" x14ac:dyDescent="0.35">
      <c r="B168" s="39" t="s">
        <v>166</v>
      </c>
      <c r="C168" s="41">
        <v>0</v>
      </c>
      <c r="D168" s="41">
        <v>0</v>
      </c>
      <c r="E168" s="41">
        <v>0</v>
      </c>
      <c r="F168" s="41">
        <v>0</v>
      </c>
      <c r="G168" s="41">
        <v>0</v>
      </c>
      <c r="H168" s="41">
        <v>0</v>
      </c>
      <c r="I168" s="41">
        <v>0</v>
      </c>
      <c r="J168" s="41">
        <v>0</v>
      </c>
      <c r="K168" s="41">
        <v>0</v>
      </c>
      <c r="L168" s="41">
        <v>0</v>
      </c>
      <c r="M168" s="41">
        <v>0</v>
      </c>
      <c r="N168" s="41">
        <v>0</v>
      </c>
      <c r="O168" s="41">
        <v>0</v>
      </c>
      <c r="P168" s="41">
        <v>0</v>
      </c>
      <c r="Q168" s="41">
        <v>0</v>
      </c>
      <c r="R168" s="41">
        <v>0</v>
      </c>
      <c r="S168" s="41">
        <v>0</v>
      </c>
      <c r="T168" s="41">
        <v>0</v>
      </c>
      <c r="U168" s="51">
        <f t="shared" si="54"/>
        <v>0</v>
      </c>
      <c r="V168" s="51">
        <f t="shared" si="54"/>
        <v>0</v>
      </c>
      <c r="W168" s="51">
        <f t="shared" si="54"/>
        <v>0</v>
      </c>
      <c r="X168" s="51">
        <f t="shared" si="54"/>
        <v>0</v>
      </c>
      <c r="Y168" s="51">
        <f t="shared" si="54"/>
        <v>0</v>
      </c>
      <c r="Z168" s="51">
        <f t="shared" si="54"/>
        <v>0</v>
      </c>
      <c r="AA168" s="41">
        <v>0</v>
      </c>
      <c r="AB168" s="41">
        <v>0</v>
      </c>
      <c r="AC168" s="41">
        <v>0</v>
      </c>
      <c r="AD168" s="41">
        <v>0</v>
      </c>
      <c r="AE168" s="41">
        <v>0</v>
      </c>
      <c r="AF168" s="41">
        <v>0</v>
      </c>
      <c r="AG168" s="41">
        <v>0</v>
      </c>
      <c r="AH168" s="41">
        <v>0</v>
      </c>
      <c r="AI168" s="41">
        <v>0</v>
      </c>
      <c r="AJ168" s="41">
        <v>0</v>
      </c>
      <c r="AK168" s="41">
        <v>0</v>
      </c>
      <c r="AL168" s="41">
        <v>0</v>
      </c>
      <c r="AM168" s="42" t="str">
        <f t="shared" si="55"/>
        <v>U7θ</v>
      </c>
    </row>
    <row r="169" spans="2:39" ht="16.95" customHeight="1" x14ac:dyDescent="0.3">
      <c r="C169" s="41">
        <v>0</v>
      </c>
      <c r="D169" s="41">
        <v>0</v>
      </c>
      <c r="E169" s="41">
        <v>0</v>
      </c>
      <c r="F169" s="41">
        <v>0</v>
      </c>
      <c r="G169" s="41">
        <v>0</v>
      </c>
      <c r="H169" s="41">
        <v>0</v>
      </c>
      <c r="I169" s="41">
        <v>0</v>
      </c>
      <c r="J169" s="41">
        <v>0</v>
      </c>
      <c r="K169" s="41">
        <v>0</v>
      </c>
      <c r="L169" s="41">
        <v>0</v>
      </c>
      <c r="M169" s="41">
        <v>0</v>
      </c>
      <c r="N169" s="41">
        <v>0</v>
      </c>
      <c r="O169" s="41">
        <v>0</v>
      </c>
      <c r="P169" s="41">
        <v>0</v>
      </c>
      <c r="Q169" s="41">
        <v>0</v>
      </c>
      <c r="R169" s="41">
        <v>0</v>
      </c>
      <c r="S169" s="41">
        <v>0</v>
      </c>
      <c r="T169" s="41">
        <v>0</v>
      </c>
      <c r="U169" s="51">
        <f t="shared" si="54"/>
        <v>0</v>
      </c>
      <c r="V169" s="51">
        <f t="shared" si="54"/>
        <v>0</v>
      </c>
      <c r="W169" s="51">
        <f t="shared" si="54"/>
        <v>0</v>
      </c>
      <c r="X169" s="51">
        <f t="shared" si="54"/>
        <v>0</v>
      </c>
      <c r="Y169" s="51">
        <f t="shared" si="54"/>
        <v>0</v>
      </c>
      <c r="Z169" s="51">
        <f t="shared" si="54"/>
        <v>0</v>
      </c>
      <c r="AA169" s="41">
        <v>0</v>
      </c>
      <c r="AB169" s="41">
        <v>0</v>
      </c>
      <c r="AC169" s="41">
        <v>0</v>
      </c>
      <c r="AD169" s="41">
        <v>0</v>
      </c>
      <c r="AE169" s="41">
        <v>0</v>
      </c>
      <c r="AF169" s="41">
        <v>0</v>
      </c>
      <c r="AG169" s="41">
        <v>0</v>
      </c>
      <c r="AH169" s="41">
        <v>0</v>
      </c>
      <c r="AI169" s="41">
        <v>0</v>
      </c>
      <c r="AJ169" s="41">
        <v>0</v>
      </c>
      <c r="AK169" s="41">
        <v>0</v>
      </c>
      <c r="AL169" s="41">
        <v>0</v>
      </c>
      <c r="AM169" s="42" t="str">
        <f t="shared" si="55"/>
        <v>U8X</v>
      </c>
    </row>
    <row r="170" spans="2:39" ht="16.95" customHeight="1" x14ac:dyDescent="0.3">
      <c r="C170" s="41">
        <v>0</v>
      </c>
      <c r="D170" s="41">
        <v>0</v>
      </c>
      <c r="E170" s="41">
        <v>0</v>
      </c>
      <c r="F170" s="41">
        <v>0</v>
      </c>
      <c r="G170" s="41">
        <v>0</v>
      </c>
      <c r="H170" s="41">
        <v>0</v>
      </c>
      <c r="I170" s="41">
        <v>0</v>
      </c>
      <c r="J170" s="41">
        <v>0</v>
      </c>
      <c r="K170" s="41">
        <v>0</v>
      </c>
      <c r="L170" s="41">
        <v>0</v>
      </c>
      <c r="M170" s="41">
        <v>0</v>
      </c>
      <c r="N170" s="41">
        <v>0</v>
      </c>
      <c r="O170" s="41">
        <v>0</v>
      </c>
      <c r="P170" s="41">
        <v>0</v>
      </c>
      <c r="Q170" s="41">
        <v>0</v>
      </c>
      <c r="R170" s="41">
        <v>0</v>
      </c>
      <c r="S170" s="41">
        <v>0</v>
      </c>
      <c r="T170" s="41">
        <v>0</v>
      </c>
      <c r="U170" s="51">
        <f t="shared" si="54"/>
        <v>0</v>
      </c>
      <c r="V170" s="51">
        <f t="shared" si="54"/>
        <v>0</v>
      </c>
      <c r="W170" s="51">
        <f t="shared" si="54"/>
        <v>0</v>
      </c>
      <c r="X170" s="51">
        <f t="shared" si="54"/>
        <v>0</v>
      </c>
      <c r="Y170" s="51">
        <f t="shared" si="54"/>
        <v>0</v>
      </c>
      <c r="Z170" s="51">
        <f t="shared" si="54"/>
        <v>0</v>
      </c>
      <c r="AA170" s="41">
        <v>0</v>
      </c>
      <c r="AB170" s="41">
        <v>0</v>
      </c>
      <c r="AC170" s="41">
        <v>0</v>
      </c>
      <c r="AD170" s="41">
        <v>0</v>
      </c>
      <c r="AE170" s="41">
        <v>0</v>
      </c>
      <c r="AF170" s="41">
        <v>0</v>
      </c>
      <c r="AG170" s="41">
        <v>0</v>
      </c>
      <c r="AH170" s="41">
        <v>0</v>
      </c>
      <c r="AI170" s="41">
        <v>0</v>
      </c>
      <c r="AJ170" s="41">
        <v>0</v>
      </c>
      <c r="AK170" s="41">
        <v>0</v>
      </c>
      <c r="AL170" s="41">
        <v>0</v>
      </c>
      <c r="AM170" s="42" t="str">
        <f t="shared" si="55"/>
        <v>U8Y</v>
      </c>
    </row>
    <row r="171" spans="2:39" ht="16.95" customHeight="1" x14ac:dyDescent="0.3">
      <c r="C171" s="41">
        <v>0</v>
      </c>
      <c r="D171" s="41">
        <v>0</v>
      </c>
      <c r="E171" s="41">
        <v>0</v>
      </c>
      <c r="F171" s="41">
        <v>0</v>
      </c>
      <c r="G171" s="41">
        <v>0</v>
      </c>
      <c r="H171" s="41">
        <v>0</v>
      </c>
      <c r="I171" s="41">
        <v>0</v>
      </c>
      <c r="J171" s="41">
        <v>0</v>
      </c>
      <c r="K171" s="41">
        <v>0</v>
      </c>
      <c r="L171" s="41">
        <v>0</v>
      </c>
      <c r="M171" s="41">
        <v>0</v>
      </c>
      <c r="N171" s="41">
        <v>0</v>
      </c>
      <c r="O171" s="41">
        <v>0</v>
      </c>
      <c r="P171" s="41">
        <v>0</v>
      </c>
      <c r="Q171" s="41">
        <v>0</v>
      </c>
      <c r="R171" s="41">
        <v>0</v>
      </c>
      <c r="S171" s="41">
        <v>0</v>
      </c>
      <c r="T171" s="41">
        <v>0</v>
      </c>
      <c r="U171" s="51">
        <f t="shared" si="54"/>
        <v>0</v>
      </c>
      <c r="V171" s="51">
        <f t="shared" si="54"/>
        <v>0</v>
      </c>
      <c r="W171" s="51">
        <f t="shared" si="54"/>
        <v>0</v>
      </c>
      <c r="X171" s="51">
        <f t="shared" si="54"/>
        <v>0</v>
      </c>
      <c r="Y171" s="51">
        <f t="shared" si="54"/>
        <v>0</v>
      </c>
      <c r="Z171" s="51">
        <f t="shared" si="54"/>
        <v>0</v>
      </c>
      <c r="AA171" s="41">
        <v>0</v>
      </c>
      <c r="AB171" s="41">
        <v>0</v>
      </c>
      <c r="AC171" s="41">
        <v>0</v>
      </c>
      <c r="AD171" s="41">
        <v>0</v>
      </c>
      <c r="AE171" s="41">
        <v>0</v>
      </c>
      <c r="AF171" s="41">
        <v>0</v>
      </c>
      <c r="AG171" s="41">
        <v>0</v>
      </c>
      <c r="AH171" s="41">
        <v>0</v>
      </c>
      <c r="AI171" s="41">
        <v>0</v>
      </c>
      <c r="AJ171" s="41">
        <v>0</v>
      </c>
      <c r="AK171" s="41">
        <v>0</v>
      </c>
      <c r="AL171" s="41">
        <v>0</v>
      </c>
      <c r="AM171" s="42" t="str">
        <f t="shared" si="55"/>
        <v>U8θ</v>
      </c>
    </row>
    <row r="174" spans="2:39" ht="15" thickBot="1" x14ac:dyDescent="0.35">
      <c r="C174" s="36" t="str">
        <f>IF(C35="","U8X","U"&amp;C35&amp;"X")</f>
        <v>U8X</v>
      </c>
      <c r="D174" s="36" t="str">
        <f>IF(D35="","U8Y","U"&amp;D35&amp;"Y")</f>
        <v>U8Y</v>
      </c>
      <c r="E174" s="36" t="str">
        <f>IF(E35="","U8θ","U"&amp;E35&amp;"θ")</f>
        <v>U8θ</v>
      </c>
      <c r="F174" s="36" t="str">
        <f>IF(F35="","U9X","U"&amp;F35&amp;"X")</f>
        <v>U9X</v>
      </c>
      <c r="G174" s="36" t="str">
        <f>IF(G35="","U9Y","U"&amp;G35&amp;"Y")</f>
        <v>U9Y</v>
      </c>
      <c r="H174" s="36" t="str">
        <f>IF(H35="","U9θ","U"&amp;H35&amp;"θ")</f>
        <v>U9θ</v>
      </c>
      <c r="I174" s="36" t="s">
        <v>123</v>
      </c>
    </row>
    <row r="175" spans="2:39" ht="18" customHeight="1" x14ac:dyDescent="0.3">
      <c r="C175" s="52">
        <f>IF(I21="",0,(S21*(J21^2))+(O21*(K21^2)))</f>
        <v>0</v>
      </c>
      <c r="D175" s="52">
        <f>IF(I21="",0,(S21-O21)*J21*K21)</f>
        <v>0</v>
      </c>
      <c r="E175" s="52">
        <f>IF(I21="",0,-P21*K21)</f>
        <v>0</v>
      </c>
      <c r="F175" s="52">
        <f>-1*C175</f>
        <v>0</v>
      </c>
      <c r="G175" s="52">
        <f>-1*D175</f>
        <v>0</v>
      </c>
      <c r="H175" s="52">
        <f>E175</f>
        <v>0</v>
      </c>
      <c r="I175" s="9" t="str">
        <f>C174</f>
        <v>U8X</v>
      </c>
    </row>
    <row r="176" spans="2:39" ht="18" customHeight="1" thickBot="1" x14ac:dyDescent="0.35">
      <c r="C176" s="52">
        <f>D175</f>
        <v>0</v>
      </c>
      <c r="D176" s="52">
        <f>IF(I21="",0,(S21*(K21^2))+(O21*(J21^2)))</f>
        <v>0</v>
      </c>
      <c r="E176" s="52">
        <f>IF(I21="",0,P21*J21)</f>
        <v>0</v>
      </c>
      <c r="F176" s="52">
        <f>-1*D175</f>
        <v>0</v>
      </c>
      <c r="G176" s="52">
        <f>-1*D176</f>
        <v>0</v>
      </c>
      <c r="H176" s="52">
        <f>E176</f>
        <v>0</v>
      </c>
      <c r="I176" s="9" t="str">
        <f>D174</f>
        <v>U8Y</v>
      </c>
    </row>
    <row r="177" spans="2:39" ht="18" customHeight="1" thickBot="1" x14ac:dyDescent="0.35">
      <c r="B177" s="39" t="s">
        <v>167</v>
      </c>
      <c r="C177" s="52">
        <f>E175</f>
        <v>0</v>
      </c>
      <c r="D177" s="52">
        <f>E176</f>
        <v>0</v>
      </c>
      <c r="E177" s="52">
        <f>IF(I21="",0,Q21)</f>
        <v>0</v>
      </c>
      <c r="F177" s="52">
        <f>-1*E175</f>
        <v>0</v>
      </c>
      <c r="G177" s="52">
        <f>-1*E176</f>
        <v>0</v>
      </c>
      <c r="H177" s="52">
        <f>IF(I21="",0,R21)</f>
        <v>0</v>
      </c>
      <c r="I177" s="9" t="str">
        <f>E174</f>
        <v>U8θ</v>
      </c>
    </row>
    <row r="178" spans="2:39" ht="18" customHeight="1" x14ac:dyDescent="0.3">
      <c r="C178" s="52">
        <f>F175</f>
        <v>0</v>
      </c>
      <c r="D178" s="52">
        <f>F176</f>
        <v>0</v>
      </c>
      <c r="E178" s="52">
        <f>F177</f>
        <v>0</v>
      </c>
      <c r="F178" s="52">
        <f>C175</f>
        <v>0</v>
      </c>
      <c r="G178" s="52">
        <f>D175</f>
        <v>0</v>
      </c>
      <c r="H178" s="52">
        <f>-1*H175</f>
        <v>0</v>
      </c>
      <c r="I178" s="9" t="str">
        <f>F174</f>
        <v>U9X</v>
      </c>
    </row>
    <row r="179" spans="2:39" ht="18" customHeight="1" x14ac:dyDescent="0.3">
      <c r="C179" s="52">
        <f>G175</f>
        <v>0</v>
      </c>
      <c r="D179" s="52">
        <f>G176</f>
        <v>0</v>
      </c>
      <c r="E179" s="52">
        <f>G177</f>
        <v>0</v>
      </c>
      <c r="F179" s="52">
        <f>G178</f>
        <v>0</v>
      </c>
      <c r="G179" s="52">
        <f>D176</f>
        <v>0</v>
      </c>
      <c r="H179" s="52">
        <f>-1*H176</f>
        <v>0</v>
      </c>
      <c r="I179" s="9" t="str">
        <f>G174</f>
        <v>U9Y</v>
      </c>
    </row>
    <row r="180" spans="2:39" ht="18" customHeight="1" x14ac:dyDescent="0.3">
      <c r="C180" s="52">
        <f>H175</f>
        <v>0</v>
      </c>
      <c r="D180" s="52">
        <f>H176</f>
        <v>0</v>
      </c>
      <c r="E180" s="52">
        <f>H177</f>
        <v>0</v>
      </c>
      <c r="F180" s="52">
        <f>H178</f>
        <v>0</v>
      </c>
      <c r="G180" s="52">
        <f>H179</f>
        <v>0</v>
      </c>
      <c r="H180" s="52">
        <f>E177</f>
        <v>0</v>
      </c>
      <c r="I180" s="9" t="str">
        <f>H174</f>
        <v>U9θ</v>
      </c>
    </row>
    <row r="182" spans="2:39" ht="15" thickBot="1" x14ac:dyDescent="0.35">
      <c r="C182" s="6" t="s">
        <v>125</v>
      </c>
      <c r="D182" s="6" t="s">
        <v>126</v>
      </c>
      <c r="E182" s="6" t="s">
        <v>127</v>
      </c>
      <c r="F182" s="6" t="s">
        <v>128</v>
      </c>
      <c r="G182" s="6" t="s">
        <v>129</v>
      </c>
      <c r="H182" s="6" t="s">
        <v>130</v>
      </c>
      <c r="I182" s="6" t="s">
        <v>131</v>
      </c>
      <c r="J182" s="6" t="s">
        <v>132</v>
      </c>
      <c r="K182" s="6" t="s">
        <v>133</v>
      </c>
      <c r="L182" s="6" t="s">
        <v>134</v>
      </c>
      <c r="M182" s="6" t="s">
        <v>135</v>
      </c>
      <c r="N182" s="6" t="s">
        <v>136</v>
      </c>
      <c r="O182" s="6" t="s">
        <v>137</v>
      </c>
      <c r="P182" s="6" t="s">
        <v>138</v>
      </c>
      <c r="Q182" s="6" t="s">
        <v>139</v>
      </c>
      <c r="R182" s="6" t="s">
        <v>140</v>
      </c>
      <c r="S182" s="6" t="s">
        <v>141</v>
      </c>
      <c r="T182" s="6" t="s">
        <v>142</v>
      </c>
      <c r="U182" s="6" t="s">
        <v>143</v>
      </c>
      <c r="V182" s="6" t="s">
        <v>144</v>
      </c>
      <c r="W182" s="6" t="s">
        <v>145</v>
      </c>
      <c r="X182" s="6" t="s">
        <v>146</v>
      </c>
      <c r="Y182" s="6" t="s">
        <v>147</v>
      </c>
      <c r="Z182" s="6" t="s">
        <v>148</v>
      </c>
      <c r="AA182" s="6" t="s">
        <v>149</v>
      </c>
      <c r="AB182" s="6" t="s">
        <v>150</v>
      </c>
      <c r="AC182" s="6" t="s">
        <v>151</v>
      </c>
      <c r="AD182" s="6" t="s">
        <v>152</v>
      </c>
      <c r="AE182" s="6" t="s">
        <v>153</v>
      </c>
      <c r="AF182" s="6" t="s">
        <v>154</v>
      </c>
      <c r="AG182" s="6" t="s">
        <v>155</v>
      </c>
      <c r="AH182" s="6" t="s">
        <v>156</v>
      </c>
      <c r="AI182" s="6" t="s">
        <v>157</v>
      </c>
      <c r="AJ182" s="6" t="s">
        <v>158</v>
      </c>
      <c r="AK182" s="6" t="s">
        <v>159</v>
      </c>
      <c r="AL182" s="6" t="s">
        <v>160</v>
      </c>
      <c r="AM182" s="6" t="s">
        <v>123</v>
      </c>
    </row>
    <row r="183" spans="2:39" ht="16.95" customHeight="1" x14ac:dyDescent="0.3">
      <c r="C183" s="41">
        <v>0</v>
      </c>
      <c r="D183" s="41">
        <v>0</v>
      </c>
      <c r="E183" s="41">
        <v>0</v>
      </c>
      <c r="F183" s="41">
        <v>0</v>
      </c>
      <c r="G183" s="41">
        <v>0</v>
      </c>
      <c r="H183" s="41">
        <v>0</v>
      </c>
      <c r="I183" s="41">
        <v>0</v>
      </c>
      <c r="J183" s="41">
        <v>0</v>
      </c>
      <c r="K183" s="41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41">
        <v>0</v>
      </c>
      <c r="R183" s="41">
        <v>0</v>
      </c>
      <c r="S183" s="41">
        <v>0</v>
      </c>
      <c r="T183" s="41">
        <v>0</v>
      </c>
      <c r="U183" s="41">
        <v>0</v>
      </c>
      <c r="V183" s="41">
        <v>0</v>
      </c>
      <c r="W183" s="41">
        <v>0</v>
      </c>
      <c r="X183" s="53">
        <f t="shared" ref="X183:AC188" si="56">C175</f>
        <v>0</v>
      </c>
      <c r="Y183" s="53">
        <f t="shared" si="56"/>
        <v>0</v>
      </c>
      <c r="Z183" s="53">
        <f t="shared" si="56"/>
        <v>0</v>
      </c>
      <c r="AA183" s="53">
        <f t="shared" si="56"/>
        <v>0</v>
      </c>
      <c r="AB183" s="53">
        <f t="shared" si="56"/>
        <v>0</v>
      </c>
      <c r="AC183" s="53">
        <f t="shared" si="56"/>
        <v>0</v>
      </c>
      <c r="AD183" s="41">
        <v>0</v>
      </c>
      <c r="AE183" s="41">
        <v>0</v>
      </c>
      <c r="AF183" s="41">
        <v>0</v>
      </c>
      <c r="AG183" s="41">
        <v>0</v>
      </c>
      <c r="AH183" s="41">
        <v>0</v>
      </c>
      <c r="AI183" s="41">
        <v>0</v>
      </c>
      <c r="AJ183" s="41">
        <v>0</v>
      </c>
      <c r="AK183" s="41">
        <v>0</v>
      </c>
      <c r="AL183" s="41">
        <v>0</v>
      </c>
      <c r="AM183" s="42" t="str">
        <f t="shared" ref="AM183:AM188" si="57">I175</f>
        <v>U8X</v>
      </c>
    </row>
    <row r="184" spans="2:39" ht="16.95" customHeight="1" thickBot="1" x14ac:dyDescent="0.35">
      <c r="C184" s="41">
        <v>0</v>
      </c>
      <c r="D184" s="41">
        <v>0</v>
      </c>
      <c r="E184" s="41">
        <v>0</v>
      </c>
      <c r="F184" s="41">
        <v>0</v>
      </c>
      <c r="G184" s="41">
        <v>0</v>
      </c>
      <c r="H184" s="41">
        <v>0</v>
      </c>
      <c r="I184" s="41">
        <v>0</v>
      </c>
      <c r="J184" s="41">
        <v>0</v>
      </c>
      <c r="K184" s="41">
        <v>0</v>
      </c>
      <c r="L184" s="41">
        <v>0</v>
      </c>
      <c r="M184" s="41">
        <v>0</v>
      </c>
      <c r="N184" s="41">
        <v>0</v>
      </c>
      <c r="O184" s="41">
        <v>0</v>
      </c>
      <c r="P184" s="41">
        <v>0</v>
      </c>
      <c r="Q184" s="41">
        <v>0</v>
      </c>
      <c r="R184" s="41">
        <v>0</v>
      </c>
      <c r="S184" s="41">
        <v>0</v>
      </c>
      <c r="T184" s="41">
        <v>0</v>
      </c>
      <c r="U184" s="41">
        <v>0</v>
      </c>
      <c r="V184" s="41">
        <v>0</v>
      </c>
      <c r="W184" s="41">
        <v>0</v>
      </c>
      <c r="X184" s="53">
        <f t="shared" si="56"/>
        <v>0</v>
      </c>
      <c r="Y184" s="53">
        <f t="shared" si="56"/>
        <v>0</v>
      </c>
      <c r="Z184" s="53">
        <f t="shared" si="56"/>
        <v>0</v>
      </c>
      <c r="AA184" s="53">
        <f t="shared" si="56"/>
        <v>0</v>
      </c>
      <c r="AB184" s="53">
        <f t="shared" si="56"/>
        <v>0</v>
      </c>
      <c r="AC184" s="53">
        <f t="shared" si="56"/>
        <v>0</v>
      </c>
      <c r="AD184" s="41">
        <v>0</v>
      </c>
      <c r="AE184" s="41">
        <v>0</v>
      </c>
      <c r="AF184" s="41">
        <v>0</v>
      </c>
      <c r="AG184" s="41">
        <v>0</v>
      </c>
      <c r="AH184" s="41">
        <v>0</v>
      </c>
      <c r="AI184" s="41">
        <v>0</v>
      </c>
      <c r="AJ184" s="41">
        <v>0</v>
      </c>
      <c r="AK184" s="41">
        <v>0</v>
      </c>
      <c r="AL184" s="41">
        <v>0</v>
      </c>
      <c r="AM184" s="42" t="str">
        <f t="shared" si="57"/>
        <v>U8Y</v>
      </c>
    </row>
    <row r="185" spans="2:39" ht="16.95" customHeight="1" thickBot="1" x14ac:dyDescent="0.35">
      <c r="B185" s="39" t="s">
        <v>167</v>
      </c>
      <c r="C185" s="41">
        <v>0</v>
      </c>
      <c r="D185" s="41">
        <v>0</v>
      </c>
      <c r="E185" s="41">
        <v>0</v>
      </c>
      <c r="F185" s="41">
        <v>0</v>
      </c>
      <c r="G185" s="41">
        <v>0</v>
      </c>
      <c r="H185" s="41">
        <v>0</v>
      </c>
      <c r="I185" s="41">
        <v>0</v>
      </c>
      <c r="J185" s="41">
        <v>0</v>
      </c>
      <c r="K185" s="41">
        <v>0</v>
      </c>
      <c r="L185" s="41">
        <v>0</v>
      </c>
      <c r="M185" s="41">
        <v>0</v>
      </c>
      <c r="N185" s="41">
        <v>0</v>
      </c>
      <c r="O185" s="41">
        <v>0</v>
      </c>
      <c r="P185" s="41">
        <v>0</v>
      </c>
      <c r="Q185" s="41">
        <v>0</v>
      </c>
      <c r="R185" s="41">
        <v>0</v>
      </c>
      <c r="S185" s="41">
        <v>0</v>
      </c>
      <c r="T185" s="41">
        <v>0</v>
      </c>
      <c r="U185" s="41">
        <v>0</v>
      </c>
      <c r="V185" s="41">
        <v>0</v>
      </c>
      <c r="W185" s="41">
        <v>0</v>
      </c>
      <c r="X185" s="53">
        <f t="shared" si="56"/>
        <v>0</v>
      </c>
      <c r="Y185" s="53">
        <f t="shared" si="56"/>
        <v>0</v>
      </c>
      <c r="Z185" s="53">
        <f t="shared" si="56"/>
        <v>0</v>
      </c>
      <c r="AA185" s="53">
        <f t="shared" si="56"/>
        <v>0</v>
      </c>
      <c r="AB185" s="53">
        <f t="shared" si="56"/>
        <v>0</v>
      </c>
      <c r="AC185" s="53">
        <f t="shared" si="56"/>
        <v>0</v>
      </c>
      <c r="AD185" s="41">
        <v>0</v>
      </c>
      <c r="AE185" s="41">
        <v>0</v>
      </c>
      <c r="AF185" s="41">
        <v>0</v>
      </c>
      <c r="AG185" s="41">
        <v>0</v>
      </c>
      <c r="AH185" s="41">
        <v>0</v>
      </c>
      <c r="AI185" s="41">
        <v>0</v>
      </c>
      <c r="AJ185" s="41">
        <v>0</v>
      </c>
      <c r="AK185" s="41">
        <v>0</v>
      </c>
      <c r="AL185" s="41">
        <v>0</v>
      </c>
      <c r="AM185" s="42" t="str">
        <f t="shared" si="57"/>
        <v>U8θ</v>
      </c>
    </row>
    <row r="186" spans="2:39" ht="16.95" customHeight="1" x14ac:dyDescent="0.3">
      <c r="C186" s="41">
        <v>0</v>
      </c>
      <c r="D186" s="41">
        <v>0</v>
      </c>
      <c r="E186" s="41">
        <v>0</v>
      </c>
      <c r="F186" s="41">
        <v>0</v>
      </c>
      <c r="G186" s="41">
        <v>0</v>
      </c>
      <c r="H186" s="41">
        <v>0</v>
      </c>
      <c r="I186" s="41">
        <v>0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41">
        <v>0</v>
      </c>
      <c r="R186" s="41">
        <v>0</v>
      </c>
      <c r="S186" s="41">
        <v>0</v>
      </c>
      <c r="T186" s="41">
        <v>0</v>
      </c>
      <c r="U186" s="41">
        <v>0</v>
      </c>
      <c r="V186" s="41">
        <v>0</v>
      </c>
      <c r="W186" s="41">
        <v>0</v>
      </c>
      <c r="X186" s="53">
        <f t="shared" si="56"/>
        <v>0</v>
      </c>
      <c r="Y186" s="53">
        <f t="shared" si="56"/>
        <v>0</v>
      </c>
      <c r="Z186" s="53">
        <f t="shared" si="56"/>
        <v>0</v>
      </c>
      <c r="AA186" s="53">
        <f t="shared" si="56"/>
        <v>0</v>
      </c>
      <c r="AB186" s="53">
        <f t="shared" si="56"/>
        <v>0</v>
      </c>
      <c r="AC186" s="53">
        <f t="shared" si="56"/>
        <v>0</v>
      </c>
      <c r="AD186" s="41">
        <v>0</v>
      </c>
      <c r="AE186" s="41">
        <v>0</v>
      </c>
      <c r="AF186" s="41">
        <v>0</v>
      </c>
      <c r="AG186" s="41">
        <v>0</v>
      </c>
      <c r="AH186" s="41">
        <v>0</v>
      </c>
      <c r="AI186" s="41">
        <v>0</v>
      </c>
      <c r="AJ186" s="41">
        <v>0</v>
      </c>
      <c r="AK186" s="41">
        <v>0</v>
      </c>
      <c r="AL186" s="41">
        <v>0</v>
      </c>
      <c r="AM186" s="42" t="str">
        <f t="shared" si="57"/>
        <v>U9X</v>
      </c>
    </row>
    <row r="187" spans="2:39" ht="16.95" customHeight="1" x14ac:dyDescent="0.3">
      <c r="C187" s="41">
        <v>0</v>
      </c>
      <c r="D187" s="41">
        <v>0</v>
      </c>
      <c r="E187" s="41">
        <v>0</v>
      </c>
      <c r="F187" s="41">
        <v>0</v>
      </c>
      <c r="G187" s="41">
        <v>0</v>
      </c>
      <c r="H187" s="41">
        <v>0</v>
      </c>
      <c r="I187" s="41">
        <v>0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41">
        <v>0</v>
      </c>
      <c r="R187" s="41">
        <v>0</v>
      </c>
      <c r="S187" s="41">
        <v>0</v>
      </c>
      <c r="T187" s="41">
        <v>0</v>
      </c>
      <c r="U187" s="41">
        <v>0</v>
      </c>
      <c r="V187" s="41">
        <v>0</v>
      </c>
      <c r="W187" s="41">
        <v>0</v>
      </c>
      <c r="X187" s="53">
        <f t="shared" si="56"/>
        <v>0</v>
      </c>
      <c r="Y187" s="53">
        <f t="shared" si="56"/>
        <v>0</v>
      </c>
      <c r="Z187" s="53">
        <f t="shared" si="56"/>
        <v>0</v>
      </c>
      <c r="AA187" s="53">
        <f t="shared" si="56"/>
        <v>0</v>
      </c>
      <c r="AB187" s="53">
        <f t="shared" si="56"/>
        <v>0</v>
      </c>
      <c r="AC187" s="53">
        <f t="shared" si="56"/>
        <v>0</v>
      </c>
      <c r="AD187" s="41">
        <v>0</v>
      </c>
      <c r="AE187" s="41">
        <v>0</v>
      </c>
      <c r="AF187" s="41">
        <v>0</v>
      </c>
      <c r="AG187" s="41">
        <v>0</v>
      </c>
      <c r="AH187" s="41">
        <v>0</v>
      </c>
      <c r="AI187" s="41">
        <v>0</v>
      </c>
      <c r="AJ187" s="41">
        <v>0</v>
      </c>
      <c r="AK187" s="41">
        <v>0</v>
      </c>
      <c r="AL187" s="41">
        <v>0</v>
      </c>
      <c r="AM187" s="42" t="str">
        <f t="shared" si="57"/>
        <v>U9Y</v>
      </c>
    </row>
    <row r="188" spans="2:39" ht="16.95" customHeight="1" x14ac:dyDescent="0.3">
      <c r="C188" s="41">
        <v>0</v>
      </c>
      <c r="D188" s="41">
        <v>0</v>
      </c>
      <c r="E188" s="41">
        <v>0</v>
      </c>
      <c r="F188" s="41">
        <v>0</v>
      </c>
      <c r="G188" s="41">
        <v>0</v>
      </c>
      <c r="H188" s="41">
        <v>0</v>
      </c>
      <c r="I188" s="41">
        <v>0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41">
        <v>0</v>
      </c>
      <c r="R188" s="41">
        <v>0</v>
      </c>
      <c r="S188" s="41">
        <v>0</v>
      </c>
      <c r="T188" s="41">
        <v>0</v>
      </c>
      <c r="U188" s="41">
        <v>0</v>
      </c>
      <c r="V188" s="41">
        <v>0</v>
      </c>
      <c r="W188" s="41">
        <v>0</v>
      </c>
      <c r="X188" s="53">
        <f t="shared" si="56"/>
        <v>0</v>
      </c>
      <c r="Y188" s="53">
        <f t="shared" si="56"/>
        <v>0</v>
      </c>
      <c r="Z188" s="53">
        <f t="shared" si="56"/>
        <v>0</v>
      </c>
      <c r="AA188" s="53">
        <f t="shared" si="56"/>
        <v>0</v>
      </c>
      <c r="AB188" s="53">
        <f t="shared" si="56"/>
        <v>0</v>
      </c>
      <c r="AC188" s="53">
        <f t="shared" si="56"/>
        <v>0</v>
      </c>
      <c r="AD188" s="41">
        <v>0</v>
      </c>
      <c r="AE188" s="41">
        <v>0</v>
      </c>
      <c r="AF188" s="41">
        <v>0</v>
      </c>
      <c r="AG188" s="41">
        <v>0</v>
      </c>
      <c r="AH188" s="41">
        <v>0</v>
      </c>
      <c r="AI188" s="41">
        <v>0</v>
      </c>
      <c r="AJ188" s="41">
        <v>0</v>
      </c>
      <c r="AK188" s="41">
        <v>0</v>
      </c>
      <c r="AL188" s="41">
        <v>0</v>
      </c>
      <c r="AM188" s="42" t="str">
        <f t="shared" si="57"/>
        <v>U9θ</v>
      </c>
    </row>
    <row r="191" spans="2:39" ht="15" thickBot="1" x14ac:dyDescent="0.35">
      <c r="C191" s="36" t="str">
        <f>IF(C36="","U9X","U"&amp;C36&amp;"X")</f>
        <v>U9X</v>
      </c>
      <c r="D191" s="36" t="str">
        <f>IF(D36="","U9Y","U"&amp;D36&amp;"Y")</f>
        <v>U9Y</v>
      </c>
      <c r="E191" s="36" t="str">
        <f>IF(E36="","U9θ","U"&amp;E36&amp;"θ")</f>
        <v>U9θ</v>
      </c>
      <c r="F191" s="36" t="str">
        <f>IF(F36="","U10X","U"&amp;F36&amp;"X")</f>
        <v>U10X</v>
      </c>
      <c r="G191" s="36" t="str">
        <f>IF(G36="","U10Y","U"&amp;G36&amp;"Y")</f>
        <v>U10Y</v>
      </c>
      <c r="H191" s="36" t="str">
        <f>IF(H36="","U10θ","U"&amp;H36&amp;"θ")</f>
        <v>U10θ</v>
      </c>
      <c r="I191" s="36" t="s">
        <v>123</v>
      </c>
    </row>
    <row r="192" spans="2:39" ht="18" customHeight="1" x14ac:dyDescent="0.3">
      <c r="C192" s="54">
        <f>IF(I22="",0,(S22*(J22^2))+(O22*(K22^2)))</f>
        <v>0</v>
      </c>
      <c r="D192" s="54">
        <f>IF(I22="",0,(S22-O22)*J22*K22)</f>
        <v>0</v>
      </c>
      <c r="E192" s="54">
        <f>IF(I22="",0,-P22*K22)</f>
        <v>0</v>
      </c>
      <c r="F192" s="54">
        <f>-1*C192</f>
        <v>0</v>
      </c>
      <c r="G192" s="54">
        <f>-1*D192</f>
        <v>0</v>
      </c>
      <c r="H192" s="54">
        <f>E192</f>
        <v>0</v>
      </c>
      <c r="I192" s="9" t="str">
        <f>C191</f>
        <v>U9X</v>
      </c>
    </row>
    <row r="193" spans="2:39" ht="18" customHeight="1" thickBot="1" x14ac:dyDescent="0.35">
      <c r="C193" s="54">
        <f>D192</f>
        <v>0</v>
      </c>
      <c r="D193" s="54">
        <f>IF(I22="",0,(S22*(K22^2))+(O22*(J22^2)))</f>
        <v>0</v>
      </c>
      <c r="E193" s="54">
        <f>IF(I22="",0,P22*J22)</f>
        <v>0</v>
      </c>
      <c r="F193" s="54">
        <f>-1*D192</f>
        <v>0</v>
      </c>
      <c r="G193" s="54">
        <f>-1*D193</f>
        <v>0</v>
      </c>
      <c r="H193" s="54">
        <f>E193</f>
        <v>0</v>
      </c>
      <c r="I193" s="9" t="str">
        <f>D191</f>
        <v>U9Y</v>
      </c>
    </row>
    <row r="194" spans="2:39" ht="18" customHeight="1" thickBot="1" x14ac:dyDescent="0.35">
      <c r="B194" s="39" t="s">
        <v>168</v>
      </c>
      <c r="C194" s="54">
        <f>E192</f>
        <v>0</v>
      </c>
      <c r="D194" s="54">
        <f>E193</f>
        <v>0</v>
      </c>
      <c r="E194" s="54">
        <f>IF(I22="",0,Q22)</f>
        <v>0</v>
      </c>
      <c r="F194" s="54">
        <f>-1*E192</f>
        <v>0</v>
      </c>
      <c r="G194" s="54">
        <f>-1*E193</f>
        <v>0</v>
      </c>
      <c r="H194" s="54">
        <f>IF(I22="",0,R22)</f>
        <v>0</v>
      </c>
      <c r="I194" s="9" t="str">
        <f>E191</f>
        <v>U9θ</v>
      </c>
    </row>
    <row r="195" spans="2:39" ht="18" customHeight="1" x14ac:dyDescent="0.3">
      <c r="C195" s="54">
        <f>F192</f>
        <v>0</v>
      </c>
      <c r="D195" s="54">
        <f>F193</f>
        <v>0</v>
      </c>
      <c r="E195" s="54">
        <f>F194</f>
        <v>0</v>
      </c>
      <c r="F195" s="54">
        <f>C192</f>
        <v>0</v>
      </c>
      <c r="G195" s="54">
        <f>D192</f>
        <v>0</v>
      </c>
      <c r="H195" s="54">
        <f>-1*H192</f>
        <v>0</v>
      </c>
      <c r="I195" s="9" t="str">
        <f>F191</f>
        <v>U10X</v>
      </c>
    </row>
    <row r="196" spans="2:39" ht="18" customHeight="1" x14ac:dyDescent="0.3">
      <c r="C196" s="54">
        <f>G192</f>
        <v>0</v>
      </c>
      <c r="D196" s="54">
        <f>G193</f>
        <v>0</v>
      </c>
      <c r="E196" s="54">
        <f>G194</f>
        <v>0</v>
      </c>
      <c r="F196" s="54">
        <f>G195</f>
        <v>0</v>
      </c>
      <c r="G196" s="54">
        <f>D193</f>
        <v>0</v>
      </c>
      <c r="H196" s="54">
        <f>-1*H193</f>
        <v>0</v>
      </c>
      <c r="I196" s="9" t="str">
        <f>G191</f>
        <v>U10Y</v>
      </c>
    </row>
    <row r="197" spans="2:39" ht="18" customHeight="1" x14ac:dyDescent="0.3">
      <c r="C197" s="54">
        <f>H192</f>
        <v>0</v>
      </c>
      <c r="D197" s="54">
        <f>H193</f>
        <v>0</v>
      </c>
      <c r="E197" s="54">
        <f>H194</f>
        <v>0</v>
      </c>
      <c r="F197" s="54">
        <f>H195</f>
        <v>0</v>
      </c>
      <c r="G197" s="54">
        <f>H196</f>
        <v>0</v>
      </c>
      <c r="H197" s="54">
        <f>E194</f>
        <v>0</v>
      </c>
      <c r="I197" s="9" t="str">
        <f>H191</f>
        <v>U10θ</v>
      </c>
    </row>
    <row r="199" spans="2:39" ht="15" thickBot="1" x14ac:dyDescent="0.35">
      <c r="C199" s="6" t="s">
        <v>125</v>
      </c>
      <c r="D199" s="6" t="s">
        <v>126</v>
      </c>
      <c r="E199" s="6" t="s">
        <v>127</v>
      </c>
      <c r="F199" s="6" t="s">
        <v>128</v>
      </c>
      <c r="G199" s="6" t="s">
        <v>129</v>
      </c>
      <c r="H199" s="6" t="s">
        <v>130</v>
      </c>
      <c r="I199" s="6" t="s">
        <v>131</v>
      </c>
      <c r="J199" s="6" t="s">
        <v>132</v>
      </c>
      <c r="K199" s="6" t="s">
        <v>133</v>
      </c>
      <c r="L199" s="6" t="s">
        <v>134</v>
      </c>
      <c r="M199" s="6" t="s">
        <v>135</v>
      </c>
      <c r="N199" s="6" t="s">
        <v>136</v>
      </c>
      <c r="O199" s="6" t="s">
        <v>137</v>
      </c>
      <c r="P199" s="6" t="s">
        <v>138</v>
      </c>
      <c r="Q199" s="6" t="s">
        <v>139</v>
      </c>
      <c r="R199" s="6" t="s">
        <v>140</v>
      </c>
      <c r="S199" s="6" t="s">
        <v>141</v>
      </c>
      <c r="T199" s="6" t="s">
        <v>142</v>
      </c>
      <c r="U199" s="6" t="s">
        <v>143</v>
      </c>
      <c r="V199" s="6" t="s">
        <v>144</v>
      </c>
      <c r="W199" s="6" t="s">
        <v>145</v>
      </c>
      <c r="X199" s="6" t="s">
        <v>146</v>
      </c>
      <c r="Y199" s="6" t="s">
        <v>147</v>
      </c>
      <c r="Z199" s="6" t="s">
        <v>148</v>
      </c>
      <c r="AA199" s="6" t="s">
        <v>149</v>
      </c>
      <c r="AB199" s="6" t="s">
        <v>150</v>
      </c>
      <c r="AC199" s="6" t="s">
        <v>151</v>
      </c>
      <c r="AD199" s="6" t="s">
        <v>152</v>
      </c>
      <c r="AE199" s="6" t="s">
        <v>153</v>
      </c>
      <c r="AF199" s="6" t="s">
        <v>154</v>
      </c>
      <c r="AG199" s="6" t="s">
        <v>155</v>
      </c>
      <c r="AH199" s="6" t="s">
        <v>156</v>
      </c>
      <c r="AI199" s="6" t="s">
        <v>157</v>
      </c>
      <c r="AJ199" s="6" t="s">
        <v>158</v>
      </c>
      <c r="AK199" s="6" t="s">
        <v>159</v>
      </c>
      <c r="AL199" s="6" t="s">
        <v>160</v>
      </c>
      <c r="AM199" s="6" t="s">
        <v>123</v>
      </c>
    </row>
    <row r="200" spans="2:39" ht="16.95" customHeight="1" x14ac:dyDescent="0.3">
      <c r="C200" s="41">
        <v>0</v>
      </c>
      <c r="D200" s="41">
        <v>0</v>
      </c>
      <c r="E200" s="41">
        <v>0</v>
      </c>
      <c r="F200" s="41">
        <v>0</v>
      </c>
      <c r="G200" s="41">
        <v>0</v>
      </c>
      <c r="H200" s="41">
        <v>0</v>
      </c>
      <c r="I200" s="41">
        <v>0</v>
      </c>
      <c r="J200" s="41">
        <v>0</v>
      </c>
      <c r="K200" s="41">
        <v>0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41">
        <v>0</v>
      </c>
      <c r="R200" s="41">
        <v>0</v>
      </c>
      <c r="S200" s="41">
        <v>0</v>
      </c>
      <c r="T200" s="41">
        <v>0</v>
      </c>
      <c r="U200" s="41">
        <v>0</v>
      </c>
      <c r="V200" s="41">
        <v>0</v>
      </c>
      <c r="W200" s="41">
        <v>0</v>
      </c>
      <c r="X200" s="41">
        <v>0</v>
      </c>
      <c r="Y200" s="41">
        <v>0</v>
      </c>
      <c r="Z200" s="41">
        <v>0</v>
      </c>
      <c r="AA200" s="55">
        <f t="shared" ref="AA200:AF205" si="58">C192</f>
        <v>0</v>
      </c>
      <c r="AB200" s="55">
        <f t="shared" si="58"/>
        <v>0</v>
      </c>
      <c r="AC200" s="55">
        <f t="shared" si="58"/>
        <v>0</v>
      </c>
      <c r="AD200" s="55">
        <f t="shared" si="58"/>
        <v>0</v>
      </c>
      <c r="AE200" s="55">
        <f t="shared" si="58"/>
        <v>0</v>
      </c>
      <c r="AF200" s="55">
        <f t="shared" si="58"/>
        <v>0</v>
      </c>
      <c r="AG200" s="41">
        <v>0</v>
      </c>
      <c r="AH200" s="41">
        <v>0</v>
      </c>
      <c r="AI200" s="41">
        <v>0</v>
      </c>
      <c r="AJ200" s="41">
        <v>0</v>
      </c>
      <c r="AK200" s="41">
        <v>0</v>
      </c>
      <c r="AL200" s="41">
        <v>0</v>
      </c>
      <c r="AM200" s="42" t="str">
        <f t="shared" ref="AM200:AM205" si="59">I192</f>
        <v>U9X</v>
      </c>
    </row>
    <row r="201" spans="2:39" ht="16.95" customHeight="1" thickBot="1" x14ac:dyDescent="0.35">
      <c r="C201" s="41">
        <v>0</v>
      </c>
      <c r="D201" s="41">
        <v>0</v>
      </c>
      <c r="E201" s="41">
        <v>0</v>
      </c>
      <c r="F201" s="41">
        <v>0</v>
      </c>
      <c r="G201" s="41">
        <v>0</v>
      </c>
      <c r="H201" s="41">
        <v>0</v>
      </c>
      <c r="I201" s="41">
        <v>0</v>
      </c>
      <c r="J201" s="41">
        <v>0</v>
      </c>
      <c r="K201" s="41">
        <v>0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41">
        <v>0</v>
      </c>
      <c r="R201" s="41">
        <v>0</v>
      </c>
      <c r="S201" s="41">
        <v>0</v>
      </c>
      <c r="T201" s="41">
        <v>0</v>
      </c>
      <c r="U201" s="41">
        <v>0</v>
      </c>
      <c r="V201" s="41">
        <v>0</v>
      </c>
      <c r="W201" s="41">
        <v>0</v>
      </c>
      <c r="X201" s="41">
        <v>0</v>
      </c>
      <c r="Y201" s="41">
        <v>0</v>
      </c>
      <c r="Z201" s="41">
        <v>0</v>
      </c>
      <c r="AA201" s="55">
        <f t="shared" si="58"/>
        <v>0</v>
      </c>
      <c r="AB201" s="55">
        <f t="shared" si="58"/>
        <v>0</v>
      </c>
      <c r="AC201" s="55">
        <f t="shared" si="58"/>
        <v>0</v>
      </c>
      <c r="AD201" s="55">
        <f t="shared" si="58"/>
        <v>0</v>
      </c>
      <c r="AE201" s="55">
        <f t="shared" si="58"/>
        <v>0</v>
      </c>
      <c r="AF201" s="55">
        <f t="shared" si="58"/>
        <v>0</v>
      </c>
      <c r="AG201" s="41">
        <v>0</v>
      </c>
      <c r="AH201" s="41">
        <v>0</v>
      </c>
      <c r="AI201" s="41">
        <v>0</v>
      </c>
      <c r="AJ201" s="41">
        <v>0</v>
      </c>
      <c r="AK201" s="41">
        <v>0</v>
      </c>
      <c r="AL201" s="41">
        <v>0</v>
      </c>
      <c r="AM201" s="42" t="str">
        <f t="shared" si="59"/>
        <v>U9Y</v>
      </c>
    </row>
    <row r="202" spans="2:39" ht="16.95" customHeight="1" thickBot="1" x14ac:dyDescent="0.35">
      <c r="B202" s="39" t="s">
        <v>168</v>
      </c>
      <c r="C202" s="41">
        <v>0</v>
      </c>
      <c r="D202" s="41">
        <v>0</v>
      </c>
      <c r="E202" s="41">
        <v>0</v>
      </c>
      <c r="F202" s="41">
        <v>0</v>
      </c>
      <c r="G202" s="41">
        <v>0</v>
      </c>
      <c r="H202" s="41">
        <v>0</v>
      </c>
      <c r="I202" s="41">
        <v>0</v>
      </c>
      <c r="J202" s="41">
        <v>0</v>
      </c>
      <c r="K202" s="41">
        <v>0</v>
      </c>
      <c r="L202" s="41">
        <v>0</v>
      </c>
      <c r="M202" s="41">
        <v>0</v>
      </c>
      <c r="N202" s="41">
        <v>0</v>
      </c>
      <c r="O202" s="41">
        <v>0</v>
      </c>
      <c r="P202" s="41">
        <v>0</v>
      </c>
      <c r="Q202" s="41">
        <v>0</v>
      </c>
      <c r="R202" s="41">
        <v>0</v>
      </c>
      <c r="S202" s="41">
        <v>0</v>
      </c>
      <c r="T202" s="41">
        <v>0</v>
      </c>
      <c r="U202" s="41">
        <v>0</v>
      </c>
      <c r="V202" s="41">
        <v>0</v>
      </c>
      <c r="W202" s="41">
        <v>0</v>
      </c>
      <c r="X202" s="41">
        <v>0</v>
      </c>
      <c r="Y202" s="41">
        <v>0</v>
      </c>
      <c r="Z202" s="41">
        <v>0</v>
      </c>
      <c r="AA202" s="55">
        <f t="shared" si="58"/>
        <v>0</v>
      </c>
      <c r="AB202" s="55">
        <f t="shared" si="58"/>
        <v>0</v>
      </c>
      <c r="AC202" s="55">
        <f t="shared" si="58"/>
        <v>0</v>
      </c>
      <c r="AD202" s="55">
        <f t="shared" si="58"/>
        <v>0</v>
      </c>
      <c r="AE202" s="55">
        <f t="shared" si="58"/>
        <v>0</v>
      </c>
      <c r="AF202" s="55">
        <f t="shared" si="58"/>
        <v>0</v>
      </c>
      <c r="AG202" s="41">
        <v>0</v>
      </c>
      <c r="AH202" s="41">
        <v>0</v>
      </c>
      <c r="AI202" s="41">
        <v>0</v>
      </c>
      <c r="AJ202" s="41">
        <v>0</v>
      </c>
      <c r="AK202" s="41">
        <v>0</v>
      </c>
      <c r="AL202" s="41">
        <v>0</v>
      </c>
      <c r="AM202" s="42" t="str">
        <f t="shared" si="59"/>
        <v>U9θ</v>
      </c>
    </row>
    <row r="203" spans="2:39" ht="16.95" customHeight="1" x14ac:dyDescent="0.3">
      <c r="C203" s="41">
        <v>0</v>
      </c>
      <c r="D203" s="41">
        <v>0</v>
      </c>
      <c r="E203" s="41">
        <v>0</v>
      </c>
      <c r="F203" s="41">
        <v>0</v>
      </c>
      <c r="G203" s="41">
        <v>0</v>
      </c>
      <c r="H203" s="41">
        <v>0</v>
      </c>
      <c r="I203" s="41">
        <v>0</v>
      </c>
      <c r="J203" s="41">
        <v>0</v>
      </c>
      <c r="K203" s="41">
        <v>0</v>
      </c>
      <c r="L203" s="41">
        <v>0</v>
      </c>
      <c r="M203" s="41">
        <v>0</v>
      </c>
      <c r="N203" s="41">
        <v>0</v>
      </c>
      <c r="O203" s="41">
        <v>0</v>
      </c>
      <c r="P203" s="41">
        <v>0</v>
      </c>
      <c r="Q203" s="41">
        <v>0</v>
      </c>
      <c r="R203" s="41">
        <v>0</v>
      </c>
      <c r="S203" s="41">
        <v>0</v>
      </c>
      <c r="T203" s="41">
        <v>0</v>
      </c>
      <c r="U203" s="41">
        <v>0</v>
      </c>
      <c r="V203" s="41">
        <v>0</v>
      </c>
      <c r="W203" s="41">
        <v>0</v>
      </c>
      <c r="X203" s="41">
        <v>0</v>
      </c>
      <c r="Y203" s="41">
        <v>0</v>
      </c>
      <c r="Z203" s="41">
        <v>0</v>
      </c>
      <c r="AA203" s="55">
        <f t="shared" si="58"/>
        <v>0</v>
      </c>
      <c r="AB203" s="55">
        <f t="shared" si="58"/>
        <v>0</v>
      </c>
      <c r="AC203" s="55">
        <f t="shared" si="58"/>
        <v>0</v>
      </c>
      <c r="AD203" s="55">
        <f t="shared" si="58"/>
        <v>0</v>
      </c>
      <c r="AE203" s="55">
        <f t="shared" si="58"/>
        <v>0</v>
      </c>
      <c r="AF203" s="55">
        <f t="shared" si="58"/>
        <v>0</v>
      </c>
      <c r="AG203" s="41">
        <v>0</v>
      </c>
      <c r="AH203" s="41">
        <v>0</v>
      </c>
      <c r="AI203" s="41">
        <v>0</v>
      </c>
      <c r="AJ203" s="41">
        <v>0</v>
      </c>
      <c r="AK203" s="41">
        <v>0</v>
      </c>
      <c r="AL203" s="41">
        <v>0</v>
      </c>
      <c r="AM203" s="42" t="str">
        <f t="shared" si="59"/>
        <v>U10X</v>
      </c>
    </row>
    <row r="204" spans="2:39" ht="16.95" customHeight="1" x14ac:dyDescent="0.3">
      <c r="C204" s="41">
        <v>0</v>
      </c>
      <c r="D204" s="41">
        <v>0</v>
      </c>
      <c r="E204" s="41">
        <v>0</v>
      </c>
      <c r="F204" s="41">
        <v>0</v>
      </c>
      <c r="G204" s="41">
        <v>0</v>
      </c>
      <c r="H204" s="41">
        <v>0</v>
      </c>
      <c r="I204" s="41">
        <v>0</v>
      </c>
      <c r="J204" s="41">
        <v>0</v>
      </c>
      <c r="K204" s="41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41">
        <v>0</v>
      </c>
      <c r="R204" s="41">
        <v>0</v>
      </c>
      <c r="S204" s="41">
        <v>0</v>
      </c>
      <c r="T204" s="41">
        <v>0</v>
      </c>
      <c r="U204" s="41">
        <v>0</v>
      </c>
      <c r="V204" s="41">
        <v>0</v>
      </c>
      <c r="W204" s="41">
        <v>0</v>
      </c>
      <c r="X204" s="41">
        <v>0</v>
      </c>
      <c r="Y204" s="41">
        <v>0</v>
      </c>
      <c r="Z204" s="41">
        <v>0</v>
      </c>
      <c r="AA204" s="55">
        <f t="shared" si="58"/>
        <v>0</v>
      </c>
      <c r="AB204" s="55">
        <f t="shared" si="58"/>
        <v>0</v>
      </c>
      <c r="AC204" s="55">
        <f t="shared" si="58"/>
        <v>0</v>
      </c>
      <c r="AD204" s="55">
        <f t="shared" si="58"/>
        <v>0</v>
      </c>
      <c r="AE204" s="55">
        <f t="shared" si="58"/>
        <v>0</v>
      </c>
      <c r="AF204" s="55">
        <f t="shared" si="58"/>
        <v>0</v>
      </c>
      <c r="AG204" s="41">
        <v>0</v>
      </c>
      <c r="AH204" s="41">
        <v>0</v>
      </c>
      <c r="AI204" s="41">
        <v>0</v>
      </c>
      <c r="AJ204" s="41">
        <v>0</v>
      </c>
      <c r="AK204" s="41">
        <v>0</v>
      </c>
      <c r="AL204" s="41">
        <v>0</v>
      </c>
      <c r="AM204" s="42" t="str">
        <f t="shared" si="59"/>
        <v>U10Y</v>
      </c>
    </row>
    <row r="205" spans="2:39" ht="16.95" customHeight="1" x14ac:dyDescent="0.3">
      <c r="C205" s="41">
        <v>0</v>
      </c>
      <c r="D205" s="41">
        <v>0</v>
      </c>
      <c r="E205" s="41">
        <v>0</v>
      </c>
      <c r="F205" s="41">
        <v>0</v>
      </c>
      <c r="G205" s="41">
        <v>0</v>
      </c>
      <c r="H205" s="41">
        <v>0</v>
      </c>
      <c r="I205" s="41">
        <v>0</v>
      </c>
      <c r="J205" s="41">
        <v>0</v>
      </c>
      <c r="K205" s="41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41">
        <v>0</v>
      </c>
      <c r="R205" s="41">
        <v>0</v>
      </c>
      <c r="S205" s="41">
        <v>0</v>
      </c>
      <c r="T205" s="41">
        <v>0</v>
      </c>
      <c r="U205" s="41">
        <v>0</v>
      </c>
      <c r="V205" s="41">
        <v>0</v>
      </c>
      <c r="W205" s="41">
        <v>0</v>
      </c>
      <c r="X205" s="41">
        <v>0</v>
      </c>
      <c r="Y205" s="41">
        <v>0</v>
      </c>
      <c r="Z205" s="41">
        <v>0</v>
      </c>
      <c r="AA205" s="55">
        <f t="shared" si="58"/>
        <v>0</v>
      </c>
      <c r="AB205" s="55">
        <f t="shared" si="58"/>
        <v>0</v>
      </c>
      <c r="AC205" s="55">
        <f t="shared" si="58"/>
        <v>0</v>
      </c>
      <c r="AD205" s="55">
        <f t="shared" si="58"/>
        <v>0</v>
      </c>
      <c r="AE205" s="55">
        <f t="shared" si="58"/>
        <v>0</v>
      </c>
      <c r="AF205" s="55">
        <f t="shared" si="58"/>
        <v>0</v>
      </c>
      <c r="AG205" s="41">
        <v>0</v>
      </c>
      <c r="AH205" s="41">
        <v>0</v>
      </c>
      <c r="AI205" s="41">
        <v>0</v>
      </c>
      <c r="AJ205" s="41">
        <v>0</v>
      </c>
      <c r="AK205" s="41">
        <v>0</v>
      </c>
      <c r="AL205" s="41">
        <v>0</v>
      </c>
      <c r="AM205" s="42" t="str">
        <f t="shared" si="59"/>
        <v>U10θ</v>
      </c>
    </row>
    <row r="208" spans="2:39" ht="15" thickBot="1" x14ac:dyDescent="0.35">
      <c r="C208" s="36" t="str">
        <f>IF(C37="","U10X","U"&amp;C37&amp;"X")</f>
        <v>U10X</v>
      </c>
      <c r="D208" s="36" t="str">
        <f>IF(D37="","U10Y","U"&amp;D37&amp;"Y")</f>
        <v>U10Y</v>
      </c>
      <c r="E208" s="36" t="str">
        <f>IF(E37="","U10θ","U"&amp;E37&amp;"θ")</f>
        <v>U10θ</v>
      </c>
      <c r="F208" s="36" t="str">
        <f>IF(F37="","U11X","U"&amp;F37&amp;"X")</f>
        <v>U11X</v>
      </c>
      <c r="G208" s="36" t="str">
        <f>IF(G37="","U11Y","U"&amp;G37&amp;"Y")</f>
        <v>U11Y</v>
      </c>
      <c r="H208" s="36" t="str">
        <f>IF(H37="","U11θ","U"&amp;H37&amp;"θ")</f>
        <v>U11θ</v>
      </c>
      <c r="I208" s="36" t="s">
        <v>123</v>
      </c>
    </row>
    <row r="209" spans="2:39" ht="18" customHeight="1" x14ac:dyDescent="0.3">
      <c r="C209" s="56">
        <f>IF(I23="",0,(S23*(J23^2))+(O23*(K23^2)))</f>
        <v>0</v>
      </c>
      <c r="D209" s="56">
        <f>IF(I23="",0,(S23-O23)*J23*K23)</f>
        <v>0</v>
      </c>
      <c r="E209" s="56">
        <f>IF(I23="",0,-P23*K23)</f>
        <v>0</v>
      </c>
      <c r="F209" s="56">
        <f>-1*C209</f>
        <v>0</v>
      </c>
      <c r="G209" s="56">
        <f>-1*D209</f>
        <v>0</v>
      </c>
      <c r="H209" s="56">
        <f>E209</f>
        <v>0</v>
      </c>
      <c r="I209" s="9" t="str">
        <f>C208</f>
        <v>U10X</v>
      </c>
    </row>
    <row r="210" spans="2:39" ht="18" customHeight="1" thickBot="1" x14ac:dyDescent="0.35">
      <c r="C210" s="56">
        <f>D209</f>
        <v>0</v>
      </c>
      <c r="D210" s="56">
        <f>IF(I23="",0,(S23*(K23^2))+(O23*(J23^2)))</f>
        <v>0</v>
      </c>
      <c r="E210" s="56">
        <f>IF(I23="",0,P23*J23)</f>
        <v>0</v>
      </c>
      <c r="F210" s="56">
        <f>-1*D209</f>
        <v>0</v>
      </c>
      <c r="G210" s="56">
        <f>-1*D210</f>
        <v>0</v>
      </c>
      <c r="H210" s="56">
        <f>E210</f>
        <v>0</v>
      </c>
      <c r="I210" s="9" t="str">
        <f>D208</f>
        <v>U10Y</v>
      </c>
    </row>
    <row r="211" spans="2:39" ht="18" customHeight="1" thickBot="1" x14ac:dyDescent="0.35">
      <c r="B211" s="39" t="s">
        <v>169</v>
      </c>
      <c r="C211" s="56">
        <f>E209</f>
        <v>0</v>
      </c>
      <c r="D211" s="56">
        <f>E210</f>
        <v>0</v>
      </c>
      <c r="E211" s="56">
        <f>IF(I23="",0,Q23)</f>
        <v>0</v>
      </c>
      <c r="F211" s="56">
        <f>-1*E209</f>
        <v>0</v>
      </c>
      <c r="G211" s="56">
        <f>-1*E210</f>
        <v>0</v>
      </c>
      <c r="H211" s="56">
        <f>IF(I23="",0,R23)</f>
        <v>0</v>
      </c>
      <c r="I211" s="9" t="str">
        <f>E208</f>
        <v>U10θ</v>
      </c>
    </row>
    <row r="212" spans="2:39" ht="18" customHeight="1" x14ac:dyDescent="0.3">
      <c r="C212" s="56">
        <f>F209</f>
        <v>0</v>
      </c>
      <c r="D212" s="56">
        <f>F210</f>
        <v>0</v>
      </c>
      <c r="E212" s="56">
        <f>F211</f>
        <v>0</v>
      </c>
      <c r="F212" s="56">
        <f>C209</f>
        <v>0</v>
      </c>
      <c r="G212" s="56">
        <f>D209</f>
        <v>0</v>
      </c>
      <c r="H212" s="56">
        <f>-1*H209</f>
        <v>0</v>
      </c>
      <c r="I212" s="9" t="str">
        <f>F208</f>
        <v>U11X</v>
      </c>
    </row>
    <row r="213" spans="2:39" ht="18" customHeight="1" x14ac:dyDescent="0.3">
      <c r="C213" s="56">
        <f>G209</f>
        <v>0</v>
      </c>
      <c r="D213" s="56">
        <f>G210</f>
        <v>0</v>
      </c>
      <c r="E213" s="56">
        <f>G211</f>
        <v>0</v>
      </c>
      <c r="F213" s="56">
        <f>G212</f>
        <v>0</v>
      </c>
      <c r="G213" s="56">
        <f>D210</f>
        <v>0</v>
      </c>
      <c r="H213" s="56">
        <f>-1*H210</f>
        <v>0</v>
      </c>
      <c r="I213" s="9" t="str">
        <f>G208</f>
        <v>U11Y</v>
      </c>
    </row>
    <row r="214" spans="2:39" ht="18" customHeight="1" x14ac:dyDescent="0.3">
      <c r="C214" s="56">
        <f>H209</f>
        <v>0</v>
      </c>
      <c r="D214" s="56">
        <f>H210</f>
        <v>0</v>
      </c>
      <c r="E214" s="56">
        <f>H211</f>
        <v>0</v>
      </c>
      <c r="F214" s="56">
        <f>H212</f>
        <v>0</v>
      </c>
      <c r="G214" s="56">
        <f>H213</f>
        <v>0</v>
      </c>
      <c r="H214" s="56">
        <f>E211</f>
        <v>0</v>
      </c>
      <c r="I214" s="9" t="str">
        <f>H208</f>
        <v>U11θ</v>
      </c>
    </row>
    <row r="216" spans="2:39" ht="15" thickBot="1" x14ac:dyDescent="0.35">
      <c r="C216" s="6" t="s">
        <v>125</v>
      </c>
      <c r="D216" s="6" t="s">
        <v>126</v>
      </c>
      <c r="E216" s="6" t="s">
        <v>127</v>
      </c>
      <c r="F216" s="6" t="s">
        <v>128</v>
      </c>
      <c r="G216" s="6" t="s">
        <v>129</v>
      </c>
      <c r="H216" s="6" t="s">
        <v>130</v>
      </c>
      <c r="I216" s="6" t="s">
        <v>131</v>
      </c>
      <c r="J216" s="6" t="s">
        <v>132</v>
      </c>
      <c r="K216" s="6" t="s">
        <v>133</v>
      </c>
      <c r="L216" s="6" t="s">
        <v>134</v>
      </c>
      <c r="M216" s="6" t="s">
        <v>135</v>
      </c>
      <c r="N216" s="6" t="s">
        <v>136</v>
      </c>
      <c r="O216" s="6" t="s">
        <v>137</v>
      </c>
      <c r="P216" s="6" t="s">
        <v>138</v>
      </c>
      <c r="Q216" s="6" t="s">
        <v>139</v>
      </c>
      <c r="R216" s="6" t="s">
        <v>140</v>
      </c>
      <c r="S216" s="6" t="s">
        <v>141</v>
      </c>
      <c r="T216" s="6" t="s">
        <v>142</v>
      </c>
      <c r="U216" s="6" t="s">
        <v>143</v>
      </c>
      <c r="V216" s="6" t="s">
        <v>144</v>
      </c>
      <c r="W216" s="6" t="s">
        <v>145</v>
      </c>
      <c r="X216" s="6" t="s">
        <v>146</v>
      </c>
      <c r="Y216" s="6" t="s">
        <v>147</v>
      </c>
      <c r="Z216" s="6" t="s">
        <v>148</v>
      </c>
      <c r="AA216" s="6" t="s">
        <v>149</v>
      </c>
      <c r="AB216" s="6" t="s">
        <v>150</v>
      </c>
      <c r="AC216" s="6" t="s">
        <v>151</v>
      </c>
      <c r="AD216" s="6" t="s">
        <v>152</v>
      </c>
      <c r="AE216" s="6" t="s">
        <v>153</v>
      </c>
      <c r="AF216" s="6" t="s">
        <v>154</v>
      </c>
      <c r="AG216" s="6" t="s">
        <v>155</v>
      </c>
      <c r="AH216" s="6" t="s">
        <v>156</v>
      </c>
      <c r="AI216" s="6" t="s">
        <v>157</v>
      </c>
      <c r="AJ216" s="6" t="s">
        <v>158</v>
      </c>
      <c r="AK216" s="6" t="s">
        <v>159</v>
      </c>
      <c r="AL216" s="6" t="s">
        <v>160</v>
      </c>
      <c r="AM216" s="6" t="s">
        <v>123</v>
      </c>
    </row>
    <row r="217" spans="2:39" ht="16.95" customHeight="1" x14ac:dyDescent="0.3">
      <c r="C217" s="41">
        <v>0</v>
      </c>
      <c r="D217" s="41">
        <v>0</v>
      </c>
      <c r="E217" s="41">
        <v>0</v>
      </c>
      <c r="F217" s="41">
        <v>0</v>
      </c>
      <c r="G217" s="41">
        <v>0</v>
      </c>
      <c r="H217" s="41">
        <v>0</v>
      </c>
      <c r="I217" s="41">
        <v>0</v>
      </c>
      <c r="J217" s="41">
        <v>0</v>
      </c>
      <c r="K217" s="41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41">
        <v>0</v>
      </c>
      <c r="R217" s="41">
        <v>0</v>
      </c>
      <c r="S217" s="41">
        <v>0</v>
      </c>
      <c r="T217" s="41">
        <v>0</v>
      </c>
      <c r="U217" s="41">
        <v>0</v>
      </c>
      <c r="V217" s="41">
        <v>0</v>
      </c>
      <c r="W217" s="41">
        <v>0</v>
      </c>
      <c r="X217" s="41">
        <v>0</v>
      </c>
      <c r="Y217" s="41">
        <v>0</v>
      </c>
      <c r="Z217" s="41">
        <v>0</v>
      </c>
      <c r="AA217" s="41">
        <v>0</v>
      </c>
      <c r="AB217" s="41">
        <v>0</v>
      </c>
      <c r="AC217" s="41">
        <v>0</v>
      </c>
      <c r="AD217" s="57">
        <f t="shared" ref="AD217:AI222" si="60">C209</f>
        <v>0</v>
      </c>
      <c r="AE217" s="57">
        <f t="shared" si="60"/>
        <v>0</v>
      </c>
      <c r="AF217" s="57">
        <f t="shared" si="60"/>
        <v>0</v>
      </c>
      <c r="AG217" s="57">
        <f t="shared" si="60"/>
        <v>0</v>
      </c>
      <c r="AH217" s="57">
        <f t="shared" si="60"/>
        <v>0</v>
      </c>
      <c r="AI217" s="57">
        <f t="shared" si="60"/>
        <v>0</v>
      </c>
      <c r="AJ217" s="41">
        <v>0</v>
      </c>
      <c r="AK217" s="41">
        <v>0</v>
      </c>
      <c r="AL217" s="41">
        <v>0</v>
      </c>
      <c r="AM217" s="42" t="str">
        <f t="shared" ref="AM217:AM222" si="61">I209</f>
        <v>U10X</v>
      </c>
    </row>
    <row r="218" spans="2:39" ht="16.95" customHeight="1" thickBot="1" x14ac:dyDescent="0.35">
      <c r="C218" s="41">
        <v>0</v>
      </c>
      <c r="D218" s="41">
        <v>0</v>
      </c>
      <c r="E218" s="41">
        <v>0</v>
      </c>
      <c r="F218" s="41">
        <v>0</v>
      </c>
      <c r="G218" s="41">
        <v>0</v>
      </c>
      <c r="H218" s="41">
        <v>0</v>
      </c>
      <c r="I218" s="41">
        <v>0</v>
      </c>
      <c r="J218" s="41">
        <v>0</v>
      </c>
      <c r="K218" s="41">
        <v>0</v>
      </c>
      <c r="L218" s="41">
        <v>0</v>
      </c>
      <c r="M218" s="41">
        <v>0</v>
      </c>
      <c r="N218" s="41">
        <v>0</v>
      </c>
      <c r="O218" s="41">
        <v>0</v>
      </c>
      <c r="P218" s="41">
        <v>0</v>
      </c>
      <c r="Q218" s="41">
        <v>0</v>
      </c>
      <c r="R218" s="41">
        <v>0</v>
      </c>
      <c r="S218" s="41">
        <v>0</v>
      </c>
      <c r="T218" s="41">
        <v>0</v>
      </c>
      <c r="U218" s="41">
        <v>0</v>
      </c>
      <c r="V218" s="41">
        <v>0</v>
      </c>
      <c r="W218" s="41">
        <v>0</v>
      </c>
      <c r="X218" s="41">
        <v>0</v>
      </c>
      <c r="Y218" s="41">
        <v>0</v>
      </c>
      <c r="Z218" s="41">
        <v>0</v>
      </c>
      <c r="AA218" s="41">
        <v>0</v>
      </c>
      <c r="AB218" s="41">
        <v>0</v>
      </c>
      <c r="AC218" s="41">
        <v>0</v>
      </c>
      <c r="AD218" s="57">
        <f t="shared" si="60"/>
        <v>0</v>
      </c>
      <c r="AE218" s="57">
        <f t="shared" si="60"/>
        <v>0</v>
      </c>
      <c r="AF218" s="57">
        <f t="shared" si="60"/>
        <v>0</v>
      </c>
      <c r="AG218" s="57">
        <f t="shared" si="60"/>
        <v>0</v>
      </c>
      <c r="AH218" s="57">
        <f t="shared" si="60"/>
        <v>0</v>
      </c>
      <c r="AI218" s="57">
        <f t="shared" si="60"/>
        <v>0</v>
      </c>
      <c r="AJ218" s="41">
        <v>0</v>
      </c>
      <c r="AK218" s="41">
        <v>0</v>
      </c>
      <c r="AL218" s="41">
        <v>0</v>
      </c>
      <c r="AM218" s="42" t="str">
        <f t="shared" si="61"/>
        <v>U10Y</v>
      </c>
    </row>
    <row r="219" spans="2:39" ht="16.95" customHeight="1" thickBot="1" x14ac:dyDescent="0.35">
      <c r="B219" s="39" t="s">
        <v>169</v>
      </c>
      <c r="C219" s="41">
        <v>0</v>
      </c>
      <c r="D219" s="41">
        <v>0</v>
      </c>
      <c r="E219" s="41">
        <v>0</v>
      </c>
      <c r="F219" s="41">
        <v>0</v>
      </c>
      <c r="G219" s="41">
        <v>0</v>
      </c>
      <c r="H219" s="41">
        <v>0</v>
      </c>
      <c r="I219" s="41">
        <v>0</v>
      </c>
      <c r="J219" s="41">
        <v>0</v>
      </c>
      <c r="K219" s="41"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41">
        <v>0</v>
      </c>
      <c r="R219" s="41">
        <v>0</v>
      </c>
      <c r="S219" s="41">
        <v>0</v>
      </c>
      <c r="T219" s="41">
        <v>0</v>
      </c>
      <c r="U219" s="41">
        <v>0</v>
      </c>
      <c r="V219" s="41">
        <v>0</v>
      </c>
      <c r="W219" s="41">
        <v>0</v>
      </c>
      <c r="X219" s="41">
        <v>0</v>
      </c>
      <c r="Y219" s="41">
        <v>0</v>
      </c>
      <c r="Z219" s="41">
        <v>0</v>
      </c>
      <c r="AA219" s="41">
        <v>0</v>
      </c>
      <c r="AB219" s="41">
        <v>0</v>
      </c>
      <c r="AC219" s="41">
        <v>0</v>
      </c>
      <c r="AD219" s="57">
        <f t="shared" si="60"/>
        <v>0</v>
      </c>
      <c r="AE219" s="57">
        <f t="shared" si="60"/>
        <v>0</v>
      </c>
      <c r="AF219" s="57">
        <f t="shared" si="60"/>
        <v>0</v>
      </c>
      <c r="AG219" s="57">
        <f t="shared" si="60"/>
        <v>0</v>
      </c>
      <c r="AH219" s="57">
        <f t="shared" si="60"/>
        <v>0</v>
      </c>
      <c r="AI219" s="57">
        <f t="shared" si="60"/>
        <v>0</v>
      </c>
      <c r="AJ219" s="41">
        <v>0</v>
      </c>
      <c r="AK219" s="41">
        <v>0</v>
      </c>
      <c r="AL219" s="41">
        <v>0</v>
      </c>
      <c r="AM219" s="42" t="str">
        <f t="shared" si="61"/>
        <v>U10θ</v>
      </c>
    </row>
    <row r="220" spans="2:39" ht="16.95" customHeight="1" x14ac:dyDescent="0.3">
      <c r="C220" s="41">
        <v>0</v>
      </c>
      <c r="D220" s="41">
        <v>0</v>
      </c>
      <c r="E220" s="41">
        <v>0</v>
      </c>
      <c r="F220" s="41">
        <v>0</v>
      </c>
      <c r="G220" s="41">
        <v>0</v>
      </c>
      <c r="H220" s="41">
        <v>0</v>
      </c>
      <c r="I220" s="41">
        <v>0</v>
      </c>
      <c r="J220" s="41">
        <v>0</v>
      </c>
      <c r="K220" s="41">
        <v>0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41">
        <v>0</v>
      </c>
      <c r="R220" s="41">
        <v>0</v>
      </c>
      <c r="S220" s="41">
        <v>0</v>
      </c>
      <c r="T220" s="41">
        <v>0</v>
      </c>
      <c r="U220" s="41">
        <v>0</v>
      </c>
      <c r="V220" s="41">
        <v>0</v>
      </c>
      <c r="W220" s="41">
        <v>0</v>
      </c>
      <c r="X220" s="41">
        <v>0</v>
      </c>
      <c r="Y220" s="41">
        <v>0</v>
      </c>
      <c r="Z220" s="41">
        <v>0</v>
      </c>
      <c r="AA220" s="41">
        <v>0</v>
      </c>
      <c r="AB220" s="41">
        <v>0</v>
      </c>
      <c r="AC220" s="41">
        <v>0</v>
      </c>
      <c r="AD220" s="57">
        <f t="shared" si="60"/>
        <v>0</v>
      </c>
      <c r="AE220" s="57">
        <f t="shared" si="60"/>
        <v>0</v>
      </c>
      <c r="AF220" s="57">
        <f t="shared" si="60"/>
        <v>0</v>
      </c>
      <c r="AG220" s="57">
        <f t="shared" si="60"/>
        <v>0</v>
      </c>
      <c r="AH220" s="57">
        <f t="shared" si="60"/>
        <v>0</v>
      </c>
      <c r="AI220" s="57">
        <f t="shared" si="60"/>
        <v>0</v>
      </c>
      <c r="AJ220" s="41">
        <v>0</v>
      </c>
      <c r="AK220" s="41">
        <v>0</v>
      </c>
      <c r="AL220" s="41">
        <v>0</v>
      </c>
      <c r="AM220" s="42" t="str">
        <f t="shared" si="61"/>
        <v>U11X</v>
      </c>
    </row>
    <row r="221" spans="2:39" ht="16.95" customHeight="1" x14ac:dyDescent="0.3">
      <c r="C221" s="41">
        <v>0</v>
      </c>
      <c r="D221" s="41">
        <v>0</v>
      </c>
      <c r="E221" s="41">
        <v>0</v>
      </c>
      <c r="F221" s="41">
        <v>0</v>
      </c>
      <c r="G221" s="41">
        <v>0</v>
      </c>
      <c r="H221" s="41">
        <v>0</v>
      </c>
      <c r="I221" s="41">
        <v>0</v>
      </c>
      <c r="J221" s="41">
        <v>0</v>
      </c>
      <c r="K221" s="41">
        <v>0</v>
      </c>
      <c r="L221" s="41">
        <v>0</v>
      </c>
      <c r="M221" s="41">
        <v>0</v>
      </c>
      <c r="N221" s="41">
        <v>0</v>
      </c>
      <c r="O221" s="41">
        <v>0</v>
      </c>
      <c r="P221" s="41">
        <v>0</v>
      </c>
      <c r="Q221" s="41">
        <v>0</v>
      </c>
      <c r="R221" s="41">
        <v>0</v>
      </c>
      <c r="S221" s="41">
        <v>0</v>
      </c>
      <c r="T221" s="41">
        <v>0</v>
      </c>
      <c r="U221" s="41">
        <v>0</v>
      </c>
      <c r="V221" s="41">
        <v>0</v>
      </c>
      <c r="W221" s="41">
        <v>0</v>
      </c>
      <c r="X221" s="41">
        <v>0</v>
      </c>
      <c r="Y221" s="41">
        <v>0</v>
      </c>
      <c r="Z221" s="41">
        <v>0</v>
      </c>
      <c r="AA221" s="41">
        <v>0</v>
      </c>
      <c r="AB221" s="41">
        <v>0</v>
      </c>
      <c r="AC221" s="41">
        <v>0</v>
      </c>
      <c r="AD221" s="57">
        <f t="shared" si="60"/>
        <v>0</v>
      </c>
      <c r="AE221" s="57">
        <f t="shared" si="60"/>
        <v>0</v>
      </c>
      <c r="AF221" s="57">
        <f t="shared" si="60"/>
        <v>0</v>
      </c>
      <c r="AG221" s="57">
        <f t="shared" si="60"/>
        <v>0</v>
      </c>
      <c r="AH221" s="57">
        <f t="shared" si="60"/>
        <v>0</v>
      </c>
      <c r="AI221" s="57">
        <f t="shared" si="60"/>
        <v>0</v>
      </c>
      <c r="AJ221" s="41">
        <v>0</v>
      </c>
      <c r="AK221" s="41">
        <v>0</v>
      </c>
      <c r="AL221" s="41">
        <v>0</v>
      </c>
      <c r="AM221" s="42" t="str">
        <f t="shared" si="61"/>
        <v>U11Y</v>
      </c>
    </row>
    <row r="222" spans="2:39" ht="16.95" customHeight="1" x14ac:dyDescent="0.3">
      <c r="C222" s="41">
        <v>0</v>
      </c>
      <c r="D222" s="41">
        <v>0</v>
      </c>
      <c r="E222" s="41">
        <v>0</v>
      </c>
      <c r="F222" s="41">
        <v>0</v>
      </c>
      <c r="G222" s="41">
        <v>0</v>
      </c>
      <c r="H222" s="41">
        <v>0</v>
      </c>
      <c r="I222" s="41">
        <v>0</v>
      </c>
      <c r="J222" s="41">
        <v>0</v>
      </c>
      <c r="K222" s="41">
        <v>0</v>
      </c>
      <c r="L222" s="41">
        <v>0</v>
      </c>
      <c r="M222" s="41">
        <v>0</v>
      </c>
      <c r="N222" s="41">
        <v>0</v>
      </c>
      <c r="O222" s="41">
        <v>0</v>
      </c>
      <c r="P222" s="41">
        <v>0</v>
      </c>
      <c r="Q222" s="41">
        <v>0</v>
      </c>
      <c r="R222" s="41">
        <v>0</v>
      </c>
      <c r="S222" s="41">
        <v>0</v>
      </c>
      <c r="T222" s="41">
        <v>0</v>
      </c>
      <c r="U222" s="41">
        <v>0</v>
      </c>
      <c r="V222" s="41">
        <v>0</v>
      </c>
      <c r="W222" s="41">
        <v>0</v>
      </c>
      <c r="X222" s="41">
        <v>0</v>
      </c>
      <c r="Y222" s="41">
        <v>0</v>
      </c>
      <c r="Z222" s="41">
        <v>0</v>
      </c>
      <c r="AA222" s="41">
        <v>0</v>
      </c>
      <c r="AB222" s="41">
        <v>0</v>
      </c>
      <c r="AC222" s="41">
        <v>0</v>
      </c>
      <c r="AD222" s="57">
        <f t="shared" si="60"/>
        <v>0</v>
      </c>
      <c r="AE222" s="57">
        <f t="shared" si="60"/>
        <v>0</v>
      </c>
      <c r="AF222" s="57">
        <f t="shared" si="60"/>
        <v>0</v>
      </c>
      <c r="AG222" s="57">
        <f t="shared" si="60"/>
        <v>0</v>
      </c>
      <c r="AH222" s="57">
        <f t="shared" si="60"/>
        <v>0</v>
      </c>
      <c r="AI222" s="57">
        <f t="shared" si="60"/>
        <v>0</v>
      </c>
      <c r="AJ222" s="41">
        <v>0</v>
      </c>
      <c r="AK222" s="41">
        <v>0</v>
      </c>
      <c r="AL222" s="41">
        <v>0</v>
      </c>
      <c r="AM222" s="42" t="str">
        <f t="shared" si="61"/>
        <v>U11θ</v>
      </c>
    </row>
    <row r="225" spans="2:39" ht="15" thickBot="1" x14ac:dyDescent="0.35">
      <c r="C225" s="36" t="str">
        <f>IF(C38="","U11X","U"&amp;C38&amp;"X")</f>
        <v>U11X</v>
      </c>
      <c r="D225" s="36" t="str">
        <f>IF(D38="","U11Y","U"&amp;D38&amp;"Y")</f>
        <v>U11Y</v>
      </c>
      <c r="E225" s="36" t="str">
        <f>IF(E38="","U11θ","U"&amp;E38&amp;"θ")</f>
        <v>U11θ</v>
      </c>
      <c r="F225" s="36" t="str">
        <f>IF(F38="","U12X","U"&amp;F38&amp;"X")</f>
        <v>U12X</v>
      </c>
      <c r="G225" s="36" t="str">
        <f>IF(G38="","U12Y","U"&amp;G38&amp;"Y")</f>
        <v>U12Y</v>
      </c>
      <c r="H225" s="36" t="str">
        <f>IF(H38="","U12θ","U"&amp;H38&amp;"θ")</f>
        <v>U12θ</v>
      </c>
      <c r="I225" s="36" t="s">
        <v>123</v>
      </c>
    </row>
    <row r="226" spans="2:39" ht="18" customHeight="1" x14ac:dyDescent="0.3">
      <c r="C226" s="58">
        <f>IF(I24="",0,(S24*(J24^2))+(O24*(K24^2)))</f>
        <v>0</v>
      </c>
      <c r="D226" s="58">
        <f>IF(I24="",0,(S24-O24)*J24*K24)</f>
        <v>0</v>
      </c>
      <c r="E226" s="58">
        <f>IF(I24="",0,-P24*K24)</f>
        <v>0</v>
      </c>
      <c r="F226" s="58">
        <f>-1*C226</f>
        <v>0</v>
      </c>
      <c r="G226" s="58">
        <f>-1*D226</f>
        <v>0</v>
      </c>
      <c r="H226" s="58">
        <f>E226</f>
        <v>0</v>
      </c>
      <c r="I226" s="9" t="str">
        <f>C225</f>
        <v>U11X</v>
      </c>
    </row>
    <row r="227" spans="2:39" ht="18" customHeight="1" thickBot="1" x14ac:dyDescent="0.35">
      <c r="C227" s="58">
        <f>D226</f>
        <v>0</v>
      </c>
      <c r="D227" s="58">
        <f>IF(I24="",0,(S24*(K24^2))+(O24*(J24^2)))</f>
        <v>0</v>
      </c>
      <c r="E227" s="58">
        <f>IF(I24="",0,P24*J24)</f>
        <v>0</v>
      </c>
      <c r="F227" s="58">
        <f>-1*D226</f>
        <v>0</v>
      </c>
      <c r="G227" s="58">
        <f>-1*D227</f>
        <v>0</v>
      </c>
      <c r="H227" s="58">
        <f>E227</f>
        <v>0</v>
      </c>
      <c r="I227" s="9" t="str">
        <f>D225</f>
        <v>U11Y</v>
      </c>
    </row>
    <row r="228" spans="2:39" ht="18" customHeight="1" thickBot="1" x14ac:dyDescent="0.35">
      <c r="B228" s="39" t="s">
        <v>170</v>
      </c>
      <c r="C228" s="58">
        <f>E226</f>
        <v>0</v>
      </c>
      <c r="D228" s="58">
        <f>E227</f>
        <v>0</v>
      </c>
      <c r="E228" s="58">
        <f>IF(I24="",0,Q24)</f>
        <v>0</v>
      </c>
      <c r="F228" s="58">
        <f>-1*E226</f>
        <v>0</v>
      </c>
      <c r="G228" s="58">
        <f>-1*E227</f>
        <v>0</v>
      </c>
      <c r="H228" s="58">
        <f>IF(I24="",0,R24)</f>
        <v>0</v>
      </c>
      <c r="I228" s="9" t="str">
        <f>E225</f>
        <v>U11θ</v>
      </c>
    </row>
    <row r="229" spans="2:39" ht="18" customHeight="1" x14ac:dyDescent="0.3">
      <c r="C229" s="58">
        <f>F226</f>
        <v>0</v>
      </c>
      <c r="D229" s="58">
        <f>F227</f>
        <v>0</v>
      </c>
      <c r="E229" s="58">
        <f>F228</f>
        <v>0</v>
      </c>
      <c r="F229" s="58">
        <f>C226</f>
        <v>0</v>
      </c>
      <c r="G229" s="58">
        <f>D226</f>
        <v>0</v>
      </c>
      <c r="H229" s="58">
        <f>-1*H226</f>
        <v>0</v>
      </c>
      <c r="I229" s="9" t="str">
        <f>F225</f>
        <v>U12X</v>
      </c>
    </row>
    <row r="230" spans="2:39" ht="18" customHeight="1" x14ac:dyDescent="0.3">
      <c r="C230" s="58">
        <f>G226</f>
        <v>0</v>
      </c>
      <c r="D230" s="58">
        <f>G227</f>
        <v>0</v>
      </c>
      <c r="E230" s="58">
        <f>G228</f>
        <v>0</v>
      </c>
      <c r="F230" s="58">
        <f>G229</f>
        <v>0</v>
      </c>
      <c r="G230" s="58">
        <f>D227</f>
        <v>0</v>
      </c>
      <c r="H230" s="58">
        <f>-1*H227</f>
        <v>0</v>
      </c>
      <c r="I230" s="9" t="str">
        <f>G225</f>
        <v>U12Y</v>
      </c>
    </row>
    <row r="231" spans="2:39" ht="18" customHeight="1" x14ac:dyDescent="0.3">
      <c r="C231" s="58">
        <f>H226</f>
        <v>0</v>
      </c>
      <c r="D231" s="58">
        <f>H227</f>
        <v>0</v>
      </c>
      <c r="E231" s="58">
        <f>H228</f>
        <v>0</v>
      </c>
      <c r="F231" s="58">
        <f>H229</f>
        <v>0</v>
      </c>
      <c r="G231" s="58">
        <f>H230</f>
        <v>0</v>
      </c>
      <c r="H231" s="58">
        <f>E228</f>
        <v>0</v>
      </c>
      <c r="I231" s="9" t="str">
        <f>H225</f>
        <v>U12θ</v>
      </c>
    </row>
    <row r="233" spans="2:39" ht="15" thickBot="1" x14ac:dyDescent="0.35">
      <c r="C233" s="6" t="s">
        <v>125</v>
      </c>
      <c r="D233" s="6" t="s">
        <v>126</v>
      </c>
      <c r="E233" s="6" t="s">
        <v>127</v>
      </c>
      <c r="F233" s="6" t="s">
        <v>128</v>
      </c>
      <c r="G233" s="6" t="s">
        <v>129</v>
      </c>
      <c r="H233" s="6" t="s">
        <v>130</v>
      </c>
      <c r="I233" s="6" t="s">
        <v>131</v>
      </c>
      <c r="J233" s="6" t="s">
        <v>132</v>
      </c>
      <c r="K233" s="6" t="s">
        <v>133</v>
      </c>
      <c r="L233" s="6" t="s">
        <v>134</v>
      </c>
      <c r="M233" s="6" t="s">
        <v>135</v>
      </c>
      <c r="N233" s="6" t="s">
        <v>136</v>
      </c>
      <c r="O233" s="6" t="s">
        <v>137</v>
      </c>
      <c r="P233" s="6" t="s">
        <v>138</v>
      </c>
      <c r="Q233" s="6" t="s">
        <v>139</v>
      </c>
      <c r="R233" s="6" t="s">
        <v>140</v>
      </c>
      <c r="S233" s="6" t="s">
        <v>141</v>
      </c>
      <c r="T233" s="6" t="s">
        <v>142</v>
      </c>
      <c r="U233" s="6" t="s">
        <v>143</v>
      </c>
      <c r="V233" s="6" t="s">
        <v>144</v>
      </c>
      <c r="W233" s="6" t="s">
        <v>145</v>
      </c>
      <c r="X233" s="6" t="s">
        <v>146</v>
      </c>
      <c r="Y233" s="6" t="s">
        <v>147</v>
      </c>
      <c r="Z233" s="6" t="s">
        <v>148</v>
      </c>
      <c r="AA233" s="6" t="s">
        <v>149</v>
      </c>
      <c r="AB233" s="6" t="s">
        <v>150</v>
      </c>
      <c r="AC233" s="6" t="s">
        <v>151</v>
      </c>
      <c r="AD233" s="6" t="s">
        <v>152</v>
      </c>
      <c r="AE233" s="6" t="s">
        <v>153</v>
      </c>
      <c r="AF233" s="6" t="s">
        <v>154</v>
      </c>
      <c r="AG233" s="6" t="s">
        <v>155</v>
      </c>
      <c r="AH233" s="6" t="s">
        <v>156</v>
      </c>
      <c r="AI233" s="6" t="s">
        <v>157</v>
      </c>
      <c r="AJ233" s="6" t="s">
        <v>158</v>
      </c>
      <c r="AK233" s="6" t="s">
        <v>159</v>
      </c>
      <c r="AL233" s="6" t="s">
        <v>160</v>
      </c>
      <c r="AM233" s="6" t="s">
        <v>123</v>
      </c>
    </row>
    <row r="234" spans="2:39" ht="16.95" customHeight="1" x14ac:dyDescent="0.3">
      <c r="C234" s="41">
        <v>0</v>
      </c>
      <c r="D234" s="41">
        <v>0</v>
      </c>
      <c r="E234" s="41">
        <v>0</v>
      </c>
      <c r="F234" s="41">
        <v>0</v>
      </c>
      <c r="G234" s="41">
        <v>0</v>
      </c>
      <c r="H234" s="41">
        <v>0</v>
      </c>
      <c r="I234" s="41">
        <v>0</v>
      </c>
      <c r="J234" s="41">
        <v>0</v>
      </c>
      <c r="K234" s="41">
        <v>0</v>
      </c>
      <c r="L234" s="41">
        <v>0</v>
      </c>
      <c r="M234" s="41">
        <v>0</v>
      </c>
      <c r="N234" s="41">
        <v>0</v>
      </c>
      <c r="O234" s="41">
        <v>0</v>
      </c>
      <c r="P234" s="41">
        <v>0</v>
      </c>
      <c r="Q234" s="41">
        <v>0</v>
      </c>
      <c r="R234" s="41">
        <v>0</v>
      </c>
      <c r="S234" s="41">
        <v>0</v>
      </c>
      <c r="T234" s="41">
        <v>0</v>
      </c>
      <c r="U234" s="41">
        <v>0</v>
      </c>
      <c r="V234" s="41">
        <v>0</v>
      </c>
      <c r="W234" s="41">
        <v>0</v>
      </c>
      <c r="X234" s="41">
        <v>0</v>
      </c>
      <c r="Y234" s="41">
        <v>0</v>
      </c>
      <c r="Z234" s="41">
        <v>0</v>
      </c>
      <c r="AA234" s="41">
        <v>0</v>
      </c>
      <c r="AB234" s="41">
        <v>0</v>
      </c>
      <c r="AC234" s="41">
        <v>0</v>
      </c>
      <c r="AD234" s="41">
        <v>0</v>
      </c>
      <c r="AE234" s="41">
        <v>0</v>
      </c>
      <c r="AF234" s="41">
        <v>0</v>
      </c>
      <c r="AG234" s="59">
        <f t="shared" ref="AG234:AM239" si="62">C226</f>
        <v>0</v>
      </c>
      <c r="AH234" s="59">
        <f t="shared" si="62"/>
        <v>0</v>
      </c>
      <c r="AI234" s="59">
        <f t="shared" si="62"/>
        <v>0</v>
      </c>
      <c r="AJ234" s="59">
        <f t="shared" si="62"/>
        <v>0</v>
      </c>
      <c r="AK234" s="59">
        <f t="shared" si="62"/>
        <v>0</v>
      </c>
      <c r="AL234" s="59">
        <f t="shared" si="62"/>
        <v>0</v>
      </c>
      <c r="AM234" s="42" t="str">
        <f t="shared" si="62"/>
        <v>U11X</v>
      </c>
    </row>
    <row r="235" spans="2:39" ht="16.95" customHeight="1" thickBot="1" x14ac:dyDescent="0.35">
      <c r="C235" s="41">
        <v>0</v>
      </c>
      <c r="D235" s="41">
        <v>0</v>
      </c>
      <c r="E235" s="41">
        <v>0</v>
      </c>
      <c r="F235" s="41">
        <v>0</v>
      </c>
      <c r="G235" s="41">
        <v>0</v>
      </c>
      <c r="H235" s="41">
        <v>0</v>
      </c>
      <c r="I235" s="41">
        <v>0</v>
      </c>
      <c r="J235" s="41">
        <v>0</v>
      </c>
      <c r="K235" s="41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41">
        <v>0</v>
      </c>
      <c r="R235" s="41">
        <v>0</v>
      </c>
      <c r="S235" s="41">
        <v>0</v>
      </c>
      <c r="T235" s="41">
        <v>0</v>
      </c>
      <c r="U235" s="41">
        <v>0</v>
      </c>
      <c r="V235" s="41">
        <v>0</v>
      </c>
      <c r="W235" s="41">
        <v>0</v>
      </c>
      <c r="X235" s="41">
        <v>0</v>
      </c>
      <c r="Y235" s="41">
        <v>0</v>
      </c>
      <c r="Z235" s="41">
        <v>0</v>
      </c>
      <c r="AA235" s="41">
        <v>0</v>
      </c>
      <c r="AB235" s="41">
        <v>0</v>
      </c>
      <c r="AC235" s="41">
        <v>0</v>
      </c>
      <c r="AD235" s="41">
        <v>0</v>
      </c>
      <c r="AE235" s="41">
        <v>0</v>
      </c>
      <c r="AF235" s="41">
        <v>0</v>
      </c>
      <c r="AG235" s="59">
        <f t="shared" si="62"/>
        <v>0</v>
      </c>
      <c r="AH235" s="59">
        <f t="shared" si="62"/>
        <v>0</v>
      </c>
      <c r="AI235" s="59">
        <f t="shared" si="62"/>
        <v>0</v>
      </c>
      <c r="AJ235" s="59">
        <f t="shared" si="62"/>
        <v>0</v>
      </c>
      <c r="AK235" s="59">
        <f t="shared" si="62"/>
        <v>0</v>
      </c>
      <c r="AL235" s="59">
        <f t="shared" si="62"/>
        <v>0</v>
      </c>
      <c r="AM235" s="42" t="str">
        <f t="shared" si="62"/>
        <v>U11Y</v>
      </c>
    </row>
    <row r="236" spans="2:39" ht="16.95" customHeight="1" thickBot="1" x14ac:dyDescent="0.35">
      <c r="B236" s="39" t="s">
        <v>170</v>
      </c>
      <c r="C236" s="41">
        <v>0</v>
      </c>
      <c r="D236" s="41">
        <v>0</v>
      </c>
      <c r="E236" s="41">
        <v>0</v>
      </c>
      <c r="F236" s="41">
        <v>0</v>
      </c>
      <c r="G236" s="41">
        <v>0</v>
      </c>
      <c r="H236" s="41">
        <v>0</v>
      </c>
      <c r="I236" s="41">
        <v>0</v>
      </c>
      <c r="J236" s="41">
        <v>0</v>
      </c>
      <c r="K236" s="41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41">
        <v>0</v>
      </c>
      <c r="R236" s="41">
        <v>0</v>
      </c>
      <c r="S236" s="41">
        <v>0</v>
      </c>
      <c r="T236" s="41">
        <v>0</v>
      </c>
      <c r="U236" s="41">
        <v>0</v>
      </c>
      <c r="V236" s="41">
        <v>0</v>
      </c>
      <c r="W236" s="41">
        <v>0</v>
      </c>
      <c r="X236" s="41">
        <v>0</v>
      </c>
      <c r="Y236" s="41">
        <v>0</v>
      </c>
      <c r="Z236" s="41">
        <v>0</v>
      </c>
      <c r="AA236" s="41">
        <v>0</v>
      </c>
      <c r="AB236" s="41">
        <v>0</v>
      </c>
      <c r="AC236" s="41">
        <v>0</v>
      </c>
      <c r="AD236" s="41">
        <v>0</v>
      </c>
      <c r="AE236" s="41">
        <v>0</v>
      </c>
      <c r="AF236" s="41">
        <v>0</v>
      </c>
      <c r="AG236" s="59">
        <f t="shared" si="62"/>
        <v>0</v>
      </c>
      <c r="AH236" s="59">
        <f t="shared" si="62"/>
        <v>0</v>
      </c>
      <c r="AI236" s="59">
        <f t="shared" si="62"/>
        <v>0</v>
      </c>
      <c r="AJ236" s="59">
        <f t="shared" si="62"/>
        <v>0</v>
      </c>
      <c r="AK236" s="59">
        <f t="shared" si="62"/>
        <v>0</v>
      </c>
      <c r="AL236" s="59">
        <f t="shared" si="62"/>
        <v>0</v>
      </c>
      <c r="AM236" s="42" t="str">
        <f t="shared" si="62"/>
        <v>U11θ</v>
      </c>
    </row>
    <row r="237" spans="2:39" ht="16.95" customHeight="1" x14ac:dyDescent="0.3">
      <c r="C237" s="41">
        <v>0</v>
      </c>
      <c r="D237" s="41">
        <v>0</v>
      </c>
      <c r="E237" s="41">
        <v>0</v>
      </c>
      <c r="F237" s="41">
        <v>0</v>
      </c>
      <c r="G237" s="41">
        <v>0</v>
      </c>
      <c r="H237" s="41">
        <v>0</v>
      </c>
      <c r="I237" s="41">
        <v>0</v>
      </c>
      <c r="J237" s="41">
        <v>0</v>
      </c>
      <c r="K237" s="41"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41">
        <v>0</v>
      </c>
      <c r="R237" s="41">
        <v>0</v>
      </c>
      <c r="S237" s="41">
        <v>0</v>
      </c>
      <c r="T237" s="41">
        <v>0</v>
      </c>
      <c r="U237" s="41">
        <v>0</v>
      </c>
      <c r="V237" s="41">
        <v>0</v>
      </c>
      <c r="W237" s="41">
        <v>0</v>
      </c>
      <c r="X237" s="41">
        <v>0</v>
      </c>
      <c r="Y237" s="41">
        <v>0</v>
      </c>
      <c r="Z237" s="41">
        <v>0</v>
      </c>
      <c r="AA237" s="41">
        <v>0</v>
      </c>
      <c r="AB237" s="41">
        <v>0</v>
      </c>
      <c r="AC237" s="41">
        <v>0</v>
      </c>
      <c r="AD237" s="41">
        <v>0</v>
      </c>
      <c r="AE237" s="41">
        <v>0</v>
      </c>
      <c r="AF237" s="41">
        <v>0</v>
      </c>
      <c r="AG237" s="59">
        <f t="shared" si="62"/>
        <v>0</v>
      </c>
      <c r="AH237" s="59">
        <f t="shared" si="62"/>
        <v>0</v>
      </c>
      <c r="AI237" s="59">
        <f t="shared" si="62"/>
        <v>0</v>
      </c>
      <c r="AJ237" s="59">
        <f t="shared" si="62"/>
        <v>0</v>
      </c>
      <c r="AK237" s="59">
        <f t="shared" si="62"/>
        <v>0</v>
      </c>
      <c r="AL237" s="59">
        <f t="shared" si="62"/>
        <v>0</v>
      </c>
      <c r="AM237" s="42" t="str">
        <f t="shared" si="62"/>
        <v>U12X</v>
      </c>
    </row>
    <row r="238" spans="2:39" ht="16.95" customHeight="1" x14ac:dyDescent="0.3">
      <c r="C238" s="41">
        <v>0</v>
      </c>
      <c r="D238" s="41">
        <v>0</v>
      </c>
      <c r="E238" s="41">
        <v>0</v>
      </c>
      <c r="F238" s="41">
        <v>0</v>
      </c>
      <c r="G238" s="41">
        <v>0</v>
      </c>
      <c r="H238" s="41">
        <v>0</v>
      </c>
      <c r="I238" s="41">
        <v>0</v>
      </c>
      <c r="J238" s="41">
        <v>0</v>
      </c>
      <c r="K238" s="41">
        <v>0</v>
      </c>
      <c r="L238" s="41">
        <v>0</v>
      </c>
      <c r="M238" s="41">
        <v>0</v>
      </c>
      <c r="N238" s="41">
        <v>0</v>
      </c>
      <c r="O238" s="41">
        <v>0</v>
      </c>
      <c r="P238" s="41">
        <v>0</v>
      </c>
      <c r="Q238" s="41">
        <v>0</v>
      </c>
      <c r="R238" s="41">
        <v>0</v>
      </c>
      <c r="S238" s="41">
        <v>0</v>
      </c>
      <c r="T238" s="41">
        <v>0</v>
      </c>
      <c r="U238" s="41">
        <v>0</v>
      </c>
      <c r="V238" s="41">
        <v>0</v>
      </c>
      <c r="W238" s="41">
        <v>0</v>
      </c>
      <c r="X238" s="41">
        <v>0</v>
      </c>
      <c r="Y238" s="41">
        <v>0</v>
      </c>
      <c r="Z238" s="41">
        <v>0</v>
      </c>
      <c r="AA238" s="41">
        <v>0</v>
      </c>
      <c r="AB238" s="41">
        <v>0</v>
      </c>
      <c r="AC238" s="41">
        <v>0</v>
      </c>
      <c r="AD238" s="41">
        <v>0</v>
      </c>
      <c r="AE238" s="41">
        <v>0</v>
      </c>
      <c r="AF238" s="41">
        <v>0</v>
      </c>
      <c r="AG238" s="59">
        <f t="shared" si="62"/>
        <v>0</v>
      </c>
      <c r="AH238" s="59">
        <f t="shared" si="62"/>
        <v>0</v>
      </c>
      <c r="AI238" s="59">
        <f t="shared" si="62"/>
        <v>0</v>
      </c>
      <c r="AJ238" s="59">
        <f t="shared" si="62"/>
        <v>0</v>
      </c>
      <c r="AK238" s="59">
        <f t="shared" si="62"/>
        <v>0</v>
      </c>
      <c r="AL238" s="59">
        <f t="shared" si="62"/>
        <v>0</v>
      </c>
      <c r="AM238" s="42" t="str">
        <f t="shared" si="62"/>
        <v>U12Y</v>
      </c>
    </row>
    <row r="239" spans="2:39" ht="16.95" customHeight="1" x14ac:dyDescent="0.3">
      <c r="C239" s="41">
        <v>0</v>
      </c>
      <c r="D239" s="41">
        <v>0</v>
      </c>
      <c r="E239" s="41">
        <v>0</v>
      </c>
      <c r="F239" s="41">
        <v>0</v>
      </c>
      <c r="G239" s="41">
        <v>0</v>
      </c>
      <c r="H239" s="41">
        <v>0</v>
      </c>
      <c r="I239" s="41">
        <v>0</v>
      </c>
      <c r="J239" s="41">
        <v>0</v>
      </c>
      <c r="K239" s="41">
        <v>0</v>
      </c>
      <c r="L239" s="41">
        <v>0</v>
      </c>
      <c r="M239" s="41">
        <v>0</v>
      </c>
      <c r="N239" s="41">
        <v>0</v>
      </c>
      <c r="O239" s="41">
        <v>0</v>
      </c>
      <c r="P239" s="41">
        <v>0</v>
      </c>
      <c r="Q239" s="41">
        <v>0</v>
      </c>
      <c r="R239" s="41">
        <v>0</v>
      </c>
      <c r="S239" s="41">
        <v>0</v>
      </c>
      <c r="T239" s="41">
        <v>0</v>
      </c>
      <c r="U239" s="41">
        <v>0</v>
      </c>
      <c r="V239" s="41">
        <v>0</v>
      </c>
      <c r="W239" s="41">
        <v>0</v>
      </c>
      <c r="X239" s="41">
        <v>0</v>
      </c>
      <c r="Y239" s="41">
        <v>0</v>
      </c>
      <c r="Z239" s="41">
        <v>0</v>
      </c>
      <c r="AA239" s="41">
        <v>0</v>
      </c>
      <c r="AB239" s="41">
        <v>0</v>
      </c>
      <c r="AC239" s="41">
        <v>0</v>
      </c>
      <c r="AD239" s="41">
        <v>0</v>
      </c>
      <c r="AE239" s="41">
        <v>0</v>
      </c>
      <c r="AF239" s="41">
        <v>0</v>
      </c>
      <c r="AG239" s="59">
        <f t="shared" si="62"/>
        <v>0</v>
      </c>
      <c r="AH239" s="59">
        <f t="shared" si="62"/>
        <v>0</v>
      </c>
      <c r="AI239" s="59">
        <f t="shared" si="62"/>
        <v>0</v>
      </c>
      <c r="AJ239" s="59">
        <f t="shared" si="62"/>
        <v>0</v>
      </c>
      <c r="AK239" s="59">
        <f t="shared" si="62"/>
        <v>0</v>
      </c>
      <c r="AL239" s="59">
        <f t="shared" si="62"/>
        <v>0</v>
      </c>
      <c r="AM239" s="42" t="str">
        <f t="shared" si="62"/>
        <v>U12θ</v>
      </c>
    </row>
    <row r="243" spans="2:83" ht="22.05" customHeight="1" thickBot="1" x14ac:dyDescent="0.35">
      <c r="B243" s="1" t="s">
        <v>171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2:83" ht="15" thickBot="1" x14ac:dyDescent="0.35">
      <c r="B244" s="36" t="s">
        <v>123</v>
      </c>
      <c r="C244" s="6" t="s">
        <v>125</v>
      </c>
      <c r="D244" s="6" t="s">
        <v>126</v>
      </c>
      <c r="E244" s="6" t="s">
        <v>127</v>
      </c>
      <c r="F244" s="6" t="s">
        <v>128</v>
      </c>
      <c r="G244" s="6" t="s">
        <v>129</v>
      </c>
      <c r="H244" s="6" t="s">
        <v>130</v>
      </c>
      <c r="I244" s="6" t="s">
        <v>131</v>
      </c>
      <c r="J244" s="6" t="s">
        <v>132</v>
      </c>
      <c r="K244" s="6" t="s">
        <v>133</v>
      </c>
      <c r="L244" s="6" t="s">
        <v>134</v>
      </c>
      <c r="M244" s="6" t="s">
        <v>135</v>
      </c>
      <c r="N244" s="6" t="s">
        <v>136</v>
      </c>
      <c r="O244" s="6" t="s">
        <v>137</v>
      </c>
      <c r="P244" s="6" t="s">
        <v>138</v>
      </c>
      <c r="Q244" s="6" t="s">
        <v>139</v>
      </c>
      <c r="R244" s="6" t="s">
        <v>140</v>
      </c>
      <c r="S244" s="6" t="s">
        <v>141</v>
      </c>
      <c r="T244" s="6" t="s">
        <v>142</v>
      </c>
      <c r="U244" s="6" t="s">
        <v>143</v>
      </c>
      <c r="V244" s="6" t="s">
        <v>144</v>
      </c>
      <c r="W244" s="6" t="s">
        <v>145</v>
      </c>
      <c r="X244" s="6" t="s">
        <v>146</v>
      </c>
      <c r="Y244" s="6" t="s">
        <v>147</v>
      </c>
      <c r="Z244" s="6" t="s">
        <v>148</v>
      </c>
      <c r="AA244" s="6" t="s">
        <v>149</v>
      </c>
      <c r="AB244" s="6" t="s">
        <v>150</v>
      </c>
      <c r="AC244" s="6" t="s">
        <v>151</v>
      </c>
      <c r="AD244" s="6" t="s">
        <v>152</v>
      </c>
      <c r="AE244" s="6" t="s">
        <v>153</v>
      </c>
      <c r="AF244" s="6" t="s">
        <v>154</v>
      </c>
      <c r="AG244" s="6" t="s">
        <v>155</v>
      </c>
      <c r="AH244" s="6" t="s">
        <v>156</v>
      </c>
      <c r="AI244" s="6" t="s">
        <v>157</v>
      </c>
      <c r="AJ244" s="6" t="s">
        <v>158</v>
      </c>
      <c r="AK244" s="6" t="s">
        <v>159</v>
      </c>
      <c r="AL244" s="6" t="s">
        <v>160</v>
      </c>
      <c r="AM244" s="36" t="s">
        <v>123</v>
      </c>
      <c r="AU244" s="60" t="s">
        <v>172</v>
      </c>
    </row>
    <row r="245" spans="2:83" ht="18" customHeight="1" x14ac:dyDescent="0.3">
      <c r="B245" s="42" t="s">
        <v>125</v>
      </c>
      <c r="C245" s="44">
        <f t="shared" ref="C245:AL247" si="63">C64</f>
        <v>1687500</v>
      </c>
      <c r="D245" s="40">
        <f t="shared" si="63"/>
        <v>0</v>
      </c>
      <c r="E245" s="40">
        <f t="shared" si="63"/>
        <v>0</v>
      </c>
      <c r="F245" s="40">
        <f t="shared" si="63"/>
        <v>-1687500</v>
      </c>
      <c r="G245" s="40">
        <f t="shared" si="63"/>
        <v>0</v>
      </c>
      <c r="H245" s="40">
        <f t="shared" si="63"/>
        <v>0</v>
      </c>
      <c r="I245" s="41">
        <f t="shared" si="63"/>
        <v>0</v>
      </c>
      <c r="J245" s="41">
        <f t="shared" si="63"/>
        <v>0</v>
      </c>
      <c r="K245" s="41">
        <f t="shared" si="63"/>
        <v>0</v>
      </c>
      <c r="L245" s="41">
        <f t="shared" si="63"/>
        <v>0</v>
      </c>
      <c r="M245" s="41">
        <f t="shared" si="63"/>
        <v>0</v>
      </c>
      <c r="N245" s="41">
        <f t="shared" si="63"/>
        <v>0</v>
      </c>
      <c r="O245" s="41">
        <f t="shared" si="63"/>
        <v>0</v>
      </c>
      <c r="P245" s="41">
        <f t="shared" si="63"/>
        <v>0</v>
      </c>
      <c r="Q245" s="41">
        <f t="shared" si="63"/>
        <v>0</v>
      </c>
      <c r="R245" s="41">
        <f t="shared" si="63"/>
        <v>0</v>
      </c>
      <c r="S245" s="41">
        <f t="shared" si="63"/>
        <v>0</v>
      </c>
      <c r="T245" s="41">
        <f t="shared" si="63"/>
        <v>0</v>
      </c>
      <c r="U245" s="41">
        <f t="shared" si="63"/>
        <v>0</v>
      </c>
      <c r="V245" s="41">
        <f t="shared" si="63"/>
        <v>0</v>
      </c>
      <c r="W245" s="41">
        <f t="shared" si="63"/>
        <v>0</v>
      </c>
      <c r="X245" s="41">
        <f t="shared" si="63"/>
        <v>0</v>
      </c>
      <c r="Y245" s="41">
        <f t="shared" si="63"/>
        <v>0</v>
      </c>
      <c r="Z245" s="41">
        <f t="shared" si="63"/>
        <v>0</v>
      </c>
      <c r="AA245" s="41">
        <f t="shared" si="63"/>
        <v>0</v>
      </c>
      <c r="AB245" s="41">
        <f t="shared" si="63"/>
        <v>0</v>
      </c>
      <c r="AC245" s="41">
        <f t="shared" si="63"/>
        <v>0</v>
      </c>
      <c r="AD245" s="41">
        <f t="shared" si="63"/>
        <v>0</v>
      </c>
      <c r="AE245" s="41">
        <f t="shared" si="63"/>
        <v>0</v>
      </c>
      <c r="AF245" s="41">
        <f t="shared" si="63"/>
        <v>0</v>
      </c>
      <c r="AG245" s="41">
        <f t="shared" si="63"/>
        <v>0</v>
      </c>
      <c r="AH245" s="41">
        <f t="shared" si="63"/>
        <v>0</v>
      </c>
      <c r="AI245" s="41">
        <f t="shared" si="63"/>
        <v>0</v>
      </c>
      <c r="AJ245" s="41">
        <f t="shared" si="63"/>
        <v>0</v>
      </c>
      <c r="AK245" s="41">
        <f t="shared" si="63"/>
        <v>0</v>
      </c>
      <c r="AL245" s="41">
        <f t="shared" si="63"/>
        <v>0</v>
      </c>
      <c r="AM245" s="42" t="s">
        <v>125</v>
      </c>
      <c r="AU245">
        <f>IF($R285&lt;&gt;"",C245,1)</f>
        <v>1</v>
      </c>
      <c r="AV245">
        <f>IF(AND($R285&lt;&gt;"",$R$286&lt;&gt;""),D245,0)</f>
        <v>0</v>
      </c>
      <c r="AW245">
        <f>IF(AND($R285&lt;&gt;"",$R$287&lt;&gt;""),E245,0)</f>
        <v>0</v>
      </c>
      <c r="AX245">
        <f>IF(AND($R285&lt;&gt;"",$R$288&lt;&gt;""),F245,0)</f>
        <v>0</v>
      </c>
      <c r="AY245">
        <f>IF(AND($R285&lt;&gt;"",$R$289&lt;&gt;""),G245,0)</f>
        <v>0</v>
      </c>
      <c r="AZ245">
        <f>IF(AND($R285&lt;&gt;"",$R$290&lt;&gt;""),H245,0)</f>
        <v>0</v>
      </c>
      <c r="BA245">
        <f t="shared" ref="BA245:BA250" si="64">IF(AND($R285&lt;&gt;"",$R$291&lt;&gt;""),I245,0)</f>
        <v>0</v>
      </c>
      <c r="BB245">
        <f t="shared" ref="BB245:BB251" si="65">IF(AND($R285&lt;&gt;"",$R$292&lt;&gt;""),J245,0)</f>
        <v>0</v>
      </c>
      <c r="BC245">
        <f t="shared" ref="BC245:BC252" si="66">IF(AND($R285&lt;&gt;"",$R$293&lt;&gt;""),K245,0)</f>
        <v>0</v>
      </c>
      <c r="BD245">
        <f t="shared" ref="BD245:BD253" si="67">IF(AND($R285&lt;&gt;"",$R$294&lt;&gt;""),L245,0)</f>
        <v>0</v>
      </c>
      <c r="BE245">
        <f t="shared" ref="BE245:BE254" si="68">IF(AND($R285&lt;&gt;"",$R$295&lt;&gt;""),M245,0)</f>
        <v>0</v>
      </c>
      <c r="BF245">
        <f t="shared" ref="BF245:BF255" si="69">IF(AND($R285&lt;&gt;"",$R$296&lt;&gt;""),N245,0)</f>
        <v>0</v>
      </c>
      <c r="BG245">
        <f t="shared" ref="BG245:BG256" si="70">IF(AND($R285&lt;&gt;"",$R$297&lt;&gt;""),O245,0)</f>
        <v>0</v>
      </c>
      <c r="BH245">
        <f t="shared" ref="BH245:BH257" si="71">IF(AND($R285&lt;&gt;"",$R$298&lt;&gt;""),P245,0)</f>
        <v>0</v>
      </c>
      <c r="BI245">
        <f t="shared" ref="BI245:BI258" si="72">IF(AND($R285&lt;&gt;"",$R$299&lt;&gt;""),Q245,0)</f>
        <v>0</v>
      </c>
      <c r="BJ245">
        <f t="shared" ref="BJ245:BJ259" si="73">IF(AND($R285&lt;&gt;"",$R$300&lt;&gt;""),R245,0)</f>
        <v>0</v>
      </c>
      <c r="BK245">
        <f t="shared" ref="BK245:BK260" si="74">IF(AND($R285&lt;&gt;"",$R$301&lt;&gt;""),S245,0)</f>
        <v>0</v>
      </c>
      <c r="BL245">
        <f t="shared" ref="BL245:BL261" si="75">IF(AND($R285&lt;&gt;"",$R$302&lt;&gt;""),T245,0)</f>
        <v>0</v>
      </c>
      <c r="BM245">
        <f t="shared" ref="BM245:BM262" si="76">IF(AND($R285&lt;&gt;"",$R$303&lt;&gt;""),U245,0)</f>
        <v>0</v>
      </c>
      <c r="BN245">
        <f t="shared" ref="BN245:BN263" si="77">IF(AND($R285&lt;&gt;"",$R$304&lt;&gt;""),V245,0)</f>
        <v>0</v>
      </c>
      <c r="BO245">
        <f t="shared" ref="BO245:BO264" si="78">IF(AND($R285&lt;&gt;"",$R$305&lt;&gt;""),W245,0)</f>
        <v>0</v>
      </c>
      <c r="BP245">
        <f t="shared" ref="BP245:BP265" si="79">IF(AND($R285&lt;&gt;"",$R$306&lt;&gt;""),X245,0)</f>
        <v>0</v>
      </c>
      <c r="BQ245">
        <f t="shared" ref="BQ245:BQ266" si="80">IF(AND($R285&lt;&gt;"",$R$307&lt;&gt;""),Y245,0)</f>
        <v>0</v>
      </c>
      <c r="BR245">
        <f t="shared" ref="BR245:BR267" si="81">IF(AND($R285&lt;&gt;"",$R$308&lt;&gt;""),Z245,0)</f>
        <v>0</v>
      </c>
      <c r="BS245">
        <f t="shared" ref="BS245:BS268" si="82">IF(AND($R285&lt;&gt;"",$R$309&lt;&gt;""),AA245,0)</f>
        <v>0</v>
      </c>
      <c r="BT245">
        <f t="shared" ref="BT245:BT269" si="83">IF(AND($R285&lt;&gt;"",$R$310&lt;&gt;""),AB245,0)</f>
        <v>0</v>
      </c>
      <c r="BU245">
        <f t="shared" ref="BU245:BU270" si="84">IF(AND($R285&lt;&gt;"",$R$311&lt;&gt;""),AC245,0)</f>
        <v>0</v>
      </c>
      <c r="BV245">
        <f t="shared" ref="BV245:BV271" si="85">IF(AND($R285&lt;&gt;"",$R$312&lt;&gt;""),AD245,0)</f>
        <v>0</v>
      </c>
      <c r="BW245">
        <f t="shared" ref="BW245:BW272" si="86">IF(AND($R285&lt;&gt;"",$R$313&lt;&gt;""),AE245,0)</f>
        <v>0</v>
      </c>
      <c r="BX245">
        <f t="shared" ref="BX245:BX273" si="87">IF(AND($R285&lt;&gt;"",$R$314&lt;&gt;""),AF245,0)</f>
        <v>0</v>
      </c>
      <c r="BY245">
        <f t="shared" ref="BY245:BY274" si="88">IF(AND($R285&lt;&gt;"",$R$315&lt;&gt;""),AG245,0)</f>
        <v>0</v>
      </c>
      <c r="BZ245">
        <f t="shared" ref="BZ245:BZ275" si="89">IF(AND($R285&lt;&gt;"",$R$316&lt;&gt;""),AH245,0)</f>
        <v>0</v>
      </c>
      <c r="CA245">
        <f t="shared" ref="CA245:CA276" si="90">IF(AND($R285&lt;&gt;"",$R$317&lt;&gt;""),AI245,0)</f>
        <v>0</v>
      </c>
      <c r="CB245">
        <f t="shared" ref="CB245:CB277" si="91">IF(AND($R285&lt;&gt;"",$R$318&lt;&gt;""),AJ245,0)</f>
        <v>0</v>
      </c>
      <c r="CC245">
        <f t="shared" ref="CC245:CC278" si="92">IF(AND($R285&lt;&gt;"",$R$319&lt;&gt;""),AK245,0)</f>
        <v>0</v>
      </c>
      <c r="CD245">
        <f t="shared" ref="CD245:CD279" si="93">IF(AND($R285&lt;&gt;"",$R$320&lt;&gt;""),AL245,0)</f>
        <v>0</v>
      </c>
      <c r="CE245">
        <f t="shared" ref="CE245:CE280" si="94">IF($R285&lt;&gt;"",$F285,0)</f>
        <v>0</v>
      </c>
    </row>
    <row r="246" spans="2:83" ht="18" customHeight="1" x14ac:dyDescent="0.3">
      <c r="B246" s="42" t="s">
        <v>126</v>
      </c>
      <c r="C246" s="40">
        <f t="shared" si="63"/>
        <v>0</v>
      </c>
      <c r="D246" s="44">
        <f t="shared" si="63"/>
        <v>85429.6875</v>
      </c>
      <c r="E246" s="40">
        <f t="shared" si="63"/>
        <v>8542968.75</v>
      </c>
      <c r="F246" s="40">
        <f t="shared" si="63"/>
        <v>0</v>
      </c>
      <c r="G246" s="40">
        <f t="shared" si="63"/>
        <v>-85429.6875</v>
      </c>
      <c r="H246" s="40">
        <f t="shared" si="63"/>
        <v>8542968.75</v>
      </c>
      <c r="I246" s="41">
        <f t="shared" si="63"/>
        <v>0</v>
      </c>
      <c r="J246" s="41">
        <f t="shared" si="63"/>
        <v>0</v>
      </c>
      <c r="K246" s="41">
        <f t="shared" si="63"/>
        <v>0</v>
      </c>
      <c r="L246" s="41">
        <f t="shared" si="63"/>
        <v>0</v>
      </c>
      <c r="M246" s="41">
        <f t="shared" si="63"/>
        <v>0</v>
      </c>
      <c r="N246" s="41">
        <f t="shared" si="63"/>
        <v>0</v>
      </c>
      <c r="O246" s="41">
        <f t="shared" si="63"/>
        <v>0</v>
      </c>
      <c r="P246" s="41">
        <f t="shared" si="63"/>
        <v>0</v>
      </c>
      <c r="Q246" s="41">
        <f t="shared" si="63"/>
        <v>0</v>
      </c>
      <c r="R246" s="41">
        <f t="shared" si="63"/>
        <v>0</v>
      </c>
      <c r="S246" s="41">
        <f t="shared" si="63"/>
        <v>0</v>
      </c>
      <c r="T246" s="41">
        <f t="shared" si="63"/>
        <v>0</v>
      </c>
      <c r="U246" s="41">
        <f t="shared" si="63"/>
        <v>0</v>
      </c>
      <c r="V246" s="41">
        <f t="shared" si="63"/>
        <v>0</v>
      </c>
      <c r="W246" s="41">
        <f t="shared" si="63"/>
        <v>0</v>
      </c>
      <c r="X246" s="41">
        <f t="shared" si="63"/>
        <v>0</v>
      </c>
      <c r="Y246" s="41">
        <f t="shared" si="63"/>
        <v>0</v>
      </c>
      <c r="Z246" s="41">
        <f t="shared" si="63"/>
        <v>0</v>
      </c>
      <c r="AA246" s="41">
        <f t="shared" si="63"/>
        <v>0</v>
      </c>
      <c r="AB246" s="41">
        <f t="shared" si="63"/>
        <v>0</v>
      </c>
      <c r="AC246" s="41">
        <f t="shared" si="63"/>
        <v>0</v>
      </c>
      <c r="AD246" s="41">
        <f t="shared" si="63"/>
        <v>0</v>
      </c>
      <c r="AE246" s="41">
        <f t="shared" si="63"/>
        <v>0</v>
      </c>
      <c r="AF246" s="41">
        <f t="shared" si="63"/>
        <v>0</v>
      </c>
      <c r="AG246" s="41">
        <f t="shared" si="63"/>
        <v>0</v>
      </c>
      <c r="AH246" s="41">
        <f t="shared" si="63"/>
        <v>0</v>
      </c>
      <c r="AI246" s="41">
        <f t="shared" si="63"/>
        <v>0</v>
      </c>
      <c r="AJ246" s="41">
        <f t="shared" si="63"/>
        <v>0</v>
      </c>
      <c r="AK246" s="41">
        <f t="shared" si="63"/>
        <v>0</v>
      </c>
      <c r="AL246" s="41">
        <f t="shared" si="63"/>
        <v>0</v>
      </c>
      <c r="AM246" s="42" t="s">
        <v>126</v>
      </c>
      <c r="AU246">
        <f t="shared" ref="AU246:AU280" si="95">IF(AND($R286&lt;&gt;"",$R$285&lt;&gt;""),C246,0)</f>
        <v>0</v>
      </c>
      <c r="AV246">
        <f>IF($R286&lt;&gt;"",D246,1)</f>
        <v>1</v>
      </c>
      <c r="AW246">
        <f>IF(AND($R286&lt;&gt;"",$R$287&lt;&gt;""),E246,0)</f>
        <v>0</v>
      </c>
      <c r="AX246">
        <f>IF(AND($R286&lt;&gt;"",$R$288&lt;&gt;""),F246,0)</f>
        <v>0</v>
      </c>
      <c r="AY246">
        <f>IF(AND($R286&lt;&gt;"",$R$289&lt;&gt;""),G246,0)</f>
        <v>0</v>
      </c>
      <c r="AZ246">
        <f>IF(AND($R286&lt;&gt;"",$R$290&lt;&gt;""),H246,0)</f>
        <v>0</v>
      </c>
      <c r="BA246">
        <f t="shared" si="64"/>
        <v>0</v>
      </c>
      <c r="BB246">
        <f t="shared" si="65"/>
        <v>0</v>
      </c>
      <c r="BC246">
        <f t="shared" si="66"/>
        <v>0</v>
      </c>
      <c r="BD246">
        <f t="shared" si="67"/>
        <v>0</v>
      </c>
      <c r="BE246">
        <f t="shared" si="68"/>
        <v>0</v>
      </c>
      <c r="BF246">
        <f t="shared" si="69"/>
        <v>0</v>
      </c>
      <c r="BG246">
        <f t="shared" si="70"/>
        <v>0</v>
      </c>
      <c r="BH246">
        <f t="shared" si="71"/>
        <v>0</v>
      </c>
      <c r="BI246">
        <f t="shared" si="72"/>
        <v>0</v>
      </c>
      <c r="BJ246">
        <f t="shared" si="73"/>
        <v>0</v>
      </c>
      <c r="BK246">
        <f t="shared" si="74"/>
        <v>0</v>
      </c>
      <c r="BL246">
        <f t="shared" si="75"/>
        <v>0</v>
      </c>
      <c r="BM246">
        <f t="shared" si="76"/>
        <v>0</v>
      </c>
      <c r="BN246">
        <f t="shared" si="77"/>
        <v>0</v>
      </c>
      <c r="BO246">
        <f t="shared" si="78"/>
        <v>0</v>
      </c>
      <c r="BP246">
        <f t="shared" si="79"/>
        <v>0</v>
      </c>
      <c r="BQ246">
        <f t="shared" si="80"/>
        <v>0</v>
      </c>
      <c r="BR246">
        <f t="shared" si="81"/>
        <v>0</v>
      </c>
      <c r="BS246">
        <f t="shared" si="82"/>
        <v>0</v>
      </c>
      <c r="BT246">
        <f t="shared" si="83"/>
        <v>0</v>
      </c>
      <c r="BU246">
        <f t="shared" si="84"/>
        <v>0</v>
      </c>
      <c r="BV246">
        <f t="shared" si="85"/>
        <v>0</v>
      </c>
      <c r="BW246">
        <f t="shared" si="86"/>
        <v>0</v>
      </c>
      <c r="BX246">
        <f t="shared" si="87"/>
        <v>0</v>
      </c>
      <c r="BY246">
        <f t="shared" si="88"/>
        <v>0</v>
      </c>
      <c r="BZ246">
        <f t="shared" si="89"/>
        <v>0</v>
      </c>
      <c r="CA246">
        <f t="shared" si="90"/>
        <v>0</v>
      </c>
      <c r="CB246">
        <f t="shared" si="91"/>
        <v>0</v>
      </c>
      <c r="CC246">
        <f t="shared" si="92"/>
        <v>0</v>
      </c>
      <c r="CD246">
        <f t="shared" si="93"/>
        <v>0</v>
      </c>
      <c r="CE246">
        <f t="shared" si="94"/>
        <v>0</v>
      </c>
    </row>
    <row r="247" spans="2:83" ht="18" customHeight="1" x14ac:dyDescent="0.3">
      <c r="B247" s="42" t="s">
        <v>127</v>
      </c>
      <c r="C247" s="40">
        <f t="shared" si="63"/>
        <v>0</v>
      </c>
      <c r="D247" s="40">
        <f t="shared" si="63"/>
        <v>8542968.75</v>
      </c>
      <c r="E247" s="44">
        <f t="shared" si="63"/>
        <v>1139062500</v>
      </c>
      <c r="F247" s="40">
        <f t="shared" si="63"/>
        <v>0</v>
      </c>
      <c r="G247" s="40">
        <f t="shared" si="63"/>
        <v>-8542968.75</v>
      </c>
      <c r="H247" s="40">
        <f t="shared" si="63"/>
        <v>569531250</v>
      </c>
      <c r="I247" s="41">
        <f t="shared" si="63"/>
        <v>0</v>
      </c>
      <c r="J247" s="41">
        <f t="shared" si="63"/>
        <v>0</v>
      </c>
      <c r="K247" s="41">
        <f t="shared" si="63"/>
        <v>0</v>
      </c>
      <c r="L247" s="41">
        <f t="shared" si="63"/>
        <v>0</v>
      </c>
      <c r="M247" s="41">
        <f t="shared" si="63"/>
        <v>0</v>
      </c>
      <c r="N247" s="41">
        <f t="shared" si="63"/>
        <v>0</v>
      </c>
      <c r="O247" s="41">
        <f t="shared" si="63"/>
        <v>0</v>
      </c>
      <c r="P247" s="41">
        <f t="shared" si="63"/>
        <v>0</v>
      </c>
      <c r="Q247" s="41">
        <f t="shared" si="63"/>
        <v>0</v>
      </c>
      <c r="R247" s="41">
        <f t="shared" si="63"/>
        <v>0</v>
      </c>
      <c r="S247" s="41">
        <f t="shared" si="63"/>
        <v>0</v>
      </c>
      <c r="T247" s="41">
        <f t="shared" si="63"/>
        <v>0</v>
      </c>
      <c r="U247" s="41">
        <f t="shared" si="63"/>
        <v>0</v>
      </c>
      <c r="V247" s="41">
        <f t="shared" si="63"/>
        <v>0</v>
      </c>
      <c r="W247" s="41">
        <f t="shared" si="63"/>
        <v>0</v>
      </c>
      <c r="X247" s="41">
        <f t="shared" si="63"/>
        <v>0</v>
      </c>
      <c r="Y247" s="41">
        <f t="shared" si="63"/>
        <v>0</v>
      </c>
      <c r="Z247" s="41">
        <f t="shared" si="63"/>
        <v>0</v>
      </c>
      <c r="AA247" s="41">
        <f t="shared" si="63"/>
        <v>0</v>
      </c>
      <c r="AB247" s="41">
        <f t="shared" si="63"/>
        <v>0</v>
      </c>
      <c r="AC247" s="41">
        <f t="shared" si="63"/>
        <v>0</v>
      </c>
      <c r="AD247" s="41">
        <f t="shared" si="63"/>
        <v>0</v>
      </c>
      <c r="AE247" s="41">
        <f t="shared" si="63"/>
        <v>0</v>
      </c>
      <c r="AF247" s="41">
        <f t="shared" si="63"/>
        <v>0</v>
      </c>
      <c r="AG247" s="41">
        <f t="shared" si="63"/>
        <v>0</v>
      </c>
      <c r="AH247" s="41">
        <f t="shared" si="63"/>
        <v>0</v>
      </c>
      <c r="AI247" s="41">
        <f t="shared" si="63"/>
        <v>0</v>
      </c>
      <c r="AJ247" s="41">
        <f t="shared" si="63"/>
        <v>0</v>
      </c>
      <c r="AK247" s="41">
        <f t="shared" si="63"/>
        <v>0</v>
      </c>
      <c r="AL247" s="41">
        <f t="shared" si="63"/>
        <v>0</v>
      </c>
      <c r="AM247" s="42" t="s">
        <v>127</v>
      </c>
      <c r="AU247">
        <f t="shared" si="95"/>
        <v>0</v>
      </c>
      <c r="AV247">
        <f t="shared" ref="AV247:AV280" si="96">IF(AND($R287&lt;&gt;"",$R$286&lt;&gt;""),D247,0)</f>
        <v>0</v>
      </c>
      <c r="AW247">
        <f>IF($R287&lt;&gt;"",E247,1)</f>
        <v>1139062500</v>
      </c>
      <c r="AX247">
        <f>IF(AND($R287&lt;&gt;"",$R$288&lt;&gt;""),F247,0)</f>
        <v>0</v>
      </c>
      <c r="AY247">
        <f>IF(AND($R287&lt;&gt;"",$R$289&lt;&gt;""),G247,0)</f>
        <v>-8542968.75</v>
      </c>
      <c r="AZ247">
        <f>IF(AND($R287&lt;&gt;"",$R$290&lt;&gt;""),H247,0)</f>
        <v>569531250</v>
      </c>
      <c r="BA247">
        <f t="shared" si="64"/>
        <v>0</v>
      </c>
      <c r="BB247">
        <f t="shared" si="65"/>
        <v>0</v>
      </c>
      <c r="BC247">
        <f t="shared" si="66"/>
        <v>0</v>
      </c>
      <c r="BD247">
        <f t="shared" si="67"/>
        <v>0</v>
      </c>
      <c r="BE247">
        <f t="shared" si="68"/>
        <v>0</v>
      </c>
      <c r="BF247">
        <f t="shared" si="69"/>
        <v>0</v>
      </c>
      <c r="BG247">
        <f t="shared" si="70"/>
        <v>0</v>
      </c>
      <c r="BH247">
        <f t="shared" si="71"/>
        <v>0</v>
      </c>
      <c r="BI247">
        <f t="shared" si="72"/>
        <v>0</v>
      </c>
      <c r="BJ247">
        <f t="shared" si="73"/>
        <v>0</v>
      </c>
      <c r="BK247">
        <f t="shared" si="74"/>
        <v>0</v>
      </c>
      <c r="BL247">
        <f t="shared" si="75"/>
        <v>0</v>
      </c>
      <c r="BM247">
        <f t="shared" si="76"/>
        <v>0</v>
      </c>
      <c r="BN247">
        <f t="shared" si="77"/>
        <v>0</v>
      </c>
      <c r="BO247">
        <f t="shared" si="78"/>
        <v>0</v>
      </c>
      <c r="BP247">
        <f t="shared" si="79"/>
        <v>0</v>
      </c>
      <c r="BQ247">
        <f t="shared" si="80"/>
        <v>0</v>
      </c>
      <c r="BR247">
        <f t="shared" si="81"/>
        <v>0</v>
      </c>
      <c r="BS247">
        <f t="shared" si="82"/>
        <v>0</v>
      </c>
      <c r="BT247">
        <f t="shared" si="83"/>
        <v>0</v>
      </c>
      <c r="BU247">
        <f t="shared" si="84"/>
        <v>0</v>
      </c>
      <c r="BV247">
        <f t="shared" si="85"/>
        <v>0</v>
      </c>
      <c r="BW247">
        <f t="shared" si="86"/>
        <v>0</v>
      </c>
      <c r="BX247">
        <f t="shared" si="87"/>
        <v>0</v>
      </c>
      <c r="BY247">
        <f t="shared" si="88"/>
        <v>0</v>
      </c>
      <c r="BZ247">
        <f t="shared" si="89"/>
        <v>0</v>
      </c>
      <c r="CA247">
        <f t="shared" si="90"/>
        <v>0</v>
      </c>
      <c r="CB247">
        <f t="shared" si="91"/>
        <v>0</v>
      </c>
      <c r="CC247">
        <f t="shared" si="92"/>
        <v>0</v>
      </c>
      <c r="CD247">
        <f t="shared" si="93"/>
        <v>0</v>
      </c>
      <c r="CE247">
        <f t="shared" si="94"/>
        <v>0</v>
      </c>
    </row>
    <row r="248" spans="2:83" ht="18" customHeight="1" x14ac:dyDescent="0.3">
      <c r="B248" s="42" t="s">
        <v>128</v>
      </c>
      <c r="C248" s="40">
        <f t="shared" ref="C248:AL250" si="97">C67+C81</f>
        <v>-1687500</v>
      </c>
      <c r="D248" s="40">
        <f t="shared" si="97"/>
        <v>0</v>
      </c>
      <c r="E248" s="40">
        <f t="shared" si="97"/>
        <v>0</v>
      </c>
      <c r="F248" s="44">
        <f t="shared" si="97"/>
        <v>3375000</v>
      </c>
      <c r="G248" s="44">
        <f t="shared" si="97"/>
        <v>0</v>
      </c>
      <c r="H248" s="44">
        <f t="shared" si="97"/>
        <v>0</v>
      </c>
      <c r="I248" s="44">
        <f t="shared" si="97"/>
        <v>-1687500</v>
      </c>
      <c r="J248" s="44">
        <f t="shared" si="97"/>
        <v>0</v>
      </c>
      <c r="K248" s="44">
        <f t="shared" si="97"/>
        <v>0</v>
      </c>
      <c r="L248" s="41">
        <f t="shared" si="97"/>
        <v>0</v>
      </c>
      <c r="M248" s="41">
        <f t="shared" si="97"/>
        <v>0</v>
      </c>
      <c r="N248" s="41">
        <f t="shared" si="97"/>
        <v>0</v>
      </c>
      <c r="O248" s="41">
        <f t="shared" si="97"/>
        <v>0</v>
      </c>
      <c r="P248" s="41">
        <f t="shared" si="97"/>
        <v>0</v>
      </c>
      <c r="Q248" s="41">
        <f t="shared" si="97"/>
        <v>0</v>
      </c>
      <c r="R248" s="41">
        <f t="shared" si="97"/>
        <v>0</v>
      </c>
      <c r="S248" s="41">
        <f t="shared" si="97"/>
        <v>0</v>
      </c>
      <c r="T248" s="41">
        <f t="shared" si="97"/>
        <v>0</v>
      </c>
      <c r="U248" s="41">
        <f t="shared" si="97"/>
        <v>0</v>
      </c>
      <c r="V248" s="41">
        <f t="shared" si="97"/>
        <v>0</v>
      </c>
      <c r="W248" s="41">
        <f t="shared" si="97"/>
        <v>0</v>
      </c>
      <c r="X248" s="41">
        <f t="shared" si="97"/>
        <v>0</v>
      </c>
      <c r="Y248" s="41">
        <f t="shared" si="97"/>
        <v>0</v>
      </c>
      <c r="Z248" s="41">
        <f t="shared" si="97"/>
        <v>0</v>
      </c>
      <c r="AA248" s="41">
        <f t="shared" si="97"/>
        <v>0</v>
      </c>
      <c r="AB248" s="41">
        <f t="shared" si="97"/>
        <v>0</v>
      </c>
      <c r="AC248" s="41">
        <f t="shared" si="97"/>
        <v>0</v>
      </c>
      <c r="AD248" s="41">
        <f t="shared" si="97"/>
        <v>0</v>
      </c>
      <c r="AE248" s="41">
        <f t="shared" si="97"/>
        <v>0</v>
      </c>
      <c r="AF248" s="41">
        <f t="shared" si="97"/>
        <v>0</v>
      </c>
      <c r="AG248" s="41">
        <f t="shared" si="97"/>
        <v>0</v>
      </c>
      <c r="AH248" s="41">
        <f t="shared" si="97"/>
        <v>0</v>
      </c>
      <c r="AI248" s="41">
        <f t="shared" si="97"/>
        <v>0</v>
      </c>
      <c r="AJ248" s="41">
        <f t="shared" si="97"/>
        <v>0</v>
      </c>
      <c r="AK248" s="41">
        <f t="shared" si="97"/>
        <v>0</v>
      </c>
      <c r="AL248" s="41">
        <f t="shared" si="97"/>
        <v>0</v>
      </c>
      <c r="AM248" s="42" t="s">
        <v>128</v>
      </c>
      <c r="AU248">
        <f t="shared" si="95"/>
        <v>0</v>
      </c>
      <c r="AV248">
        <f t="shared" si="96"/>
        <v>0</v>
      </c>
      <c r="AW248">
        <f t="shared" ref="AW248:AW280" si="98">IF(AND($R288&lt;&gt;"",$R$287&lt;&gt;""),E248,0)</f>
        <v>0</v>
      </c>
      <c r="AX248">
        <f>IF($R288&lt;&gt;"",F248,1)</f>
        <v>3375000</v>
      </c>
      <c r="AY248">
        <f>IF(AND($R288&lt;&gt;"",$R$289&lt;&gt;""),G248,0)</f>
        <v>0</v>
      </c>
      <c r="AZ248">
        <f>IF(AND($R288&lt;&gt;"",$R$290&lt;&gt;""),H248,0)</f>
        <v>0</v>
      </c>
      <c r="BA248">
        <f t="shared" si="64"/>
        <v>-1687500</v>
      </c>
      <c r="BB248">
        <f t="shared" si="65"/>
        <v>0</v>
      </c>
      <c r="BC248">
        <f t="shared" si="66"/>
        <v>0</v>
      </c>
      <c r="BD248">
        <f t="shared" si="67"/>
        <v>0</v>
      </c>
      <c r="BE248">
        <f t="shared" si="68"/>
        <v>0</v>
      </c>
      <c r="BF248">
        <f t="shared" si="69"/>
        <v>0</v>
      </c>
      <c r="BG248">
        <f t="shared" si="70"/>
        <v>0</v>
      </c>
      <c r="BH248">
        <f t="shared" si="71"/>
        <v>0</v>
      </c>
      <c r="BI248">
        <f t="shared" si="72"/>
        <v>0</v>
      </c>
      <c r="BJ248">
        <f t="shared" si="73"/>
        <v>0</v>
      </c>
      <c r="BK248">
        <f t="shared" si="74"/>
        <v>0</v>
      </c>
      <c r="BL248">
        <f t="shared" si="75"/>
        <v>0</v>
      </c>
      <c r="BM248">
        <f t="shared" si="76"/>
        <v>0</v>
      </c>
      <c r="BN248">
        <f t="shared" si="77"/>
        <v>0</v>
      </c>
      <c r="BO248">
        <f t="shared" si="78"/>
        <v>0</v>
      </c>
      <c r="BP248">
        <f t="shared" si="79"/>
        <v>0</v>
      </c>
      <c r="BQ248">
        <f t="shared" si="80"/>
        <v>0</v>
      </c>
      <c r="BR248">
        <f t="shared" si="81"/>
        <v>0</v>
      </c>
      <c r="BS248">
        <f t="shared" si="82"/>
        <v>0</v>
      </c>
      <c r="BT248">
        <f t="shared" si="83"/>
        <v>0</v>
      </c>
      <c r="BU248">
        <f t="shared" si="84"/>
        <v>0</v>
      </c>
      <c r="BV248">
        <f t="shared" si="85"/>
        <v>0</v>
      </c>
      <c r="BW248">
        <f t="shared" si="86"/>
        <v>0</v>
      </c>
      <c r="BX248">
        <f t="shared" si="87"/>
        <v>0</v>
      </c>
      <c r="BY248">
        <f t="shared" si="88"/>
        <v>0</v>
      </c>
      <c r="BZ248">
        <f t="shared" si="89"/>
        <v>0</v>
      </c>
      <c r="CA248">
        <f t="shared" si="90"/>
        <v>0</v>
      </c>
      <c r="CB248">
        <f t="shared" si="91"/>
        <v>0</v>
      </c>
      <c r="CC248">
        <f t="shared" si="92"/>
        <v>0</v>
      </c>
      <c r="CD248">
        <f t="shared" si="93"/>
        <v>0</v>
      </c>
      <c r="CE248">
        <f t="shared" si="94"/>
        <v>0</v>
      </c>
    </row>
    <row r="249" spans="2:83" ht="18" customHeight="1" x14ac:dyDescent="0.3">
      <c r="B249" s="42" t="s">
        <v>129</v>
      </c>
      <c r="C249" s="40">
        <f t="shared" si="97"/>
        <v>0</v>
      </c>
      <c r="D249" s="40">
        <f t="shared" si="97"/>
        <v>-85429.6875</v>
      </c>
      <c r="E249" s="40">
        <f t="shared" si="97"/>
        <v>-8542968.75</v>
      </c>
      <c r="F249" s="44">
        <f t="shared" si="97"/>
        <v>0</v>
      </c>
      <c r="G249" s="44">
        <f t="shared" si="97"/>
        <v>170859.375</v>
      </c>
      <c r="H249" s="44">
        <f t="shared" si="97"/>
        <v>0</v>
      </c>
      <c r="I249" s="44">
        <f t="shared" si="97"/>
        <v>0</v>
      </c>
      <c r="J249" s="44">
        <f t="shared" si="97"/>
        <v>-85429.6875</v>
      </c>
      <c r="K249" s="44">
        <f t="shared" si="97"/>
        <v>8542968.75</v>
      </c>
      <c r="L249" s="41">
        <f t="shared" si="97"/>
        <v>0</v>
      </c>
      <c r="M249" s="41">
        <f t="shared" si="97"/>
        <v>0</v>
      </c>
      <c r="N249" s="41">
        <f t="shared" si="97"/>
        <v>0</v>
      </c>
      <c r="O249" s="41">
        <f t="shared" si="97"/>
        <v>0</v>
      </c>
      <c r="P249" s="41">
        <f t="shared" si="97"/>
        <v>0</v>
      </c>
      <c r="Q249" s="41">
        <f t="shared" si="97"/>
        <v>0</v>
      </c>
      <c r="R249" s="41">
        <f t="shared" si="97"/>
        <v>0</v>
      </c>
      <c r="S249" s="41">
        <f t="shared" si="97"/>
        <v>0</v>
      </c>
      <c r="T249" s="41">
        <f t="shared" si="97"/>
        <v>0</v>
      </c>
      <c r="U249" s="41">
        <f t="shared" si="97"/>
        <v>0</v>
      </c>
      <c r="V249" s="41">
        <f t="shared" si="97"/>
        <v>0</v>
      </c>
      <c r="W249" s="41">
        <f t="shared" si="97"/>
        <v>0</v>
      </c>
      <c r="X249" s="41">
        <f t="shared" si="97"/>
        <v>0</v>
      </c>
      <c r="Y249" s="41">
        <f t="shared" si="97"/>
        <v>0</v>
      </c>
      <c r="Z249" s="41">
        <f t="shared" si="97"/>
        <v>0</v>
      </c>
      <c r="AA249" s="41">
        <f t="shared" si="97"/>
        <v>0</v>
      </c>
      <c r="AB249" s="41">
        <f t="shared" si="97"/>
        <v>0</v>
      </c>
      <c r="AC249" s="41">
        <f t="shared" si="97"/>
        <v>0</v>
      </c>
      <c r="AD249" s="41">
        <f t="shared" si="97"/>
        <v>0</v>
      </c>
      <c r="AE249" s="41">
        <f t="shared" si="97"/>
        <v>0</v>
      </c>
      <c r="AF249" s="41">
        <f t="shared" si="97"/>
        <v>0</v>
      </c>
      <c r="AG249" s="41">
        <f t="shared" si="97"/>
        <v>0</v>
      </c>
      <c r="AH249" s="41">
        <f t="shared" si="97"/>
        <v>0</v>
      </c>
      <c r="AI249" s="41">
        <f t="shared" si="97"/>
        <v>0</v>
      </c>
      <c r="AJ249" s="41">
        <f t="shared" si="97"/>
        <v>0</v>
      </c>
      <c r="AK249" s="41">
        <f t="shared" si="97"/>
        <v>0</v>
      </c>
      <c r="AL249" s="41">
        <f t="shared" si="97"/>
        <v>0</v>
      </c>
      <c r="AM249" s="42" t="s">
        <v>129</v>
      </c>
      <c r="AU249">
        <f t="shared" si="95"/>
        <v>0</v>
      </c>
      <c r="AV249">
        <f t="shared" si="96"/>
        <v>0</v>
      </c>
      <c r="AW249">
        <f t="shared" si="98"/>
        <v>-8542968.75</v>
      </c>
      <c r="AX249">
        <f t="shared" ref="AX249:AX280" si="99">IF(AND($R289&lt;&gt;"",$R$288&lt;&gt;""),F249,0)</f>
        <v>0</v>
      </c>
      <c r="AY249">
        <f>IF($R289&lt;&gt;"",G249,1)</f>
        <v>170859.375</v>
      </c>
      <c r="AZ249">
        <f>IF(AND($R289&lt;&gt;"",$R$290&lt;&gt;""),H249,0)</f>
        <v>0</v>
      </c>
      <c r="BA249">
        <f t="shared" si="64"/>
        <v>0</v>
      </c>
      <c r="BB249">
        <f t="shared" si="65"/>
        <v>0</v>
      </c>
      <c r="BC249">
        <f t="shared" si="66"/>
        <v>8542968.75</v>
      </c>
      <c r="BD249">
        <f t="shared" si="67"/>
        <v>0</v>
      </c>
      <c r="BE249">
        <f t="shared" si="68"/>
        <v>0</v>
      </c>
      <c r="BF249">
        <f t="shared" si="69"/>
        <v>0</v>
      </c>
      <c r="BG249">
        <f t="shared" si="70"/>
        <v>0</v>
      </c>
      <c r="BH249">
        <f t="shared" si="71"/>
        <v>0</v>
      </c>
      <c r="BI249">
        <f t="shared" si="72"/>
        <v>0</v>
      </c>
      <c r="BJ249">
        <f t="shared" si="73"/>
        <v>0</v>
      </c>
      <c r="BK249">
        <f t="shared" si="74"/>
        <v>0</v>
      </c>
      <c r="BL249">
        <f t="shared" si="75"/>
        <v>0</v>
      </c>
      <c r="BM249">
        <f t="shared" si="76"/>
        <v>0</v>
      </c>
      <c r="BN249">
        <f t="shared" si="77"/>
        <v>0</v>
      </c>
      <c r="BO249">
        <f t="shared" si="78"/>
        <v>0</v>
      </c>
      <c r="BP249">
        <f t="shared" si="79"/>
        <v>0</v>
      </c>
      <c r="BQ249">
        <f t="shared" si="80"/>
        <v>0</v>
      </c>
      <c r="BR249">
        <f t="shared" si="81"/>
        <v>0</v>
      </c>
      <c r="BS249">
        <f t="shared" si="82"/>
        <v>0</v>
      </c>
      <c r="BT249">
        <f t="shared" si="83"/>
        <v>0</v>
      </c>
      <c r="BU249">
        <f t="shared" si="84"/>
        <v>0</v>
      </c>
      <c r="BV249">
        <f t="shared" si="85"/>
        <v>0</v>
      </c>
      <c r="BW249">
        <f t="shared" si="86"/>
        <v>0</v>
      </c>
      <c r="BX249">
        <f t="shared" si="87"/>
        <v>0</v>
      </c>
      <c r="BY249">
        <f t="shared" si="88"/>
        <v>0</v>
      </c>
      <c r="BZ249">
        <f t="shared" si="89"/>
        <v>0</v>
      </c>
      <c r="CA249">
        <f t="shared" si="90"/>
        <v>0</v>
      </c>
      <c r="CB249">
        <f t="shared" si="91"/>
        <v>0</v>
      </c>
      <c r="CC249">
        <f t="shared" si="92"/>
        <v>0</v>
      </c>
      <c r="CD249">
        <f t="shared" si="93"/>
        <v>0</v>
      </c>
      <c r="CE249">
        <f t="shared" si="94"/>
        <v>-1200</v>
      </c>
    </row>
    <row r="250" spans="2:83" ht="18" customHeight="1" x14ac:dyDescent="0.3">
      <c r="B250" s="42" t="s">
        <v>130</v>
      </c>
      <c r="C250" s="40">
        <f t="shared" si="97"/>
        <v>0</v>
      </c>
      <c r="D250" s="40">
        <f t="shared" si="97"/>
        <v>8542968.75</v>
      </c>
      <c r="E250" s="40">
        <f t="shared" si="97"/>
        <v>569531250</v>
      </c>
      <c r="F250" s="44">
        <f t="shared" si="97"/>
        <v>0</v>
      </c>
      <c r="G250" s="44">
        <f t="shared" si="97"/>
        <v>0</v>
      </c>
      <c r="H250" s="44">
        <f t="shared" si="97"/>
        <v>2278125000</v>
      </c>
      <c r="I250" s="44">
        <f t="shared" si="97"/>
        <v>0</v>
      </c>
      <c r="J250" s="44">
        <f t="shared" si="97"/>
        <v>-8542968.75</v>
      </c>
      <c r="K250" s="44">
        <f t="shared" si="97"/>
        <v>569531250</v>
      </c>
      <c r="L250" s="41">
        <f t="shared" si="97"/>
        <v>0</v>
      </c>
      <c r="M250" s="41">
        <f t="shared" si="97"/>
        <v>0</v>
      </c>
      <c r="N250" s="41">
        <f t="shared" si="97"/>
        <v>0</v>
      </c>
      <c r="O250" s="41">
        <f t="shared" si="97"/>
        <v>0</v>
      </c>
      <c r="P250" s="41">
        <f t="shared" si="97"/>
        <v>0</v>
      </c>
      <c r="Q250" s="41">
        <f t="shared" si="97"/>
        <v>0</v>
      </c>
      <c r="R250" s="41">
        <f t="shared" si="97"/>
        <v>0</v>
      </c>
      <c r="S250" s="41">
        <f t="shared" si="97"/>
        <v>0</v>
      </c>
      <c r="T250" s="41">
        <f t="shared" si="97"/>
        <v>0</v>
      </c>
      <c r="U250" s="41">
        <f t="shared" si="97"/>
        <v>0</v>
      </c>
      <c r="V250" s="41">
        <f t="shared" si="97"/>
        <v>0</v>
      </c>
      <c r="W250" s="41">
        <f t="shared" si="97"/>
        <v>0</v>
      </c>
      <c r="X250" s="41">
        <f t="shared" si="97"/>
        <v>0</v>
      </c>
      <c r="Y250" s="41">
        <f t="shared" si="97"/>
        <v>0</v>
      </c>
      <c r="Z250" s="41">
        <f t="shared" si="97"/>
        <v>0</v>
      </c>
      <c r="AA250" s="41">
        <f t="shared" si="97"/>
        <v>0</v>
      </c>
      <c r="AB250" s="41">
        <f t="shared" si="97"/>
        <v>0</v>
      </c>
      <c r="AC250" s="41">
        <f t="shared" si="97"/>
        <v>0</v>
      </c>
      <c r="AD250" s="41">
        <f t="shared" si="97"/>
        <v>0</v>
      </c>
      <c r="AE250" s="41">
        <f t="shared" si="97"/>
        <v>0</v>
      </c>
      <c r="AF250" s="41">
        <f t="shared" si="97"/>
        <v>0</v>
      </c>
      <c r="AG250" s="41">
        <f t="shared" si="97"/>
        <v>0</v>
      </c>
      <c r="AH250" s="41">
        <f t="shared" si="97"/>
        <v>0</v>
      </c>
      <c r="AI250" s="41">
        <f t="shared" si="97"/>
        <v>0</v>
      </c>
      <c r="AJ250" s="41">
        <f t="shared" si="97"/>
        <v>0</v>
      </c>
      <c r="AK250" s="41">
        <f t="shared" si="97"/>
        <v>0</v>
      </c>
      <c r="AL250" s="41">
        <f t="shared" si="97"/>
        <v>0</v>
      </c>
      <c r="AM250" s="42" t="s">
        <v>130</v>
      </c>
      <c r="AU250">
        <f t="shared" si="95"/>
        <v>0</v>
      </c>
      <c r="AV250">
        <f t="shared" si="96"/>
        <v>0</v>
      </c>
      <c r="AW250">
        <f t="shared" si="98"/>
        <v>569531250</v>
      </c>
      <c r="AX250">
        <f t="shared" si="99"/>
        <v>0</v>
      </c>
      <c r="AY250">
        <f t="shared" ref="AY250:AY280" si="100">IF(AND($R290&lt;&gt;"",$R$289&lt;&gt;""),G250,0)</f>
        <v>0</v>
      </c>
      <c r="AZ250">
        <f>IF($R290&lt;&gt;"",H250,1)</f>
        <v>2278125000</v>
      </c>
      <c r="BA250">
        <f t="shared" si="64"/>
        <v>0</v>
      </c>
      <c r="BB250">
        <f t="shared" si="65"/>
        <v>0</v>
      </c>
      <c r="BC250">
        <f t="shared" si="66"/>
        <v>569531250</v>
      </c>
      <c r="BD250">
        <f t="shared" si="67"/>
        <v>0</v>
      </c>
      <c r="BE250">
        <f t="shared" si="68"/>
        <v>0</v>
      </c>
      <c r="BF250">
        <f t="shared" si="69"/>
        <v>0</v>
      </c>
      <c r="BG250">
        <f t="shared" si="70"/>
        <v>0</v>
      </c>
      <c r="BH250">
        <f t="shared" si="71"/>
        <v>0</v>
      </c>
      <c r="BI250">
        <f t="shared" si="72"/>
        <v>0</v>
      </c>
      <c r="BJ250">
        <f t="shared" si="73"/>
        <v>0</v>
      </c>
      <c r="BK250">
        <f t="shared" si="74"/>
        <v>0</v>
      </c>
      <c r="BL250">
        <f t="shared" si="75"/>
        <v>0</v>
      </c>
      <c r="BM250">
        <f t="shared" si="76"/>
        <v>0</v>
      </c>
      <c r="BN250">
        <f t="shared" si="77"/>
        <v>0</v>
      </c>
      <c r="BO250">
        <f t="shared" si="78"/>
        <v>0</v>
      </c>
      <c r="BP250">
        <f t="shared" si="79"/>
        <v>0</v>
      </c>
      <c r="BQ250">
        <f t="shared" si="80"/>
        <v>0</v>
      </c>
      <c r="BR250">
        <f t="shared" si="81"/>
        <v>0</v>
      </c>
      <c r="BS250">
        <f t="shared" si="82"/>
        <v>0</v>
      </c>
      <c r="BT250">
        <f t="shared" si="83"/>
        <v>0</v>
      </c>
      <c r="BU250">
        <f t="shared" si="84"/>
        <v>0</v>
      </c>
      <c r="BV250">
        <f t="shared" si="85"/>
        <v>0</v>
      </c>
      <c r="BW250">
        <f t="shared" si="86"/>
        <v>0</v>
      </c>
      <c r="BX250">
        <f t="shared" si="87"/>
        <v>0</v>
      </c>
      <c r="BY250">
        <f t="shared" si="88"/>
        <v>0</v>
      </c>
      <c r="BZ250">
        <f t="shared" si="89"/>
        <v>0</v>
      </c>
      <c r="CA250">
        <f t="shared" si="90"/>
        <v>0</v>
      </c>
      <c r="CB250">
        <f t="shared" si="91"/>
        <v>0</v>
      </c>
      <c r="CC250">
        <f t="shared" si="92"/>
        <v>0</v>
      </c>
      <c r="CD250">
        <f t="shared" si="93"/>
        <v>0</v>
      </c>
      <c r="CE250">
        <f t="shared" si="94"/>
        <v>0</v>
      </c>
    </row>
    <row r="251" spans="2:83" ht="18" customHeight="1" x14ac:dyDescent="0.3">
      <c r="B251" s="42" t="s">
        <v>131</v>
      </c>
      <c r="C251" s="41">
        <f t="shared" ref="C251:AL253" si="101">C84+C98</f>
        <v>0</v>
      </c>
      <c r="D251" s="41">
        <f t="shared" si="101"/>
        <v>0</v>
      </c>
      <c r="E251" s="41">
        <f t="shared" si="101"/>
        <v>0</v>
      </c>
      <c r="F251" s="44">
        <f t="shared" si="101"/>
        <v>-1687500</v>
      </c>
      <c r="G251" s="44">
        <f t="shared" si="101"/>
        <v>0</v>
      </c>
      <c r="H251" s="44">
        <f t="shared" si="101"/>
        <v>0</v>
      </c>
      <c r="I251" s="44">
        <f t="shared" si="101"/>
        <v>2531250</v>
      </c>
      <c r="J251" s="45">
        <f t="shared" si="101"/>
        <v>0</v>
      </c>
      <c r="K251" s="45">
        <f t="shared" si="101"/>
        <v>0</v>
      </c>
      <c r="L251" s="45">
        <f t="shared" si="101"/>
        <v>-843750</v>
      </c>
      <c r="M251" s="45">
        <f t="shared" si="101"/>
        <v>0</v>
      </c>
      <c r="N251" s="45">
        <f t="shared" si="101"/>
        <v>0</v>
      </c>
      <c r="O251" s="41">
        <f t="shared" si="101"/>
        <v>0</v>
      </c>
      <c r="P251" s="41">
        <f t="shared" si="101"/>
        <v>0</v>
      </c>
      <c r="Q251" s="41">
        <f t="shared" si="101"/>
        <v>0</v>
      </c>
      <c r="R251" s="41">
        <f t="shared" si="101"/>
        <v>0</v>
      </c>
      <c r="S251" s="41">
        <f t="shared" si="101"/>
        <v>0</v>
      </c>
      <c r="T251" s="41">
        <f t="shared" si="101"/>
        <v>0</v>
      </c>
      <c r="U251" s="41">
        <f t="shared" si="101"/>
        <v>0</v>
      </c>
      <c r="V251" s="41">
        <f t="shared" si="101"/>
        <v>0</v>
      </c>
      <c r="W251" s="41">
        <f t="shared" si="101"/>
        <v>0</v>
      </c>
      <c r="X251" s="41">
        <f t="shared" si="101"/>
        <v>0</v>
      </c>
      <c r="Y251" s="41">
        <f t="shared" si="101"/>
        <v>0</v>
      </c>
      <c r="Z251" s="41">
        <f t="shared" si="101"/>
        <v>0</v>
      </c>
      <c r="AA251" s="41">
        <f t="shared" si="101"/>
        <v>0</v>
      </c>
      <c r="AB251" s="41">
        <f t="shared" si="101"/>
        <v>0</v>
      </c>
      <c r="AC251" s="41">
        <f t="shared" si="101"/>
        <v>0</v>
      </c>
      <c r="AD251" s="41">
        <f t="shared" si="101"/>
        <v>0</v>
      </c>
      <c r="AE251" s="41">
        <f t="shared" si="101"/>
        <v>0</v>
      </c>
      <c r="AF251" s="41">
        <f t="shared" si="101"/>
        <v>0</v>
      </c>
      <c r="AG251" s="41">
        <f t="shared" si="101"/>
        <v>0</v>
      </c>
      <c r="AH251" s="41">
        <f t="shared" si="101"/>
        <v>0</v>
      </c>
      <c r="AI251" s="41">
        <f t="shared" si="101"/>
        <v>0</v>
      </c>
      <c r="AJ251" s="41">
        <f t="shared" si="101"/>
        <v>0</v>
      </c>
      <c r="AK251" s="41">
        <f t="shared" si="101"/>
        <v>0</v>
      </c>
      <c r="AL251" s="41">
        <f t="shared" si="101"/>
        <v>0</v>
      </c>
      <c r="AM251" s="42" t="s">
        <v>131</v>
      </c>
      <c r="AU251">
        <f t="shared" si="95"/>
        <v>0</v>
      </c>
      <c r="AV251">
        <f t="shared" si="96"/>
        <v>0</v>
      </c>
      <c r="AW251">
        <f t="shared" si="98"/>
        <v>0</v>
      </c>
      <c r="AX251">
        <f t="shared" si="99"/>
        <v>-1687500</v>
      </c>
      <c r="AY251">
        <f t="shared" si="100"/>
        <v>0</v>
      </c>
      <c r="AZ251">
        <f t="shared" ref="AZ251:AZ280" si="102">IF(AND($R291&lt;&gt;"",$R$290&lt;&gt;""),H251,0)</f>
        <v>0</v>
      </c>
      <c r="BA251">
        <f>IF($R291&lt;&gt;"",I251,1)</f>
        <v>2531250</v>
      </c>
      <c r="BB251">
        <f t="shared" si="65"/>
        <v>0</v>
      </c>
      <c r="BC251">
        <f t="shared" si="66"/>
        <v>0</v>
      </c>
      <c r="BD251">
        <f t="shared" si="67"/>
        <v>-843750</v>
      </c>
      <c r="BE251">
        <f t="shared" si="68"/>
        <v>0</v>
      </c>
      <c r="BF251">
        <f t="shared" si="69"/>
        <v>0</v>
      </c>
      <c r="BG251">
        <f t="shared" si="70"/>
        <v>0</v>
      </c>
      <c r="BH251">
        <f t="shared" si="71"/>
        <v>0</v>
      </c>
      <c r="BI251">
        <f t="shared" si="72"/>
        <v>0</v>
      </c>
      <c r="BJ251">
        <f t="shared" si="73"/>
        <v>0</v>
      </c>
      <c r="BK251">
        <f t="shared" si="74"/>
        <v>0</v>
      </c>
      <c r="BL251">
        <f t="shared" si="75"/>
        <v>0</v>
      </c>
      <c r="BM251">
        <f t="shared" si="76"/>
        <v>0</v>
      </c>
      <c r="BN251">
        <f t="shared" si="77"/>
        <v>0</v>
      </c>
      <c r="BO251">
        <f t="shared" si="78"/>
        <v>0</v>
      </c>
      <c r="BP251">
        <f t="shared" si="79"/>
        <v>0</v>
      </c>
      <c r="BQ251">
        <f t="shared" si="80"/>
        <v>0</v>
      </c>
      <c r="BR251">
        <f t="shared" si="81"/>
        <v>0</v>
      </c>
      <c r="BS251">
        <f t="shared" si="82"/>
        <v>0</v>
      </c>
      <c r="BT251">
        <f t="shared" si="83"/>
        <v>0</v>
      </c>
      <c r="BU251">
        <f t="shared" si="84"/>
        <v>0</v>
      </c>
      <c r="BV251">
        <f t="shared" si="85"/>
        <v>0</v>
      </c>
      <c r="BW251">
        <f t="shared" si="86"/>
        <v>0</v>
      </c>
      <c r="BX251">
        <f t="shared" si="87"/>
        <v>0</v>
      </c>
      <c r="BY251">
        <f t="shared" si="88"/>
        <v>0</v>
      </c>
      <c r="BZ251">
        <f t="shared" si="89"/>
        <v>0</v>
      </c>
      <c r="CA251">
        <f t="shared" si="90"/>
        <v>0</v>
      </c>
      <c r="CB251">
        <f t="shared" si="91"/>
        <v>0</v>
      </c>
      <c r="CC251">
        <f t="shared" si="92"/>
        <v>0</v>
      </c>
      <c r="CD251">
        <f t="shared" si="93"/>
        <v>0</v>
      </c>
      <c r="CE251">
        <f t="shared" si="94"/>
        <v>0</v>
      </c>
    </row>
    <row r="252" spans="2:83" ht="18" customHeight="1" x14ac:dyDescent="0.3">
      <c r="B252" s="42" t="s">
        <v>132</v>
      </c>
      <c r="C252" s="41">
        <f t="shared" si="101"/>
        <v>0</v>
      </c>
      <c r="D252" s="41">
        <f t="shared" si="101"/>
        <v>0</v>
      </c>
      <c r="E252" s="41">
        <f t="shared" si="101"/>
        <v>0</v>
      </c>
      <c r="F252" s="44">
        <f t="shared" si="101"/>
        <v>0</v>
      </c>
      <c r="G252" s="44">
        <f t="shared" si="101"/>
        <v>-85429.6875</v>
      </c>
      <c r="H252" s="44">
        <f t="shared" si="101"/>
        <v>-8542968.75</v>
      </c>
      <c r="I252" s="45">
        <f t="shared" si="101"/>
        <v>0</v>
      </c>
      <c r="J252" s="44">
        <f t="shared" si="101"/>
        <v>96108.3984375</v>
      </c>
      <c r="K252" s="45">
        <f t="shared" si="101"/>
        <v>-6407226.5625</v>
      </c>
      <c r="L252" s="45">
        <f t="shared" si="101"/>
        <v>0</v>
      </c>
      <c r="M252" s="45">
        <f t="shared" si="101"/>
        <v>-10678.7109375</v>
      </c>
      <c r="N252" s="45">
        <f t="shared" si="101"/>
        <v>2135742.1875</v>
      </c>
      <c r="O252" s="41">
        <f t="shared" si="101"/>
        <v>0</v>
      </c>
      <c r="P252" s="41">
        <f t="shared" si="101"/>
        <v>0</v>
      </c>
      <c r="Q252" s="41">
        <f t="shared" si="101"/>
        <v>0</v>
      </c>
      <c r="R252" s="41">
        <f t="shared" si="101"/>
        <v>0</v>
      </c>
      <c r="S252" s="41">
        <f t="shared" si="101"/>
        <v>0</v>
      </c>
      <c r="T252" s="41">
        <f t="shared" si="101"/>
        <v>0</v>
      </c>
      <c r="U252" s="41">
        <f t="shared" si="101"/>
        <v>0</v>
      </c>
      <c r="V252" s="41">
        <f t="shared" si="101"/>
        <v>0</v>
      </c>
      <c r="W252" s="41">
        <f t="shared" si="101"/>
        <v>0</v>
      </c>
      <c r="X252" s="41">
        <f t="shared" si="101"/>
        <v>0</v>
      </c>
      <c r="Y252" s="41">
        <f t="shared" si="101"/>
        <v>0</v>
      </c>
      <c r="Z252" s="41">
        <f t="shared" si="101"/>
        <v>0</v>
      </c>
      <c r="AA252" s="41">
        <f t="shared" si="101"/>
        <v>0</v>
      </c>
      <c r="AB252" s="41">
        <f t="shared" si="101"/>
        <v>0</v>
      </c>
      <c r="AC252" s="41">
        <f t="shared" si="101"/>
        <v>0</v>
      </c>
      <c r="AD252" s="41">
        <f t="shared" si="101"/>
        <v>0</v>
      </c>
      <c r="AE252" s="41">
        <f t="shared" si="101"/>
        <v>0</v>
      </c>
      <c r="AF252" s="41">
        <f t="shared" si="101"/>
        <v>0</v>
      </c>
      <c r="AG252" s="41">
        <f t="shared" si="101"/>
        <v>0</v>
      </c>
      <c r="AH252" s="41">
        <f t="shared" si="101"/>
        <v>0</v>
      </c>
      <c r="AI252" s="41">
        <f t="shared" si="101"/>
        <v>0</v>
      </c>
      <c r="AJ252" s="41">
        <f t="shared" si="101"/>
        <v>0</v>
      </c>
      <c r="AK252" s="41">
        <f t="shared" si="101"/>
        <v>0</v>
      </c>
      <c r="AL252" s="41">
        <f t="shared" si="101"/>
        <v>0</v>
      </c>
      <c r="AM252" s="42" t="s">
        <v>132</v>
      </c>
      <c r="AU252">
        <f t="shared" si="95"/>
        <v>0</v>
      </c>
      <c r="AV252">
        <f t="shared" si="96"/>
        <v>0</v>
      </c>
      <c r="AW252">
        <f t="shared" si="98"/>
        <v>0</v>
      </c>
      <c r="AX252">
        <f t="shared" si="99"/>
        <v>0</v>
      </c>
      <c r="AY252">
        <f t="shared" si="100"/>
        <v>0</v>
      </c>
      <c r="AZ252">
        <f t="shared" si="102"/>
        <v>0</v>
      </c>
      <c r="BA252">
        <f t="shared" ref="BA252:BA280" si="103">IF(AND($R292&lt;&gt;"",$R$291&lt;&gt;""),I252,0)</f>
        <v>0</v>
      </c>
      <c r="BB252">
        <f>IF($R292&lt;&gt;"",J252,1)</f>
        <v>1</v>
      </c>
      <c r="BC252">
        <f t="shared" si="66"/>
        <v>0</v>
      </c>
      <c r="BD252">
        <f t="shared" si="67"/>
        <v>0</v>
      </c>
      <c r="BE252">
        <f t="shared" si="68"/>
        <v>0</v>
      </c>
      <c r="BF252">
        <f t="shared" si="69"/>
        <v>0</v>
      </c>
      <c r="BG252">
        <f t="shared" si="70"/>
        <v>0</v>
      </c>
      <c r="BH252">
        <f t="shared" si="71"/>
        <v>0</v>
      </c>
      <c r="BI252">
        <f t="shared" si="72"/>
        <v>0</v>
      </c>
      <c r="BJ252">
        <f t="shared" si="73"/>
        <v>0</v>
      </c>
      <c r="BK252">
        <f t="shared" si="74"/>
        <v>0</v>
      </c>
      <c r="BL252">
        <f t="shared" si="75"/>
        <v>0</v>
      </c>
      <c r="BM252">
        <f t="shared" si="76"/>
        <v>0</v>
      </c>
      <c r="BN252">
        <f t="shared" si="77"/>
        <v>0</v>
      </c>
      <c r="BO252">
        <f t="shared" si="78"/>
        <v>0</v>
      </c>
      <c r="BP252">
        <f t="shared" si="79"/>
        <v>0</v>
      </c>
      <c r="BQ252">
        <f t="shared" si="80"/>
        <v>0</v>
      </c>
      <c r="BR252">
        <f t="shared" si="81"/>
        <v>0</v>
      </c>
      <c r="BS252">
        <f t="shared" si="82"/>
        <v>0</v>
      </c>
      <c r="BT252">
        <f t="shared" si="83"/>
        <v>0</v>
      </c>
      <c r="BU252">
        <f t="shared" si="84"/>
        <v>0</v>
      </c>
      <c r="BV252">
        <f t="shared" si="85"/>
        <v>0</v>
      </c>
      <c r="BW252">
        <f t="shared" si="86"/>
        <v>0</v>
      </c>
      <c r="BX252">
        <f t="shared" si="87"/>
        <v>0</v>
      </c>
      <c r="BY252">
        <f t="shared" si="88"/>
        <v>0</v>
      </c>
      <c r="BZ252">
        <f t="shared" si="89"/>
        <v>0</v>
      </c>
      <c r="CA252">
        <f t="shared" si="90"/>
        <v>0</v>
      </c>
      <c r="CB252">
        <f t="shared" si="91"/>
        <v>0</v>
      </c>
      <c r="CC252">
        <f t="shared" si="92"/>
        <v>0</v>
      </c>
      <c r="CD252">
        <f t="shared" si="93"/>
        <v>0</v>
      </c>
      <c r="CE252">
        <f t="shared" si="94"/>
        <v>0</v>
      </c>
    </row>
    <row r="253" spans="2:83" ht="18" customHeight="1" x14ac:dyDescent="0.3">
      <c r="B253" s="42" t="s">
        <v>133</v>
      </c>
      <c r="C253" s="41">
        <f t="shared" si="101"/>
        <v>0</v>
      </c>
      <c r="D253" s="41">
        <f t="shared" si="101"/>
        <v>0</v>
      </c>
      <c r="E253" s="41">
        <f t="shared" si="101"/>
        <v>0</v>
      </c>
      <c r="F253" s="44">
        <f t="shared" si="101"/>
        <v>0</v>
      </c>
      <c r="G253" s="44">
        <f t="shared" si="101"/>
        <v>8542968.75</v>
      </c>
      <c r="H253" s="44">
        <f t="shared" si="101"/>
        <v>569531250</v>
      </c>
      <c r="I253" s="45">
        <f t="shared" si="101"/>
        <v>0</v>
      </c>
      <c r="J253" s="45">
        <f t="shared" si="101"/>
        <v>-6407226.5625</v>
      </c>
      <c r="K253" s="44">
        <f t="shared" si="101"/>
        <v>1708593750</v>
      </c>
      <c r="L253" s="45">
        <f t="shared" si="101"/>
        <v>0</v>
      </c>
      <c r="M253" s="45">
        <f t="shared" si="101"/>
        <v>-2135742.1875</v>
      </c>
      <c r="N253" s="45">
        <f t="shared" si="101"/>
        <v>284765625</v>
      </c>
      <c r="O253" s="41">
        <f t="shared" si="101"/>
        <v>0</v>
      </c>
      <c r="P253" s="41">
        <f t="shared" si="101"/>
        <v>0</v>
      </c>
      <c r="Q253" s="41">
        <f t="shared" si="101"/>
        <v>0</v>
      </c>
      <c r="R253" s="41">
        <f t="shared" si="101"/>
        <v>0</v>
      </c>
      <c r="S253" s="41">
        <f t="shared" si="101"/>
        <v>0</v>
      </c>
      <c r="T253" s="41">
        <f t="shared" si="101"/>
        <v>0</v>
      </c>
      <c r="U253" s="41">
        <f t="shared" si="101"/>
        <v>0</v>
      </c>
      <c r="V253" s="41">
        <f t="shared" si="101"/>
        <v>0</v>
      </c>
      <c r="W253" s="41">
        <f t="shared" si="101"/>
        <v>0</v>
      </c>
      <c r="X253" s="41">
        <f t="shared" si="101"/>
        <v>0</v>
      </c>
      <c r="Y253" s="41">
        <f t="shared" si="101"/>
        <v>0</v>
      </c>
      <c r="Z253" s="41">
        <f t="shared" si="101"/>
        <v>0</v>
      </c>
      <c r="AA253" s="41">
        <f t="shared" si="101"/>
        <v>0</v>
      </c>
      <c r="AB253" s="41">
        <f t="shared" si="101"/>
        <v>0</v>
      </c>
      <c r="AC253" s="41">
        <f t="shared" si="101"/>
        <v>0</v>
      </c>
      <c r="AD253" s="41">
        <f t="shared" si="101"/>
        <v>0</v>
      </c>
      <c r="AE253" s="41">
        <f t="shared" si="101"/>
        <v>0</v>
      </c>
      <c r="AF253" s="41">
        <f t="shared" si="101"/>
        <v>0</v>
      </c>
      <c r="AG253" s="41">
        <f t="shared" si="101"/>
        <v>0</v>
      </c>
      <c r="AH253" s="41">
        <f t="shared" si="101"/>
        <v>0</v>
      </c>
      <c r="AI253" s="41">
        <f t="shared" si="101"/>
        <v>0</v>
      </c>
      <c r="AJ253" s="41">
        <f t="shared" si="101"/>
        <v>0</v>
      </c>
      <c r="AK253" s="41">
        <f t="shared" si="101"/>
        <v>0</v>
      </c>
      <c r="AL253" s="41">
        <f t="shared" si="101"/>
        <v>0</v>
      </c>
      <c r="AM253" s="42" t="s">
        <v>133</v>
      </c>
      <c r="AU253">
        <f t="shared" si="95"/>
        <v>0</v>
      </c>
      <c r="AV253">
        <f t="shared" si="96"/>
        <v>0</v>
      </c>
      <c r="AW253">
        <f t="shared" si="98"/>
        <v>0</v>
      </c>
      <c r="AX253">
        <f t="shared" si="99"/>
        <v>0</v>
      </c>
      <c r="AY253">
        <f t="shared" si="100"/>
        <v>8542968.75</v>
      </c>
      <c r="AZ253">
        <f t="shared" si="102"/>
        <v>569531250</v>
      </c>
      <c r="BA253">
        <f t="shared" si="103"/>
        <v>0</v>
      </c>
      <c r="BB253">
        <f t="shared" ref="BB253:BB280" si="104">IF(AND($R293&lt;&gt;"",$R$292&lt;&gt;""),J253,0)</f>
        <v>0</v>
      </c>
      <c r="BC253">
        <f>IF($R293&lt;&gt;"",K253,1)</f>
        <v>1708593750</v>
      </c>
      <c r="BD253">
        <f t="shared" si="67"/>
        <v>0</v>
      </c>
      <c r="BE253">
        <f t="shared" si="68"/>
        <v>-2135742.1875</v>
      </c>
      <c r="BF253">
        <f t="shared" si="69"/>
        <v>284765625</v>
      </c>
      <c r="BG253">
        <f t="shared" si="70"/>
        <v>0</v>
      </c>
      <c r="BH253">
        <f t="shared" si="71"/>
        <v>0</v>
      </c>
      <c r="BI253">
        <f t="shared" si="72"/>
        <v>0</v>
      </c>
      <c r="BJ253">
        <f t="shared" si="73"/>
        <v>0</v>
      </c>
      <c r="BK253">
        <f t="shared" si="74"/>
        <v>0</v>
      </c>
      <c r="BL253">
        <f t="shared" si="75"/>
        <v>0</v>
      </c>
      <c r="BM253">
        <f t="shared" si="76"/>
        <v>0</v>
      </c>
      <c r="BN253">
        <f t="shared" si="77"/>
        <v>0</v>
      </c>
      <c r="BO253">
        <f t="shared" si="78"/>
        <v>0</v>
      </c>
      <c r="BP253">
        <f t="shared" si="79"/>
        <v>0</v>
      </c>
      <c r="BQ253">
        <f t="shared" si="80"/>
        <v>0</v>
      </c>
      <c r="BR253">
        <f t="shared" si="81"/>
        <v>0</v>
      </c>
      <c r="BS253">
        <f t="shared" si="82"/>
        <v>0</v>
      </c>
      <c r="BT253">
        <f t="shared" si="83"/>
        <v>0</v>
      </c>
      <c r="BU253">
        <f t="shared" si="84"/>
        <v>0</v>
      </c>
      <c r="BV253">
        <f t="shared" si="85"/>
        <v>0</v>
      </c>
      <c r="BW253">
        <f t="shared" si="86"/>
        <v>0</v>
      </c>
      <c r="BX253">
        <f t="shared" si="87"/>
        <v>0</v>
      </c>
      <c r="BY253">
        <f t="shared" si="88"/>
        <v>0</v>
      </c>
      <c r="BZ253">
        <f t="shared" si="89"/>
        <v>0</v>
      </c>
      <c r="CA253">
        <f t="shared" si="90"/>
        <v>0</v>
      </c>
      <c r="CB253">
        <f t="shared" si="91"/>
        <v>0</v>
      </c>
      <c r="CC253">
        <f t="shared" si="92"/>
        <v>0</v>
      </c>
      <c r="CD253">
        <f t="shared" si="93"/>
        <v>0</v>
      </c>
      <c r="CE253">
        <f t="shared" si="94"/>
        <v>0</v>
      </c>
    </row>
    <row r="254" spans="2:83" ht="18" customHeight="1" x14ac:dyDescent="0.3">
      <c r="B254" s="42" t="s">
        <v>134</v>
      </c>
      <c r="C254" s="41">
        <f t="shared" ref="C254:AL256" si="105">C101+C115</f>
        <v>0</v>
      </c>
      <c r="D254" s="41">
        <f t="shared" si="105"/>
        <v>0</v>
      </c>
      <c r="E254" s="41">
        <f t="shared" si="105"/>
        <v>0</v>
      </c>
      <c r="F254" s="41">
        <f t="shared" si="105"/>
        <v>0</v>
      </c>
      <c r="G254" s="41">
        <f t="shared" si="105"/>
        <v>0</v>
      </c>
      <c r="H254" s="41">
        <f t="shared" si="105"/>
        <v>0</v>
      </c>
      <c r="I254" s="45">
        <f t="shared" si="105"/>
        <v>-843750</v>
      </c>
      <c r="J254" s="45">
        <f t="shared" si="105"/>
        <v>0</v>
      </c>
      <c r="K254" s="45">
        <f t="shared" si="105"/>
        <v>0</v>
      </c>
      <c r="L254" s="44">
        <f t="shared" si="105"/>
        <v>1687500</v>
      </c>
      <c r="M254" s="46">
        <f t="shared" si="105"/>
        <v>0</v>
      </c>
      <c r="N254" s="46">
        <f t="shared" si="105"/>
        <v>0</v>
      </c>
      <c r="O254" s="46">
        <f t="shared" si="105"/>
        <v>-843750</v>
      </c>
      <c r="P254" s="46">
        <f t="shared" si="105"/>
        <v>0</v>
      </c>
      <c r="Q254" s="46">
        <f t="shared" si="105"/>
        <v>0</v>
      </c>
      <c r="R254" s="41">
        <f t="shared" si="105"/>
        <v>0</v>
      </c>
      <c r="S254" s="41">
        <f t="shared" si="105"/>
        <v>0</v>
      </c>
      <c r="T254" s="41">
        <f t="shared" si="105"/>
        <v>0</v>
      </c>
      <c r="U254" s="41">
        <f t="shared" si="105"/>
        <v>0</v>
      </c>
      <c r="V254" s="41">
        <f t="shared" si="105"/>
        <v>0</v>
      </c>
      <c r="W254" s="41">
        <f t="shared" si="105"/>
        <v>0</v>
      </c>
      <c r="X254" s="41">
        <f t="shared" si="105"/>
        <v>0</v>
      </c>
      <c r="Y254" s="41">
        <f t="shared" si="105"/>
        <v>0</v>
      </c>
      <c r="Z254" s="41">
        <f t="shared" si="105"/>
        <v>0</v>
      </c>
      <c r="AA254" s="41">
        <f t="shared" si="105"/>
        <v>0</v>
      </c>
      <c r="AB254" s="41">
        <f t="shared" si="105"/>
        <v>0</v>
      </c>
      <c r="AC254" s="41">
        <f t="shared" si="105"/>
        <v>0</v>
      </c>
      <c r="AD254" s="41">
        <f t="shared" si="105"/>
        <v>0</v>
      </c>
      <c r="AE254" s="41">
        <f t="shared" si="105"/>
        <v>0</v>
      </c>
      <c r="AF254" s="41">
        <f t="shared" si="105"/>
        <v>0</v>
      </c>
      <c r="AG254" s="41">
        <f t="shared" si="105"/>
        <v>0</v>
      </c>
      <c r="AH254" s="41">
        <f t="shared" si="105"/>
        <v>0</v>
      </c>
      <c r="AI254" s="41">
        <f t="shared" si="105"/>
        <v>0</v>
      </c>
      <c r="AJ254" s="41">
        <f t="shared" si="105"/>
        <v>0</v>
      </c>
      <c r="AK254" s="41">
        <f t="shared" si="105"/>
        <v>0</v>
      </c>
      <c r="AL254" s="41">
        <f t="shared" si="105"/>
        <v>0</v>
      </c>
      <c r="AM254" s="42" t="s">
        <v>134</v>
      </c>
      <c r="AU254">
        <f t="shared" si="95"/>
        <v>0</v>
      </c>
      <c r="AV254">
        <f t="shared" si="96"/>
        <v>0</v>
      </c>
      <c r="AW254">
        <f t="shared" si="98"/>
        <v>0</v>
      </c>
      <c r="AX254">
        <f t="shared" si="99"/>
        <v>0</v>
      </c>
      <c r="AY254">
        <f t="shared" si="100"/>
        <v>0</v>
      </c>
      <c r="AZ254">
        <f t="shared" si="102"/>
        <v>0</v>
      </c>
      <c r="BA254">
        <f t="shared" si="103"/>
        <v>-843750</v>
      </c>
      <c r="BB254">
        <f t="shared" si="104"/>
        <v>0</v>
      </c>
      <c r="BC254">
        <f t="shared" ref="BC254:BC280" si="106">IF(AND($R294&lt;&gt;"",$R$293&lt;&gt;""),K254,0)</f>
        <v>0</v>
      </c>
      <c r="BD254">
        <f>IF($R294&lt;&gt;"",L254,1)</f>
        <v>1687500</v>
      </c>
      <c r="BE254">
        <f t="shared" si="68"/>
        <v>0</v>
      </c>
      <c r="BF254">
        <f t="shared" si="69"/>
        <v>0</v>
      </c>
      <c r="BG254">
        <f t="shared" si="70"/>
        <v>0</v>
      </c>
      <c r="BH254">
        <f t="shared" si="71"/>
        <v>0</v>
      </c>
      <c r="BI254">
        <f t="shared" si="72"/>
        <v>0</v>
      </c>
      <c r="BJ254">
        <f t="shared" si="73"/>
        <v>0</v>
      </c>
      <c r="BK254">
        <f t="shared" si="74"/>
        <v>0</v>
      </c>
      <c r="BL254">
        <f t="shared" si="75"/>
        <v>0</v>
      </c>
      <c r="BM254">
        <f t="shared" si="76"/>
        <v>0</v>
      </c>
      <c r="BN254">
        <f t="shared" si="77"/>
        <v>0</v>
      </c>
      <c r="BO254">
        <f t="shared" si="78"/>
        <v>0</v>
      </c>
      <c r="BP254">
        <f t="shared" si="79"/>
        <v>0</v>
      </c>
      <c r="BQ254">
        <f t="shared" si="80"/>
        <v>0</v>
      </c>
      <c r="BR254">
        <f t="shared" si="81"/>
        <v>0</v>
      </c>
      <c r="BS254">
        <f t="shared" si="82"/>
        <v>0</v>
      </c>
      <c r="BT254">
        <f t="shared" si="83"/>
        <v>0</v>
      </c>
      <c r="BU254">
        <f t="shared" si="84"/>
        <v>0</v>
      </c>
      <c r="BV254">
        <f t="shared" si="85"/>
        <v>0</v>
      </c>
      <c r="BW254">
        <f t="shared" si="86"/>
        <v>0</v>
      </c>
      <c r="BX254">
        <f t="shared" si="87"/>
        <v>0</v>
      </c>
      <c r="BY254">
        <f t="shared" si="88"/>
        <v>0</v>
      </c>
      <c r="BZ254">
        <f t="shared" si="89"/>
        <v>0</v>
      </c>
      <c r="CA254">
        <f t="shared" si="90"/>
        <v>0</v>
      </c>
      <c r="CB254">
        <f t="shared" si="91"/>
        <v>0</v>
      </c>
      <c r="CC254">
        <f t="shared" si="92"/>
        <v>0</v>
      </c>
      <c r="CD254">
        <f t="shared" si="93"/>
        <v>0</v>
      </c>
      <c r="CE254">
        <f t="shared" si="94"/>
        <v>-1500</v>
      </c>
    </row>
    <row r="255" spans="2:83" ht="18" customHeight="1" x14ac:dyDescent="0.3">
      <c r="B255" s="42" t="s">
        <v>135</v>
      </c>
      <c r="C255" s="41">
        <f t="shared" si="105"/>
        <v>0</v>
      </c>
      <c r="D255" s="41">
        <f t="shared" si="105"/>
        <v>0</v>
      </c>
      <c r="E255" s="41">
        <f t="shared" si="105"/>
        <v>0</v>
      </c>
      <c r="F255" s="41">
        <f t="shared" si="105"/>
        <v>0</v>
      </c>
      <c r="G255" s="41">
        <f t="shared" si="105"/>
        <v>0</v>
      </c>
      <c r="H255" s="41">
        <f t="shared" si="105"/>
        <v>0</v>
      </c>
      <c r="I255" s="45">
        <f t="shared" si="105"/>
        <v>0</v>
      </c>
      <c r="J255" s="45">
        <f t="shared" si="105"/>
        <v>-10678.7109375</v>
      </c>
      <c r="K255" s="45">
        <f t="shared" si="105"/>
        <v>-2135742.1875</v>
      </c>
      <c r="L255" s="46">
        <f t="shared" si="105"/>
        <v>0</v>
      </c>
      <c r="M255" s="44">
        <f t="shared" si="105"/>
        <v>21357.421875</v>
      </c>
      <c r="N255" s="46">
        <f t="shared" si="105"/>
        <v>0</v>
      </c>
      <c r="O255" s="46">
        <f t="shared" si="105"/>
        <v>0</v>
      </c>
      <c r="P255" s="46">
        <f t="shared" si="105"/>
        <v>-10678.7109375</v>
      </c>
      <c r="Q255" s="46">
        <f t="shared" si="105"/>
        <v>2135742.1875</v>
      </c>
      <c r="R255" s="41">
        <f t="shared" si="105"/>
        <v>0</v>
      </c>
      <c r="S255" s="41">
        <f t="shared" si="105"/>
        <v>0</v>
      </c>
      <c r="T255" s="41">
        <f t="shared" si="105"/>
        <v>0</v>
      </c>
      <c r="U255" s="41">
        <f t="shared" si="105"/>
        <v>0</v>
      </c>
      <c r="V255" s="41">
        <f t="shared" si="105"/>
        <v>0</v>
      </c>
      <c r="W255" s="41">
        <f t="shared" si="105"/>
        <v>0</v>
      </c>
      <c r="X255" s="41">
        <f t="shared" si="105"/>
        <v>0</v>
      </c>
      <c r="Y255" s="41">
        <f t="shared" si="105"/>
        <v>0</v>
      </c>
      <c r="Z255" s="41">
        <f t="shared" si="105"/>
        <v>0</v>
      </c>
      <c r="AA255" s="41">
        <f t="shared" si="105"/>
        <v>0</v>
      </c>
      <c r="AB255" s="41">
        <f t="shared" si="105"/>
        <v>0</v>
      </c>
      <c r="AC255" s="41">
        <f t="shared" si="105"/>
        <v>0</v>
      </c>
      <c r="AD255" s="41">
        <f t="shared" si="105"/>
        <v>0</v>
      </c>
      <c r="AE255" s="41">
        <f t="shared" si="105"/>
        <v>0</v>
      </c>
      <c r="AF255" s="41">
        <f t="shared" si="105"/>
        <v>0</v>
      </c>
      <c r="AG255" s="41">
        <f t="shared" si="105"/>
        <v>0</v>
      </c>
      <c r="AH255" s="41">
        <f t="shared" si="105"/>
        <v>0</v>
      </c>
      <c r="AI255" s="41">
        <f t="shared" si="105"/>
        <v>0</v>
      </c>
      <c r="AJ255" s="41">
        <f t="shared" si="105"/>
        <v>0</v>
      </c>
      <c r="AK255" s="41">
        <f t="shared" si="105"/>
        <v>0</v>
      </c>
      <c r="AL255" s="41">
        <f t="shared" si="105"/>
        <v>0</v>
      </c>
      <c r="AM255" s="42" t="s">
        <v>135</v>
      </c>
      <c r="AU255">
        <f t="shared" si="95"/>
        <v>0</v>
      </c>
      <c r="AV255">
        <f t="shared" si="96"/>
        <v>0</v>
      </c>
      <c r="AW255">
        <f t="shared" si="98"/>
        <v>0</v>
      </c>
      <c r="AX255">
        <f t="shared" si="99"/>
        <v>0</v>
      </c>
      <c r="AY255">
        <f t="shared" si="100"/>
        <v>0</v>
      </c>
      <c r="AZ255">
        <f t="shared" si="102"/>
        <v>0</v>
      </c>
      <c r="BA255">
        <f t="shared" si="103"/>
        <v>0</v>
      </c>
      <c r="BB255">
        <f t="shared" si="104"/>
        <v>0</v>
      </c>
      <c r="BC255">
        <f t="shared" si="106"/>
        <v>-2135742.1875</v>
      </c>
      <c r="BD255">
        <f t="shared" ref="BD255:BD280" si="107">IF(AND($R295&lt;&gt;"",$R$294&lt;&gt;""),L255,0)</f>
        <v>0</v>
      </c>
      <c r="BE255">
        <f>IF($R295&lt;&gt;"",M255,1)</f>
        <v>21357.421875</v>
      </c>
      <c r="BF255">
        <f t="shared" si="69"/>
        <v>0</v>
      </c>
      <c r="BG255">
        <f t="shared" si="70"/>
        <v>0</v>
      </c>
      <c r="BH255">
        <f t="shared" si="71"/>
        <v>0</v>
      </c>
      <c r="BI255">
        <f t="shared" si="72"/>
        <v>2135742.1875</v>
      </c>
      <c r="BJ255">
        <f t="shared" si="73"/>
        <v>0</v>
      </c>
      <c r="BK255">
        <f t="shared" si="74"/>
        <v>0</v>
      </c>
      <c r="BL255">
        <f t="shared" si="75"/>
        <v>0</v>
      </c>
      <c r="BM255">
        <f t="shared" si="76"/>
        <v>0</v>
      </c>
      <c r="BN255">
        <f t="shared" si="77"/>
        <v>0</v>
      </c>
      <c r="BO255">
        <f t="shared" si="78"/>
        <v>0</v>
      </c>
      <c r="BP255">
        <f t="shared" si="79"/>
        <v>0</v>
      </c>
      <c r="BQ255">
        <f t="shared" si="80"/>
        <v>0</v>
      </c>
      <c r="BR255">
        <f t="shared" si="81"/>
        <v>0</v>
      </c>
      <c r="BS255">
        <f t="shared" si="82"/>
        <v>0</v>
      </c>
      <c r="BT255">
        <f t="shared" si="83"/>
        <v>0</v>
      </c>
      <c r="BU255">
        <f t="shared" si="84"/>
        <v>0</v>
      </c>
      <c r="BV255">
        <f t="shared" si="85"/>
        <v>0</v>
      </c>
      <c r="BW255">
        <f t="shared" si="86"/>
        <v>0</v>
      </c>
      <c r="BX255">
        <f t="shared" si="87"/>
        <v>0</v>
      </c>
      <c r="BY255">
        <f t="shared" si="88"/>
        <v>0</v>
      </c>
      <c r="BZ255">
        <f t="shared" si="89"/>
        <v>0</v>
      </c>
      <c r="CA255">
        <f t="shared" si="90"/>
        <v>0</v>
      </c>
      <c r="CB255">
        <f t="shared" si="91"/>
        <v>0</v>
      </c>
      <c r="CC255">
        <f t="shared" si="92"/>
        <v>0</v>
      </c>
      <c r="CD255">
        <f t="shared" si="93"/>
        <v>0</v>
      </c>
      <c r="CE255">
        <f t="shared" si="94"/>
        <v>-2000</v>
      </c>
    </row>
    <row r="256" spans="2:83" ht="18" customHeight="1" x14ac:dyDescent="0.3">
      <c r="B256" s="42" t="s">
        <v>136</v>
      </c>
      <c r="C256" s="41">
        <f t="shared" si="105"/>
        <v>0</v>
      </c>
      <c r="D256" s="41">
        <f t="shared" si="105"/>
        <v>0</v>
      </c>
      <c r="E256" s="41">
        <f t="shared" si="105"/>
        <v>0</v>
      </c>
      <c r="F256" s="41">
        <f t="shared" si="105"/>
        <v>0</v>
      </c>
      <c r="G256" s="41">
        <f t="shared" si="105"/>
        <v>0</v>
      </c>
      <c r="H256" s="41">
        <f t="shared" si="105"/>
        <v>0</v>
      </c>
      <c r="I256" s="45">
        <f t="shared" si="105"/>
        <v>0</v>
      </c>
      <c r="J256" s="45">
        <f t="shared" si="105"/>
        <v>2135742.1875</v>
      </c>
      <c r="K256" s="45">
        <f t="shared" si="105"/>
        <v>284765625</v>
      </c>
      <c r="L256" s="46">
        <f t="shared" si="105"/>
        <v>0</v>
      </c>
      <c r="M256" s="46">
        <f t="shared" si="105"/>
        <v>0</v>
      </c>
      <c r="N256" s="44">
        <f t="shared" si="105"/>
        <v>1139062500</v>
      </c>
      <c r="O256" s="46">
        <f t="shared" si="105"/>
        <v>0</v>
      </c>
      <c r="P256" s="46">
        <f t="shared" si="105"/>
        <v>-2135742.1875</v>
      </c>
      <c r="Q256" s="46">
        <f t="shared" si="105"/>
        <v>284765625</v>
      </c>
      <c r="R256" s="41">
        <f t="shared" si="105"/>
        <v>0</v>
      </c>
      <c r="S256" s="41">
        <f t="shared" si="105"/>
        <v>0</v>
      </c>
      <c r="T256" s="41">
        <f t="shared" si="105"/>
        <v>0</v>
      </c>
      <c r="U256" s="41">
        <f t="shared" si="105"/>
        <v>0</v>
      </c>
      <c r="V256" s="41">
        <f t="shared" si="105"/>
        <v>0</v>
      </c>
      <c r="W256" s="41">
        <f t="shared" si="105"/>
        <v>0</v>
      </c>
      <c r="X256" s="41">
        <f t="shared" si="105"/>
        <v>0</v>
      </c>
      <c r="Y256" s="41">
        <f t="shared" si="105"/>
        <v>0</v>
      </c>
      <c r="Z256" s="41">
        <f t="shared" si="105"/>
        <v>0</v>
      </c>
      <c r="AA256" s="41">
        <f t="shared" si="105"/>
        <v>0</v>
      </c>
      <c r="AB256" s="41">
        <f t="shared" si="105"/>
        <v>0</v>
      </c>
      <c r="AC256" s="41">
        <f t="shared" si="105"/>
        <v>0</v>
      </c>
      <c r="AD256" s="41">
        <f t="shared" si="105"/>
        <v>0</v>
      </c>
      <c r="AE256" s="41">
        <f t="shared" si="105"/>
        <v>0</v>
      </c>
      <c r="AF256" s="41">
        <f t="shared" si="105"/>
        <v>0</v>
      </c>
      <c r="AG256" s="41">
        <f t="shared" si="105"/>
        <v>0</v>
      </c>
      <c r="AH256" s="41">
        <f t="shared" si="105"/>
        <v>0</v>
      </c>
      <c r="AI256" s="41">
        <f t="shared" si="105"/>
        <v>0</v>
      </c>
      <c r="AJ256" s="41">
        <f t="shared" si="105"/>
        <v>0</v>
      </c>
      <c r="AK256" s="41">
        <f t="shared" si="105"/>
        <v>0</v>
      </c>
      <c r="AL256" s="41">
        <f t="shared" si="105"/>
        <v>0</v>
      </c>
      <c r="AM256" s="42" t="s">
        <v>136</v>
      </c>
      <c r="AU256">
        <f t="shared" si="95"/>
        <v>0</v>
      </c>
      <c r="AV256">
        <f t="shared" si="96"/>
        <v>0</v>
      </c>
      <c r="AW256">
        <f t="shared" si="98"/>
        <v>0</v>
      </c>
      <c r="AX256">
        <f t="shared" si="99"/>
        <v>0</v>
      </c>
      <c r="AY256">
        <f t="shared" si="100"/>
        <v>0</v>
      </c>
      <c r="AZ256">
        <f t="shared" si="102"/>
        <v>0</v>
      </c>
      <c r="BA256">
        <f t="shared" si="103"/>
        <v>0</v>
      </c>
      <c r="BB256">
        <f t="shared" si="104"/>
        <v>0</v>
      </c>
      <c r="BC256">
        <f t="shared" si="106"/>
        <v>284765625</v>
      </c>
      <c r="BD256">
        <f t="shared" si="107"/>
        <v>0</v>
      </c>
      <c r="BE256">
        <f t="shared" ref="BE256:BE280" si="108">IF(AND($R296&lt;&gt;"",$R$295&lt;&gt;""),M256,0)</f>
        <v>0</v>
      </c>
      <c r="BF256">
        <f>IF($R296&lt;&gt;"",N256,1)</f>
        <v>1139062500</v>
      </c>
      <c r="BG256">
        <f t="shared" si="70"/>
        <v>0</v>
      </c>
      <c r="BH256">
        <f t="shared" si="71"/>
        <v>0</v>
      </c>
      <c r="BI256">
        <f t="shared" si="72"/>
        <v>284765625</v>
      </c>
      <c r="BJ256">
        <f t="shared" si="73"/>
        <v>0</v>
      </c>
      <c r="BK256">
        <f t="shared" si="74"/>
        <v>0</v>
      </c>
      <c r="BL256">
        <f t="shared" si="75"/>
        <v>0</v>
      </c>
      <c r="BM256">
        <f t="shared" si="76"/>
        <v>0</v>
      </c>
      <c r="BN256">
        <f t="shared" si="77"/>
        <v>0</v>
      </c>
      <c r="BO256">
        <f t="shared" si="78"/>
        <v>0</v>
      </c>
      <c r="BP256">
        <f t="shared" si="79"/>
        <v>0</v>
      </c>
      <c r="BQ256">
        <f t="shared" si="80"/>
        <v>0</v>
      </c>
      <c r="BR256">
        <f t="shared" si="81"/>
        <v>0</v>
      </c>
      <c r="BS256">
        <f t="shared" si="82"/>
        <v>0</v>
      </c>
      <c r="BT256">
        <f t="shared" si="83"/>
        <v>0</v>
      </c>
      <c r="BU256">
        <f t="shared" si="84"/>
        <v>0</v>
      </c>
      <c r="BV256">
        <f t="shared" si="85"/>
        <v>0</v>
      </c>
      <c r="BW256">
        <f t="shared" si="86"/>
        <v>0</v>
      </c>
      <c r="BX256">
        <f t="shared" si="87"/>
        <v>0</v>
      </c>
      <c r="BY256">
        <f t="shared" si="88"/>
        <v>0</v>
      </c>
      <c r="BZ256">
        <f t="shared" si="89"/>
        <v>0</v>
      </c>
      <c r="CA256">
        <f t="shared" si="90"/>
        <v>0</v>
      </c>
      <c r="CB256">
        <f t="shared" si="91"/>
        <v>0</v>
      </c>
      <c r="CC256">
        <f t="shared" si="92"/>
        <v>0</v>
      </c>
      <c r="CD256">
        <f t="shared" si="93"/>
        <v>0</v>
      </c>
      <c r="CE256">
        <f t="shared" si="94"/>
        <v>0</v>
      </c>
    </row>
    <row r="257" spans="2:83" ht="18" customHeight="1" x14ac:dyDescent="0.3">
      <c r="B257" s="42" t="s">
        <v>137</v>
      </c>
      <c r="C257" s="41">
        <f t="shared" ref="C257:AL259" si="109">C118+C132</f>
        <v>0</v>
      </c>
      <c r="D257" s="41">
        <f t="shared" si="109"/>
        <v>0</v>
      </c>
      <c r="E257" s="41">
        <f t="shared" si="109"/>
        <v>0</v>
      </c>
      <c r="F257" s="41">
        <f t="shared" si="109"/>
        <v>0</v>
      </c>
      <c r="G257" s="41">
        <f t="shared" si="109"/>
        <v>0</v>
      </c>
      <c r="H257" s="41">
        <f t="shared" si="109"/>
        <v>0</v>
      </c>
      <c r="I257" s="41">
        <f t="shared" si="109"/>
        <v>0</v>
      </c>
      <c r="J257" s="41">
        <f t="shared" si="109"/>
        <v>0</v>
      </c>
      <c r="K257" s="41">
        <f t="shared" si="109"/>
        <v>0</v>
      </c>
      <c r="L257" s="46">
        <f t="shared" si="109"/>
        <v>-843750</v>
      </c>
      <c r="M257" s="46">
        <f t="shared" si="109"/>
        <v>0</v>
      </c>
      <c r="N257" s="46">
        <f t="shared" si="109"/>
        <v>0</v>
      </c>
      <c r="O257" s="44">
        <f t="shared" si="109"/>
        <v>2193750</v>
      </c>
      <c r="P257" s="48">
        <f t="shared" si="109"/>
        <v>0</v>
      </c>
      <c r="Q257" s="48">
        <f t="shared" si="109"/>
        <v>0</v>
      </c>
      <c r="R257" s="48">
        <f t="shared" si="109"/>
        <v>-1350000</v>
      </c>
      <c r="S257" s="48">
        <f t="shared" si="109"/>
        <v>0</v>
      </c>
      <c r="T257" s="48">
        <f t="shared" si="109"/>
        <v>0</v>
      </c>
      <c r="U257" s="41">
        <f t="shared" si="109"/>
        <v>0</v>
      </c>
      <c r="V257" s="41">
        <f t="shared" si="109"/>
        <v>0</v>
      </c>
      <c r="W257" s="41">
        <f t="shared" si="109"/>
        <v>0</v>
      </c>
      <c r="X257" s="41">
        <f t="shared" si="109"/>
        <v>0</v>
      </c>
      <c r="Y257" s="41">
        <f t="shared" si="109"/>
        <v>0</v>
      </c>
      <c r="Z257" s="41">
        <f t="shared" si="109"/>
        <v>0</v>
      </c>
      <c r="AA257" s="41">
        <f t="shared" si="109"/>
        <v>0</v>
      </c>
      <c r="AB257" s="41">
        <f t="shared" si="109"/>
        <v>0</v>
      </c>
      <c r="AC257" s="41">
        <f t="shared" si="109"/>
        <v>0</v>
      </c>
      <c r="AD257" s="41">
        <f t="shared" si="109"/>
        <v>0</v>
      </c>
      <c r="AE257" s="41">
        <f t="shared" si="109"/>
        <v>0</v>
      </c>
      <c r="AF257" s="41">
        <f t="shared" si="109"/>
        <v>0</v>
      </c>
      <c r="AG257" s="41">
        <f t="shared" si="109"/>
        <v>0</v>
      </c>
      <c r="AH257" s="41">
        <f t="shared" si="109"/>
        <v>0</v>
      </c>
      <c r="AI257" s="41">
        <f t="shared" si="109"/>
        <v>0</v>
      </c>
      <c r="AJ257" s="41">
        <f t="shared" si="109"/>
        <v>0</v>
      </c>
      <c r="AK257" s="41">
        <f t="shared" si="109"/>
        <v>0</v>
      </c>
      <c r="AL257" s="41">
        <f t="shared" si="109"/>
        <v>0</v>
      </c>
      <c r="AM257" s="42" t="s">
        <v>137</v>
      </c>
      <c r="AU257">
        <f t="shared" si="95"/>
        <v>0</v>
      </c>
      <c r="AV257">
        <f t="shared" si="96"/>
        <v>0</v>
      </c>
      <c r="AW257">
        <f t="shared" si="98"/>
        <v>0</v>
      </c>
      <c r="AX257">
        <f t="shared" si="99"/>
        <v>0</v>
      </c>
      <c r="AY257">
        <f t="shared" si="100"/>
        <v>0</v>
      </c>
      <c r="AZ257">
        <f t="shared" si="102"/>
        <v>0</v>
      </c>
      <c r="BA257">
        <f t="shared" si="103"/>
        <v>0</v>
      </c>
      <c r="BB257">
        <f t="shared" si="104"/>
        <v>0</v>
      </c>
      <c r="BC257">
        <f t="shared" si="106"/>
        <v>0</v>
      </c>
      <c r="BD257">
        <f t="shared" si="107"/>
        <v>0</v>
      </c>
      <c r="BE257">
        <f t="shared" si="108"/>
        <v>0</v>
      </c>
      <c r="BF257">
        <f t="shared" ref="BF257:BF280" si="110">IF(AND($R297&lt;&gt;"",$R$296&lt;&gt;""),N257,0)</f>
        <v>0</v>
      </c>
      <c r="BG257">
        <f>IF($R297&lt;&gt;"",O257,1)</f>
        <v>1</v>
      </c>
      <c r="BH257">
        <f t="shared" si="71"/>
        <v>0</v>
      </c>
      <c r="BI257">
        <f t="shared" si="72"/>
        <v>0</v>
      </c>
      <c r="BJ257">
        <f t="shared" si="73"/>
        <v>0</v>
      </c>
      <c r="BK257">
        <f t="shared" si="74"/>
        <v>0</v>
      </c>
      <c r="BL257">
        <f t="shared" si="75"/>
        <v>0</v>
      </c>
      <c r="BM257">
        <f t="shared" si="76"/>
        <v>0</v>
      </c>
      <c r="BN257">
        <f t="shared" si="77"/>
        <v>0</v>
      </c>
      <c r="BO257">
        <f t="shared" si="78"/>
        <v>0</v>
      </c>
      <c r="BP257">
        <f t="shared" si="79"/>
        <v>0</v>
      </c>
      <c r="BQ257">
        <f t="shared" si="80"/>
        <v>0</v>
      </c>
      <c r="BR257">
        <f t="shared" si="81"/>
        <v>0</v>
      </c>
      <c r="BS257">
        <f t="shared" si="82"/>
        <v>0</v>
      </c>
      <c r="BT257">
        <f t="shared" si="83"/>
        <v>0</v>
      </c>
      <c r="BU257">
        <f t="shared" si="84"/>
        <v>0</v>
      </c>
      <c r="BV257">
        <f t="shared" si="85"/>
        <v>0</v>
      </c>
      <c r="BW257">
        <f t="shared" si="86"/>
        <v>0</v>
      </c>
      <c r="BX257">
        <f t="shared" si="87"/>
        <v>0</v>
      </c>
      <c r="BY257">
        <f t="shared" si="88"/>
        <v>0</v>
      </c>
      <c r="BZ257">
        <f t="shared" si="89"/>
        <v>0</v>
      </c>
      <c r="CA257">
        <f t="shared" si="90"/>
        <v>0</v>
      </c>
      <c r="CB257">
        <f t="shared" si="91"/>
        <v>0</v>
      </c>
      <c r="CC257">
        <f t="shared" si="92"/>
        <v>0</v>
      </c>
      <c r="CD257">
        <f t="shared" si="93"/>
        <v>0</v>
      </c>
      <c r="CE257">
        <f t="shared" si="94"/>
        <v>0</v>
      </c>
    </row>
    <row r="258" spans="2:83" ht="18" customHeight="1" x14ac:dyDescent="0.3">
      <c r="B258" s="42" t="s">
        <v>138</v>
      </c>
      <c r="C258" s="41">
        <f t="shared" si="109"/>
        <v>0</v>
      </c>
      <c r="D258" s="41">
        <f t="shared" si="109"/>
        <v>0</v>
      </c>
      <c r="E258" s="41">
        <f t="shared" si="109"/>
        <v>0</v>
      </c>
      <c r="F258" s="41">
        <f t="shared" si="109"/>
        <v>0</v>
      </c>
      <c r="G258" s="41">
        <f t="shared" si="109"/>
        <v>0</v>
      </c>
      <c r="H258" s="41">
        <f t="shared" si="109"/>
        <v>0</v>
      </c>
      <c r="I258" s="41">
        <f t="shared" si="109"/>
        <v>0</v>
      </c>
      <c r="J258" s="41">
        <f t="shared" si="109"/>
        <v>0</v>
      </c>
      <c r="K258" s="41">
        <f t="shared" si="109"/>
        <v>0</v>
      </c>
      <c r="L258" s="46">
        <f t="shared" si="109"/>
        <v>0</v>
      </c>
      <c r="M258" s="46">
        <f t="shared" si="109"/>
        <v>-10678.7109375</v>
      </c>
      <c r="N258" s="46">
        <f t="shared" si="109"/>
        <v>-2135742.1875</v>
      </c>
      <c r="O258" s="48">
        <f t="shared" si="109"/>
        <v>0</v>
      </c>
      <c r="P258" s="44">
        <f t="shared" si="109"/>
        <v>54418.7109375</v>
      </c>
      <c r="Q258" s="48">
        <f t="shared" si="109"/>
        <v>3331757.8125</v>
      </c>
      <c r="R258" s="48">
        <f t="shared" si="109"/>
        <v>0</v>
      </c>
      <c r="S258" s="48">
        <f t="shared" si="109"/>
        <v>-43740</v>
      </c>
      <c r="T258" s="48">
        <f t="shared" si="109"/>
        <v>5467500</v>
      </c>
      <c r="U258" s="41">
        <f t="shared" si="109"/>
        <v>0</v>
      </c>
      <c r="V258" s="41">
        <f t="shared" si="109"/>
        <v>0</v>
      </c>
      <c r="W258" s="41">
        <f t="shared" si="109"/>
        <v>0</v>
      </c>
      <c r="X258" s="41">
        <f t="shared" si="109"/>
        <v>0</v>
      </c>
      <c r="Y258" s="41">
        <f t="shared" si="109"/>
        <v>0</v>
      </c>
      <c r="Z258" s="41">
        <f t="shared" si="109"/>
        <v>0</v>
      </c>
      <c r="AA258" s="41">
        <f t="shared" si="109"/>
        <v>0</v>
      </c>
      <c r="AB258" s="41">
        <f t="shared" si="109"/>
        <v>0</v>
      </c>
      <c r="AC258" s="41">
        <f t="shared" si="109"/>
        <v>0</v>
      </c>
      <c r="AD258" s="41">
        <f t="shared" si="109"/>
        <v>0</v>
      </c>
      <c r="AE258" s="41">
        <f t="shared" si="109"/>
        <v>0</v>
      </c>
      <c r="AF258" s="41">
        <f t="shared" si="109"/>
        <v>0</v>
      </c>
      <c r="AG258" s="41">
        <f t="shared" si="109"/>
        <v>0</v>
      </c>
      <c r="AH258" s="41">
        <f t="shared" si="109"/>
        <v>0</v>
      </c>
      <c r="AI258" s="41">
        <f t="shared" si="109"/>
        <v>0</v>
      </c>
      <c r="AJ258" s="41">
        <f t="shared" si="109"/>
        <v>0</v>
      </c>
      <c r="AK258" s="41">
        <f t="shared" si="109"/>
        <v>0</v>
      </c>
      <c r="AL258" s="41">
        <f t="shared" si="109"/>
        <v>0</v>
      </c>
      <c r="AM258" s="42" t="s">
        <v>138</v>
      </c>
      <c r="AU258">
        <f t="shared" si="95"/>
        <v>0</v>
      </c>
      <c r="AV258">
        <f t="shared" si="96"/>
        <v>0</v>
      </c>
      <c r="AW258">
        <f t="shared" si="98"/>
        <v>0</v>
      </c>
      <c r="AX258">
        <f t="shared" si="99"/>
        <v>0</v>
      </c>
      <c r="AY258">
        <f t="shared" si="100"/>
        <v>0</v>
      </c>
      <c r="AZ258">
        <f t="shared" si="102"/>
        <v>0</v>
      </c>
      <c r="BA258">
        <f t="shared" si="103"/>
        <v>0</v>
      </c>
      <c r="BB258">
        <f t="shared" si="104"/>
        <v>0</v>
      </c>
      <c r="BC258">
        <f t="shared" si="106"/>
        <v>0</v>
      </c>
      <c r="BD258">
        <f t="shared" si="107"/>
        <v>0</v>
      </c>
      <c r="BE258">
        <f t="shared" si="108"/>
        <v>0</v>
      </c>
      <c r="BF258">
        <f t="shared" si="110"/>
        <v>0</v>
      </c>
      <c r="BG258">
        <f t="shared" ref="BG258:BG280" si="111">IF(AND($R298&lt;&gt;"",$R$297&lt;&gt;""),O258,0)</f>
        <v>0</v>
      </c>
      <c r="BH258">
        <f>IF($R298&lt;&gt;"",P258,1)</f>
        <v>1</v>
      </c>
      <c r="BI258">
        <f t="shared" si="72"/>
        <v>0</v>
      </c>
      <c r="BJ258">
        <f t="shared" si="73"/>
        <v>0</v>
      </c>
      <c r="BK258">
        <f t="shared" si="74"/>
        <v>0</v>
      </c>
      <c r="BL258">
        <f t="shared" si="75"/>
        <v>0</v>
      </c>
      <c r="BM258">
        <f t="shared" si="76"/>
        <v>0</v>
      </c>
      <c r="BN258">
        <f t="shared" si="77"/>
        <v>0</v>
      </c>
      <c r="BO258">
        <f t="shared" si="78"/>
        <v>0</v>
      </c>
      <c r="BP258">
        <f t="shared" si="79"/>
        <v>0</v>
      </c>
      <c r="BQ258">
        <f t="shared" si="80"/>
        <v>0</v>
      </c>
      <c r="BR258">
        <f t="shared" si="81"/>
        <v>0</v>
      </c>
      <c r="BS258">
        <f t="shared" si="82"/>
        <v>0</v>
      </c>
      <c r="BT258">
        <f t="shared" si="83"/>
        <v>0</v>
      </c>
      <c r="BU258">
        <f t="shared" si="84"/>
        <v>0</v>
      </c>
      <c r="BV258">
        <f t="shared" si="85"/>
        <v>0</v>
      </c>
      <c r="BW258">
        <f t="shared" si="86"/>
        <v>0</v>
      </c>
      <c r="BX258">
        <f t="shared" si="87"/>
        <v>0</v>
      </c>
      <c r="BY258">
        <f t="shared" si="88"/>
        <v>0</v>
      </c>
      <c r="BZ258">
        <f t="shared" si="89"/>
        <v>0</v>
      </c>
      <c r="CA258">
        <f t="shared" si="90"/>
        <v>0</v>
      </c>
      <c r="CB258">
        <f t="shared" si="91"/>
        <v>0</v>
      </c>
      <c r="CC258">
        <f t="shared" si="92"/>
        <v>0</v>
      </c>
      <c r="CD258">
        <f t="shared" si="93"/>
        <v>0</v>
      </c>
      <c r="CE258">
        <f t="shared" si="94"/>
        <v>0</v>
      </c>
    </row>
    <row r="259" spans="2:83" ht="18" customHeight="1" x14ac:dyDescent="0.3">
      <c r="B259" s="42" t="s">
        <v>139</v>
      </c>
      <c r="C259" s="41">
        <f t="shared" si="109"/>
        <v>0</v>
      </c>
      <c r="D259" s="41">
        <f t="shared" si="109"/>
        <v>0</v>
      </c>
      <c r="E259" s="41">
        <f t="shared" si="109"/>
        <v>0</v>
      </c>
      <c r="F259" s="41">
        <f t="shared" si="109"/>
        <v>0</v>
      </c>
      <c r="G259" s="41">
        <f t="shared" si="109"/>
        <v>0</v>
      </c>
      <c r="H259" s="41">
        <f t="shared" si="109"/>
        <v>0</v>
      </c>
      <c r="I259" s="41">
        <f t="shared" si="109"/>
        <v>0</v>
      </c>
      <c r="J259" s="41">
        <f t="shared" si="109"/>
        <v>0</v>
      </c>
      <c r="K259" s="41">
        <f t="shared" si="109"/>
        <v>0</v>
      </c>
      <c r="L259" s="46">
        <f t="shared" si="109"/>
        <v>0</v>
      </c>
      <c r="M259" s="46">
        <f t="shared" si="109"/>
        <v>2135742.1875</v>
      </c>
      <c r="N259" s="46">
        <f t="shared" si="109"/>
        <v>284765625</v>
      </c>
      <c r="O259" s="48">
        <f t="shared" si="109"/>
        <v>0</v>
      </c>
      <c r="P259" s="48">
        <f t="shared" si="109"/>
        <v>3331757.8125</v>
      </c>
      <c r="Q259" s="44">
        <f t="shared" si="109"/>
        <v>1480781250</v>
      </c>
      <c r="R259" s="48">
        <f t="shared" si="109"/>
        <v>0</v>
      </c>
      <c r="S259" s="48">
        <f t="shared" si="109"/>
        <v>-5467500</v>
      </c>
      <c r="T259" s="48">
        <f t="shared" si="109"/>
        <v>455625000</v>
      </c>
      <c r="U259" s="41">
        <f t="shared" si="109"/>
        <v>0</v>
      </c>
      <c r="V259" s="41">
        <f t="shared" si="109"/>
        <v>0</v>
      </c>
      <c r="W259" s="41">
        <f t="shared" si="109"/>
        <v>0</v>
      </c>
      <c r="X259" s="41">
        <f t="shared" si="109"/>
        <v>0</v>
      </c>
      <c r="Y259" s="41">
        <f t="shared" si="109"/>
        <v>0</v>
      </c>
      <c r="Z259" s="41">
        <f t="shared" si="109"/>
        <v>0</v>
      </c>
      <c r="AA259" s="41">
        <f t="shared" si="109"/>
        <v>0</v>
      </c>
      <c r="AB259" s="41">
        <f t="shared" si="109"/>
        <v>0</v>
      </c>
      <c r="AC259" s="41">
        <f t="shared" si="109"/>
        <v>0</v>
      </c>
      <c r="AD259" s="41">
        <f t="shared" si="109"/>
        <v>0</v>
      </c>
      <c r="AE259" s="41">
        <f t="shared" si="109"/>
        <v>0</v>
      </c>
      <c r="AF259" s="41">
        <f t="shared" si="109"/>
        <v>0</v>
      </c>
      <c r="AG259" s="41">
        <f t="shared" si="109"/>
        <v>0</v>
      </c>
      <c r="AH259" s="41">
        <f t="shared" si="109"/>
        <v>0</v>
      </c>
      <c r="AI259" s="41">
        <f t="shared" si="109"/>
        <v>0</v>
      </c>
      <c r="AJ259" s="41">
        <f t="shared" si="109"/>
        <v>0</v>
      </c>
      <c r="AK259" s="41">
        <f t="shared" si="109"/>
        <v>0</v>
      </c>
      <c r="AL259" s="41">
        <f t="shared" si="109"/>
        <v>0</v>
      </c>
      <c r="AM259" s="42" t="s">
        <v>139</v>
      </c>
      <c r="AU259">
        <f t="shared" si="95"/>
        <v>0</v>
      </c>
      <c r="AV259">
        <f t="shared" si="96"/>
        <v>0</v>
      </c>
      <c r="AW259">
        <f t="shared" si="98"/>
        <v>0</v>
      </c>
      <c r="AX259">
        <f t="shared" si="99"/>
        <v>0</v>
      </c>
      <c r="AY259">
        <f t="shared" si="100"/>
        <v>0</v>
      </c>
      <c r="AZ259">
        <f t="shared" si="102"/>
        <v>0</v>
      </c>
      <c r="BA259">
        <f t="shared" si="103"/>
        <v>0</v>
      </c>
      <c r="BB259">
        <f t="shared" si="104"/>
        <v>0</v>
      </c>
      <c r="BC259">
        <f t="shared" si="106"/>
        <v>0</v>
      </c>
      <c r="BD259">
        <f t="shared" si="107"/>
        <v>0</v>
      </c>
      <c r="BE259">
        <f t="shared" si="108"/>
        <v>2135742.1875</v>
      </c>
      <c r="BF259">
        <f t="shared" si="110"/>
        <v>284765625</v>
      </c>
      <c r="BG259">
        <f t="shared" si="111"/>
        <v>0</v>
      </c>
      <c r="BH259">
        <f t="shared" ref="BH259:BH280" si="112">IF(AND($R299&lt;&gt;"",$R$298&lt;&gt;""),P259,0)</f>
        <v>0</v>
      </c>
      <c r="BI259">
        <f>IF($R299&lt;&gt;"",Q259,1)</f>
        <v>1480781250</v>
      </c>
      <c r="BJ259">
        <f t="shared" si="73"/>
        <v>0</v>
      </c>
      <c r="BK259">
        <f t="shared" si="74"/>
        <v>-5467500</v>
      </c>
      <c r="BL259">
        <f t="shared" si="75"/>
        <v>455625000</v>
      </c>
      <c r="BM259">
        <f t="shared" si="76"/>
        <v>0</v>
      </c>
      <c r="BN259">
        <f t="shared" si="77"/>
        <v>0</v>
      </c>
      <c r="BO259">
        <f t="shared" si="78"/>
        <v>0</v>
      </c>
      <c r="BP259">
        <f t="shared" si="79"/>
        <v>0</v>
      </c>
      <c r="BQ259">
        <f t="shared" si="80"/>
        <v>0</v>
      </c>
      <c r="BR259">
        <f t="shared" si="81"/>
        <v>0</v>
      </c>
      <c r="BS259">
        <f t="shared" si="82"/>
        <v>0</v>
      </c>
      <c r="BT259">
        <f t="shared" si="83"/>
        <v>0</v>
      </c>
      <c r="BU259">
        <f t="shared" si="84"/>
        <v>0</v>
      </c>
      <c r="BV259">
        <f t="shared" si="85"/>
        <v>0</v>
      </c>
      <c r="BW259">
        <f t="shared" si="86"/>
        <v>0</v>
      </c>
      <c r="BX259">
        <f t="shared" si="87"/>
        <v>0</v>
      </c>
      <c r="BY259">
        <f t="shared" si="88"/>
        <v>0</v>
      </c>
      <c r="BZ259">
        <f t="shared" si="89"/>
        <v>0</v>
      </c>
      <c r="CA259">
        <f t="shared" si="90"/>
        <v>0</v>
      </c>
      <c r="CB259">
        <f t="shared" si="91"/>
        <v>0</v>
      </c>
      <c r="CC259">
        <f t="shared" si="92"/>
        <v>0</v>
      </c>
      <c r="CD259">
        <f t="shared" si="93"/>
        <v>0</v>
      </c>
      <c r="CE259">
        <f t="shared" si="94"/>
        <v>0</v>
      </c>
    </row>
    <row r="260" spans="2:83" ht="18" customHeight="1" x14ac:dyDescent="0.3">
      <c r="B260" s="42" t="s">
        <v>140</v>
      </c>
      <c r="C260" s="41">
        <f t="shared" ref="C260:AL262" si="113">C135+C149</f>
        <v>0</v>
      </c>
      <c r="D260" s="41">
        <f t="shared" si="113"/>
        <v>0</v>
      </c>
      <c r="E260" s="41">
        <f t="shared" si="113"/>
        <v>0</v>
      </c>
      <c r="F260" s="41">
        <f t="shared" si="113"/>
        <v>0</v>
      </c>
      <c r="G260" s="41">
        <f t="shared" si="113"/>
        <v>0</v>
      </c>
      <c r="H260" s="41">
        <f t="shared" si="113"/>
        <v>0</v>
      </c>
      <c r="I260" s="41">
        <f t="shared" si="113"/>
        <v>0</v>
      </c>
      <c r="J260" s="41">
        <f t="shared" si="113"/>
        <v>0</v>
      </c>
      <c r="K260" s="41">
        <f t="shared" si="113"/>
        <v>0</v>
      </c>
      <c r="L260" s="41">
        <f t="shared" si="113"/>
        <v>0</v>
      </c>
      <c r="M260" s="41">
        <f t="shared" si="113"/>
        <v>0</v>
      </c>
      <c r="N260" s="41">
        <f t="shared" si="113"/>
        <v>0</v>
      </c>
      <c r="O260" s="48">
        <f t="shared" si="113"/>
        <v>-1350000</v>
      </c>
      <c r="P260" s="48">
        <f t="shared" si="113"/>
        <v>0</v>
      </c>
      <c r="Q260" s="48">
        <f t="shared" si="113"/>
        <v>0</v>
      </c>
      <c r="R260" s="44">
        <f t="shared" si="113"/>
        <v>2700000</v>
      </c>
      <c r="S260" s="50">
        <f t="shared" si="113"/>
        <v>0</v>
      </c>
      <c r="T260" s="50">
        <f t="shared" si="113"/>
        <v>0</v>
      </c>
      <c r="U260" s="50">
        <f t="shared" si="113"/>
        <v>-1350000</v>
      </c>
      <c r="V260" s="50">
        <f t="shared" si="113"/>
        <v>0</v>
      </c>
      <c r="W260" s="50">
        <f t="shared" si="113"/>
        <v>0</v>
      </c>
      <c r="X260" s="41">
        <f t="shared" si="113"/>
        <v>0</v>
      </c>
      <c r="Y260" s="41">
        <f t="shared" si="113"/>
        <v>0</v>
      </c>
      <c r="Z260" s="41">
        <f t="shared" si="113"/>
        <v>0</v>
      </c>
      <c r="AA260" s="41">
        <f t="shared" si="113"/>
        <v>0</v>
      </c>
      <c r="AB260" s="41">
        <f t="shared" si="113"/>
        <v>0</v>
      </c>
      <c r="AC260" s="41">
        <f t="shared" si="113"/>
        <v>0</v>
      </c>
      <c r="AD260" s="41">
        <f t="shared" si="113"/>
        <v>0</v>
      </c>
      <c r="AE260" s="41">
        <f t="shared" si="113"/>
        <v>0</v>
      </c>
      <c r="AF260" s="41">
        <f t="shared" si="113"/>
        <v>0</v>
      </c>
      <c r="AG260" s="41">
        <f t="shared" si="113"/>
        <v>0</v>
      </c>
      <c r="AH260" s="41">
        <f t="shared" si="113"/>
        <v>0</v>
      </c>
      <c r="AI260" s="41">
        <f t="shared" si="113"/>
        <v>0</v>
      </c>
      <c r="AJ260" s="41">
        <f t="shared" si="113"/>
        <v>0</v>
      </c>
      <c r="AK260" s="41">
        <f t="shared" si="113"/>
        <v>0</v>
      </c>
      <c r="AL260" s="41">
        <f t="shared" si="113"/>
        <v>0</v>
      </c>
      <c r="AM260" s="42" t="s">
        <v>140</v>
      </c>
      <c r="AU260">
        <f t="shared" si="95"/>
        <v>0</v>
      </c>
      <c r="AV260">
        <f t="shared" si="96"/>
        <v>0</v>
      </c>
      <c r="AW260">
        <f t="shared" si="98"/>
        <v>0</v>
      </c>
      <c r="AX260">
        <f t="shared" si="99"/>
        <v>0</v>
      </c>
      <c r="AY260">
        <f t="shared" si="100"/>
        <v>0</v>
      </c>
      <c r="AZ260">
        <f t="shared" si="102"/>
        <v>0</v>
      </c>
      <c r="BA260">
        <f t="shared" si="103"/>
        <v>0</v>
      </c>
      <c r="BB260">
        <f t="shared" si="104"/>
        <v>0</v>
      </c>
      <c r="BC260">
        <f t="shared" si="106"/>
        <v>0</v>
      </c>
      <c r="BD260">
        <f t="shared" si="107"/>
        <v>0</v>
      </c>
      <c r="BE260">
        <f t="shared" si="108"/>
        <v>0</v>
      </c>
      <c r="BF260">
        <f t="shared" si="110"/>
        <v>0</v>
      </c>
      <c r="BG260">
        <f t="shared" si="111"/>
        <v>0</v>
      </c>
      <c r="BH260">
        <f t="shared" si="112"/>
        <v>0</v>
      </c>
      <c r="BI260">
        <f t="shared" ref="BI260:BI280" si="114">IF(AND($R300&lt;&gt;"",$R$299&lt;&gt;""),Q260,0)</f>
        <v>0</v>
      </c>
      <c r="BJ260">
        <f>IF($R300&lt;&gt;"",R260,1)</f>
        <v>2700000</v>
      </c>
      <c r="BK260">
        <f t="shared" si="74"/>
        <v>0</v>
      </c>
      <c r="BL260">
        <f t="shared" si="75"/>
        <v>0</v>
      </c>
      <c r="BM260">
        <f t="shared" si="76"/>
        <v>0</v>
      </c>
      <c r="BN260">
        <f t="shared" si="77"/>
        <v>0</v>
      </c>
      <c r="BO260">
        <f t="shared" si="78"/>
        <v>0</v>
      </c>
      <c r="BP260">
        <f t="shared" si="79"/>
        <v>0</v>
      </c>
      <c r="BQ260">
        <f t="shared" si="80"/>
        <v>0</v>
      </c>
      <c r="BR260">
        <f t="shared" si="81"/>
        <v>0</v>
      </c>
      <c r="BS260">
        <f t="shared" si="82"/>
        <v>0</v>
      </c>
      <c r="BT260">
        <f t="shared" si="83"/>
        <v>0</v>
      </c>
      <c r="BU260">
        <f t="shared" si="84"/>
        <v>0</v>
      </c>
      <c r="BV260">
        <f t="shared" si="85"/>
        <v>0</v>
      </c>
      <c r="BW260">
        <f t="shared" si="86"/>
        <v>0</v>
      </c>
      <c r="BX260">
        <f t="shared" si="87"/>
        <v>0</v>
      </c>
      <c r="BY260">
        <f t="shared" si="88"/>
        <v>0</v>
      </c>
      <c r="BZ260">
        <f t="shared" si="89"/>
        <v>0</v>
      </c>
      <c r="CA260">
        <f t="shared" si="90"/>
        <v>0</v>
      </c>
      <c r="CB260">
        <f t="shared" si="91"/>
        <v>0</v>
      </c>
      <c r="CC260">
        <f t="shared" si="92"/>
        <v>0</v>
      </c>
      <c r="CD260">
        <f t="shared" si="93"/>
        <v>0</v>
      </c>
      <c r="CE260">
        <f t="shared" si="94"/>
        <v>0</v>
      </c>
    </row>
    <row r="261" spans="2:83" ht="18" customHeight="1" x14ac:dyDescent="0.3">
      <c r="B261" s="42" t="s">
        <v>141</v>
      </c>
      <c r="C261" s="41">
        <f t="shared" si="113"/>
        <v>0</v>
      </c>
      <c r="D261" s="41">
        <f t="shared" si="113"/>
        <v>0</v>
      </c>
      <c r="E261" s="41">
        <f t="shared" si="113"/>
        <v>0</v>
      </c>
      <c r="F261" s="41">
        <f t="shared" si="113"/>
        <v>0</v>
      </c>
      <c r="G261" s="41">
        <f t="shared" si="113"/>
        <v>0</v>
      </c>
      <c r="H261" s="41">
        <f t="shared" si="113"/>
        <v>0</v>
      </c>
      <c r="I261" s="41">
        <f t="shared" si="113"/>
        <v>0</v>
      </c>
      <c r="J261" s="41">
        <f t="shared" si="113"/>
        <v>0</v>
      </c>
      <c r="K261" s="41">
        <f t="shared" si="113"/>
        <v>0</v>
      </c>
      <c r="L261" s="41">
        <f t="shared" si="113"/>
        <v>0</v>
      </c>
      <c r="M261" s="41">
        <f t="shared" si="113"/>
        <v>0</v>
      </c>
      <c r="N261" s="41">
        <f t="shared" si="113"/>
        <v>0</v>
      </c>
      <c r="O261" s="48">
        <f t="shared" si="113"/>
        <v>0</v>
      </c>
      <c r="P261" s="48">
        <f t="shared" si="113"/>
        <v>-43740</v>
      </c>
      <c r="Q261" s="48">
        <f t="shared" si="113"/>
        <v>-5467500</v>
      </c>
      <c r="R261" s="50">
        <f t="shared" si="113"/>
        <v>0</v>
      </c>
      <c r="S261" s="44">
        <f t="shared" si="113"/>
        <v>87480</v>
      </c>
      <c r="T261" s="50">
        <f t="shared" si="113"/>
        <v>0</v>
      </c>
      <c r="U261" s="50">
        <f t="shared" si="113"/>
        <v>0</v>
      </c>
      <c r="V261" s="50">
        <f t="shared" si="113"/>
        <v>-43740</v>
      </c>
      <c r="W261" s="50">
        <f t="shared" si="113"/>
        <v>5467500</v>
      </c>
      <c r="X261" s="41">
        <f t="shared" si="113"/>
        <v>0</v>
      </c>
      <c r="Y261" s="41">
        <f t="shared" si="113"/>
        <v>0</v>
      </c>
      <c r="Z261" s="41">
        <f t="shared" si="113"/>
        <v>0</v>
      </c>
      <c r="AA261" s="41">
        <f t="shared" si="113"/>
        <v>0</v>
      </c>
      <c r="AB261" s="41">
        <f t="shared" si="113"/>
        <v>0</v>
      </c>
      <c r="AC261" s="41">
        <f t="shared" si="113"/>
        <v>0</v>
      </c>
      <c r="AD261" s="41">
        <f t="shared" si="113"/>
        <v>0</v>
      </c>
      <c r="AE261" s="41">
        <f t="shared" si="113"/>
        <v>0</v>
      </c>
      <c r="AF261" s="41">
        <f t="shared" si="113"/>
        <v>0</v>
      </c>
      <c r="AG261" s="41">
        <f t="shared" si="113"/>
        <v>0</v>
      </c>
      <c r="AH261" s="41">
        <f t="shared" si="113"/>
        <v>0</v>
      </c>
      <c r="AI261" s="41">
        <f t="shared" si="113"/>
        <v>0</v>
      </c>
      <c r="AJ261" s="41">
        <f t="shared" si="113"/>
        <v>0</v>
      </c>
      <c r="AK261" s="41">
        <f t="shared" si="113"/>
        <v>0</v>
      </c>
      <c r="AL261" s="41">
        <f t="shared" si="113"/>
        <v>0</v>
      </c>
      <c r="AM261" s="42" t="s">
        <v>141</v>
      </c>
      <c r="AU261">
        <f t="shared" si="95"/>
        <v>0</v>
      </c>
      <c r="AV261">
        <f t="shared" si="96"/>
        <v>0</v>
      </c>
      <c r="AW261">
        <f t="shared" si="98"/>
        <v>0</v>
      </c>
      <c r="AX261">
        <f t="shared" si="99"/>
        <v>0</v>
      </c>
      <c r="AY261">
        <f t="shared" si="100"/>
        <v>0</v>
      </c>
      <c r="AZ261">
        <f t="shared" si="102"/>
        <v>0</v>
      </c>
      <c r="BA261">
        <f t="shared" si="103"/>
        <v>0</v>
      </c>
      <c r="BB261">
        <f t="shared" si="104"/>
        <v>0</v>
      </c>
      <c r="BC261">
        <f t="shared" si="106"/>
        <v>0</v>
      </c>
      <c r="BD261">
        <f t="shared" si="107"/>
        <v>0</v>
      </c>
      <c r="BE261">
        <f t="shared" si="108"/>
        <v>0</v>
      </c>
      <c r="BF261">
        <f t="shared" si="110"/>
        <v>0</v>
      </c>
      <c r="BG261">
        <f t="shared" si="111"/>
        <v>0</v>
      </c>
      <c r="BH261">
        <f t="shared" si="112"/>
        <v>0</v>
      </c>
      <c r="BI261">
        <f t="shared" si="114"/>
        <v>-5467500</v>
      </c>
      <c r="BJ261">
        <f t="shared" ref="BJ261:BJ280" si="115">IF(AND($R301&lt;&gt;"",$R$300&lt;&gt;""),R261,0)</f>
        <v>0</v>
      </c>
      <c r="BK261">
        <f>IF($R301&lt;&gt;"",S261,1)</f>
        <v>87480</v>
      </c>
      <c r="BL261">
        <f t="shared" si="75"/>
        <v>0</v>
      </c>
      <c r="BM261">
        <f t="shared" si="76"/>
        <v>0</v>
      </c>
      <c r="BN261">
        <f t="shared" si="77"/>
        <v>0</v>
      </c>
      <c r="BO261">
        <f t="shared" si="78"/>
        <v>5467500</v>
      </c>
      <c r="BP261">
        <f t="shared" si="79"/>
        <v>0</v>
      </c>
      <c r="BQ261">
        <f t="shared" si="80"/>
        <v>0</v>
      </c>
      <c r="BR261">
        <f t="shared" si="81"/>
        <v>0</v>
      </c>
      <c r="BS261">
        <f t="shared" si="82"/>
        <v>0</v>
      </c>
      <c r="BT261">
        <f t="shared" si="83"/>
        <v>0</v>
      </c>
      <c r="BU261">
        <f t="shared" si="84"/>
        <v>0</v>
      </c>
      <c r="BV261">
        <f t="shared" si="85"/>
        <v>0</v>
      </c>
      <c r="BW261">
        <f t="shared" si="86"/>
        <v>0</v>
      </c>
      <c r="BX261">
        <f t="shared" si="87"/>
        <v>0</v>
      </c>
      <c r="BY261">
        <f t="shared" si="88"/>
        <v>0</v>
      </c>
      <c r="BZ261">
        <f t="shared" si="89"/>
        <v>0</v>
      </c>
      <c r="CA261">
        <f t="shared" si="90"/>
        <v>0</v>
      </c>
      <c r="CB261">
        <f t="shared" si="91"/>
        <v>0</v>
      </c>
      <c r="CC261">
        <f t="shared" si="92"/>
        <v>0</v>
      </c>
      <c r="CD261">
        <f t="shared" si="93"/>
        <v>0</v>
      </c>
      <c r="CE261">
        <f t="shared" si="94"/>
        <v>0</v>
      </c>
    </row>
    <row r="262" spans="2:83" ht="18" customHeight="1" x14ac:dyDescent="0.3">
      <c r="B262" s="42" t="s">
        <v>142</v>
      </c>
      <c r="C262" s="41">
        <f t="shared" si="113"/>
        <v>0</v>
      </c>
      <c r="D262" s="41">
        <f t="shared" si="113"/>
        <v>0</v>
      </c>
      <c r="E262" s="41">
        <f t="shared" si="113"/>
        <v>0</v>
      </c>
      <c r="F262" s="41">
        <f t="shared" si="113"/>
        <v>0</v>
      </c>
      <c r="G262" s="41">
        <f t="shared" si="113"/>
        <v>0</v>
      </c>
      <c r="H262" s="41">
        <f t="shared" si="113"/>
        <v>0</v>
      </c>
      <c r="I262" s="41">
        <f t="shared" si="113"/>
        <v>0</v>
      </c>
      <c r="J262" s="41">
        <f t="shared" si="113"/>
        <v>0</v>
      </c>
      <c r="K262" s="41">
        <f t="shared" si="113"/>
        <v>0</v>
      </c>
      <c r="L262" s="41">
        <f t="shared" si="113"/>
        <v>0</v>
      </c>
      <c r="M262" s="41">
        <f t="shared" si="113"/>
        <v>0</v>
      </c>
      <c r="N262" s="41">
        <f t="shared" si="113"/>
        <v>0</v>
      </c>
      <c r="O262" s="48">
        <f t="shared" si="113"/>
        <v>0</v>
      </c>
      <c r="P262" s="48">
        <f t="shared" si="113"/>
        <v>5467500</v>
      </c>
      <c r="Q262" s="48">
        <f t="shared" si="113"/>
        <v>455625000</v>
      </c>
      <c r="R262" s="50">
        <f t="shared" si="113"/>
        <v>0</v>
      </c>
      <c r="S262" s="50">
        <f t="shared" si="113"/>
        <v>0</v>
      </c>
      <c r="T262" s="44">
        <f t="shared" si="113"/>
        <v>1822500000</v>
      </c>
      <c r="U262" s="50">
        <f t="shared" si="113"/>
        <v>0</v>
      </c>
      <c r="V262" s="50">
        <f t="shared" si="113"/>
        <v>-5467500</v>
      </c>
      <c r="W262" s="50">
        <f t="shared" si="113"/>
        <v>455625000</v>
      </c>
      <c r="X262" s="41">
        <f t="shared" si="113"/>
        <v>0</v>
      </c>
      <c r="Y262" s="41">
        <f t="shared" si="113"/>
        <v>0</v>
      </c>
      <c r="Z262" s="41">
        <f t="shared" si="113"/>
        <v>0</v>
      </c>
      <c r="AA262" s="41">
        <f t="shared" si="113"/>
        <v>0</v>
      </c>
      <c r="AB262" s="41">
        <f t="shared" si="113"/>
        <v>0</v>
      </c>
      <c r="AC262" s="41">
        <f t="shared" si="113"/>
        <v>0</v>
      </c>
      <c r="AD262" s="41">
        <f t="shared" si="113"/>
        <v>0</v>
      </c>
      <c r="AE262" s="41">
        <f t="shared" si="113"/>
        <v>0</v>
      </c>
      <c r="AF262" s="41">
        <f t="shared" si="113"/>
        <v>0</v>
      </c>
      <c r="AG262" s="41">
        <f t="shared" si="113"/>
        <v>0</v>
      </c>
      <c r="AH262" s="41">
        <f t="shared" si="113"/>
        <v>0</v>
      </c>
      <c r="AI262" s="41">
        <f t="shared" si="113"/>
        <v>0</v>
      </c>
      <c r="AJ262" s="41">
        <f t="shared" si="113"/>
        <v>0</v>
      </c>
      <c r="AK262" s="41">
        <f t="shared" si="113"/>
        <v>0</v>
      </c>
      <c r="AL262" s="41">
        <f t="shared" si="113"/>
        <v>0</v>
      </c>
      <c r="AM262" s="42" t="s">
        <v>142</v>
      </c>
      <c r="AU262">
        <f t="shared" si="95"/>
        <v>0</v>
      </c>
      <c r="AV262">
        <f t="shared" si="96"/>
        <v>0</v>
      </c>
      <c r="AW262">
        <f t="shared" si="98"/>
        <v>0</v>
      </c>
      <c r="AX262">
        <f t="shared" si="99"/>
        <v>0</v>
      </c>
      <c r="AY262">
        <f t="shared" si="100"/>
        <v>0</v>
      </c>
      <c r="AZ262">
        <f t="shared" si="102"/>
        <v>0</v>
      </c>
      <c r="BA262">
        <f t="shared" si="103"/>
        <v>0</v>
      </c>
      <c r="BB262">
        <f t="shared" si="104"/>
        <v>0</v>
      </c>
      <c r="BC262">
        <f t="shared" si="106"/>
        <v>0</v>
      </c>
      <c r="BD262">
        <f t="shared" si="107"/>
        <v>0</v>
      </c>
      <c r="BE262">
        <f t="shared" si="108"/>
        <v>0</v>
      </c>
      <c r="BF262">
        <f t="shared" si="110"/>
        <v>0</v>
      </c>
      <c r="BG262">
        <f t="shared" si="111"/>
        <v>0</v>
      </c>
      <c r="BH262">
        <f t="shared" si="112"/>
        <v>0</v>
      </c>
      <c r="BI262">
        <f t="shared" si="114"/>
        <v>455625000</v>
      </c>
      <c r="BJ262">
        <f t="shared" si="115"/>
        <v>0</v>
      </c>
      <c r="BK262">
        <f t="shared" ref="BK262:BK280" si="116">IF(AND($R302&lt;&gt;"",$R$301&lt;&gt;""),S262,0)</f>
        <v>0</v>
      </c>
      <c r="BL262">
        <f>IF($R302&lt;&gt;"",T262,1)</f>
        <v>1822500000</v>
      </c>
      <c r="BM262">
        <f t="shared" si="76"/>
        <v>0</v>
      </c>
      <c r="BN262">
        <f t="shared" si="77"/>
        <v>0</v>
      </c>
      <c r="BO262">
        <f t="shared" si="78"/>
        <v>455625000</v>
      </c>
      <c r="BP262">
        <f t="shared" si="79"/>
        <v>0</v>
      </c>
      <c r="BQ262">
        <f t="shared" si="80"/>
        <v>0</v>
      </c>
      <c r="BR262">
        <f t="shared" si="81"/>
        <v>0</v>
      </c>
      <c r="BS262">
        <f t="shared" si="82"/>
        <v>0</v>
      </c>
      <c r="BT262">
        <f t="shared" si="83"/>
        <v>0</v>
      </c>
      <c r="BU262">
        <f t="shared" si="84"/>
        <v>0</v>
      </c>
      <c r="BV262">
        <f t="shared" si="85"/>
        <v>0</v>
      </c>
      <c r="BW262">
        <f t="shared" si="86"/>
        <v>0</v>
      </c>
      <c r="BX262">
        <f t="shared" si="87"/>
        <v>0</v>
      </c>
      <c r="BY262">
        <f t="shared" si="88"/>
        <v>0</v>
      </c>
      <c r="BZ262">
        <f t="shared" si="89"/>
        <v>0</v>
      </c>
      <c r="CA262">
        <f t="shared" si="90"/>
        <v>0</v>
      </c>
      <c r="CB262">
        <f t="shared" si="91"/>
        <v>0</v>
      </c>
      <c r="CC262">
        <f t="shared" si="92"/>
        <v>0</v>
      </c>
      <c r="CD262">
        <f t="shared" si="93"/>
        <v>0</v>
      </c>
      <c r="CE262">
        <f t="shared" si="94"/>
        <v>-80000</v>
      </c>
    </row>
    <row r="263" spans="2:83" ht="18" customHeight="1" x14ac:dyDescent="0.3">
      <c r="B263" s="42" t="s">
        <v>143</v>
      </c>
      <c r="C263" s="41">
        <f t="shared" ref="C263:AL265" si="117">C152+C166</f>
        <v>0</v>
      </c>
      <c r="D263" s="41">
        <f t="shared" si="117"/>
        <v>0</v>
      </c>
      <c r="E263" s="41">
        <f t="shared" si="117"/>
        <v>0</v>
      </c>
      <c r="F263" s="41">
        <f t="shared" si="117"/>
        <v>0</v>
      </c>
      <c r="G263" s="41">
        <f t="shared" si="117"/>
        <v>0</v>
      </c>
      <c r="H263" s="41">
        <f t="shared" si="117"/>
        <v>0</v>
      </c>
      <c r="I263" s="41">
        <f t="shared" si="117"/>
        <v>0</v>
      </c>
      <c r="J263" s="41">
        <f t="shared" si="117"/>
        <v>0</v>
      </c>
      <c r="K263" s="41">
        <f t="shared" si="117"/>
        <v>0</v>
      </c>
      <c r="L263" s="41">
        <f t="shared" si="117"/>
        <v>0</v>
      </c>
      <c r="M263" s="41">
        <f t="shared" si="117"/>
        <v>0</v>
      </c>
      <c r="N263" s="41">
        <f t="shared" si="117"/>
        <v>0</v>
      </c>
      <c r="O263" s="41">
        <f t="shared" si="117"/>
        <v>0</v>
      </c>
      <c r="P263" s="41">
        <f t="shared" si="117"/>
        <v>0</v>
      </c>
      <c r="Q263" s="41">
        <f t="shared" si="117"/>
        <v>0</v>
      </c>
      <c r="R263" s="50">
        <f t="shared" si="117"/>
        <v>-1350000</v>
      </c>
      <c r="S263" s="50">
        <f t="shared" si="117"/>
        <v>0</v>
      </c>
      <c r="T263" s="50">
        <f t="shared" si="117"/>
        <v>0</v>
      </c>
      <c r="U263" s="44">
        <f t="shared" si="117"/>
        <v>1350000</v>
      </c>
      <c r="V263" s="51">
        <f t="shared" si="117"/>
        <v>0</v>
      </c>
      <c r="W263" s="51">
        <f t="shared" si="117"/>
        <v>0</v>
      </c>
      <c r="X263" s="51">
        <f t="shared" si="117"/>
        <v>0</v>
      </c>
      <c r="Y263" s="51">
        <f t="shared" si="117"/>
        <v>0</v>
      </c>
      <c r="Z263" s="51">
        <f t="shared" si="117"/>
        <v>0</v>
      </c>
      <c r="AA263" s="41">
        <f t="shared" si="117"/>
        <v>0</v>
      </c>
      <c r="AB263" s="41">
        <f t="shared" si="117"/>
        <v>0</v>
      </c>
      <c r="AC263" s="41">
        <f t="shared" si="117"/>
        <v>0</v>
      </c>
      <c r="AD263" s="41">
        <f t="shared" si="117"/>
        <v>0</v>
      </c>
      <c r="AE263" s="41">
        <f t="shared" si="117"/>
        <v>0</v>
      </c>
      <c r="AF263" s="41">
        <f t="shared" si="117"/>
        <v>0</v>
      </c>
      <c r="AG263" s="41">
        <f t="shared" si="117"/>
        <v>0</v>
      </c>
      <c r="AH263" s="41">
        <f t="shared" si="117"/>
        <v>0</v>
      </c>
      <c r="AI263" s="41">
        <f t="shared" si="117"/>
        <v>0</v>
      </c>
      <c r="AJ263" s="41">
        <f t="shared" si="117"/>
        <v>0</v>
      </c>
      <c r="AK263" s="41">
        <f t="shared" si="117"/>
        <v>0</v>
      </c>
      <c r="AL263" s="41">
        <f t="shared" si="117"/>
        <v>0</v>
      </c>
      <c r="AM263" s="42" t="s">
        <v>143</v>
      </c>
      <c r="AU263">
        <f t="shared" si="95"/>
        <v>0</v>
      </c>
      <c r="AV263">
        <f t="shared" si="96"/>
        <v>0</v>
      </c>
      <c r="AW263">
        <f t="shared" si="98"/>
        <v>0</v>
      </c>
      <c r="AX263">
        <f t="shared" si="99"/>
        <v>0</v>
      </c>
      <c r="AY263">
        <f t="shared" si="100"/>
        <v>0</v>
      </c>
      <c r="AZ263">
        <f t="shared" si="102"/>
        <v>0</v>
      </c>
      <c r="BA263">
        <f t="shared" si="103"/>
        <v>0</v>
      </c>
      <c r="BB263">
        <f t="shared" si="104"/>
        <v>0</v>
      </c>
      <c r="BC263">
        <f t="shared" si="106"/>
        <v>0</v>
      </c>
      <c r="BD263">
        <f t="shared" si="107"/>
        <v>0</v>
      </c>
      <c r="BE263">
        <f t="shared" si="108"/>
        <v>0</v>
      </c>
      <c r="BF263">
        <f t="shared" si="110"/>
        <v>0</v>
      </c>
      <c r="BG263">
        <f t="shared" si="111"/>
        <v>0</v>
      </c>
      <c r="BH263">
        <f t="shared" si="112"/>
        <v>0</v>
      </c>
      <c r="BI263">
        <f t="shared" si="114"/>
        <v>0</v>
      </c>
      <c r="BJ263">
        <f t="shared" si="115"/>
        <v>0</v>
      </c>
      <c r="BK263">
        <f t="shared" si="116"/>
        <v>0</v>
      </c>
      <c r="BL263">
        <f t="shared" ref="BL263:BL280" si="118">IF(AND($R303&lt;&gt;"",$R$302&lt;&gt;""),T263,0)</f>
        <v>0</v>
      </c>
      <c r="BM263">
        <f>IF($R303&lt;&gt;"",U263,1)</f>
        <v>1</v>
      </c>
      <c r="BN263">
        <f t="shared" si="77"/>
        <v>0</v>
      </c>
      <c r="BO263">
        <f t="shared" si="78"/>
        <v>0</v>
      </c>
      <c r="BP263">
        <f t="shared" si="79"/>
        <v>0</v>
      </c>
      <c r="BQ263">
        <f t="shared" si="80"/>
        <v>0</v>
      </c>
      <c r="BR263">
        <f t="shared" si="81"/>
        <v>0</v>
      </c>
      <c r="BS263">
        <f t="shared" si="82"/>
        <v>0</v>
      </c>
      <c r="BT263">
        <f t="shared" si="83"/>
        <v>0</v>
      </c>
      <c r="BU263">
        <f t="shared" si="84"/>
        <v>0</v>
      </c>
      <c r="BV263">
        <f t="shared" si="85"/>
        <v>0</v>
      </c>
      <c r="BW263">
        <f t="shared" si="86"/>
        <v>0</v>
      </c>
      <c r="BX263">
        <f t="shared" si="87"/>
        <v>0</v>
      </c>
      <c r="BY263">
        <f t="shared" si="88"/>
        <v>0</v>
      </c>
      <c r="BZ263">
        <f t="shared" si="89"/>
        <v>0</v>
      </c>
      <c r="CA263">
        <f t="shared" si="90"/>
        <v>0</v>
      </c>
      <c r="CB263">
        <f t="shared" si="91"/>
        <v>0</v>
      </c>
      <c r="CC263">
        <f t="shared" si="92"/>
        <v>0</v>
      </c>
      <c r="CD263">
        <f t="shared" si="93"/>
        <v>0</v>
      </c>
      <c r="CE263">
        <f t="shared" si="94"/>
        <v>0</v>
      </c>
    </row>
    <row r="264" spans="2:83" ht="18" customHeight="1" x14ac:dyDescent="0.3">
      <c r="B264" s="42" t="s">
        <v>144</v>
      </c>
      <c r="C264" s="41">
        <f t="shared" si="117"/>
        <v>0</v>
      </c>
      <c r="D264" s="41">
        <f t="shared" si="117"/>
        <v>0</v>
      </c>
      <c r="E264" s="41">
        <f t="shared" si="117"/>
        <v>0</v>
      </c>
      <c r="F264" s="41">
        <f t="shared" si="117"/>
        <v>0</v>
      </c>
      <c r="G264" s="41">
        <f t="shared" si="117"/>
        <v>0</v>
      </c>
      <c r="H264" s="41">
        <f t="shared" si="117"/>
        <v>0</v>
      </c>
      <c r="I264" s="41">
        <f t="shared" si="117"/>
        <v>0</v>
      </c>
      <c r="J264" s="41">
        <f t="shared" si="117"/>
        <v>0</v>
      </c>
      <c r="K264" s="41">
        <f t="shared" si="117"/>
        <v>0</v>
      </c>
      <c r="L264" s="41">
        <f t="shared" si="117"/>
        <v>0</v>
      </c>
      <c r="M264" s="41">
        <f t="shared" si="117"/>
        <v>0</v>
      </c>
      <c r="N264" s="41">
        <f t="shared" si="117"/>
        <v>0</v>
      </c>
      <c r="O264" s="41">
        <f t="shared" si="117"/>
        <v>0</v>
      </c>
      <c r="P264" s="41">
        <f t="shared" si="117"/>
        <v>0</v>
      </c>
      <c r="Q264" s="41">
        <f t="shared" si="117"/>
        <v>0</v>
      </c>
      <c r="R264" s="50">
        <f t="shared" si="117"/>
        <v>0</v>
      </c>
      <c r="S264" s="50">
        <f t="shared" si="117"/>
        <v>-43740</v>
      </c>
      <c r="T264" s="50">
        <f t="shared" si="117"/>
        <v>-5467500</v>
      </c>
      <c r="U264" s="51">
        <f t="shared" si="117"/>
        <v>0</v>
      </c>
      <c r="V264" s="44">
        <f t="shared" si="117"/>
        <v>43740</v>
      </c>
      <c r="W264" s="51">
        <f t="shared" si="117"/>
        <v>-5467500</v>
      </c>
      <c r="X264" s="51">
        <f t="shared" si="117"/>
        <v>0</v>
      </c>
      <c r="Y264" s="51">
        <f t="shared" si="117"/>
        <v>0</v>
      </c>
      <c r="Z264" s="51">
        <f t="shared" si="117"/>
        <v>0</v>
      </c>
      <c r="AA264" s="41">
        <f t="shared" si="117"/>
        <v>0</v>
      </c>
      <c r="AB264" s="41">
        <f t="shared" si="117"/>
        <v>0</v>
      </c>
      <c r="AC264" s="41">
        <f t="shared" si="117"/>
        <v>0</v>
      </c>
      <c r="AD264" s="41">
        <f t="shared" si="117"/>
        <v>0</v>
      </c>
      <c r="AE264" s="41">
        <f t="shared" si="117"/>
        <v>0</v>
      </c>
      <c r="AF264" s="41">
        <f t="shared" si="117"/>
        <v>0</v>
      </c>
      <c r="AG264" s="41">
        <f t="shared" si="117"/>
        <v>0</v>
      </c>
      <c r="AH264" s="41">
        <f t="shared" si="117"/>
        <v>0</v>
      </c>
      <c r="AI264" s="41">
        <f t="shared" si="117"/>
        <v>0</v>
      </c>
      <c r="AJ264" s="41">
        <f t="shared" si="117"/>
        <v>0</v>
      </c>
      <c r="AK264" s="41">
        <f t="shared" si="117"/>
        <v>0</v>
      </c>
      <c r="AL264" s="41">
        <f t="shared" si="117"/>
        <v>0</v>
      </c>
      <c r="AM264" s="42" t="s">
        <v>144</v>
      </c>
      <c r="AU264">
        <f t="shared" si="95"/>
        <v>0</v>
      </c>
      <c r="AV264">
        <f t="shared" si="96"/>
        <v>0</v>
      </c>
      <c r="AW264">
        <f t="shared" si="98"/>
        <v>0</v>
      </c>
      <c r="AX264">
        <f t="shared" si="99"/>
        <v>0</v>
      </c>
      <c r="AY264">
        <f t="shared" si="100"/>
        <v>0</v>
      </c>
      <c r="AZ264">
        <f t="shared" si="102"/>
        <v>0</v>
      </c>
      <c r="BA264">
        <f t="shared" si="103"/>
        <v>0</v>
      </c>
      <c r="BB264">
        <f t="shared" si="104"/>
        <v>0</v>
      </c>
      <c r="BC264">
        <f t="shared" si="106"/>
        <v>0</v>
      </c>
      <c r="BD264">
        <f t="shared" si="107"/>
        <v>0</v>
      </c>
      <c r="BE264">
        <f t="shared" si="108"/>
        <v>0</v>
      </c>
      <c r="BF264">
        <f t="shared" si="110"/>
        <v>0</v>
      </c>
      <c r="BG264">
        <f t="shared" si="111"/>
        <v>0</v>
      </c>
      <c r="BH264">
        <f t="shared" si="112"/>
        <v>0</v>
      </c>
      <c r="BI264">
        <f t="shared" si="114"/>
        <v>0</v>
      </c>
      <c r="BJ264">
        <f t="shared" si="115"/>
        <v>0</v>
      </c>
      <c r="BK264">
        <f t="shared" si="116"/>
        <v>0</v>
      </c>
      <c r="BL264">
        <f t="shared" si="118"/>
        <v>0</v>
      </c>
      <c r="BM264">
        <f t="shared" ref="BM264:BM280" si="119">IF(AND($R304&lt;&gt;"",$R$303&lt;&gt;""),U264,0)</f>
        <v>0</v>
      </c>
      <c r="BN264">
        <f>IF($R304&lt;&gt;"",V264,1)</f>
        <v>1</v>
      </c>
      <c r="BO264">
        <f t="shared" si="78"/>
        <v>0</v>
      </c>
      <c r="BP264">
        <f t="shared" si="79"/>
        <v>0</v>
      </c>
      <c r="BQ264">
        <f t="shared" si="80"/>
        <v>0</v>
      </c>
      <c r="BR264">
        <f t="shared" si="81"/>
        <v>0</v>
      </c>
      <c r="BS264">
        <f t="shared" si="82"/>
        <v>0</v>
      </c>
      <c r="BT264">
        <f t="shared" si="83"/>
        <v>0</v>
      </c>
      <c r="BU264">
        <f t="shared" si="84"/>
        <v>0</v>
      </c>
      <c r="BV264">
        <f t="shared" si="85"/>
        <v>0</v>
      </c>
      <c r="BW264">
        <f t="shared" si="86"/>
        <v>0</v>
      </c>
      <c r="BX264">
        <f t="shared" si="87"/>
        <v>0</v>
      </c>
      <c r="BY264">
        <f t="shared" si="88"/>
        <v>0</v>
      </c>
      <c r="BZ264">
        <f t="shared" si="89"/>
        <v>0</v>
      </c>
      <c r="CA264">
        <f t="shared" si="90"/>
        <v>0</v>
      </c>
      <c r="CB264">
        <f t="shared" si="91"/>
        <v>0</v>
      </c>
      <c r="CC264">
        <f t="shared" si="92"/>
        <v>0</v>
      </c>
      <c r="CD264">
        <f t="shared" si="93"/>
        <v>0</v>
      </c>
      <c r="CE264">
        <f t="shared" si="94"/>
        <v>0</v>
      </c>
    </row>
    <row r="265" spans="2:83" ht="18" customHeight="1" x14ac:dyDescent="0.3">
      <c r="B265" s="42" t="s">
        <v>145</v>
      </c>
      <c r="C265" s="41">
        <f t="shared" si="117"/>
        <v>0</v>
      </c>
      <c r="D265" s="41">
        <f t="shared" si="117"/>
        <v>0</v>
      </c>
      <c r="E265" s="41">
        <f t="shared" si="117"/>
        <v>0</v>
      </c>
      <c r="F265" s="41">
        <f t="shared" si="117"/>
        <v>0</v>
      </c>
      <c r="G265" s="41">
        <f t="shared" si="117"/>
        <v>0</v>
      </c>
      <c r="H265" s="41">
        <f t="shared" si="117"/>
        <v>0</v>
      </c>
      <c r="I265" s="41">
        <f t="shared" si="117"/>
        <v>0</v>
      </c>
      <c r="J265" s="41">
        <f t="shared" si="117"/>
        <v>0</v>
      </c>
      <c r="K265" s="41">
        <f t="shared" si="117"/>
        <v>0</v>
      </c>
      <c r="L265" s="41">
        <f t="shared" si="117"/>
        <v>0</v>
      </c>
      <c r="M265" s="41">
        <f t="shared" si="117"/>
        <v>0</v>
      </c>
      <c r="N265" s="41">
        <f t="shared" si="117"/>
        <v>0</v>
      </c>
      <c r="O265" s="41">
        <f t="shared" si="117"/>
        <v>0</v>
      </c>
      <c r="P265" s="41">
        <f t="shared" si="117"/>
        <v>0</v>
      </c>
      <c r="Q265" s="41">
        <f t="shared" si="117"/>
        <v>0</v>
      </c>
      <c r="R265" s="50">
        <f t="shared" si="117"/>
        <v>0</v>
      </c>
      <c r="S265" s="50">
        <f t="shared" si="117"/>
        <v>5467500</v>
      </c>
      <c r="T265" s="50">
        <f t="shared" si="117"/>
        <v>455625000</v>
      </c>
      <c r="U265" s="51">
        <f t="shared" si="117"/>
        <v>0</v>
      </c>
      <c r="V265" s="51">
        <f t="shared" si="117"/>
        <v>-5467500</v>
      </c>
      <c r="W265" s="44">
        <f t="shared" si="117"/>
        <v>911250000</v>
      </c>
      <c r="X265" s="51">
        <f t="shared" si="117"/>
        <v>0</v>
      </c>
      <c r="Y265" s="51">
        <f t="shared" si="117"/>
        <v>0</v>
      </c>
      <c r="Z265" s="51">
        <f t="shared" si="117"/>
        <v>0</v>
      </c>
      <c r="AA265" s="41">
        <f t="shared" si="117"/>
        <v>0</v>
      </c>
      <c r="AB265" s="41">
        <f t="shared" si="117"/>
        <v>0</v>
      </c>
      <c r="AC265" s="41">
        <f t="shared" si="117"/>
        <v>0</v>
      </c>
      <c r="AD265" s="41">
        <f t="shared" si="117"/>
        <v>0</v>
      </c>
      <c r="AE265" s="41">
        <f t="shared" si="117"/>
        <v>0</v>
      </c>
      <c r="AF265" s="41">
        <f t="shared" si="117"/>
        <v>0</v>
      </c>
      <c r="AG265" s="41">
        <f t="shared" si="117"/>
        <v>0</v>
      </c>
      <c r="AH265" s="41">
        <f t="shared" si="117"/>
        <v>0</v>
      </c>
      <c r="AI265" s="41">
        <f t="shared" si="117"/>
        <v>0</v>
      </c>
      <c r="AJ265" s="41">
        <f t="shared" si="117"/>
        <v>0</v>
      </c>
      <c r="AK265" s="41">
        <f t="shared" si="117"/>
        <v>0</v>
      </c>
      <c r="AL265" s="41">
        <f t="shared" si="117"/>
        <v>0</v>
      </c>
      <c r="AM265" s="42" t="s">
        <v>145</v>
      </c>
      <c r="AU265">
        <f t="shared" si="95"/>
        <v>0</v>
      </c>
      <c r="AV265">
        <f t="shared" si="96"/>
        <v>0</v>
      </c>
      <c r="AW265">
        <f t="shared" si="98"/>
        <v>0</v>
      </c>
      <c r="AX265">
        <f t="shared" si="99"/>
        <v>0</v>
      </c>
      <c r="AY265">
        <f t="shared" si="100"/>
        <v>0</v>
      </c>
      <c r="AZ265">
        <f t="shared" si="102"/>
        <v>0</v>
      </c>
      <c r="BA265">
        <f t="shared" si="103"/>
        <v>0</v>
      </c>
      <c r="BB265">
        <f t="shared" si="104"/>
        <v>0</v>
      </c>
      <c r="BC265">
        <f t="shared" si="106"/>
        <v>0</v>
      </c>
      <c r="BD265">
        <f t="shared" si="107"/>
        <v>0</v>
      </c>
      <c r="BE265">
        <f t="shared" si="108"/>
        <v>0</v>
      </c>
      <c r="BF265">
        <f t="shared" si="110"/>
        <v>0</v>
      </c>
      <c r="BG265">
        <f t="shared" si="111"/>
        <v>0</v>
      </c>
      <c r="BH265">
        <f t="shared" si="112"/>
        <v>0</v>
      </c>
      <c r="BI265">
        <f t="shared" si="114"/>
        <v>0</v>
      </c>
      <c r="BJ265">
        <f t="shared" si="115"/>
        <v>0</v>
      </c>
      <c r="BK265">
        <f t="shared" si="116"/>
        <v>5467500</v>
      </c>
      <c r="BL265">
        <f t="shared" si="118"/>
        <v>455625000</v>
      </c>
      <c r="BM265">
        <f t="shared" si="119"/>
        <v>0</v>
      </c>
      <c r="BN265">
        <f t="shared" ref="BN265:BN280" si="120">IF(AND($R305&lt;&gt;"",$R$304&lt;&gt;""),V265,0)</f>
        <v>0</v>
      </c>
      <c r="BO265">
        <f>IF($R305&lt;&gt;"",W265,1)</f>
        <v>911250000</v>
      </c>
      <c r="BP265">
        <f t="shared" si="79"/>
        <v>0</v>
      </c>
      <c r="BQ265">
        <f t="shared" si="80"/>
        <v>0</v>
      </c>
      <c r="BR265">
        <f t="shared" si="81"/>
        <v>0</v>
      </c>
      <c r="BS265">
        <f t="shared" si="82"/>
        <v>0</v>
      </c>
      <c r="BT265">
        <f t="shared" si="83"/>
        <v>0</v>
      </c>
      <c r="BU265">
        <f t="shared" si="84"/>
        <v>0</v>
      </c>
      <c r="BV265">
        <f t="shared" si="85"/>
        <v>0</v>
      </c>
      <c r="BW265">
        <f t="shared" si="86"/>
        <v>0</v>
      </c>
      <c r="BX265">
        <f t="shared" si="87"/>
        <v>0</v>
      </c>
      <c r="BY265">
        <f t="shared" si="88"/>
        <v>0</v>
      </c>
      <c r="BZ265">
        <f t="shared" si="89"/>
        <v>0</v>
      </c>
      <c r="CA265">
        <f t="shared" si="90"/>
        <v>0</v>
      </c>
      <c r="CB265">
        <f t="shared" si="91"/>
        <v>0</v>
      </c>
      <c r="CC265">
        <f t="shared" si="92"/>
        <v>0</v>
      </c>
      <c r="CD265">
        <f t="shared" si="93"/>
        <v>0</v>
      </c>
      <c r="CE265">
        <f t="shared" si="94"/>
        <v>0</v>
      </c>
    </row>
    <row r="266" spans="2:83" ht="18" customHeight="1" x14ac:dyDescent="0.3">
      <c r="B266" s="42" t="s">
        <v>146</v>
      </c>
      <c r="C266" s="41">
        <f t="shared" ref="C266:AL268" si="121">C169+C183</f>
        <v>0</v>
      </c>
      <c r="D266" s="41">
        <f t="shared" si="121"/>
        <v>0</v>
      </c>
      <c r="E266" s="41">
        <f t="shared" si="121"/>
        <v>0</v>
      </c>
      <c r="F266" s="41">
        <f t="shared" si="121"/>
        <v>0</v>
      </c>
      <c r="G266" s="41">
        <f t="shared" si="121"/>
        <v>0</v>
      </c>
      <c r="H266" s="41">
        <f t="shared" si="121"/>
        <v>0</v>
      </c>
      <c r="I266" s="41">
        <f t="shared" si="121"/>
        <v>0</v>
      </c>
      <c r="J266" s="41">
        <f t="shared" si="121"/>
        <v>0</v>
      </c>
      <c r="K266" s="41">
        <f t="shared" si="121"/>
        <v>0</v>
      </c>
      <c r="L266" s="41">
        <f t="shared" si="121"/>
        <v>0</v>
      </c>
      <c r="M266" s="41">
        <f t="shared" si="121"/>
        <v>0</v>
      </c>
      <c r="N266" s="41">
        <f t="shared" si="121"/>
        <v>0</v>
      </c>
      <c r="O266" s="41">
        <f t="shared" si="121"/>
        <v>0</v>
      </c>
      <c r="P266" s="41">
        <f t="shared" si="121"/>
        <v>0</v>
      </c>
      <c r="Q266" s="41">
        <f t="shared" si="121"/>
        <v>0</v>
      </c>
      <c r="R266" s="41">
        <f t="shared" si="121"/>
        <v>0</v>
      </c>
      <c r="S266" s="41">
        <f t="shared" si="121"/>
        <v>0</v>
      </c>
      <c r="T266" s="41">
        <f t="shared" si="121"/>
        <v>0</v>
      </c>
      <c r="U266" s="51">
        <f t="shared" si="121"/>
        <v>0</v>
      </c>
      <c r="V266" s="51">
        <f t="shared" si="121"/>
        <v>0</v>
      </c>
      <c r="W266" s="51">
        <f t="shared" si="121"/>
        <v>0</v>
      </c>
      <c r="X266" s="44">
        <f t="shared" si="121"/>
        <v>0</v>
      </c>
      <c r="Y266" s="53">
        <f t="shared" si="121"/>
        <v>0</v>
      </c>
      <c r="Z266" s="53">
        <f t="shared" si="121"/>
        <v>0</v>
      </c>
      <c r="AA266" s="53">
        <f t="shared" si="121"/>
        <v>0</v>
      </c>
      <c r="AB266" s="53">
        <f t="shared" si="121"/>
        <v>0</v>
      </c>
      <c r="AC266" s="53">
        <f t="shared" si="121"/>
        <v>0</v>
      </c>
      <c r="AD266" s="41">
        <f t="shared" si="121"/>
        <v>0</v>
      </c>
      <c r="AE266" s="41">
        <f t="shared" si="121"/>
        <v>0</v>
      </c>
      <c r="AF266" s="41">
        <f t="shared" si="121"/>
        <v>0</v>
      </c>
      <c r="AG266" s="41">
        <f t="shared" si="121"/>
        <v>0</v>
      </c>
      <c r="AH266" s="41">
        <f t="shared" si="121"/>
        <v>0</v>
      </c>
      <c r="AI266" s="41">
        <f t="shared" si="121"/>
        <v>0</v>
      </c>
      <c r="AJ266" s="41">
        <f t="shared" si="121"/>
        <v>0</v>
      </c>
      <c r="AK266" s="41">
        <f t="shared" si="121"/>
        <v>0</v>
      </c>
      <c r="AL266" s="41">
        <f t="shared" si="121"/>
        <v>0</v>
      </c>
      <c r="AM266" s="42" t="s">
        <v>146</v>
      </c>
      <c r="AU266">
        <f t="shared" si="95"/>
        <v>0</v>
      </c>
      <c r="AV266">
        <f t="shared" si="96"/>
        <v>0</v>
      </c>
      <c r="AW266">
        <f t="shared" si="98"/>
        <v>0</v>
      </c>
      <c r="AX266">
        <f t="shared" si="99"/>
        <v>0</v>
      </c>
      <c r="AY266">
        <f t="shared" si="100"/>
        <v>0</v>
      </c>
      <c r="AZ266">
        <f t="shared" si="102"/>
        <v>0</v>
      </c>
      <c r="BA266">
        <f t="shared" si="103"/>
        <v>0</v>
      </c>
      <c r="BB266">
        <f t="shared" si="104"/>
        <v>0</v>
      </c>
      <c r="BC266">
        <f t="shared" si="106"/>
        <v>0</v>
      </c>
      <c r="BD266">
        <f t="shared" si="107"/>
        <v>0</v>
      </c>
      <c r="BE266">
        <f t="shared" si="108"/>
        <v>0</v>
      </c>
      <c r="BF266">
        <f t="shared" si="110"/>
        <v>0</v>
      </c>
      <c r="BG266">
        <f t="shared" si="111"/>
        <v>0</v>
      </c>
      <c r="BH266">
        <f t="shared" si="112"/>
        <v>0</v>
      </c>
      <c r="BI266">
        <f t="shared" si="114"/>
        <v>0</v>
      </c>
      <c r="BJ266">
        <f t="shared" si="115"/>
        <v>0</v>
      </c>
      <c r="BK266">
        <f t="shared" si="116"/>
        <v>0</v>
      </c>
      <c r="BL266">
        <f t="shared" si="118"/>
        <v>0</v>
      </c>
      <c r="BM266">
        <f t="shared" si="119"/>
        <v>0</v>
      </c>
      <c r="BN266">
        <f t="shared" si="120"/>
        <v>0</v>
      </c>
      <c r="BO266">
        <f t="shared" ref="BO266:BO280" si="122">IF(AND($R306&lt;&gt;"",$R$305&lt;&gt;""),W266,0)</f>
        <v>0</v>
      </c>
      <c r="BP266">
        <f>IF($R306&lt;&gt;"",X266,1)</f>
        <v>1</v>
      </c>
      <c r="BQ266">
        <f t="shared" si="80"/>
        <v>0</v>
      </c>
      <c r="BR266">
        <f t="shared" si="81"/>
        <v>0</v>
      </c>
      <c r="BS266">
        <f t="shared" si="82"/>
        <v>0</v>
      </c>
      <c r="BT266">
        <f t="shared" si="83"/>
        <v>0</v>
      </c>
      <c r="BU266">
        <f t="shared" si="84"/>
        <v>0</v>
      </c>
      <c r="BV266">
        <f t="shared" si="85"/>
        <v>0</v>
      </c>
      <c r="BW266">
        <f t="shared" si="86"/>
        <v>0</v>
      </c>
      <c r="BX266">
        <f t="shared" si="87"/>
        <v>0</v>
      </c>
      <c r="BY266">
        <f t="shared" si="88"/>
        <v>0</v>
      </c>
      <c r="BZ266">
        <f t="shared" si="89"/>
        <v>0</v>
      </c>
      <c r="CA266">
        <f t="shared" si="90"/>
        <v>0</v>
      </c>
      <c r="CB266">
        <f t="shared" si="91"/>
        <v>0</v>
      </c>
      <c r="CC266">
        <f t="shared" si="92"/>
        <v>0</v>
      </c>
      <c r="CD266">
        <f t="shared" si="93"/>
        <v>0</v>
      </c>
      <c r="CE266">
        <f t="shared" si="94"/>
        <v>0</v>
      </c>
    </row>
    <row r="267" spans="2:83" ht="18" customHeight="1" x14ac:dyDescent="0.3">
      <c r="B267" s="42" t="s">
        <v>147</v>
      </c>
      <c r="C267" s="41">
        <f t="shared" si="121"/>
        <v>0</v>
      </c>
      <c r="D267" s="41">
        <f t="shared" si="121"/>
        <v>0</v>
      </c>
      <c r="E267" s="41">
        <f t="shared" si="121"/>
        <v>0</v>
      </c>
      <c r="F267" s="41">
        <f t="shared" si="121"/>
        <v>0</v>
      </c>
      <c r="G267" s="41">
        <f t="shared" si="121"/>
        <v>0</v>
      </c>
      <c r="H267" s="41">
        <f t="shared" si="121"/>
        <v>0</v>
      </c>
      <c r="I267" s="41">
        <f t="shared" si="121"/>
        <v>0</v>
      </c>
      <c r="J267" s="41">
        <f t="shared" si="121"/>
        <v>0</v>
      </c>
      <c r="K267" s="41">
        <f t="shared" si="121"/>
        <v>0</v>
      </c>
      <c r="L267" s="41">
        <f t="shared" si="121"/>
        <v>0</v>
      </c>
      <c r="M267" s="41">
        <f t="shared" si="121"/>
        <v>0</v>
      </c>
      <c r="N267" s="41">
        <f t="shared" si="121"/>
        <v>0</v>
      </c>
      <c r="O267" s="41">
        <f t="shared" si="121"/>
        <v>0</v>
      </c>
      <c r="P267" s="41">
        <f t="shared" si="121"/>
        <v>0</v>
      </c>
      <c r="Q267" s="41">
        <f t="shared" si="121"/>
        <v>0</v>
      </c>
      <c r="R267" s="41">
        <f t="shared" si="121"/>
        <v>0</v>
      </c>
      <c r="S267" s="41">
        <f t="shared" si="121"/>
        <v>0</v>
      </c>
      <c r="T267" s="41">
        <f t="shared" si="121"/>
        <v>0</v>
      </c>
      <c r="U267" s="51">
        <f t="shared" si="121"/>
        <v>0</v>
      </c>
      <c r="V267" s="51">
        <f t="shared" si="121"/>
        <v>0</v>
      </c>
      <c r="W267" s="51">
        <f t="shared" si="121"/>
        <v>0</v>
      </c>
      <c r="X267" s="53">
        <f t="shared" si="121"/>
        <v>0</v>
      </c>
      <c r="Y267" s="44">
        <f t="shared" si="121"/>
        <v>0</v>
      </c>
      <c r="Z267" s="53">
        <f t="shared" si="121"/>
        <v>0</v>
      </c>
      <c r="AA267" s="53">
        <f t="shared" si="121"/>
        <v>0</v>
      </c>
      <c r="AB267" s="53">
        <f t="shared" si="121"/>
        <v>0</v>
      </c>
      <c r="AC267" s="53">
        <f t="shared" si="121"/>
        <v>0</v>
      </c>
      <c r="AD267" s="41">
        <f t="shared" si="121"/>
        <v>0</v>
      </c>
      <c r="AE267" s="41">
        <f t="shared" si="121"/>
        <v>0</v>
      </c>
      <c r="AF267" s="41">
        <f t="shared" si="121"/>
        <v>0</v>
      </c>
      <c r="AG267" s="41">
        <f t="shared" si="121"/>
        <v>0</v>
      </c>
      <c r="AH267" s="41">
        <f t="shared" si="121"/>
        <v>0</v>
      </c>
      <c r="AI267" s="41">
        <f t="shared" si="121"/>
        <v>0</v>
      </c>
      <c r="AJ267" s="41">
        <f t="shared" si="121"/>
        <v>0</v>
      </c>
      <c r="AK267" s="41">
        <f t="shared" si="121"/>
        <v>0</v>
      </c>
      <c r="AL267" s="41">
        <f t="shared" si="121"/>
        <v>0</v>
      </c>
      <c r="AM267" s="42" t="s">
        <v>147</v>
      </c>
      <c r="AU267">
        <f t="shared" si="95"/>
        <v>0</v>
      </c>
      <c r="AV267">
        <f t="shared" si="96"/>
        <v>0</v>
      </c>
      <c r="AW267">
        <f t="shared" si="98"/>
        <v>0</v>
      </c>
      <c r="AX267">
        <f t="shared" si="99"/>
        <v>0</v>
      </c>
      <c r="AY267">
        <f t="shared" si="100"/>
        <v>0</v>
      </c>
      <c r="AZ267">
        <f t="shared" si="102"/>
        <v>0</v>
      </c>
      <c r="BA267">
        <f t="shared" si="103"/>
        <v>0</v>
      </c>
      <c r="BB267">
        <f t="shared" si="104"/>
        <v>0</v>
      </c>
      <c r="BC267">
        <f t="shared" si="106"/>
        <v>0</v>
      </c>
      <c r="BD267">
        <f t="shared" si="107"/>
        <v>0</v>
      </c>
      <c r="BE267">
        <f t="shared" si="108"/>
        <v>0</v>
      </c>
      <c r="BF267">
        <f t="shared" si="110"/>
        <v>0</v>
      </c>
      <c r="BG267">
        <f t="shared" si="111"/>
        <v>0</v>
      </c>
      <c r="BH267">
        <f t="shared" si="112"/>
        <v>0</v>
      </c>
      <c r="BI267">
        <f t="shared" si="114"/>
        <v>0</v>
      </c>
      <c r="BJ267">
        <f t="shared" si="115"/>
        <v>0</v>
      </c>
      <c r="BK267">
        <f t="shared" si="116"/>
        <v>0</v>
      </c>
      <c r="BL267">
        <f t="shared" si="118"/>
        <v>0</v>
      </c>
      <c r="BM267">
        <f t="shared" si="119"/>
        <v>0</v>
      </c>
      <c r="BN267">
        <f t="shared" si="120"/>
        <v>0</v>
      </c>
      <c r="BO267">
        <f t="shared" si="122"/>
        <v>0</v>
      </c>
      <c r="BP267">
        <f t="shared" ref="BP267:BP280" si="123">IF(AND($R307&lt;&gt;"",$R$306&lt;&gt;""),X267,0)</f>
        <v>0</v>
      </c>
      <c r="BQ267">
        <f>IF($R307&lt;&gt;"",Y267,1)</f>
        <v>1</v>
      </c>
      <c r="BR267">
        <f t="shared" si="81"/>
        <v>0</v>
      </c>
      <c r="BS267">
        <f t="shared" si="82"/>
        <v>0</v>
      </c>
      <c r="BT267">
        <f t="shared" si="83"/>
        <v>0</v>
      </c>
      <c r="BU267">
        <f t="shared" si="84"/>
        <v>0</v>
      </c>
      <c r="BV267">
        <f t="shared" si="85"/>
        <v>0</v>
      </c>
      <c r="BW267">
        <f t="shared" si="86"/>
        <v>0</v>
      </c>
      <c r="BX267">
        <f t="shared" si="87"/>
        <v>0</v>
      </c>
      <c r="BY267">
        <f t="shared" si="88"/>
        <v>0</v>
      </c>
      <c r="BZ267">
        <f t="shared" si="89"/>
        <v>0</v>
      </c>
      <c r="CA267">
        <f t="shared" si="90"/>
        <v>0</v>
      </c>
      <c r="CB267">
        <f t="shared" si="91"/>
        <v>0</v>
      </c>
      <c r="CC267">
        <f t="shared" si="92"/>
        <v>0</v>
      </c>
      <c r="CD267">
        <f t="shared" si="93"/>
        <v>0</v>
      </c>
      <c r="CE267">
        <f t="shared" si="94"/>
        <v>0</v>
      </c>
    </row>
    <row r="268" spans="2:83" ht="18" customHeight="1" x14ac:dyDescent="0.3">
      <c r="B268" s="42" t="s">
        <v>148</v>
      </c>
      <c r="C268" s="41">
        <f t="shared" si="121"/>
        <v>0</v>
      </c>
      <c r="D268" s="41">
        <f t="shared" si="121"/>
        <v>0</v>
      </c>
      <c r="E268" s="41">
        <f t="shared" si="121"/>
        <v>0</v>
      </c>
      <c r="F268" s="41">
        <f t="shared" si="121"/>
        <v>0</v>
      </c>
      <c r="G268" s="41">
        <f t="shared" si="121"/>
        <v>0</v>
      </c>
      <c r="H268" s="41">
        <f t="shared" si="121"/>
        <v>0</v>
      </c>
      <c r="I268" s="41">
        <f t="shared" si="121"/>
        <v>0</v>
      </c>
      <c r="J268" s="41">
        <f t="shared" si="121"/>
        <v>0</v>
      </c>
      <c r="K268" s="41">
        <f t="shared" si="121"/>
        <v>0</v>
      </c>
      <c r="L268" s="41">
        <f t="shared" si="121"/>
        <v>0</v>
      </c>
      <c r="M268" s="41">
        <f t="shared" si="121"/>
        <v>0</v>
      </c>
      <c r="N268" s="41">
        <f t="shared" si="121"/>
        <v>0</v>
      </c>
      <c r="O268" s="41">
        <f t="shared" si="121"/>
        <v>0</v>
      </c>
      <c r="P268" s="41">
        <f t="shared" si="121"/>
        <v>0</v>
      </c>
      <c r="Q268" s="41">
        <f t="shared" si="121"/>
        <v>0</v>
      </c>
      <c r="R268" s="41">
        <f t="shared" si="121"/>
        <v>0</v>
      </c>
      <c r="S268" s="41">
        <f t="shared" si="121"/>
        <v>0</v>
      </c>
      <c r="T268" s="41">
        <f t="shared" si="121"/>
        <v>0</v>
      </c>
      <c r="U268" s="51">
        <f t="shared" si="121"/>
        <v>0</v>
      </c>
      <c r="V268" s="51">
        <f t="shared" si="121"/>
        <v>0</v>
      </c>
      <c r="W268" s="51">
        <f t="shared" si="121"/>
        <v>0</v>
      </c>
      <c r="X268" s="53">
        <f t="shared" si="121"/>
        <v>0</v>
      </c>
      <c r="Y268" s="53">
        <f t="shared" si="121"/>
        <v>0</v>
      </c>
      <c r="Z268" s="44">
        <f t="shared" si="121"/>
        <v>0</v>
      </c>
      <c r="AA268" s="53">
        <f t="shared" si="121"/>
        <v>0</v>
      </c>
      <c r="AB268" s="53">
        <f t="shared" si="121"/>
        <v>0</v>
      </c>
      <c r="AC268" s="53">
        <f t="shared" si="121"/>
        <v>0</v>
      </c>
      <c r="AD268" s="41">
        <f t="shared" si="121"/>
        <v>0</v>
      </c>
      <c r="AE268" s="41">
        <f t="shared" si="121"/>
        <v>0</v>
      </c>
      <c r="AF268" s="41">
        <f t="shared" si="121"/>
        <v>0</v>
      </c>
      <c r="AG268" s="41">
        <f t="shared" si="121"/>
        <v>0</v>
      </c>
      <c r="AH268" s="41">
        <f t="shared" si="121"/>
        <v>0</v>
      </c>
      <c r="AI268" s="41">
        <f t="shared" si="121"/>
        <v>0</v>
      </c>
      <c r="AJ268" s="41">
        <f t="shared" si="121"/>
        <v>0</v>
      </c>
      <c r="AK268" s="41">
        <f t="shared" si="121"/>
        <v>0</v>
      </c>
      <c r="AL268" s="41">
        <f t="shared" si="121"/>
        <v>0</v>
      </c>
      <c r="AM268" s="42" t="s">
        <v>148</v>
      </c>
      <c r="AU268">
        <f t="shared" si="95"/>
        <v>0</v>
      </c>
      <c r="AV268">
        <f t="shared" si="96"/>
        <v>0</v>
      </c>
      <c r="AW268">
        <f t="shared" si="98"/>
        <v>0</v>
      </c>
      <c r="AX268">
        <f t="shared" si="99"/>
        <v>0</v>
      </c>
      <c r="AY268">
        <f t="shared" si="100"/>
        <v>0</v>
      </c>
      <c r="AZ268">
        <f t="shared" si="102"/>
        <v>0</v>
      </c>
      <c r="BA268">
        <f t="shared" si="103"/>
        <v>0</v>
      </c>
      <c r="BB268">
        <f t="shared" si="104"/>
        <v>0</v>
      </c>
      <c r="BC268">
        <f t="shared" si="106"/>
        <v>0</v>
      </c>
      <c r="BD268">
        <f t="shared" si="107"/>
        <v>0</v>
      </c>
      <c r="BE268">
        <f t="shared" si="108"/>
        <v>0</v>
      </c>
      <c r="BF268">
        <f t="shared" si="110"/>
        <v>0</v>
      </c>
      <c r="BG268">
        <f t="shared" si="111"/>
        <v>0</v>
      </c>
      <c r="BH268">
        <f t="shared" si="112"/>
        <v>0</v>
      </c>
      <c r="BI268">
        <f t="shared" si="114"/>
        <v>0</v>
      </c>
      <c r="BJ268">
        <f t="shared" si="115"/>
        <v>0</v>
      </c>
      <c r="BK268">
        <f t="shared" si="116"/>
        <v>0</v>
      </c>
      <c r="BL268">
        <f t="shared" si="118"/>
        <v>0</v>
      </c>
      <c r="BM268">
        <f t="shared" si="119"/>
        <v>0</v>
      </c>
      <c r="BN268">
        <f t="shared" si="120"/>
        <v>0</v>
      </c>
      <c r="BO268">
        <f t="shared" si="122"/>
        <v>0</v>
      </c>
      <c r="BP268">
        <f t="shared" si="123"/>
        <v>0</v>
      </c>
      <c r="BQ268">
        <f t="shared" ref="BQ268:BQ280" si="124">IF(AND($R308&lt;&gt;"",$R$307&lt;&gt;""),Y268,0)</f>
        <v>0</v>
      </c>
      <c r="BR268">
        <f>IF($R308&lt;&gt;"",Z268,1)</f>
        <v>1</v>
      </c>
      <c r="BS268">
        <f t="shared" si="82"/>
        <v>0</v>
      </c>
      <c r="BT268">
        <f t="shared" si="83"/>
        <v>0</v>
      </c>
      <c r="BU268">
        <f t="shared" si="84"/>
        <v>0</v>
      </c>
      <c r="BV268">
        <f t="shared" si="85"/>
        <v>0</v>
      </c>
      <c r="BW268">
        <f t="shared" si="86"/>
        <v>0</v>
      </c>
      <c r="BX268">
        <f t="shared" si="87"/>
        <v>0</v>
      </c>
      <c r="BY268">
        <f t="shared" si="88"/>
        <v>0</v>
      </c>
      <c r="BZ268">
        <f t="shared" si="89"/>
        <v>0</v>
      </c>
      <c r="CA268">
        <f t="shared" si="90"/>
        <v>0</v>
      </c>
      <c r="CB268">
        <f t="shared" si="91"/>
        <v>0</v>
      </c>
      <c r="CC268">
        <f t="shared" si="92"/>
        <v>0</v>
      </c>
      <c r="CD268">
        <f t="shared" si="93"/>
        <v>0</v>
      </c>
      <c r="CE268">
        <f t="shared" si="94"/>
        <v>0</v>
      </c>
    </row>
    <row r="269" spans="2:83" ht="18" customHeight="1" x14ac:dyDescent="0.3">
      <c r="B269" s="42" t="s">
        <v>149</v>
      </c>
      <c r="C269" s="41">
        <f t="shared" ref="C269:AL271" si="125">C186+C200</f>
        <v>0</v>
      </c>
      <c r="D269" s="41">
        <f t="shared" si="125"/>
        <v>0</v>
      </c>
      <c r="E269" s="41">
        <f t="shared" si="125"/>
        <v>0</v>
      </c>
      <c r="F269" s="41">
        <f t="shared" si="125"/>
        <v>0</v>
      </c>
      <c r="G269" s="41">
        <f t="shared" si="125"/>
        <v>0</v>
      </c>
      <c r="H269" s="41">
        <f t="shared" si="125"/>
        <v>0</v>
      </c>
      <c r="I269" s="41">
        <f t="shared" si="125"/>
        <v>0</v>
      </c>
      <c r="J269" s="41">
        <f t="shared" si="125"/>
        <v>0</v>
      </c>
      <c r="K269" s="41">
        <f t="shared" si="125"/>
        <v>0</v>
      </c>
      <c r="L269" s="41">
        <f t="shared" si="125"/>
        <v>0</v>
      </c>
      <c r="M269" s="41">
        <f t="shared" si="125"/>
        <v>0</v>
      </c>
      <c r="N269" s="41">
        <f t="shared" si="125"/>
        <v>0</v>
      </c>
      <c r="O269" s="41">
        <f t="shared" si="125"/>
        <v>0</v>
      </c>
      <c r="P269" s="41">
        <f t="shared" si="125"/>
        <v>0</v>
      </c>
      <c r="Q269" s="41">
        <f t="shared" si="125"/>
        <v>0</v>
      </c>
      <c r="R269" s="41">
        <f t="shared" si="125"/>
        <v>0</v>
      </c>
      <c r="S269" s="41">
        <f t="shared" si="125"/>
        <v>0</v>
      </c>
      <c r="T269" s="41">
        <f t="shared" si="125"/>
        <v>0</v>
      </c>
      <c r="U269" s="41">
        <f t="shared" si="125"/>
        <v>0</v>
      </c>
      <c r="V269" s="41">
        <f t="shared" si="125"/>
        <v>0</v>
      </c>
      <c r="W269" s="41">
        <f t="shared" si="125"/>
        <v>0</v>
      </c>
      <c r="X269" s="53">
        <f t="shared" si="125"/>
        <v>0</v>
      </c>
      <c r="Y269" s="53">
        <f t="shared" si="125"/>
        <v>0</v>
      </c>
      <c r="Z269" s="53">
        <f t="shared" si="125"/>
        <v>0</v>
      </c>
      <c r="AA269" s="44">
        <f t="shared" si="125"/>
        <v>0</v>
      </c>
      <c r="AB269" s="55">
        <f t="shared" si="125"/>
        <v>0</v>
      </c>
      <c r="AC269" s="55">
        <f t="shared" si="125"/>
        <v>0</v>
      </c>
      <c r="AD269" s="55">
        <f t="shared" si="125"/>
        <v>0</v>
      </c>
      <c r="AE269" s="55">
        <f t="shared" si="125"/>
        <v>0</v>
      </c>
      <c r="AF269" s="55">
        <f t="shared" si="125"/>
        <v>0</v>
      </c>
      <c r="AG269" s="41">
        <f t="shared" si="125"/>
        <v>0</v>
      </c>
      <c r="AH269" s="41">
        <f t="shared" si="125"/>
        <v>0</v>
      </c>
      <c r="AI269" s="41">
        <f t="shared" si="125"/>
        <v>0</v>
      </c>
      <c r="AJ269" s="41">
        <f t="shared" si="125"/>
        <v>0</v>
      </c>
      <c r="AK269" s="41">
        <f t="shared" si="125"/>
        <v>0</v>
      </c>
      <c r="AL269" s="41">
        <f t="shared" si="125"/>
        <v>0</v>
      </c>
      <c r="AM269" s="42" t="s">
        <v>149</v>
      </c>
      <c r="AU269">
        <f t="shared" si="95"/>
        <v>0</v>
      </c>
      <c r="AV269">
        <f t="shared" si="96"/>
        <v>0</v>
      </c>
      <c r="AW269">
        <f t="shared" si="98"/>
        <v>0</v>
      </c>
      <c r="AX269">
        <f t="shared" si="99"/>
        <v>0</v>
      </c>
      <c r="AY269">
        <f t="shared" si="100"/>
        <v>0</v>
      </c>
      <c r="AZ269">
        <f t="shared" si="102"/>
        <v>0</v>
      </c>
      <c r="BA269">
        <f t="shared" si="103"/>
        <v>0</v>
      </c>
      <c r="BB269">
        <f t="shared" si="104"/>
        <v>0</v>
      </c>
      <c r="BC269">
        <f t="shared" si="106"/>
        <v>0</v>
      </c>
      <c r="BD269">
        <f t="shared" si="107"/>
        <v>0</v>
      </c>
      <c r="BE269">
        <f t="shared" si="108"/>
        <v>0</v>
      </c>
      <c r="BF269">
        <f t="shared" si="110"/>
        <v>0</v>
      </c>
      <c r="BG269">
        <f t="shared" si="111"/>
        <v>0</v>
      </c>
      <c r="BH269">
        <f t="shared" si="112"/>
        <v>0</v>
      </c>
      <c r="BI269">
        <f t="shared" si="114"/>
        <v>0</v>
      </c>
      <c r="BJ269">
        <f t="shared" si="115"/>
        <v>0</v>
      </c>
      <c r="BK269">
        <f t="shared" si="116"/>
        <v>0</v>
      </c>
      <c r="BL269">
        <f t="shared" si="118"/>
        <v>0</v>
      </c>
      <c r="BM269">
        <f t="shared" si="119"/>
        <v>0</v>
      </c>
      <c r="BN269">
        <f t="shared" si="120"/>
        <v>0</v>
      </c>
      <c r="BO269">
        <f t="shared" si="122"/>
        <v>0</v>
      </c>
      <c r="BP269">
        <f t="shared" si="123"/>
        <v>0</v>
      </c>
      <c r="BQ269">
        <f t="shared" si="124"/>
        <v>0</v>
      </c>
      <c r="BR269">
        <f t="shared" ref="BR269:BR280" si="126">IF(AND($R309&lt;&gt;"",$R$308&lt;&gt;""),Z269,0)</f>
        <v>0</v>
      </c>
      <c r="BS269">
        <f>IF($R309&lt;&gt;"",AA269,1)</f>
        <v>1</v>
      </c>
      <c r="BT269">
        <f t="shared" si="83"/>
        <v>0</v>
      </c>
      <c r="BU269">
        <f t="shared" si="84"/>
        <v>0</v>
      </c>
      <c r="BV269">
        <f t="shared" si="85"/>
        <v>0</v>
      </c>
      <c r="BW269">
        <f t="shared" si="86"/>
        <v>0</v>
      </c>
      <c r="BX269">
        <f t="shared" si="87"/>
        <v>0</v>
      </c>
      <c r="BY269">
        <f t="shared" si="88"/>
        <v>0</v>
      </c>
      <c r="BZ269">
        <f t="shared" si="89"/>
        <v>0</v>
      </c>
      <c r="CA269">
        <f t="shared" si="90"/>
        <v>0</v>
      </c>
      <c r="CB269">
        <f t="shared" si="91"/>
        <v>0</v>
      </c>
      <c r="CC269">
        <f t="shared" si="92"/>
        <v>0</v>
      </c>
      <c r="CD269">
        <f t="shared" si="93"/>
        <v>0</v>
      </c>
      <c r="CE269">
        <f t="shared" si="94"/>
        <v>0</v>
      </c>
    </row>
    <row r="270" spans="2:83" ht="18" customHeight="1" x14ac:dyDescent="0.3">
      <c r="B270" s="42" t="s">
        <v>150</v>
      </c>
      <c r="C270" s="41">
        <f t="shared" si="125"/>
        <v>0</v>
      </c>
      <c r="D270" s="41">
        <f t="shared" si="125"/>
        <v>0</v>
      </c>
      <c r="E270" s="41">
        <f t="shared" si="125"/>
        <v>0</v>
      </c>
      <c r="F270" s="41">
        <f t="shared" si="125"/>
        <v>0</v>
      </c>
      <c r="G270" s="41">
        <f t="shared" si="125"/>
        <v>0</v>
      </c>
      <c r="H270" s="41">
        <f t="shared" si="125"/>
        <v>0</v>
      </c>
      <c r="I270" s="41">
        <f t="shared" si="125"/>
        <v>0</v>
      </c>
      <c r="J270" s="41">
        <f t="shared" si="125"/>
        <v>0</v>
      </c>
      <c r="K270" s="41">
        <f t="shared" si="125"/>
        <v>0</v>
      </c>
      <c r="L270" s="41">
        <f t="shared" si="125"/>
        <v>0</v>
      </c>
      <c r="M270" s="41">
        <f t="shared" si="125"/>
        <v>0</v>
      </c>
      <c r="N270" s="41">
        <f t="shared" si="125"/>
        <v>0</v>
      </c>
      <c r="O270" s="41">
        <f t="shared" si="125"/>
        <v>0</v>
      </c>
      <c r="P270" s="41">
        <f t="shared" si="125"/>
        <v>0</v>
      </c>
      <c r="Q270" s="41">
        <f t="shared" si="125"/>
        <v>0</v>
      </c>
      <c r="R270" s="41">
        <f t="shared" si="125"/>
        <v>0</v>
      </c>
      <c r="S270" s="41">
        <f t="shared" si="125"/>
        <v>0</v>
      </c>
      <c r="T270" s="41">
        <f t="shared" si="125"/>
        <v>0</v>
      </c>
      <c r="U270" s="41">
        <f t="shared" si="125"/>
        <v>0</v>
      </c>
      <c r="V270" s="41">
        <f t="shared" si="125"/>
        <v>0</v>
      </c>
      <c r="W270" s="41">
        <f t="shared" si="125"/>
        <v>0</v>
      </c>
      <c r="X270" s="53">
        <f t="shared" si="125"/>
        <v>0</v>
      </c>
      <c r="Y270" s="53">
        <f t="shared" si="125"/>
        <v>0</v>
      </c>
      <c r="Z270" s="53">
        <f t="shared" si="125"/>
        <v>0</v>
      </c>
      <c r="AA270" s="55">
        <f t="shared" si="125"/>
        <v>0</v>
      </c>
      <c r="AB270" s="44">
        <f t="shared" si="125"/>
        <v>0</v>
      </c>
      <c r="AC270" s="55">
        <f t="shared" si="125"/>
        <v>0</v>
      </c>
      <c r="AD270" s="55">
        <f t="shared" si="125"/>
        <v>0</v>
      </c>
      <c r="AE270" s="55">
        <f t="shared" si="125"/>
        <v>0</v>
      </c>
      <c r="AF270" s="55">
        <f t="shared" si="125"/>
        <v>0</v>
      </c>
      <c r="AG270" s="41">
        <f t="shared" si="125"/>
        <v>0</v>
      </c>
      <c r="AH270" s="41">
        <f t="shared" si="125"/>
        <v>0</v>
      </c>
      <c r="AI270" s="41">
        <f t="shared" si="125"/>
        <v>0</v>
      </c>
      <c r="AJ270" s="41">
        <f t="shared" si="125"/>
        <v>0</v>
      </c>
      <c r="AK270" s="41">
        <f t="shared" si="125"/>
        <v>0</v>
      </c>
      <c r="AL270" s="41">
        <f t="shared" si="125"/>
        <v>0</v>
      </c>
      <c r="AM270" s="42" t="s">
        <v>150</v>
      </c>
      <c r="AU270">
        <f t="shared" si="95"/>
        <v>0</v>
      </c>
      <c r="AV270">
        <f t="shared" si="96"/>
        <v>0</v>
      </c>
      <c r="AW270">
        <f t="shared" si="98"/>
        <v>0</v>
      </c>
      <c r="AX270">
        <f t="shared" si="99"/>
        <v>0</v>
      </c>
      <c r="AY270">
        <f t="shared" si="100"/>
        <v>0</v>
      </c>
      <c r="AZ270">
        <f t="shared" si="102"/>
        <v>0</v>
      </c>
      <c r="BA270">
        <f t="shared" si="103"/>
        <v>0</v>
      </c>
      <c r="BB270">
        <f t="shared" si="104"/>
        <v>0</v>
      </c>
      <c r="BC270">
        <f t="shared" si="106"/>
        <v>0</v>
      </c>
      <c r="BD270">
        <f t="shared" si="107"/>
        <v>0</v>
      </c>
      <c r="BE270">
        <f t="shared" si="108"/>
        <v>0</v>
      </c>
      <c r="BF270">
        <f t="shared" si="110"/>
        <v>0</v>
      </c>
      <c r="BG270">
        <f t="shared" si="111"/>
        <v>0</v>
      </c>
      <c r="BH270">
        <f t="shared" si="112"/>
        <v>0</v>
      </c>
      <c r="BI270">
        <f t="shared" si="114"/>
        <v>0</v>
      </c>
      <c r="BJ270">
        <f t="shared" si="115"/>
        <v>0</v>
      </c>
      <c r="BK270">
        <f t="shared" si="116"/>
        <v>0</v>
      </c>
      <c r="BL270">
        <f t="shared" si="118"/>
        <v>0</v>
      </c>
      <c r="BM270">
        <f t="shared" si="119"/>
        <v>0</v>
      </c>
      <c r="BN270">
        <f t="shared" si="120"/>
        <v>0</v>
      </c>
      <c r="BO270">
        <f t="shared" si="122"/>
        <v>0</v>
      </c>
      <c r="BP270">
        <f t="shared" si="123"/>
        <v>0</v>
      </c>
      <c r="BQ270">
        <f t="shared" si="124"/>
        <v>0</v>
      </c>
      <c r="BR270">
        <f t="shared" si="126"/>
        <v>0</v>
      </c>
      <c r="BS270">
        <f t="shared" ref="BS270:BS280" si="127">IF(AND($R310&lt;&gt;"",$R$309&lt;&gt;""),AA270,0)</f>
        <v>0</v>
      </c>
      <c r="BT270">
        <f>IF($R310&lt;&gt;"",AB270,1)</f>
        <v>1</v>
      </c>
      <c r="BU270">
        <f t="shared" si="84"/>
        <v>0</v>
      </c>
      <c r="BV270">
        <f t="shared" si="85"/>
        <v>0</v>
      </c>
      <c r="BW270">
        <f t="shared" si="86"/>
        <v>0</v>
      </c>
      <c r="BX270">
        <f t="shared" si="87"/>
        <v>0</v>
      </c>
      <c r="BY270">
        <f t="shared" si="88"/>
        <v>0</v>
      </c>
      <c r="BZ270">
        <f t="shared" si="89"/>
        <v>0</v>
      </c>
      <c r="CA270">
        <f t="shared" si="90"/>
        <v>0</v>
      </c>
      <c r="CB270">
        <f t="shared" si="91"/>
        <v>0</v>
      </c>
      <c r="CC270">
        <f t="shared" si="92"/>
        <v>0</v>
      </c>
      <c r="CD270">
        <f t="shared" si="93"/>
        <v>0</v>
      </c>
      <c r="CE270">
        <f t="shared" si="94"/>
        <v>0</v>
      </c>
    </row>
    <row r="271" spans="2:83" ht="18" customHeight="1" x14ac:dyDescent="0.3">
      <c r="B271" s="42" t="s">
        <v>151</v>
      </c>
      <c r="C271" s="41">
        <f t="shared" si="125"/>
        <v>0</v>
      </c>
      <c r="D271" s="41">
        <f t="shared" si="125"/>
        <v>0</v>
      </c>
      <c r="E271" s="41">
        <f t="shared" si="125"/>
        <v>0</v>
      </c>
      <c r="F271" s="41">
        <f t="shared" si="125"/>
        <v>0</v>
      </c>
      <c r="G271" s="41">
        <f t="shared" si="125"/>
        <v>0</v>
      </c>
      <c r="H271" s="41">
        <f t="shared" si="125"/>
        <v>0</v>
      </c>
      <c r="I271" s="41">
        <f t="shared" si="125"/>
        <v>0</v>
      </c>
      <c r="J271" s="41">
        <f t="shared" si="125"/>
        <v>0</v>
      </c>
      <c r="K271" s="41">
        <f t="shared" si="125"/>
        <v>0</v>
      </c>
      <c r="L271" s="41">
        <f t="shared" si="125"/>
        <v>0</v>
      </c>
      <c r="M271" s="41">
        <f t="shared" si="125"/>
        <v>0</v>
      </c>
      <c r="N271" s="41">
        <f t="shared" si="125"/>
        <v>0</v>
      </c>
      <c r="O271" s="41">
        <f t="shared" si="125"/>
        <v>0</v>
      </c>
      <c r="P271" s="41">
        <f t="shared" si="125"/>
        <v>0</v>
      </c>
      <c r="Q271" s="41">
        <f t="shared" si="125"/>
        <v>0</v>
      </c>
      <c r="R271" s="41">
        <f t="shared" si="125"/>
        <v>0</v>
      </c>
      <c r="S271" s="41">
        <f t="shared" si="125"/>
        <v>0</v>
      </c>
      <c r="T271" s="41">
        <f t="shared" si="125"/>
        <v>0</v>
      </c>
      <c r="U271" s="41">
        <f t="shared" si="125"/>
        <v>0</v>
      </c>
      <c r="V271" s="41">
        <f t="shared" si="125"/>
        <v>0</v>
      </c>
      <c r="W271" s="41">
        <f t="shared" si="125"/>
        <v>0</v>
      </c>
      <c r="X271" s="53">
        <f t="shared" si="125"/>
        <v>0</v>
      </c>
      <c r="Y271" s="53">
        <f t="shared" si="125"/>
        <v>0</v>
      </c>
      <c r="Z271" s="53">
        <f t="shared" si="125"/>
        <v>0</v>
      </c>
      <c r="AA271" s="55">
        <f t="shared" si="125"/>
        <v>0</v>
      </c>
      <c r="AB271" s="55">
        <f t="shared" si="125"/>
        <v>0</v>
      </c>
      <c r="AC271" s="44">
        <f t="shared" si="125"/>
        <v>0</v>
      </c>
      <c r="AD271" s="55">
        <f t="shared" si="125"/>
        <v>0</v>
      </c>
      <c r="AE271" s="55">
        <f t="shared" si="125"/>
        <v>0</v>
      </c>
      <c r="AF271" s="55">
        <f t="shared" si="125"/>
        <v>0</v>
      </c>
      <c r="AG271" s="41">
        <f t="shared" si="125"/>
        <v>0</v>
      </c>
      <c r="AH271" s="41">
        <f t="shared" si="125"/>
        <v>0</v>
      </c>
      <c r="AI271" s="41">
        <f t="shared" si="125"/>
        <v>0</v>
      </c>
      <c r="AJ271" s="41">
        <f t="shared" si="125"/>
        <v>0</v>
      </c>
      <c r="AK271" s="41">
        <f t="shared" si="125"/>
        <v>0</v>
      </c>
      <c r="AL271" s="41">
        <f t="shared" si="125"/>
        <v>0</v>
      </c>
      <c r="AM271" s="42" t="s">
        <v>151</v>
      </c>
      <c r="AU271">
        <f t="shared" si="95"/>
        <v>0</v>
      </c>
      <c r="AV271">
        <f t="shared" si="96"/>
        <v>0</v>
      </c>
      <c r="AW271">
        <f t="shared" si="98"/>
        <v>0</v>
      </c>
      <c r="AX271">
        <f t="shared" si="99"/>
        <v>0</v>
      </c>
      <c r="AY271">
        <f t="shared" si="100"/>
        <v>0</v>
      </c>
      <c r="AZ271">
        <f t="shared" si="102"/>
        <v>0</v>
      </c>
      <c r="BA271">
        <f t="shared" si="103"/>
        <v>0</v>
      </c>
      <c r="BB271">
        <f t="shared" si="104"/>
        <v>0</v>
      </c>
      <c r="BC271">
        <f t="shared" si="106"/>
        <v>0</v>
      </c>
      <c r="BD271">
        <f t="shared" si="107"/>
        <v>0</v>
      </c>
      <c r="BE271">
        <f t="shared" si="108"/>
        <v>0</v>
      </c>
      <c r="BF271">
        <f t="shared" si="110"/>
        <v>0</v>
      </c>
      <c r="BG271">
        <f t="shared" si="111"/>
        <v>0</v>
      </c>
      <c r="BH271">
        <f t="shared" si="112"/>
        <v>0</v>
      </c>
      <c r="BI271">
        <f t="shared" si="114"/>
        <v>0</v>
      </c>
      <c r="BJ271">
        <f t="shared" si="115"/>
        <v>0</v>
      </c>
      <c r="BK271">
        <f t="shared" si="116"/>
        <v>0</v>
      </c>
      <c r="BL271">
        <f t="shared" si="118"/>
        <v>0</v>
      </c>
      <c r="BM271">
        <f t="shared" si="119"/>
        <v>0</v>
      </c>
      <c r="BN271">
        <f t="shared" si="120"/>
        <v>0</v>
      </c>
      <c r="BO271">
        <f t="shared" si="122"/>
        <v>0</v>
      </c>
      <c r="BP271">
        <f t="shared" si="123"/>
        <v>0</v>
      </c>
      <c r="BQ271">
        <f t="shared" si="124"/>
        <v>0</v>
      </c>
      <c r="BR271">
        <f t="shared" si="126"/>
        <v>0</v>
      </c>
      <c r="BS271">
        <f t="shared" si="127"/>
        <v>0</v>
      </c>
      <c r="BT271">
        <f t="shared" ref="BT271:BT280" si="128">IF(AND($R311&lt;&gt;"",$R$310&lt;&gt;""),AB271,0)</f>
        <v>0</v>
      </c>
      <c r="BU271">
        <f>IF($R311&lt;&gt;"",AC271,1)</f>
        <v>1</v>
      </c>
      <c r="BV271">
        <f t="shared" si="85"/>
        <v>0</v>
      </c>
      <c r="BW271">
        <f t="shared" si="86"/>
        <v>0</v>
      </c>
      <c r="BX271">
        <f t="shared" si="87"/>
        <v>0</v>
      </c>
      <c r="BY271">
        <f t="shared" si="88"/>
        <v>0</v>
      </c>
      <c r="BZ271">
        <f t="shared" si="89"/>
        <v>0</v>
      </c>
      <c r="CA271">
        <f t="shared" si="90"/>
        <v>0</v>
      </c>
      <c r="CB271">
        <f t="shared" si="91"/>
        <v>0</v>
      </c>
      <c r="CC271">
        <f t="shared" si="92"/>
        <v>0</v>
      </c>
      <c r="CD271">
        <f t="shared" si="93"/>
        <v>0</v>
      </c>
      <c r="CE271">
        <f t="shared" si="94"/>
        <v>0</v>
      </c>
    </row>
    <row r="272" spans="2:83" ht="18" customHeight="1" x14ac:dyDescent="0.3">
      <c r="B272" s="42" t="s">
        <v>152</v>
      </c>
      <c r="C272" s="41">
        <f t="shared" ref="C272:AL274" si="129">C203+C217</f>
        <v>0</v>
      </c>
      <c r="D272" s="41">
        <f t="shared" si="129"/>
        <v>0</v>
      </c>
      <c r="E272" s="41">
        <f t="shared" si="129"/>
        <v>0</v>
      </c>
      <c r="F272" s="41">
        <f t="shared" si="129"/>
        <v>0</v>
      </c>
      <c r="G272" s="41">
        <f t="shared" si="129"/>
        <v>0</v>
      </c>
      <c r="H272" s="41">
        <f t="shared" si="129"/>
        <v>0</v>
      </c>
      <c r="I272" s="41">
        <f t="shared" si="129"/>
        <v>0</v>
      </c>
      <c r="J272" s="41">
        <f t="shared" si="129"/>
        <v>0</v>
      </c>
      <c r="K272" s="41">
        <f t="shared" si="129"/>
        <v>0</v>
      </c>
      <c r="L272" s="41">
        <f t="shared" si="129"/>
        <v>0</v>
      </c>
      <c r="M272" s="41">
        <f t="shared" si="129"/>
        <v>0</v>
      </c>
      <c r="N272" s="41">
        <f t="shared" si="129"/>
        <v>0</v>
      </c>
      <c r="O272" s="41">
        <f t="shared" si="129"/>
        <v>0</v>
      </c>
      <c r="P272" s="41">
        <f t="shared" si="129"/>
        <v>0</v>
      </c>
      <c r="Q272" s="41">
        <f t="shared" si="129"/>
        <v>0</v>
      </c>
      <c r="R272" s="41">
        <f t="shared" si="129"/>
        <v>0</v>
      </c>
      <c r="S272" s="41">
        <f t="shared" si="129"/>
        <v>0</v>
      </c>
      <c r="T272" s="41">
        <f t="shared" si="129"/>
        <v>0</v>
      </c>
      <c r="U272" s="41">
        <f t="shared" si="129"/>
        <v>0</v>
      </c>
      <c r="V272" s="41">
        <f t="shared" si="129"/>
        <v>0</v>
      </c>
      <c r="W272" s="41">
        <f t="shared" si="129"/>
        <v>0</v>
      </c>
      <c r="X272" s="41">
        <f t="shared" si="129"/>
        <v>0</v>
      </c>
      <c r="Y272" s="41">
        <f t="shared" si="129"/>
        <v>0</v>
      </c>
      <c r="Z272" s="41">
        <f t="shared" si="129"/>
        <v>0</v>
      </c>
      <c r="AA272" s="55">
        <f t="shared" si="129"/>
        <v>0</v>
      </c>
      <c r="AB272" s="55">
        <f t="shared" si="129"/>
        <v>0</v>
      </c>
      <c r="AC272" s="55">
        <f t="shared" si="129"/>
        <v>0</v>
      </c>
      <c r="AD272" s="44">
        <f t="shared" si="129"/>
        <v>0</v>
      </c>
      <c r="AE272" s="57">
        <f t="shared" si="129"/>
        <v>0</v>
      </c>
      <c r="AF272" s="57">
        <f t="shared" si="129"/>
        <v>0</v>
      </c>
      <c r="AG272" s="57">
        <f t="shared" si="129"/>
        <v>0</v>
      </c>
      <c r="AH272" s="57">
        <f t="shared" si="129"/>
        <v>0</v>
      </c>
      <c r="AI272" s="57">
        <f t="shared" si="129"/>
        <v>0</v>
      </c>
      <c r="AJ272" s="41">
        <f t="shared" si="129"/>
        <v>0</v>
      </c>
      <c r="AK272" s="41">
        <f t="shared" si="129"/>
        <v>0</v>
      </c>
      <c r="AL272" s="41">
        <f t="shared" si="129"/>
        <v>0</v>
      </c>
      <c r="AM272" s="42" t="s">
        <v>152</v>
      </c>
      <c r="AU272">
        <f t="shared" si="95"/>
        <v>0</v>
      </c>
      <c r="AV272">
        <f t="shared" si="96"/>
        <v>0</v>
      </c>
      <c r="AW272">
        <f t="shared" si="98"/>
        <v>0</v>
      </c>
      <c r="AX272">
        <f t="shared" si="99"/>
        <v>0</v>
      </c>
      <c r="AY272">
        <f t="shared" si="100"/>
        <v>0</v>
      </c>
      <c r="AZ272">
        <f t="shared" si="102"/>
        <v>0</v>
      </c>
      <c r="BA272">
        <f t="shared" si="103"/>
        <v>0</v>
      </c>
      <c r="BB272">
        <f t="shared" si="104"/>
        <v>0</v>
      </c>
      <c r="BC272">
        <f t="shared" si="106"/>
        <v>0</v>
      </c>
      <c r="BD272">
        <f t="shared" si="107"/>
        <v>0</v>
      </c>
      <c r="BE272">
        <f t="shared" si="108"/>
        <v>0</v>
      </c>
      <c r="BF272">
        <f t="shared" si="110"/>
        <v>0</v>
      </c>
      <c r="BG272">
        <f t="shared" si="111"/>
        <v>0</v>
      </c>
      <c r="BH272">
        <f t="shared" si="112"/>
        <v>0</v>
      </c>
      <c r="BI272">
        <f t="shared" si="114"/>
        <v>0</v>
      </c>
      <c r="BJ272">
        <f t="shared" si="115"/>
        <v>0</v>
      </c>
      <c r="BK272">
        <f t="shared" si="116"/>
        <v>0</v>
      </c>
      <c r="BL272">
        <f t="shared" si="118"/>
        <v>0</v>
      </c>
      <c r="BM272">
        <f t="shared" si="119"/>
        <v>0</v>
      </c>
      <c r="BN272">
        <f t="shared" si="120"/>
        <v>0</v>
      </c>
      <c r="BO272">
        <f t="shared" si="122"/>
        <v>0</v>
      </c>
      <c r="BP272">
        <f t="shared" si="123"/>
        <v>0</v>
      </c>
      <c r="BQ272">
        <f t="shared" si="124"/>
        <v>0</v>
      </c>
      <c r="BR272">
        <f t="shared" si="126"/>
        <v>0</v>
      </c>
      <c r="BS272">
        <f t="shared" si="127"/>
        <v>0</v>
      </c>
      <c r="BT272">
        <f t="shared" si="128"/>
        <v>0</v>
      </c>
      <c r="BU272">
        <f t="shared" ref="BU272:BU280" si="130">IF(AND($R312&lt;&gt;"",$R$311&lt;&gt;""),AC272,0)</f>
        <v>0</v>
      </c>
      <c r="BV272">
        <f>IF($R312&lt;&gt;"",AD272,1)</f>
        <v>1</v>
      </c>
      <c r="BW272">
        <f t="shared" si="86"/>
        <v>0</v>
      </c>
      <c r="BX272">
        <f t="shared" si="87"/>
        <v>0</v>
      </c>
      <c r="BY272">
        <f t="shared" si="88"/>
        <v>0</v>
      </c>
      <c r="BZ272">
        <f t="shared" si="89"/>
        <v>0</v>
      </c>
      <c r="CA272">
        <f t="shared" si="90"/>
        <v>0</v>
      </c>
      <c r="CB272">
        <f t="shared" si="91"/>
        <v>0</v>
      </c>
      <c r="CC272">
        <f t="shared" si="92"/>
        <v>0</v>
      </c>
      <c r="CD272">
        <f t="shared" si="93"/>
        <v>0</v>
      </c>
      <c r="CE272">
        <f t="shared" si="94"/>
        <v>0</v>
      </c>
    </row>
    <row r="273" spans="2:84" ht="18" customHeight="1" x14ac:dyDescent="0.3">
      <c r="B273" s="42" t="s">
        <v>153</v>
      </c>
      <c r="C273" s="41">
        <f t="shared" si="129"/>
        <v>0</v>
      </c>
      <c r="D273" s="41">
        <f t="shared" si="129"/>
        <v>0</v>
      </c>
      <c r="E273" s="41">
        <f t="shared" si="129"/>
        <v>0</v>
      </c>
      <c r="F273" s="41">
        <f t="shared" si="129"/>
        <v>0</v>
      </c>
      <c r="G273" s="41">
        <f t="shared" si="129"/>
        <v>0</v>
      </c>
      <c r="H273" s="41">
        <f t="shared" si="129"/>
        <v>0</v>
      </c>
      <c r="I273" s="41">
        <f t="shared" si="129"/>
        <v>0</v>
      </c>
      <c r="J273" s="41">
        <f t="shared" si="129"/>
        <v>0</v>
      </c>
      <c r="K273" s="41">
        <f t="shared" si="129"/>
        <v>0</v>
      </c>
      <c r="L273" s="41">
        <f t="shared" si="129"/>
        <v>0</v>
      </c>
      <c r="M273" s="41">
        <f t="shared" si="129"/>
        <v>0</v>
      </c>
      <c r="N273" s="41">
        <f t="shared" si="129"/>
        <v>0</v>
      </c>
      <c r="O273" s="41">
        <f t="shared" si="129"/>
        <v>0</v>
      </c>
      <c r="P273" s="41">
        <f t="shared" si="129"/>
        <v>0</v>
      </c>
      <c r="Q273" s="41">
        <f t="shared" si="129"/>
        <v>0</v>
      </c>
      <c r="R273" s="41">
        <f t="shared" si="129"/>
        <v>0</v>
      </c>
      <c r="S273" s="41">
        <f t="shared" si="129"/>
        <v>0</v>
      </c>
      <c r="T273" s="41">
        <f t="shared" si="129"/>
        <v>0</v>
      </c>
      <c r="U273" s="41">
        <f t="shared" si="129"/>
        <v>0</v>
      </c>
      <c r="V273" s="41">
        <f t="shared" si="129"/>
        <v>0</v>
      </c>
      <c r="W273" s="41">
        <f t="shared" si="129"/>
        <v>0</v>
      </c>
      <c r="X273" s="41">
        <f t="shared" si="129"/>
        <v>0</v>
      </c>
      <c r="Y273" s="41">
        <f t="shared" si="129"/>
        <v>0</v>
      </c>
      <c r="Z273" s="41">
        <f t="shared" si="129"/>
        <v>0</v>
      </c>
      <c r="AA273" s="55">
        <f t="shared" si="129"/>
        <v>0</v>
      </c>
      <c r="AB273" s="55">
        <f t="shared" si="129"/>
        <v>0</v>
      </c>
      <c r="AC273" s="55">
        <f t="shared" si="129"/>
        <v>0</v>
      </c>
      <c r="AD273" s="57">
        <f t="shared" si="129"/>
        <v>0</v>
      </c>
      <c r="AE273" s="44">
        <f t="shared" si="129"/>
        <v>0</v>
      </c>
      <c r="AF273" s="57">
        <f t="shared" si="129"/>
        <v>0</v>
      </c>
      <c r="AG273" s="57">
        <f t="shared" si="129"/>
        <v>0</v>
      </c>
      <c r="AH273" s="57">
        <f t="shared" si="129"/>
        <v>0</v>
      </c>
      <c r="AI273" s="57">
        <f t="shared" si="129"/>
        <v>0</v>
      </c>
      <c r="AJ273" s="41">
        <f t="shared" si="129"/>
        <v>0</v>
      </c>
      <c r="AK273" s="41">
        <f t="shared" si="129"/>
        <v>0</v>
      </c>
      <c r="AL273" s="41">
        <f t="shared" si="129"/>
        <v>0</v>
      </c>
      <c r="AM273" s="42" t="s">
        <v>153</v>
      </c>
      <c r="AU273">
        <f t="shared" si="95"/>
        <v>0</v>
      </c>
      <c r="AV273">
        <f t="shared" si="96"/>
        <v>0</v>
      </c>
      <c r="AW273">
        <f t="shared" si="98"/>
        <v>0</v>
      </c>
      <c r="AX273">
        <f t="shared" si="99"/>
        <v>0</v>
      </c>
      <c r="AY273">
        <f t="shared" si="100"/>
        <v>0</v>
      </c>
      <c r="AZ273">
        <f t="shared" si="102"/>
        <v>0</v>
      </c>
      <c r="BA273">
        <f t="shared" si="103"/>
        <v>0</v>
      </c>
      <c r="BB273">
        <f t="shared" si="104"/>
        <v>0</v>
      </c>
      <c r="BC273">
        <f t="shared" si="106"/>
        <v>0</v>
      </c>
      <c r="BD273">
        <f t="shared" si="107"/>
        <v>0</v>
      </c>
      <c r="BE273">
        <f t="shared" si="108"/>
        <v>0</v>
      </c>
      <c r="BF273">
        <f t="shared" si="110"/>
        <v>0</v>
      </c>
      <c r="BG273">
        <f t="shared" si="111"/>
        <v>0</v>
      </c>
      <c r="BH273">
        <f t="shared" si="112"/>
        <v>0</v>
      </c>
      <c r="BI273">
        <f t="shared" si="114"/>
        <v>0</v>
      </c>
      <c r="BJ273">
        <f t="shared" si="115"/>
        <v>0</v>
      </c>
      <c r="BK273">
        <f t="shared" si="116"/>
        <v>0</v>
      </c>
      <c r="BL273">
        <f t="shared" si="118"/>
        <v>0</v>
      </c>
      <c r="BM273">
        <f t="shared" si="119"/>
        <v>0</v>
      </c>
      <c r="BN273">
        <f t="shared" si="120"/>
        <v>0</v>
      </c>
      <c r="BO273">
        <f t="shared" si="122"/>
        <v>0</v>
      </c>
      <c r="BP273">
        <f t="shared" si="123"/>
        <v>0</v>
      </c>
      <c r="BQ273">
        <f t="shared" si="124"/>
        <v>0</v>
      </c>
      <c r="BR273">
        <f t="shared" si="126"/>
        <v>0</v>
      </c>
      <c r="BS273">
        <f t="shared" si="127"/>
        <v>0</v>
      </c>
      <c r="BT273">
        <f t="shared" si="128"/>
        <v>0</v>
      </c>
      <c r="BU273">
        <f t="shared" si="130"/>
        <v>0</v>
      </c>
      <c r="BV273">
        <f t="shared" ref="BV273:BV280" si="131">IF(AND($R313&lt;&gt;"",$R$312&lt;&gt;""),AD273,0)</f>
        <v>0</v>
      </c>
      <c r="BW273">
        <f>IF($R313&lt;&gt;"",AE273,1)</f>
        <v>1</v>
      </c>
      <c r="BX273">
        <f t="shared" si="87"/>
        <v>0</v>
      </c>
      <c r="BY273">
        <f t="shared" si="88"/>
        <v>0</v>
      </c>
      <c r="BZ273">
        <f t="shared" si="89"/>
        <v>0</v>
      </c>
      <c r="CA273">
        <f t="shared" si="90"/>
        <v>0</v>
      </c>
      <c r="CB273">
        <f t="shared" si="91"/>
        <v>0</v>
      </c>
      <c r="CC273">
        <f t="shared" si="92"/>
        <v>0</v>
      </c>
      <c r="CD273">
        <f t="shared" si="93"/>
        <v>0</v>
      </c>
      <c r="CE273">
        <f t="shared" si="94"/>
        <v>0</v>
      </c>
    </row>
    <row r="274" spans="2:84" ht="18" customHeight="1" x14ac:dyDescent="0.3">
      <c r="B274" s="42" t="s">
        <v>154</v>
      </c>
      <c r="C274" s="41">
        <f t="shared" si="129"/>
        <v>0</v>
      </c>
      <c r="D274" s="41">
        <f t="shared" si="129"/>
        <v>0</v>
      </c>
      <c r="E274" s="41">
        <f t="shared" si="129"/>
        <v>0</v>
      </c>
      <c r="F274" s="41">
        <f t="shared" si="129"/>
        <v>0</v>
      </c>
      <c r="G274" s="41">
        <f t="shared" si="129"/>
        <v>0</v>
      </c>
      <c r="H274" s="41">
        <f t="shared" si="129"/>
        <v>0</v>
      </c>
      <c r="I274" s="41">
        <f t="shared" si="129"/>
        <v>0</v>
      </c>
      <c r="J274" s="41">
        <f t="shared" si="129"/>
        <v>0</v>
      </c>
      <c r="K274" s="41">
        <f t="shared" si="129"/>
        <v>0</v>
      </c>
      <c r="L274" s="41">
        <f t="shared" si="129"/>
        <v>0</v>
      </c>
      <c r="M274" s="41">
        <f t="shared" si="129"/>
        <v>0</v>
      </c>
      <c r="N274" s="41">
        <f t="shared" si="129"/>
        <v>0</v>
      </c>
      <c r="O274" s="41">
        <f t="shared" si="129"/>
        <v>0</v>
      </c>
      <c r="P274" s="41">
        <f t="shared" si="129"/>
        <v>0</v>
      </c>
      <c r="Q274" s="41">
        <f t="shared" si="129"/>
        <v>0</v>
      </c>
      <c r="R274" s="41">
        <f t="shared" si="129"/>
        <v>0</v>
      </c>
      <c r="S274" s="41">
        <f t="shared" si="129"/>
        <v>0</v>
      </c>
      <c r="T274" s="41">
        <f t="shared" si="129"/>
        <v>0</v>
      </c>
      <c r="U274" s="41">
        <f t="shared" si="129"/>
        <v>0</v>
      </c>
      <c r="V274" s="41">
        <f t="shared" si="129"/>
        <v>0</v>
      </c>
      <c r="W274" s="41">
        <f t="shared" si="129"/>
        <v>0</v>
      </c>
      <c r="X274" s="41">
        <f t="shared" si="129"/>
        <v>0</v>
      </c>
      <c r="Y274" s="41">
        <f t="shared" si="129"/>
        <v>0</v>
      </c>
      <c r="Z274" s="41">
        <f t="shared" si="129"/>
        <v>0</v>
      </c>
      <c r="AA274" s="55">
        <f t="shared" si="129"/>
        <v>0</v>
      </c>
      <c r="AB274" s="55">
        <f t="shared" si="129"/>
        <v>0</v>
      </c>
      <c r="AC274" s="55">
        <f t="shared" si="129"/>
        <v>0</v>
      </c>
      <c r="AD274" s="57">
        <f t="shared" si="129"/>
        <v>0</v>
      </c>
      <c r="AE274" s="57">
        <f t="shared" si="129"/>
        <v>0</v>
      </c>
      <c r="AF274" s="44">
        <f t="shared" si="129"/>
        <v>0</v>
      </c>
      <c r="AG274" s="57">
        <f t="shared" si="129"/>
        <v>0</v>
      </c>
      <c r="AH274" s="57">
        <f t="shared" si="129"/>
        <v>0</v>
      </c>
      <c r="AI274" s="57">
        <f t="shared" si="129"/>
        <v>0</v>
      </c>
      <c r="AJ274" s="41">
        <f t="shared" si="129"/>
        <v>0</v>
      </c>
      <c r="AK274" s="41">
        <f t="shared" si="129"/>
        <v>0</v>
      </c>
      <c r="AL274" s="41">
        <f t="shared" si="129"/>
        <v>0</v>
      </c>
      <c r="AM274" s="42" t="s">
        <v>154</v>
      </c>
      <c r="AU274">
        <f t="shared" si="95"/>
        <v>0</v>
      </c>
      <c r="AV274">
        <f t="shared" si="96"/>
        <v>0</v>
      </c>
      <c r="AW274">
        <f t="shared" si="98"/>
        <v>0</v>
      </c>
      <c r="AX274">
        <f t="shared" si="99"/>
        <v>0</v>
      </c>
      <c r="AY274">
        <f t="shared" si="100"/>
        <v>0</v>
      </c>
      <c r="AZ274">
        <f t="shared" si="102"/>
        <v>0</v>
      </c>
      <c r="BA274">
        <f t="shared" si="103"/>
        <v>0</v>
      </c>
      <c r="BB274">
        <f t="shared" si="104"/>
        <v>0</v>
      </c>
      <c r="BC274">
        <f t="shared" si="106"/>
        <v>0</v>
      </c>
      <c r="BD274">
        <f t="shared" si="107"/>
        <v>0</v>
      </c>
      <c r="BE274">
        <f t="shared" si="108"/>
        <v>0</v>
      </c>
      <c r="BF274">
        <f t="shared" si="110"/>
        <v>0</v>
      </c>
      <c r="BG274">
        <f t="shared" si="111"/>
        <v>0</v>
      </c>
      <c r="BH274">
        <f t="shared" si="112"/>
        <v>0</v>
      </c>
      <c r="BI274">
        <f t="shared" si="114"/>
        <v>0</v>
      </c>
      <c r="BJ274">
        <f t="shared" si="115"/>
        <v>0</v>
      </c>
      <c r="BK274">
        <f t="shared" si="116"/>
        <v>0</v>
      </c>
      <c r="BL274">
        <f t="shared" si="118"/>
        <v>0</v>
      </c>
      <c r="BM274">
        <f t="shared" si="119"/>
        <v>0</v>
      </c>
      <c r="BN274">
        <f t="shared" si="120"/>
        <v>0</v>
      </c>
      <c r="BO274">
        <f t="shared" si="122"/>
        <v>0</v>
      </c>
      <c r="BP274">
        <f t="shared" si="123"/>
        <v>0</v>
      </c>
      <c r="BQ274">
        <f t="shared" si="124"/>
        <v>0</v>
      </c>
      <c r="BR274">
        <f t="shared" si="126"/>
        <v>0</v>
      </c>
      <c r="BS274">
        <f t="shared" si="127"/>
        <v>0</v>
      </c>
      <c r="BT274">
        <f t="shared" si="128"/>
        <v>0</v>
      </c>
      <c r="BU274">
        <f t="shared" si="130"/>
        <v>0</v>
      </c>
      <c r="BV274">
        <f t="shared" si="131"/>
        <v>0</v>
      </c>
      <c r="BW274">
        <f t="shared" ref="BW274:BW280" si="132">IF(AND($R314&lt;&gt;"",$R$313&lt;&gt;""),AE274,0)</f>
        <v>0</v>
      </c>
      <c r="BX274">
        <f>IF($R314&lt;&gt;"",AF274,1)</f>
        <v>1</v>
      </c>
      <c r="BY274">
        <f t="shared" si="88"/>
        <v>0</v>
      </c>
      <c r="BZ274">
        <f t="shared" si="89"/>
        <v>0</v>
      </c>
      <c r="CA274">
        <f t="shared" si="90"/>
        <v>0</v>
      </c>
      <c r="CB274">
        <f t="shared" si="91"/>
        <v>0</v>
      </c>
      <c r="CC274">
        <f t="shared" si="92"/>
        <v>0</v>
      </c>
      <c r="CD274">
        <f t="shared" si="93"/>
        <v>0</v>
      </c>
      <c r="CE274">
        <f t="shared" si="94"/>
        <v>0</v>
      </c>
    </row>
    <row r="275" spans="2:84" ht="18" customHeight="1" x14ac:dyDescent="0.3">
      <c r="B275" s="42" t="s">
        <v>155</v>
      </c>
      <c r="C275" s="41">
        <f t="shared" ref="C275:AL277" si="133">C220+C234</f>
        <v>0</v>
      </c>
      <c r="D275" s="41">
        <f t="shared" si="133"/>
        <v>0</v>
      </c>
      <c r="E275" s="41">
        <f t="shared" si="133"/>
        <v>0</v>
      </c>
      <c r="F275" s="41">
        <f t="shared" si="133"/>
        <v>0</v>
      </c>
      <c r="G275" s="41">
        <f t="shared" si="133"/>
        <v>0</v>
      </c>
      <c r="H275" s="41">
        <f t="shared" si="133"/>
        <v>0</v>
      </c>
      <c r="I275" s="41">
        <f t="shared" si="133"/>
        <v>0</v>
      </c>
      <c r="J275" s="41">
        <f t="shared" si="133"/>
        <v>0</v>
      </c>
      <c r="K275" s="41">
        <f t="shared" si="133"/>
        <v>0</v>
      </c>
      <c r="L275" s="41">
        <f t="shared" si="133"/>
        <v>0</v>
      </c>
      <c r="M275" s="41">
        <f t="shared" si="133"/>
        <v>0</v>
      </c>
      <c r="N275" s="41">
        <f t="shared" si="133"/>
        <v>0</v>
      </c>
      <c r="O275" s="41">
        <f t="shared" si="133"/>
        <v>0</v>
      </c>
      <c r="P275" s="41">
        <f t="shared" si="133"/>
        <v>0</v>
      </c>
      <c r="Q275" s="41">
        <f t="shared" si="133"/>
        <v>0</v>
      </c>
      <c r="R275" s="41">
        <f t="shared" si="133"/>
        <v>0</v>
      </c>
      <c r="S275" s="41">
        <f t="shared" si="133"/>
        <v>0</v>
      </c>
      <c r="T275" s="41">
        <f t="shared" si="133"/>
        <v>0</v>
      </c>
      <c r="U275" s="41">
        <f t="shared" si="133"/>
        <v>0</v>
      </c>
      <c r="V275" s="41">
        <f t="shared" si="133"/>
        <v>0</v>
      </c>
      <c r="W275" s="41">
        <f t="shared" si="133"/>
        <v>0</v>
      </c>
      <c r="X275" s="41">
        <f t="shared" si="133"/>
        <v>0</v>
      </c>
      <c r="Y275" s="41">
        <f t="shared" si="133"/>
        <v>0</v>
      </c>
      <c r="Z275" s="41">
        <f t="shared" si="133"/>
        <v>0</v>
      </c>
      <c r="AA275" s="41">
        <f t="shared" si="133"/>
        <v>0</v>
      </c>
      <c r="AB275" s="41">
        <f t="shared" si="133"/>
        <v>0</v>
      </c>
      <c r="AC275" s="41">
        <f t="shared" si="133"/>
        <v>0</v>
      </c>
      <c r="AD275" s="57">
        <f t="shared" si="133"/>
        <v>0</v>
      </c>
      <c r="AE275" s="57">
        <f t="shared" si="133"/>
        <v>0</v>
      </c>
      <c r="AF275" s="57">
        <f t="shared" si="133"/>
        <v>0</v>
      </c>
      <c r="AG275" s="44">
        <f t="shared" si="133"/>
        <v>0</v>
      </c>
      <c r="AH275" s="59">
        <f t="shared" si="133"/>
        <v>0</v>
      </c>
      <c r="AI275" s="59">
        <f t="shared" si="133"/>
        <v>0</v>
      </c>
      <c r="AJ275" s="59">
        <f t="shared" si="133"/>
        <v>0</v>
      </c>
      <c r="AK275" s="59">
        <f t="shared" si="133"/>
        <v>0</v>
      </c>
      <c r="AL275" s="59">
        <f t="shared" si="133"/>
        <v>0</v>
      </c>
      <c r="AM275" s="42" t="s">
        <v>155</v>
      </c>
      <c r="AU275">
        <f t="shared" si="95"/>
        <v>0</v>
      </c>
      <c r="AV275">
        <f t="shared" si="96"/>
        <v>0</v>
      </c>
      <c r="AW275">
        <f t="shared" si="98"/>
        <v>0</v>
      </c>
      <c r="AX275">
        <f t="shared" si="99"/>
        <v>0</v>
      </c>
      <c r="AY275">
        <f t="shared" si="100"/>
        <v>0</v>
      </c>
      <c r="AZ275">
        <f t="shared" si="102"/>
        <v>0</v>
      </c>
      <c r="BA275">
        <f t="shared" si="103"/>
        <v>0</v>
      </c>
      <c r="BB275">
        <f t="shared" si="104"/>
        <v>0</v>
      </c>
      <c r="BC275">
        <f t="shared" si="106"/>
        <v>0</v>
      </c>
      <c r="BD275">
        <f t="shared" si="107"/>
        <v>0</v>
      </c>
      <c r="BE275">
        <f t="shared" si="108"/>
        <v>0</v>
      </c>
      <c r="BF275">
        <f t="shared" si="110"/>
        <v>0</v>
      </c>
      <c r="BG275">
        <f t="shared" si="111"/>
        <v>0</v>
      </c>
      <c r="BH275">
        <f t="shared" si="112"/>
        <v>0</v>
      </c>
      <c r="BI275">
        <f t="shared" si="114"/>
        <v>0</v>
      </c>
      <c r="BJ275">
        <f t="shared" si="115"/>
        <v>0</v>
      </c>
      <c r="BK275">
        <f t="shared" si="116"/>
        <v>0</v>
      </c>
      <c r="BL275">
        <f t="shared" si="118"/>
        <v>0</v>
      </c>
      <c r="BM275">
        <f t="shared" si="119"/>
        <v>0</v>
      </c>
      <c r="BN275">
        <f t="shared" si="120"/>
        <v>0</v>
      </c>
      <c r="BO275">
        <f t="shared" si="122"/>
        <v>0</v>
      </c>
      <c r="BP275">
        <f t="shared" si="123"/>
        <v>0</v>
      </c>
      <c r="BQ275">
        <f t="shared" si="124"/>
        <v>0</v>
      </c>
      <c r="BR275">
        <f t="shared" si="126"/>
        <v>0</v>
      </c>
      <c r="BS275">
        <f t="shared" si="127"/>
        <v>0</v>
      </c>
      <c r="BT275">
        <f t="shared" si="128"/>
        <v>0</v>
      </c>
      <c r="BU275">
        <f t="shared" si="130"/>
        <v>0</v>
      </c>
      <c r="BV275">
        <f t="shared" si="131"/>
        <v>0</v>
      </c>
      <c r="BW275">
        <f t="shared" si="132"/>
        <v>0</v>
      </c>
      <c r="BX275">
        <f t="shared" ref="BX275:BX280" si="134">IF(AND($R315&lt;&gt;"",$R$314&lt;&gt;""),AF275,0)</f>
        <v>0</v>
      </c>
      <c r="BY275">
        <f>IF($R315&lt;&gt;"",AG275,1)</f>
        <v>1</v>
      </c>
      <c r="BZ275">
        <f t="shared" si="89"/>
        <v>0</v>
      </c>
      <c r="CA275">
        <f t="shared" si="90"/>
        <v>0</v>
      </c>
      <c r="CB275">
        <f t="shared" si="91"/>
        <v>0</v>
      </c>
      <c r="CC275">
        <f t="shared" si="92"/>
        <v>0</v>
      </c>
      <c r="CD275">
        <f t="shared" si="93"/>
        <v>0</v>
      </c>
      <c r="CE275">
        <f t="shared" si="94"/>
        <v>0</v>
      </c>
    </row>
    <row r="276" spans="2:84" ht="18" customHeight="1" x14ac:dyDescent="0.3">
      <c r="B276" s="42" t="s">
        <v>156</v>
      </c>
      <c r="C276" s="41">
        <f t="shared" si="133"/>
        <v>0</v>
      </c>
      <c r="D276" s="41">
        <f t="shared" si="133"/>
        <v>0</v>
      </c>
      <c r="E276" s="41">
        <f t="shared" si="133"/>
        <v>0</v>
      </c>
      <c r="F276" s="41">
        <f t="shared" si="133"/>
        <v>0</v>
      </c>
      <c r="G276" s="41">
        <f t="shared" si="133"/>
        <v>0</v>
      </c>
      <c r="H276" s="41">
        <f t="shared" si="133"/>
        <v>0</v>
      </c>
      <c r="I276" s="41">
        <f t="shared" si="133"/>
        <v>0</v>
      </c>
      <c r="J276" s="41">
        <f t="shared" si="133"/>
        <v>0</v>
      </c>
      <c r="K276" s="41">
        <f t="shared" si="133"/>
        <v>0</v>
      </c>
      <c r="L276" s="41">
        <f t="shared" si="133"/>
        <v>0</v>
      </c>
      <c r="M276" s="41">
        <f t="shared" si="133"/>
        <v>0</v>
      </c>
      <c r="N276" s="41">
        <f t="shared" si="133"/>
        <v>0</v>
      </c>
      <c r="O276" s="41">
        <f t="shared" si="133"/>
        <v>0</v>
      </c>
      <c r="P276" s="41">
        <f t="shared" si="133"/>
        <v>0</v>
      </c>
      <c r="Q276" s="41">
        <f t="shared" si="133"/>
        <v>0</v>
      </c>
      <c r="R276" s="41">
        <f t="shared" si="133"/>
        <v>0</v>
      </c>
      <c r="S276" s="41">
        <f t="shared" si="133"/>
        <v>0</v>
      </c>
      <c r="T276" s="41">
        <f t="shared" si="133"/>
        <v>0</v>
      </c>
      <c r="U276" s="41">
        <f t="shared" si="133"/>
        <v>0</v>
      </c>
      <c r="V276" s="41">
        <f t="shared" si="133"/>
        <v>0</v>
      </c>
      <c r="W276" s="41">
        <f t="shared" si="133"/>
        <v>0</v>
      </c>
      <c r="X276" s="41">
        <f t="shared" si="133"/>
        <v>0</v>
      </c>
      <c r="Y276" s="41">
        <f t="shared" si="133"/>
        <v>0</v>
      </c>
      <c r="Z276" s="41">
        <f t="shared" si="133"/>
        <v>0</v>
      </c>
      <c r="AA276" s="41">
        <f t="shared" si="133"/>
        <v>0</v>
      </c>
      <c r="AB276" s="41">
        <f t="shared" si="133"/>
        <v>0</v>
      </c>
      <c r="AC276" s="41">
        <f t="shared" si="133"/>
        <v>0</v>
      </c>
      <c r="AD276" s="57">
        <f t="shared" si="133"/>
        <v>0</v>
      </c>
      <c r="AE276" s="57">
        <f t="shared" si="133"/>
        <v>0</v>
      </c>
      <c r="AF276" s="57">
        <f t="shared" si="133"/>
        <v>0</v>
      </c>
      <c r="AG276" s="59">
        <f t="shared" si="133"/>
        <v>0</v>
      </c>
      <c r="AH276" s="44">
        <f t="shared" si="133"/>
        <v>0</v>
      </c>
      <c r="AI276" s="59">
        <f t="shared" si="133"/>
        <v>0</v>
      </c>
      <c r="AJ276" s="59">
        <f t="shared" si="133"/>
        <v>0</v>
      </c>
      <c r="AK276" s="59">
        <f t="shared" si="133"/>
        <v>0</v>
      </c>
      <c r="AL276" s="59">
        <f t="shared" si="133"/>
        <v>0</v>
      </c>
      <c r="AM276" s="42" t="s">
        <v>156</v>
      </c>
      <c r="AU276">
        <f t="shared" si="95"/>
        <v>0</v>
      </c>
      <c r="AV276">
        <f t="shared" si="96"/>
        <v>0</v>
      </c>
      <c r="AW276">
        <f t="shared" si="98"/>
        <v>0</v>
      </c>
      <c r="AX276">
        <f t="shared" si="99"/>
        <v>0</v>
      </c>
      <c r="AY276">
        <f t="shared" si="100"/>
        <v>0</v>
      </c>
      <c r="AZ276">
        <f t="shared" si="102"/>
        <v>0</v>
      </c>
      <c r="BA276">
        <f t="shared" si="103"/>
        <v>0</v>
      </c>
      <c r="BB276">
        <f t="shared" si="104"/>
        <v>0</v>
      </c>
      <c r="BC276">
        <f t="shared" si="106"/>
        <v>0</v>
      </c>
      <c r="BD276">
        <f t="shared" si="107"/>
        <v>0</v>
      </c>
      <c r="BE276">
        <f t="shared" si="108"/>
        <v>0</v>
      </c>
      <c r="BF276">
        <f t="shared" si="110"/>
        <v>0</v>
      </c>
      <c r="BG276">
        <f t="shared" si="111"/>
        <v>0</v>
      </c>
      <c r="BH276">
        <f t="shared" si="112"/>
        <v>0</v>
      </c>
      <c r="BI276">
        <f t="shared" si="114"/>
        <v>0</v>
      </c>
      <c r="BJ276">
        <f t="shared" si="115"/>
        <v>0</v>
      </c>
      <c r="BK276">
        <f t="shared" si="116"/>
        <v>0</v>
      </c>
      <c r="BL276">
        <f t="shared" si="118"/>
        <v>0</v>
      </c>
      <c r="BM276">
        <f t="shared" si="119"/>
        <v>0</v>
      </c>
      <c r="BN276">
        <f t="shared" si="120"/>
        <v>0</v>
      </c>
      <c r="BO276">
        <f t="shared" si="122"/>
        <v>0</v>
      </c>
      <c r="BP276">
        <f t="shared" si="123"/>
        <v>0</v>
      </c>
      <c r="BQ276">
        <f t="shared" si="124"/>
        <v>0</v>
      </c>
      <c r="BR276">
        <f t="shared" si="126"/>
        <v>0</v>
      </c>
      <c r="BS276">
        <f t="shared" si="127"/>
        <v>0</v>
      </c>
      <c r="BT276">
        <f t="shared" si="128"/>
        <v>0</v>
      </c>
      <c r="BU276">
        <f t="shared" si="130"/>
        <v>0</v>
      </c>
      <c r="BV276">
        <f t="shared" si="131"/>
        <v>0</v>
      </c>
      <c r="BW276">
        <f t="shared" si="132"/>
        <v>0</v>
      </c>
      <c r="BX276">
        <f t="shared" si="134"/>
        <v>0</v>
      </c>
      <c r="BY276">
        <f>IF(AND($R316&lt;&gt;"",$R$315&lt;&gt;""),AG276,0)</f>
        <v>0</v>
      </c>
      <c r="BZ276">
        <f>IF($R316&lt;&gt;"",AH276,1)</f>
        <v>1</v>
      </c>
      <c r="CA276">
        <f t="shared" si="90"/>
        <v>0</v>
      </c>
      <c r="CB276">
        <f t="shared" si="91"/>
        <v>0</v>
      </c>
      <c r="CC276">
        <f t="shared" si="92"/>
        <v>0</v>
      </c>
      <c r="CD276">
        <f t="shared" si="93"/>
        <v>0</v>
      </c>
      <c r="CE276">
        <f t="shared" si="94"/>
        <v>0</v>
      </c>
    </row>
    <row r="277" spans="2:84" ht="18" customHeight="1" x14ac:dyDescent="0.3">
      <c r="B277" s="42" t="s">
        <v>157</v>
      </c>
      <c r="C277" s="41">
        <f t="shared" si="133"/>
        <v>0</v>
      </c>
      <c r="D277" s="41">
        <f t="shared" si="133"/>
        <v>0</v>
      </c>
      <c r="E277" s="41">
        <f t="shared" si="133"/>
        <v>0</v>
      </c>
      <c r="F277" s="41">
        <f t="shared" si="133"/>
        <v>0</v>
      </c>
      <c r="G277" s="41">
        <f t="shared" si="133"/>
        <v>0</v>
      </c>
      <c r="H277" s="41">
        <f t="shared" si="133"/>
        <v>0</v>
      </c>
      <c r="I277" s="41">
        <f t="shared" si="133"/>
        <v>0</v>
      </c>
      <c r="J277" s="41">
        <f t="shared" si="133"/>
        <v>0</v>
      </c>
      <c r="K277" s="41">
        <f t="shared" si="133"/>
        <v>0</v>
      </c>
      <c r="L277" s="41">
        <f t="shared" si="133"/>
        <v>0</v>
      </c>
      <c r="M277" s="41">
        <f t="shared" si="133"/>
        <v>0</v>
      </c>
      <c r="N277" s="41">
        <f t="shared" si="133"/>
        <v>0</v>
      </c>
      <c r="O277" s="41">
        <f t="shared" si="133"/>
        <v>0</v>
      </c>
      <c r="P277" s="41">
        <f t="shared" si="133"/>
        <v>0</v>
      </c>
      <c r="Q277" s="41">
        <f t="shared" si="133"/>
        <v>0</v>
      </c>
      <c r="R277" s="41">
        <f t="shared" si="133"/>
        <v>0</v>
      </c>
      <c r="S277" s="41">
        <f t="shared" si="133"/>
        <v>0</v>
      </c>
      <c r="T277" s="41">
        <f t="shared" si="133"/>
        <v>0</v>
      </c>
      <c r="U277" s="41">
        <f t="shared" si="133"/>
        <v>0</v>
      </c>
      <c r="V277" s="41">
        <f t="shared" si="133"/>
        <v>0</v>
      </c>
      <c r="W277" s="41">
        <f t="shared" si="133"/>
        <v>0</v>
      </c>
      <c r="X277" s="41">
        <f t="shared" si="133"/>
        <v>0</v>
      </c>
      <c r="Y277" s="41">
        <f t="shared" si="133"/>
        <v>0</v>
      </c>
      <c r="Z277" s="41">
        <f t="shared" si="133"/>
        <v>0</v>
      </c>
      <c r="AA277" s="41">
        <f t="shared" si="133"/>
        <v>0</v>
      </c>
      <c r="AB277" s="41">
        <f t="shared" si="133"/>
        <v>0</v>
      </c>
      <c r="AC277" s="41">
        <f t="shared" si="133"/>
        <v>0</v>
      </c>
      <c r="AD277" s="57">
        <f t="shared" si="133"/>
        <v>0</v>
      </c>
      <c r="AE277" s="57">
        <f t="shared" si="133"/>
        <v>0</v>
      </c>
      <c r="AF277" s="57">
        <f t="shared" si="133"/>
        <v>0</v>
      </c>
      <c r="AG277" s="59">
        <f t="shared" si="133"/>
        <v>0</v>
      </c>
      <c r="AH277" s="59">
        <f t="shared" si="133"/>
        <v>0</v>
      </c>
      <c r="AI277" s="44">
        <f t="shared" si="133"/>
        <v>0</v>
      </c>
      <c r="AJ277" s="59">
        <f t="shared" si="133"/>
        <v>0</v>
      </c>
      <c r="AK277" s="59">
        <f t="shared" si="133"/>
        <v>0</v>
      </c>
      <c r="AL277" s="59">
        <f t="shared" si="133"/>
        <v>0</v>
      </c>
      <c r="AM277" s="42" t="s">
        <v>157</v>
      </c>
      <c r="AU277">
        <f t="shared" si="95"/>
        <v>0</v>
      </c>
      <c r="AV277">
        <f t="shared" si="96"/>
        <v>0</v>
      </c>
      <c r="AW277">
        <f t="shared" si="98"/>
        <v>0</v>
      </c>
      <c r="AX277">
        <f t="shared" si="99"/>
        <v>0</v>
      </c>
      <c r="AY277">
        <f t="shared" si="100"/>
        <v>0</v>
      </c>
      <c r="AZ277">
        <f t="shared" si="102"/>
        <v>0</v>
      </c>
      <c r="BA277">
        <f t="shared" si="103"/>
        <v>0</v>
      </c>
      <c r="BB277">
        <f t="shared" si="104"/>
        <v>0</v>
      </c>
      <c r="BC277">
        <f t="shared" si="106"/>
        <v>0</v>
      </c>
      <c r="BD277">
        <f t="shared" si="107"/>
        <v>0</v>
      </c>
      <c r="BE277">
        <f t="shared" si="108"/>
        <v>0</v>
      </c>
      <c r="BF277">
        <f t="shared" si="110"/>
        <v>0</v>
      </c>
      <c r="BG277">
        <f t="shared" si="111"/>
        <v>0</v>
      </c>
      <c r="BH277">
        <f t="shared" si="112"/>
        <v>0</v>
      </c>
      <c r="BI277">
        <f t="shared" si="114"/>
        <v>0</v>
      </c>
      <c r="BJ277">
        <f t="shared" si="115"/>
        <v>0</v>
      </c>
      <c r="BK277">
        <f t="shared" si="116"/>
        <v>0</v>
      </c>
      <c r="BL277">
        <f t="shared" si="118"/>
        <v>0</v>
      </c>
      <c r="BM277">
        <f t="shared" si="119"/>
        <v>0</v>
      </c>
      <c r="BN277">
        <f t="shared" si="120"/>
        <v>0</v>
      </c>
      <c r="BO277">
        <f t="shared" si="122"/>
        <v>0</v>
      </c>
      <c r="BP277">
        <f t="shared" si="123"/>
        <v>0</v>
      </c>
      <c r="BQ277">
        <f t="shared" si="124"/>
        <v>0</v>
      </c>
      <c r="BR277">
        <f t="shared" si="126"/>
        <v>0</v>
      </c>
      <c r="BS277">
        <f t="shared" si="127"/>
        <v>0</v>
      </c>
      <c r="BT277">
        <f t="shared" si="128"/>
        <v>0</v>
      </c>
      <c r="BU277">
        <f t="shared" si="130"/>
        <v>0</v>
      </c>
      <c r="BV277">
        <f t="shared" si="131"/>
        <v>0</v>
      </c>
      <c r="BW277">
        <f t="shared" si="132"/>
        <v>0</v>
      </c>
      <c r="BX277">
        <f t="shared" si="134"/>
        <v>0</v>
      </c>
      <c r="BY277">
        <f>IF(AND($R317&lt;&gt;"",$R$315&lt;&gt;""),AG277,0)</f>
        <v>0</v>
      </c>
      <c r="BZ277">
        <f>IF(AND($R317&lt;&gt;"",$R$316&lt;&gt;""),AH277,0)</f>
        <v>0</v>
      </c>
      <c r="CA277">
        <f>IF($R317&lt;&gt;"",AI277,1)</f>
        <v>1</v>
      </c>
      <c r="CB277">
        <f t="shared" si="91"/>
        <v>0</v>
      </c>
      <c r="CC277">
        <f t="shared" si="92"/>
        <v>0</v>
      </c>
      <c r="CD277">
        <f t="shared" si="93"/>
        <v>0</v>
      </c>
      <c r="CE277">
        <f t="shared" si="94"/>
        <v>0</v>
      </c>
    </row>
    <row r="278" spans="2:84" ht="18" customHeight="1" x14ac:dyDescent="0.3">
      <c r="B278" s="42" t="s">
        <v>158</v>
      </c>
      <c r="C278" s="41">
        <f t="shared" ref="C278:AL280" si="135">C237</f>
        <v>0</v>
      </c>
      <c r="D278" s="41">
        <f t="shared" si="135"/>
        <v>0</v>
      </c>
      <c r="E278" s="41">
        <f t="shared" si="135"/>
        <v>0</v>
      </c>
      <c r="F278" s="41">
        <f t="shared" si="135"/>
        <v>0</v>
      </c>
      <c r="G278" s="41">
        <f t="shared" si="135"/>
        <v>0</v>
      </c>
      <c r="H278" s="41">
        <f t="shared" si="135"/>
        <v>0</v>
      </c>
      <c r="I278" s="41">
        <f t="shared" si="135"/>
        <v>0</v>
      </c>
      <c r="J278" s="41">
        <f t="shared" si="135"/>
        <v>0</v>
      </c>
      <c r="K278" s="41">
        <f t="shared" si="135"/>
        <v>0</v>
      </c>
      <c r="L278" s="41">
        <f t="shared" si="135"/>
        <v>0</v>
      </c>
      <c r="M278" s="41">
        <f t="shared" si="135"/>
        <v>0</v>
      </c>
      <c r="N278" s="41">
        <f t="shared" si="135"/>
        <v>0</v>
      </c>
      <c r="O278" s="41">
        <f t="shared" si="135"/>
        <v>0</v>
      </c>
      <c r="P278" s="41">
        <f t="shared" si="135"/>
        <v>0</v>
      </c>
      <c r="Q278" s="41">
        <f t="shared" si="135"/>
        <v>0</v>
      </c>
      <c r="R278" s="41">
        <f t="shared" si="135"/>
        <v>0</v>
      </c>
      <c r="S278" s="41">
        <f t="shared" si="135"/>
        <v>0</v>
      </c>
      <c r="T278" s="41">
        <f t="shared" si="135"/>
        <v>0</v>
      </c>
      <c r="U278" s="41">
        <f t="shared" si="135"/>
        <v>0</v>
      </c>
      <c r="V278" s="41">
        <f t="shared" si="135"/>
        <v>0</v>
      </c>
      <c r="W278" s="41">
        <f t="shared" si="135"/>
        <v>0</v>
      </c>
      <c r="X278" s="41">
        <f t="shared" si="135"/>
        <v>0</v>
      </c>
      <c r="Y278" s="41">
        <f t="shared" si="135"/>
        <v>0</v>
      </c>
      <c r="Z278" s="41">
        <f t="shared" si="135"/>
        <v>0</v>
      </c>
      <c r="AA278" s="41">
        <f t="shared" si="135"/>
        <v>0</v>
      </c>
      <c r="AB278" s="41">
        <f t="shared" si="135"/>
        <v>0</v>
      </c>
      <c r="AC278" s="41">
        <f t="shared" si="135"/>
        <v>0</v>
      </c>
      <c r="AD278" s="41">
        <f t="shared" si="135"/>
        <v>0</v>
      </c>
      <c r="AE278" s="41">
        <f t="shared" si="135"/>
        <v>0</v>
      </c>
      <c r="AF278" s="41">
        <f t="shared" si="135"/>
        <v>0</v>
      </c>
      <c r="AG278" s="59">
        <f t="shared" si="135"/>
        <v>0</v>
      </c>
      <c r="AH278" s="59">
        <f t="shared" si="135"/>
        <v>0</v>
      </c>
      <c r="AI278" s="59">
        <f t="shared" si="135"/>
        <v>0</v>
      </c>
      <c r="AJ278" s="44">
        <f t="shared" si="135"/>
        <v>0</v>
      </c>
      <c r="AK278" s="59">
        <f t="shared" si="135"/>
        <v>0</v>
      </c>
      <c r="AL278" s="59">
        <f t="shared" si="135"/>
        <v>0</v>
      </c>
      <c r="AM278" s="42" t="s">
        <v>158</v>
      </c>
      <c r="AU278">
        <f t="shared" si="95"/>
        <v>0</v>
      </c>
      <c r="AV278">
        <f t="shared" si="96"/>
        <v>0</v>
      </c>
      <c r="AW278">
        <f t="shared" si="98"/>
        <v>0</v>
      </c>
      <c r="AX278">
        <f t="shared" si="99"/>
        <v>0</v>
      </c>
      <c r="AY278">
        <f t="shared" si="100"/>
        <v>0</v>
      </c>
      <c r="AZ278">
        <f t="shared" si="102"/>
        <v>0</v>
      </c>
      <c r="BA278">
        <f t="shared" si="103"/>
        <v>0</v>
      </c>
      <c r="BB278">
        <f t="shared" si="104"/>
        <v>0</v>
      </c>
      <c r="BC278">
        <f t="shared" si="106"/>
        <v>0</v>
      </c>
      <c r="BD278">
        <f t="shared" si="107"/>
        <v>0</v>
      </c>
      <c r="BE278">
        <f t="shared" si="108"/>
        <v>0</v>
      </c>
      <c r="BF278">
        <f t="shared" si="110"/>
        <v>0</v>
      </c>
      <c r="BG278">
        <f t="shared" si="111"/>
        <v>0</v>
      </c>
      <c r="BH278">
        <f t="shared" si="112"/>
        <v>0</v>
      </c>
      <c r="BI278">
        <f t="shared" si="114"/>
        <v>0</v>
      </c>
      <c r="BJ278">
        <f t="shared" si="115"/>
        <v>0</v>
      </c>
      <c r="BK278">
        <f t="shared" si="116"/>
        <v>0</v>
      </c>
      <c r="BL278">
        <f t="shared" si="118"/>
        <v>0</v>
      </c>
      <c r="BM278">
        <f t="shared" si="119"/>
        <v>0</v>
      </c>
      <c r="BN278">
        <f t="shared" si="120"/>
        <v>0</v>
      </c>
      <c r="BO278">
        <f t="shared" si="122"/>
        <v>0</v>
      </c>
      <c r="BP278">
        <f t="shared" si="123"/>
        <v>0</v>
      </c>
      <c r="BQ278">
        <f t="shared" si="124"/>
        <v>0</v>
      </c>
      <c r="BR278">
        <f t="shared" si="126"/>
        <v>0</v>
      </c>
      <c r="BS278">
        <f t="shared" si="127"/>
        <v>0</v>
      </c>
      <c r="BT278">
        <f t="shared" si="128"/>
        <v>0</v>
      </c>
      <c r="BU278">
        <f t="shared" si="130"/>
        <v>0</v>
      </c>
      <c r="BV278">
        <f t="shared" si="131"/>
        <v>0</v>
      </c>
      <c r="BW278">
        <f t="shared" si="132"/>
        <v>0</v>
      </c>
      <c r="BX278">
        <f t="shared" si="134"/>
        <v>0</v>
      </c>
      <c r="BY278">
        <f>IF(AND($R318&lt;&gt;"",$R$315&lt;&gt;""),AG278,0)</f>
        <v>0</v>
      </c>
      <c r="BZ278">
        <f>IF(AND($R318&lt;&gt;"",$R$316&lt;&gt;""),AH278,0)</f>
        <v>0</v>
      </c>
      <c r="CA278">
        <f>IF(AND($R318&lt;&gt;"",$R$317&lt;&gt;""),AI278,0)</f>
        <v>0</v>
      </c>
      <c r="CB278">
        <f>IF($R318&lt;&gt;"",AJ278,1)</f>
        <v>1</v>
      </c>
      <c r="CC278">
        <f t="shared" si="92"/>
        <v>0</v>
      </c>
      <c r="CD278">
        <f t="shared" si="93"/>
        <v>0</v>
      </c>
      <c r="CE278">
        <f t="shared" si="94"/>
        <v>0</v>
      </c>
    </row>
    <row r="279" spans="2:84" ht="18" customHeight="1" x14ac:dyDescent="0.3">
      <c r="B279" s="42" t="s">
        <v>159</v>
      </c>
      <c r="C279" s="41">
        <f t="shared" si="135"/>
        <v>0</v>
      </c>
      <c r="D279" s="41">
        <f t="shared" si="135"/>
        <v>0</v>
      </c>
      <c r="E279" s="41">
        <f t="shared" si="135"/>
        <v>0</v>
      </c>
      <c r="F279" s="41">
        <f t="shared" si="135"/>
        <v>0</v>
      </c>
      <c r="G279" s="41">
        <f t="shared" si="135"/>
        <v>0</v>
      </c>
      <c r="H279" s="41">
        <f t="shared" si="135"/>
        <v>0</v>
      </c>
      <c r="I279" s="41">
        <f t="shared" si="135"/>
        <v>0</v>
      </c>
      <c r="J279" s="41">
        <f t="shared" si="135"/>
        <v>0</v>
      </c>
      <c r="K279" s="41">
        <f t="shared" si="135"/>
        <v>0</v>
      </c>
      <c r="L279" s="41">
        <f t="shared" si="135"/>
        <v>0</v>
      </c>
      <c r="M279" s="41">
        <f t="shared" si="135"/>
        <v>0</v>
      </c>
      <c r="N279" s="41">
        <f t="shared" si="135"/>
        <v>0</v>
      </c>
      <c r="O279" s="41">
        <f t="shared" si="135"/>
        <v>0</v>
      </c>
      <c r="P279" s="41">
        <f t="shared" si="135"/>
        <v>0</v>
      </c>
      <c r="Q279" s="41">
        <f t="shared" si="135"/>
        <v>0</v>
      </c>
      <c r="R279" s="41">
        <f t="shared" si="135"/>
        <v>0</v>
      </c>
      <c r="S279" s="41">
        <f t="shared" si="135"/>
        <v>0</v>
      </c>
      <c r="T279" s="41">
        <f t="shared" si="135"/>
        <v>0</v>
      </c>
      <c r="U279" s="41">
        <f t="shared" si="135"/>
        <v>0</v>
      </c>
      <c r="V279" s="41">
        <f t="shared" si="135"/>
        <v>0</v>
      </c>
      <c r="W279" s="41">
        <f t="shared" si="135"/>
        <v>0</v>
      </c>
      <c r="X279" s="41">
        <f t="shared" si="135"/>
        <v>0</v>
      </c>
      <c r="Y279" s="41">
        <f t="shared" si="135"/>
        <v>0</v>
      </c>
      <c r="Z279" s="41">
        <f t="shared" si="135"/>
        <v>0</v>
      </c>
      <c r="AA279" s="41">
        <f t="shared" si="135"/>
        <v>0</v>
      </c>
      <c r="AB279" s="41">
        <f t="shared" si="135"/>
        <v>0</v>
      </c>
      <c r="AC279" s="41">
        <f t="shared" si="135"/>
        <v>0</v>
      </c>
      <c r="AD279" s="41">
        <f t="shared" si="135"/>
        <v>0</v>
      </c>
      <c r="AE279" s="41">
        <f t="shared" si="135"/>
        <v>0</v>
      </c>
      <c r="AF279" s="41">
        <f t="shared" si="135"/>
        <v>0</v>
      </c>
      <c r="AG279" s="59">
        <f t="shared" si="135"/>
        <v>0</v>
      </c>
      <c r="AH279" s="59">
        <f t="shared" si="135"/>
        <v>0</v>
      </c>
      <c r="AI279" s="59">
        <f t="shared" si="135"/>
        <v>0</v>
      </c>
      <c r="AJ279" s="59">
        <f t="shared" si="135"/>
        <v>0</v>
      </c>
      <c r="AK279" s="44">
        <f t="shared" si="135"/>
        <v>0</v>
      </c>
      <c r="AL279" s="59">
        <f t="shared" si="135"/>
        <v>0</v>
      </c>
      <c r="AM279" s="42" t="s">
        <v>159</v>
      </c>
      <c r="AU279">
        <f t="shared" si="95"/>
        <v>0</v>
      </c>
      <c r="AV279">
        <f t="shared" si="96"/>
        <v>0</v>
      </c>
      <c r="AW279">
        <f t="shared" si="98"/>
        <v>0</v>
      </c>
      <c r="AX279">
        <f t="shared" si="99"/>
        <v>0</v>
      </c>
      <c r="AY279">
        <f t="shared" si="100"/>
        <v>0</v>
      </c>
      <c r="AZ279">
        <f t="shared" si="102"/>
        <v>0</v>
      </c>
      <c r="BA279">
        <f t="shared" si="103"/>
        <v>0</v>
      </c>
      <c r="BB279">
        <f t="shared" si="104"/>
        <v>0</v>
      </c>
      <c r="BC279">
        <f t="shared" si="106"/>
        <v>0</v>
      </c>
      <c r="BD279">
        <f t="shared" si="107"/>
        <v>0</v>
      </c>
      <c r="BE279">
        <f t="shared" si="108"/>
        <v>0</v>
      </c>
      <c r="BF279">
        <f t="shared" si="110"/>
        <v>0</v>
      </c>
      <c r="BG279">
        <f t="shared" si="111"/>
        <v>0</v>
      </c>
      <c r="BH279">
        <f t="shared" si="112"/>
        <v>0</v>
      </c>
      <c r="BI279">
        <f t="shared" si="114"/>
        <v>0</v>
      </c>
      <c r="BJ279">
        <f t="shared" si="115"/>
        <v>0</v>
      </c>
      <c r="BK279">
        <f t="shared" si="116"/>
        <v>0</v>
      </c>
      <c r="BL279">
        <f t="shared" si="118"/>
        <v>0</v>
      </c>
      <c r="BM279">
        <f t="shared" si="119"/>
        <v>0</v>
      </c>
      <c r="BN279">
        <f t="shared" si="120"/>
        <v>0</v>
      </c>
      <c r="BO279">
        <f t="shared" si="122"/>
        <v>0</v>
      </c>
      <c r="BP279">
        <f t="shared" si="123"/>
        <v>0</v>
      </c>
      <c r="BQ279">
        <f t="shared" si="124"/>
        <v>0</v>
      </c>
      <c r="BR279">
        <f t="shared" si="126"/>
        <v>0</v>
      </c>
      <c r="BS279">
        <f t="shared" si="127"/>
        <v>0</v>
      </c>
      <c r="BT279">
        <f t="shared" si="128"/>
        <v>0</v>
      </c>
      <c r="BU279">
        <f t="shared" si="130"/>
        <v>0</v>
      </c>
      <c r="BV279">
        <f t="shared" si="131"/>
        <v>0</v>
      </c>
      <c r="BW279">
        <f t="shared" si="132"/>
        <v>0</v>
      </c>
      <c r="BX279">
        <f t="shared" si="134"/>
        <v>0</v>
      </c>
      <c r="BY279">
        <f>IF(AND($R319&lt;&gt;"",$R$315&lt;&gt;""),AG279,0)</f>
        <v>0</v>
      </c>
      <c r="BZ279">
        <f>IF(AND($R319&lt;&gt;"",$R$316&lt;&gt;""),AH279,0)</f>
        <v>0</v>
      </c>
      <c r="CA279">
        <f>IF(AND($R319&lt;&gt;"",$R$317&lt;&gt;""),AI279,0)</f>
        <v>0</v>
      </c>
      <c r="CB279">
        <f>IF(AND($R319&lt;&gt;"",$R$318&lt;&gt;""),AJ279,0)</f>
        <v>0</v>
      </c>
      <c r="CC279">
        <f>IF($R319&lt;&gt;"",AK279,1)</f>
        <v>1</v>
      </c>
      <c r="CD279">
        <f t="shared" si="93"/>
        <v>0</v>
      </c>
      <c r="CE279">
        <f t="shared" si="94"/>
        <v>0</v>
      </c>
    </row>
    <row r="280" spans="2:84" ht="18" customHeight="1" x14ac:dyDescent="0.3">
      <c r="B280" s="42" t="s">
        <v>160</v>
      </c>
      <c r="C280" s="41">
        <f t="shared" si="135"/>
        <v>0</v>
      </c>
      <c r="D280" s="41">
        <f t="shared" si="135"/>
        <v>0</v>
      </c>
      <c r="E280" s="41">
        <f t="shared" si="135"/>
        <v>0</v>
      </c>
      <c r="F280" s="41">
        <f t="shared" si="135"/>
        <v>0</v>
      </c>
      <c r="G280" s="41">
        <f t="shared" si="135"/>
        <v>0</v>
      </c>
      <c r="H280" s="41">
        <f t="shared" si="135"/>
        <v>0</v>
      </c>
      <c r="I280" s="41">
        <f t="shared" si="135"/>
        <v>0</v>
      </c>
      <c r="J280" s="41">
        <f t="shared" si="135"/>
        <v>0</v>
      </c>
      <c r="K280" s="41">
        <f t="shared" si="135"/>
        <v>0</v>
      </c>
      <c r="L280" s="41">
        <f t="shared" si="135"/>
        <v>0</v>
      </c>
      <c r="M280" s="41">
        <f t="shared" si="135"/>
        <v>0</v>
      </c>
      <c r="N280" s="41">
        <f t="shared" si="135"/>
        <v>0</v>
      </c>
      <c r="O280" s="41">
        <f t="shared" si="135"/>
        <v>0</v>
      </c>
      <c r="P280" s="41">
        <f t="shared" si="135"/>
        <v>0</v>
      </c>
      <c r="Q280" s="41">
        <f t="shared" si="135"/>
        <v>0</v>
      </c>
      <c r="R280" s="41">
        <f t="shared" si="135"/>
        <v>0</v>
      </c>
      <c r="S280" s="41">
        <f t="shared" si="135"/>
        <v>0</v>
      </c>
      <c r="T280" s="41">
        <f t="shared" si="135"/>
        <v>0</v>
      </c>
      <c r="U280" s="41">
        <f t="shared" si="135"/>
        <v>0</v>
      </c>
      <c r="V280" s="41">
        <f t="shared" si="135"/>
        <v>0</v>
      </c>
      <c r="W280" s="41">
        <f t="shared" si="135"/>
        <v>0</v>
      </c>
      <c r="X280" s="41">
        <f t="shared" si="135"/>
        <v>0</v>
      </c>
      <c r="Y280" s="41">
        <f t="shared" si="135"/>
        <v>0</v>
      </c>
      <c r="Z280" s="41">
        <f t="shared" si="135"/>
        <v>0</v>
      </c>
      <c r="AA280" s="41">
        <f t="shared" si="135"/>
        <v>0</v>
      </c>
      <c r="AB280" s="41">
        <f t="shared" si="135"/>
        <v>0</v>
      </c>
      <c r="AC280" s="41">
        <f t="shared" si="135"/>
        <v>0</v>
      </c>
      <c r="AD280" s="41">
        <f t="shared" si="135"/>
        <v>0</v>
      </c>
      <c r="AE280" s="41">
        <f t="shared" si="135"/>
        <v>0</v>
      </c>
      <c r="AF280" s="41">
        <f t="shared" si="135"/>
        <v>0</v>
      </c>
      <c r="AG280" s="59">
        <f t="shared" si="135"/>
        <v>0</v>
      </c>
      <c r="AH280" s="59">
        <f t="shared" si="135"/>
        <v>0</v>
      </c>
      <c r="AI280" s="59">
        <f t="shared" si="135"/>
        <v>0</v>
      </c>
      <c r="AJ280" s="59">
        <f t="shared" si="135"/>
        <v>0</v>
      </c>
      <c r="AK280" s="59">
        <f t="shared" si="135"/>
        <v>0</v>
      </c>
      <c r="AL280" s="44">
        <f t="shared" si="135"/>
        <v>0</v>
      </c>
      <c r="AM280" s="42" t="s">
        <v>160</v>
      </c>
      <c r="AU280">
        <f t="shared" si="95"/>
        <v>0</v>
      </c>
      <c r="AV280">
        <f t="shared" si="96"/>
        <v>0</v>
      </c>
      <c r="AW280">
        <f t="shared" si="98"/>
        <v>0</v>
      </c>
      <c r="AX280">
        <f t="shared" si="99"/>
        <v>0</v>
      </c>
      <c r="AY280">
        <f t="shared" si="100"/>
        <v>0</v>
      </c>
      <c r="AZ280">
        <f t="shared" si="102"/>
        <v>0</v>
      </c>
      <c r="BA280">
        <f t="shared" si="103"/>
        <v>0</v>
      </c>
      <c r="BB280">
        <f t="shared" si="104"/>
        <v>0</v>
      </c>
      <c r="BC280">
        <f t="shared" si="106"/>
        <v>0</v>
      </c>
      <c r="BD280">
        <f t="shared" si="107"/>
        <v>0</v>
      </c>
      <c r="BE280">
        <f t="shared" si="108"/>
        <v>0</v>
      </c>
      <c r="BF280">
        <f t="shared" si="110"/>
        <v>0</v>
      </c>
      <c r="BG280">
        <f t="shared" si="111"/>
        <v>0</v>
      </c>
      <c r="BH280">
        <f t="shared" si="112"/>
        <v>0</v>
      </c>
      <c r="BI280">
        <f t="shared" si="114"/>
        <v>0</v>
      </c>
      <c r="BJ280">
        <f t="shared" si="115"/>
        <v>0</v>
      </c>
      <c r="BK280">
        <f t="shared" si="116"/>
        <v>0</v>
      </c>
      <c r="BL280">
        <f t="shared" si="118"/>
        <v>0</v>
      </c>
      <c r="BM280">
        <f t="shared" si="119"/>
        <v>0</v>
      </c>
      <c r="BN280">
        <f t="shared" si="120"/>
        <v>0</v>
      </c>
      <c r="BO280">
        <f t="shared" si="122"/>
        <v>0</v>
      </c>
      <c r="BP280">
        <f t="shared" si="123"/>
        <v>0</v>
      </c>
      <c r="BQ280">
        <f t="shared" si="124"/>
        <v>0</v>
      </c>
      <c r="BR280">
        <f t="shared" si="126"/>
        <v>0</v>
      </c>
      <c r="BS280">
        <f t="shared" si="127"/>
        <v>0</v>
      </c>
      <c r="BT280">
        <f t="shared" si="128"/>
        <v>0</v>
      </c>
      <c r="BU280">
        <f t="shared" si="130"/>
        <v>0</v>
      </c>
      <c r="BV280">
        <f t="shared" si="131"/>
        <v>0</v>
      </c>
      <c r="BW280">
        <f t="shared" si="132"/>
        <v>0</v>
      </c>
      <c r="BX280">
        <f t="shared" si="134"/>
        <v>0</v>
      </c>
      <c r="BY280">
        <f>IF(AND($R320&lt;&gt;"",$R$315&lt;&gt;""),AG280,0)</f>
        <v>0</v>
      </c>
      <c r="BZ280">
        <f>IF(AND($R320&lt;&gt;"",$R$316&lt;&gt;""),AH280,0)</f>
        <v>0</v>
      </c>
      <c r="CA280">
        <f>IF(AND($R320&lt;&gt;"",$R$317&lt;&gt;""),AI280,0)</f>
        <v>0</v>
      </c>
      <c r="CB280">
        <f>IF(AND($R320&lt;&gt;"",$R$318&lt;&gt;""),AJ280,0)</f>
        <v>0</v>
      </c>
      <c r="CC280">
        <f>IF(AND($R320&lt;&gt;"",$R$319&lt;&gt;""),AK280,0)</f>
        <v>0</v>
      </c>
      <c r="CD280">
        <f>IF($R320&lt;&gt;"",AL280,1)</f>
        <v>1</v>
      </c>
      <c r="CE280">
        <f t="shared" si="94"/>
        <v>0</v>
      </c>
    </row>
    <row r="282" spans="2:84" ht="15" thickBot="1" x14ac:dyDescent="0.35">
      <c r="AU282">
        <f>CE245</f>
        <v>0</v>
      </c>
      <c r="AV282">
        <f>CE246</f>
        <v>0</v>
      </c>
      <c r="AW282">
        <f>CE247</f>
        <v>0</v>
      </c>
      <c r="AX282">
        <f>CE248</f>
        <v>0</v>
      </c>
      <c r="AY282">
        <f>CE249</f>
        <v>-1200</v>
      </c>
      <c r="AZ282">
        <f>CE250</f>
        <v>0</v>
      </c>
      <c r="BA282">
        <f>CE251</f>
        <v>0</v>
      </c>
      <c r="BB282">
        <f>CE252</f>
        <v>0</v>
      </c>
      <c r="BC282">
        <f>CE253</f>
        <v>0</v>
      </c>
      <c r="BD282">
        <f>CE254</f>
        <v>-1500</v>
      </c>
      <c r="BE282">
        <f>CE255</f>
        <v>-2000</v>
      </c>
      <c r="BF282">
        <f>CE256</f>
        <v>0</v>
      </c>
      <c r="BG282">
        <f>CE257</f>
        <v>0</v>
      </c>
      <c r="BH282">
        <f>CE258</f>
        <v>0</v>
      </c>
      <c r="BI282">
        <f>CE259</f>
        <v>0</v>
      </c>
      <c r="BJ282">
        <f>CE260</f>
        <v>0</v>
      </c>
      <c r="BK282">
        <f>CE261</f>
        <v>0</v>
      </c>
      <c r="BL282">
        <f>CE262</f>
        <v>-80000</v>
      </c>
      <c r="BM282">
        <f>CE263</f>
        <v>0</v>
      </c>
      <c r="BN282">
        <f>CE264</f>
        <v>0</v>
      </c>
      <c r="BO282">
        <f>CE265</f>
        <v>0</v>
      </c>
      <c r="BP282">
        <f>CE266</f>
        <v>0</v>
      </c>
      <c r="BQ282">
        <f>CE267</f>
        <v>0</v>
      </c>
      <c r="BR282">
        <f>CE268</f>
        <v>0</v>
      </c>
      <c r="BS282">
        <f>CE269</f>
        <v>0</v>
      </c>
      <c r="BT282">
        <f>CE270</f>
        <v>0</v>
      </c>
      <c r="BU282">
        <f>CE271</f>
        <v>0</v>
      </c>
      <c r="BV282">
        <f>CE272</f>
        <v>0</v>
      </c>
      <c r="BW282">
        <f>CE273</f>
        <v>0</v>
      </c>
      <c r="BX282">
        <f>CE274</f>
        <v>0</v>
      </c>
      <c r="BY282">
        <f>CE275</f>
        <v>0</v>
      </c>
      <c r="BZ282">
        <f>CE276</f>
        <v>0</v>
      </c>
      <c r="CA282">
        <f>CE277</f>
        <v>0</v>
      </c>
      <c r="CB282">
        <f>CE278</f>
        <v>0</v>
      </c>
      <c r="CC282">
        <f>CE279</f>
        <v>0</v>
      </c>
      <c r="CD282">
        <f>CE280</f>
        <v>0</v>
      </c>
    </row>
    <row r="283" spans="2:84" ht="22.05" customHeight="1" thickBot="1" x14ac:dyDescent="0.35">
      <c r="B283" s="61" t="s">
        <v>173</v>
      </c>
      <c r="C283" s="61"/>
      <c r="D283" s="61"/>
      <c r="E283" s="61"/>
      <c r="F283" s="61"/>
      <c r="G283" s="61"/>
      <c r="H283" s="61"/>
      <c r="J283" s="61" t="s">
        <v>174</v>
      </c>
      <c r="K283" s="61"/>
      <c r="L283" s="61"/>
      <c r="M283" s="61"/>
      <c r="N283" s="61"/>
      <c r="O283" s="61"/>
      <c r="AU283">
        <f>CE285</f>
        <v>0</v>
      </c>
      <c r="AV283">
        <f>CE286</f>
        <v>0</v>
      </c>
      <c r="AW283">
        <f>CE287</f>
        <v>1.0702201319485239E-5</v>
      </c>
      <c r="AX283">
        <f>CE288</f>
        <v>-2.9629629629629624E-4</v>
      </c>
      <c r="AY283">
        <f>CE289</f>
        <v>5.1169900058788895E-3</v>
      </c>
      <c r="AZ283">
        <f>CE290</f>
        <v>5.5350447449212905E-5</v>
      </c>
      <c r="BA283">
        <f>CE291</f>
        <v>-5.9259259259259248E-4</v>
      </c>
      <c r="BB283">
        <f>CE292</f>
        <v>0</v>
      </c>
      <c r="BC283">
        <f>CE293</f>
        <v>-2.3210399111633681E-4</v>
      </c>
      <c r="BD283">
        <f>CE294</f>
        <v>-1.1851851851851852E-3</v>
      </c>
      <c r="BE283">
        <f>CE295</f>
        <v>-0.15565014044026396</v>
      </c>
      <c r="BF283">
        <f>CE296</f>
        <v>-3.8962701678751057E-5</v>
      </c>
      <c r="BG283">
        <f>CE297</f>
        <v>0</v>
      </c>
      <c r="BH283">
        <f>CE298</f>
        <v>0</v>
      </c>
      <c r="BI283">
        <f>CE299</f>
        <v>3.8795479783134107E-4</v>
      </c>
      <c r="BJ283">
        <f>CE300</f>
        <v>0</v>
      </c>
      <c r="BK283">
        <f>CE301</f>
        <v>3.3627278071722513E-2</v>
      </c>
      <c r="BL283">
        <f>CE302</f>
        <v>-1.0336403422823176E-4</v>
      </c>
      <c r="BM283">
        <f>CE303</f>
        <v>0</v>
      </c>
      <c r="BN283">
        <f>CE304</f>
        <v>0</v>
      </c>
      <c r="BO283">
        <f>CE305</f>
        <v>-1.5008165131621923E-4</v>
      </c>
      <c r="BP283">
        <f>CE306</f>
        <v>0</v>
      </c>
      <c r="BQ283">
        <f>CE307</f>
        <v>0</v>
      </c>
      <c r="BR283">
        <f>CE308</f>
        <v>0</v>
      </c>
      <c r="BS283">
        <f>CE309</f>
        <v>0</v>
      </c>
      <c r="BT283">
        <f>CE310</f>
        <v>0</v>
      </c>
      <c r="BU283">
        <f>CE311</f>
        <v>0</v>
      </c>
      <c r="BV283">
        <f>CE312</f>
        <v>0</v>
      </c>
      <c r="BW283">
        <f>CE313</f>
        <v>0</v>
      </c>
      <c r="BX283">
        <f>CE314</f>
        <v>0</v>
      </c>
      <c r="BY283">
        <f>CE315</f>
        <v>0</v>
      </c>
      <c r="BZ283">
        <f>CE316</f>
        <v>0</v>
      </c>
      <c r="CA283">
        <f>CE317</f>
        <v>0</v>
      </c>
      <c r="CB283">
        <f>CE318</f>
        <v>0</v>
      </c>
      <c r="CC283">
        <f>CE319</f>
        <v>0</v>
      </c>
      <c r="CD283">
        <f>CE320</f>
        <v>0</v>
      </c>
    </row>
    <row r="284" spans="2:84" ht="28.2" thickBot="1" x14ac:dyDescent="0.35">
      <c r="B284" s="36" t="s">
        <v>175</v>
      </c>
      <c r="C284" s="36" t="s">
        <v>123</v>
      </c>
      <c r="D284" s="36" t="s">
        <v>176</v>
      </c>
      <c r="E284" s="36" t="s">
        <v>177</v>
      </c>
      <c r="F284" s="36" t="s">
        <v>178</v>
      </c>
      <c r="G284" s="36" t="s">
        <v>179</v>
      </c>
      <c r="H284" s="36" t="s">
        <v>123</v>
      </c>
      <c r="J284" s="36" t="s">
        <v>180</v>
      </c>
      <c r="K284" s="36" t="s">
        <v>123</v>
      </c>
      <c r="L284" s="36" t="s">
        <v>181</v>
      </c>
      <c r="M284" s="36" t="s">
        <v>182</v>
      </c>
      <c r="N284" s="36" t="s">
        <v>183</v>
      </c>
      <c r="O284" s="36" t="s">
        <v>123</v>
      </c>
      <c r="P284" s="62" t="s">
        <v>184</v>
      </c>
      <c r="Q284" s="62" t="s">
        <v>185</v>
      </c>
      <c r="R284" s="62" t="s">
        <v>186</v>
      </c>
      <c r="S284" s="62" t="s">
        <v>187</v>
      </c>
    </row>
    <row r="285" spans="2:84" ht="18" customHeight="1" x14ac:dyDescent="0.3">
      <c r="B285" s="32" t="str">
        <f>IF(Q285="NO","","C1X")</f>
        <v>C1X</v>
      </c>
      <c r="C285" s="35" t="str">
        <f>IF(Q285="NO","","U1X")</f>
        <v>U1X</v>
      </c>
      <c r="D285" s="12">
        <f>IF(Q285="NO","",N(O42))</f>
        <v>0</v>
      </c>
      <c r="E285" s="23">
        <f>IF(Q285="NO","",0)</f>
        <v>0</v>
      </c>
      <c r="F285" s="11">
        <f t="shared" ref="F285:F320" si="136">IF(Q285="NO","",D285+E285)</f>
        <v>0</v>
      </c>
      <c r="G285" s="3" t="str">
        <f t="shared" ref="G285:G320" si="137">IF(Q285="NO","",IF(L285="NO",IF(F285=0,"R_"&amp;C285,IF(F285&lt;0,"R_"&amp;C285&amp;F285,"R_"&amp;C285&amp;"+"&amp;F285)),F285))</f>
        <v>R_U1X</v>
      </c>
      <c r="H285" s="35" t="str">
        <f t="shared" ref="H285:H320" si="138">C285</f>
        <v>U1X</v>
      </c>
      <c r="J285" s="32" t="str">
        <f>IF(Q285="NO","","D1X")</f>
        <v>D1X</v>
      </c>
      <c r="K285" s="35" t="str">
        <f>IF(Q285="NO","","U1X")</f>
        <v>U1X</v>
      </c>
      <c r="L285" s="35" t="str">
        <f>IF(Q285="NO","",D42)</f>
        <v>NO</v>
      </c>
      <c r="M285" s="7">
        <f>IF(Q285="NO","",G42)</f>
        <v>0</v>
      </c>
      <c r="N285" s="63">
        <f t="shared" ref="N285:N320" si="139">IF(Q285="NO","",CE285)</f>
        <v>0</v>
      </c>
      <c r="O285" s="35" t="str">
        <f t="shared" ref="O285:O320" si="140">K285</f>
        <v>U1X</v>
      </c>
      <c r="P285" s="4">
        <v>1</v>
      </c>
      <c r="Q285" s="4" t="str">
        <f>IF(1&lt;=$G$7,"SÍ","NO")</f>
        <v>SÍ</v>
      </c>
      <c r="R285" s="4" t="str">
        <f>IF(AND(Q285="SÍ",L285="SÍ"),COUNTIFS($Q$285:Q285,"SÍ",$L$285:L285,"SÍ"),"")</f>
        <v/>
      </c>
      <c r="S285" s="4">
        <f>IF(AND(Q285="SÍ",L285="NO"),COUNTIFS($Q$285:Q285,"SÍ",$L$285:L285,"NO"),"")</f>
        <v>1</v>
      </c>
      <c r="AU285">
        <f t="array" ref="AU285:CD320">MINVERSE(AU245:CD280)</f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f t="shared" ref="CE285:CE320" si="141">IF($R285="",0,SUMPRODUCT(AU285:CD285,$AU$282:$CD$282))</f>
        <v>0</v>
      </c>
      <c r="CF285">
        <f t="shared" ref="CF285:CF320" si="142">IF($Q285="NO",0,SUMPRODUCT(C245:AL245,$AU$283:$CD$283))</f>
        <v>499.99999999999989</v>
      </c>
    </row>
    <row r="286" spans="2:84" ht="18" customHeight="1" x14ac:dyDescent="0.3">
      <c r="B286" s="32" t="str">
        <f>IF(Q286="NO","","C1Y")</f>
        <v>C1Y</v>
      </c>
      <c r="C286" s="35" t="str">
        <f>IF(Q286="NO","","U1Y")</f>
        <v>U1Y</v>
      </c>
      <c r="D286" s="12">
        <f>IF(Q286="NO","",N(P42))</f>
        <v>0</v>
      </c>
      <c r="E286" s="23">
        <f>IF(Q286="NO","",-N(W14))</f>
        <v>0</v>
      </c>
      <c r="F286" s="11">
        <f t="shared" si="136"/>
        <v>0</v>
      </c>
      <c r="G286" s="3" t="str">
        <f t="shared" si="137"/>
        <v>R_U1Y</v>
      </c>
      <c r="H286" s="35" t="str">
        <f t="shared" si="138"/>
        <v>U1Y</v>
      </c>
      <c r="J286" s="32" t="str">
        <f>IF(Q286="NO","","D1Y")</f>
        <v>D1Y</v>
      </c>
      <c r="K286" s="35" t="str">
        <f>IF(Q286="NO","","U1Y")</f>
        <v>U1Y</v>
      </c>
      <c r="L286" s="35" t="str">
        <f>IF(Q286="NO","",E42)</f>
        <v>NO</v>
      </c>
      <c r="M286" s="7">
        <f>IF(Q286="NO","",H42)</f>
        <v>0</v>
      </c>
      <c r="N286" s="63">
        <f t="shared" si="139"/>
        <v>0</v>
      </c>
      <c r="O286" s="35" t="str">
        <f t="shared" si="140"/>
        <v>U1Y</v>
      </c>
      <c r="P286" s="4">
        <v>2</v>
      </c>
      <c r="Q286" s="4" t="str">
        <f>IF(1&lt;=$G$7,"SÍ","NO")</f>
        <v>SÍ</v>
      </c>
      <c r="R286" s="4" t="str">
        <f>IF(AND(Q286="SÍ",L286="SÍ"),COUNTIFS($Q$285:Q286,"SÍ",$L$285:L286,"SÍ"),"")</f>
        <v/>
      </c>
      <c r="S286" s="4">
        <f>IF(AND(Q286="SÍ",L286="NO"),COUNTIFS($Q$285:Q286,"SÍ",$L$285:L286,"NO"),"")</f>
        <v>2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f t="shared" si="141"/>
        <v>0</v>
      </c>
      <c r="CF286">
        <f t="shared" si="142"/>
        <v>127.14285714285751</v>
      </c>
    </row>
    <row r="287" spans="2:84" ht="18" customHeight="1" x14ac:dyDescent="0.3">
      <c r="B287" s="32" t="str">
        <f>IF(Q287="NO","","C1θ")</f>
        <v>C1θ</v>
      </c>
      <c r="C287" s="35" t="str">
        <f>IF(Q287="NO","","U1θ")</f>
        <v>U1θ</v>
      </c>
      <c r="D287" s="12">
        <f>IF(Q287="NO","",N(Q42))</f>
        <v>0</v>
      </c>
      <c r="E287" s="23">
        <f>IF(Q287="NO","",-N(X14))</f>
        <v>0</v>
      </c>
      <c r="F287" s="11">
        <f t="shared" si="136"/>
        <v>0</v>
      </c>
      <c r="G287" s="3">
        <f t="shared" si="137"/>
        <v>0</v>
      </c>
      <c r="H287" s="35" t="str">
        <f t="shared" si="138"/>
        <v>U1θ</v>
      </c>
      <c r="J287" s="32" t="str">
        <f>IF(Q287="NO","","D1θ")</f>
        <v>D1θ</v>
      </c>
      <c r="K287" s="35" t="str">
        <f>IF(Q287="NO","","U1θ")</f>
        <v>U1θ</v>
      </c>
      <c r="L287" s="35" t="str">
        <f>IF(Q287="NO","",F42)</f>
        <v>SÍ</v>
      </c>
      <c r="M287" s="7" t="str">
        <f>IF(Q287="NO","",I42)</f>
        <v>D1θ</v>
      </c>
      <c r="N287" s="63">
        <f t="shared" si="139"/>
        <v>1.0702201319485239E-5</v>
      </c>
      <c r="O287" s="35" t="str">
        <f t="shared" si="140"/>
        <v>U1θ</v>
      </c>
      <c r="P287" s="4">
        <v>3</v>
      </c>
      <c r="Q287" s="4" t="str">
        <f>IF(1&lt;=$G$7,"SÍ","NO")</f>
        <v>SÍ</v>
      </c>
      <c r="R287" s="4">
        <f>IF(AND(Q287="SÍ",L287="SÍ"),COUNTIFS($Q$285:Q287,"SÍ",$L$285:L287,"SÍ"),"")</f>
        <v>1</v>
      </c>
      <c r="S287" s="4" t="str">
        <f>IF(AND(Q287="SÍ",L287="NO"),COUNTIFS($Q$285:Q287,"SÍ",$L$285:L287,"NO"),"")</f>
        <v/>
      </c>
      <c r="AU287">
        <v>0</v>
      </c>
      <c r="AV287">
        <v>0</v>
      </c>
      <c r="AW287">
        <v>2.1237180743353579E-9</v>
      </c>
      <c r="AX287">
        <v>0</v>
      </c>
      <c r="AY287">
        <v>1.429747207524985E-7</v>
      </c>
      <c r="AZ287">
        <v>-3.4698543340518652E-10</v>
      </c>
      <c r="BA287">
        <v>0</v>
      </c>
      <c r="BB287">
        <v>0</v>
      </c>
      <c r="BC287">
        <v>-7.3577634071461203E-10</v>
      </c>
      <c r="BD287">
        <v>0</v>
      </c>
      <c r="BE287">
        <v>-9.0299823633156931E-8</v>
      </c>
      <c r="BF287">
        <v>1.4213861127441406E-10</v>
      </c>
      <c r="BG287">
        <v>0</v>
      </c>
      <c r="BH287">
        <v>0</v>
      </c>
      <c r="BI287">
        <v>1.6722189561695735E-10</v>
      </c>
      <c r="BJ287">
        <v>0</v>
      </c>
      <c r="BK287">
        <v>1.5677052714089775E-8</v>
      </c>
      <c r="BL287">
        <v>-2.0902736952119678E-11</v>
      </c>
      <c r="BM287">
        <v>0</v>
      </c>
      <c r="BN287">
        <v>0</v>
      </c>
      <c r="BO287">
        <v>-8.3610947808478531E-11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f t="shared" si="141"/>
        <v>1.0702201319485239E-5</v>
      </c>
      <c r="CF287">
        <f t="shared" si="142"/>
        <v>2.5465851649641991E-11</v>
      </c>
    </row>
    <row r="288" spans="2:84" ht="18" customHeight="1" x14ac:dyDescent="0.3">
      <c r="B288" s="32" t="str">
        <f>IF(Q288="NO","","C2X")</f>
        <v>C2X</v>
      </c>
      <c r="C288" s="35" t="str">
        <f>IF(Q288="NO","","U2X")</f>
        <v>U2X</v>
      </c>
      <c r="D288" s="12">
        <f>IF(Q288="NO","",N(O43))</f>
        <v>0</v>
      </c>
      <c r="E288" s="23">
        <f>IF(Q288="NO","",0)</f>
        <v>0</v>
      </c>
      <c r="F288" s="11">
        <f t="shared" si="136"/>
        <v>0</v>
      </c>
      <c r="G288" s="3">
        <f t="shared" si="137"/>
        <v>0</v>
      </c>
      <c r="H288" s="35" t="str">
        <f t="shared" si="138"/>
        <v>U2X</v>
      </c>
      <c r="J288" s="32" t="str">
        <f>IF(Q288="NO","","D2X")</f>
        <v>D2X</v>
      </c>
      <c r="K288" s="35" t="str">
        <f>IF(Q288="NO","","U2X")</f>
        <v>U2X</v>
      </c>
      <c r="L288" s="35" t="str">
        <f>IF(Q288="NO","",D43)</f>
        <v>SÍ</v>
      </c>
      <c r="M288" s="7" t="str">
        <f>IF(Q288="NO","",G43)</f>
        <v>D2X</v>
      </c>
      <c r="N288" s="63">
        <f t="shared" si="139"/>
        <v>-2.9629629629629624E-4</v>
      </c>
      <c r="O288" s="35" t="str">
        <f t="shared" si="140"/>
        <v>U2X</v>
      </c>
      <c r="P288" s="4">
        <v>4</v>
      </c>
      <c r="Q288" s="4" t="str">
        <f>IF(2&lt;=$G$7,"SÍ","NO")</f>
        <v>SÍ</v>
      </c>
      <c r="R288" s="4">
        <f>IF(AND(Q288="SÍ",L288="SÍ"),COUNTIFS($Q$285:Q288,"SÍ",$L$285:L288,"SÍ"),"")</f>
        <v>2</v>
      </c>
      <c r="S288" s="4" t="str">
        <f>IF(AND(Q288="SÍ",L288="NO"),COUNTIFS($Q$285:Q288,"SÍ",$L$285:L288,"NO"),"")</f>
        <v/>
      </c>
      <c r="AU288">
        <v>0</v>
      </c>
      <c r="AV288">
        <v>0</v>
      </c>
      <c r="AW288">
        <v>0</v>
      </c>
      <c r="AX288">
        <v>4.9382716049382708E-7</v>
      </c>
      <c r="AY288">
        <v>0</v>
      </c>
      <c r="AZ288">
        <v>0</v>
      </c>
      <c r="BA288">
        <v>3.9506172839506169E-7</v>
      </c>
      <c r="BB288">
        <v>0</v>
      </c>
      <c r="BC288">
        <v>0</v>
      </c>
      <c r="BD288">
        <v>1.9753086419753084E-7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f t="shared" si="141"/>
        <v>-2.9629629629629624E-4</v>
      </c>
      <c r="CF288">
        <f t="shared" si="142"/>
        <v>0</v>
      </c>
    </row>
    <row r="289" spans="2:84" ht="18" customHeight="1" x14ac:dyDescent="0.3">
      <c r="B289" s="32" t="str">
        <f>IF(Q289="NO","","C2Y")</f>
        <v>C2Y</v>
      </c>
      <c r="C289" s="35" t="str">
        <f>IF(Q289="NO","","U2Y")</f>
        <v>U2Y</v>
      </c>
      <c r="D289" s="12">
        <f>IF(Q289="NO","",N(P43))</f>
        <v>-1200</v>
      </c>
      <c r="E289" s="23">
        <f>IF(Q289="NO","",-N(Y14)-N(W15))</f>
        <v>0</v>
      </c>
      <c r="F289" s="11">
        <f t="shared" si="136"/>
        <v>-1200</v>
      </c>
      <c r="G289" s="3">
        <f t="shared" si="137"/>
        <v>-1200</v>
      </c>
      <c r="H289" s="35" t="str">
        <f t="shared" si="138"/>
        <v>U2Y</v>
      </c>
      <c r="J289" s="32" t="str">
        <f>IF(Q289="NO","","D2Y")</f>
        <v>D2Y</v>
      </c>
      <c r="K289" s="35" t="str">
        <f>IF(Q289="NO","","U2Y")</f>
        <v>U2Y</v>
      </c>
      <c r="L289" s="35" t="str">
        <f>IF(Q289="NO","",E43)</f>
        <v>SÍ</v>
      </c>
      <c r="M289" s="7" t="str">
        <f>IF(Q289="NO","",H43)</f>
        <v>D2Y</v>
      </c>
      <c r="N289" s="63">
        <f t="shared" si="139"/>
        <v>5.1169900058788895E-3</v>
      </c>
      <c r="O289" s="35" t="str">
        <f t="shared" si="140"/>
        <v>U2Y</v>
      </c>
      <c r="P289" s="4">
        <v>5</v>
      </c>
      <c r="Q289" s="4" t="str">
        <f>IF(2&lt;=$G$7,"SÍ","NO")</f>
        <v>SÍ</v>
      </c>
      <c r="R289" s="4">
        <f>IF(AND(Q289="SÍ",L289="SÍ"),COUNTIFS($Q$285:Q289,"SÍ",$L$285:L289,"SÍ"),"")</f>
        <v>3</v>
      </c>
      <c r="S289" s="4" t="str">
        <f>IF(AND(Q289="SÍ",L289="NO"),COUNTIFS($Q$285:Q289,"SÍ",$L$285:L289,"NO"),"")</f>
        <v/>
      </c>
      <c r="AU289">
        <v>0</v>
      </c>
      <c r="AV289">
        <v>0</v>
      </c>
      <c r="AW289">
        <v>1.429747207524985E-7</v>
      </c>
      <c r="AX289">
        <v>0</v>
      </c>
      <c r="AY289">
        <v>1.8519824939578023E-5</v>
      </c>
      <c r="AZ289">
        <v>-8.1520674113266742E-9</v>
      </c>
      <c r="BA289">
        <v>0</v>
      </c>
      <c r="BB289">
        <v>0</v>
      </c>
      <c r="BC289">
        <v>-1.1036645110719183E-7</v>
      </c>
      <c r="BD289">
        <v>0</v>
      </c>
      <c r="BE289">
        <v>-1.354497354497354E-5</v>
      </c>
      <c r="BF289">
        <v>2.1320791691162102E-8</v>
      </c>
      <c r="BG289">
        <v>0</v>
      </c>
      <c r="BH289">
        <v>0</v>
      </c>
      <c r="BI289">
        <v>2.5083284342543603E-8</v>
      </c>
      <c r="BJ289">
        <v>0</v>
      </c>
      <c r="BK289">
        <v>2.3515579071134655E-6</v>
      </c>
      <c r="BL289">
        <v>-3.1354105428179528E-9</v>
      </c>
      <c r="BM289">
        <v>0</v>
      </c>
      <c r="BN289">
        <v>0</v>
      </c>
      <c r="BO289">
        <v>-1.2541642171271782E-8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f t="shared" si="141"/>
        <v>5.1169900058788895E-3</v>
      </c>
      <c r="CF289">
        <f t="shared" si="142"/>
        <v>-1200.0000000000007</v>
      </c>
    </row>
    <row r="290" spans="2:84" ht="18" customHeight="1" x14ac:dyDescent="0.3">
      <c r="B290" s="32" t="str">
        <f>IF(Q290="NO","","C2θ")</f>
        <v>C2θ</v>
      </c>
      <c r="C290" s="35" t="str">
        <f>IF(Q290="NO","","U2θ")</f>
        <v>U2θ</v>
      </c>
      <c r="D290" s="12">
        <f>IF(Q290="NO","",N(Q43))</f>
        <v>0</v>
      </c>
      <c r="E290" s="23">
        <f>IF(Q290="NO","",-N(Z14)-N(X15))</f>
        <v>0</v>
      </c>
      <c r="F290" s="11">
        <f t="shared" si="136"/>
        <v>0</v>
      </c>
      <c r="G290" s="3">
        <f t="shared" si="137"/>
        <v>0</v>
      </c>
      <c r="H290" s="35" t="str">
        <f t="shared" si="138"/>
        <v>U2θ</v>
      </c>
      <c r="J290" s="32" t="str">
        <f>IF(Q290="NO","","D2θ")</f>
        <v>D2θ</v>
      </c>
      <c r="K290" s="35" t="str">
        <f>IF(Q290="NO","","U2θ")</f>
        <v>U2θ</v>
      </c>
      <c r="L290" s="35" t="str">
        <f>IF(Q290="NO","",F43)</f>
        <v>SÍ</v>
      </c>
      <c r="M290" s="7" t="str">
        <f>IF(Q290="NO","",I43)</f>
        <v>D2θ</v>
      </c>
      <c r="N290" s="63">
        <f t="shared" si="139"/>
        <v>5.5350447449212905E-5</v>
      </c>
      <c r="O290" s="35" t="str">
        <f t="shared" si="140"/>
        <v>U2θ</v>
      </c>
      <c r="P290" s="4">
        <v>6</v>
      </c>
      <c r="Q290" s="4" t="str">
        <f>IF(2&lt;=$G$7,"SÍ","NO")</f>
        <v>SÍ</v>
      </c>
      <c r="R290" s="4">
        <f>IF(AND(Q290="SÍ",L290="SÍ"),COUNTIFS($Q$285:Q290,"SÍ",$L$285:L290,"SÍ"),"")</f>
        <v>4</v>
      </c>
      <c r="S290" s="4" t="str">
        <f>IF(AND(Q290="SÍ",L290="NO"),COUNTIFS($Q$285:Q290,"SÍ",$L$285:L290,"NO"),"")</f>
        <v/>
      </c>
      <c r="AU290">
        <v>0</v>
      </c>
      <c r="AV290">
        <v>0</v>
      </c>
      <c r="AW290">
        <v>-3.4698543340518641E-10</v>
      </c>
      <c r="AX290">
        <v>0</v>
      </c>
      <c r="AY290">
        <v>-8.1520674113266709E-9</v>
      </c>
      <c r="AZ290">
        <v>5.7168985564047291E-10</v>
      </c>
      <c r="BA290">
        <v>0</v>
      </c>
      <c r="BB290">
        <v>0</v>
      </c>
      <c r="BC290">
        <v>-1.8394408517865311E-10</v>
      </c>
      <c r="BD290">
        <v>0</v>
      </c>
      <c r="BE290">
        <v>-2.2574955908289253E-8</v>
      </c>
      <c r="BF290">
        <v>3.5534652818603424E-11</v>
      </c>
      <c r="BG290">
        <v>0</v>
      </c>
      <c r="BH290">
        <v>0</v>
      </c>
      <c r="BI290">
        <v>4.1805473904239382E-11</v>
      </c>
      <c r="BJ290">
        <v>0</v>
      </c>
      <c r="BK290">
        <v>3.9192631785224421E-9</v>
      </c>
      <c r="BL290">
        <v>-5.2256842380299332E-12</v>
      </c>
      <c r="BM290">
        <v>0</v>
      </c>
      <c r="BN290">
        <v>0</v>
      </c>
      <c r="BO290">
        <v>-2.0902736952119675E-11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f t="shared" si="141"/>
        <v>5.5350447449212905E-5</v>
      </c>
      <c r="CF290">
        <f t="shared" si="142"/>
        <v>0</v>
      </c>
    </row>
    <row r="291" spans="2:84" ht="18" customHeight="1" x14ac:dyDescent="0.3">
      <c r="B291" s="32" t="str">
        <f>IF(Q291="NO","","C3X")</f>
        <v>C3X</v>
      </c>
      <c r="C291" s="35" t="str">
        <f>IF(Q291="NO","","U3X")</f>
        <v>U3X</v>
      </c>
      <c r="D291" s="12">
        <f>IF(Q291="NO","",N(O44))</f>
        <v>0</v>
      </c>
      <c r="E291" s="23">
        <f>IF(Q291="NO","",0)</f>
        <v>0</v>
      </c>
      <c r="F291" s="11">
        <f t="shared" si="136"/>
        <v>0</v>
      </c>
      <c r="G291" s="3">
        <f t="shared" si="137"/>
        <v>0</v>
      </c>
      <c r="H291" s="35" t="str">
        <f t="shared" si="138"/>
        <v>U3X</v>
      </c>
      <c r="J291" s="32" t="str">
        <f>IF(Q291="NO","","D3X")</f>
        <v>D3X</v>
      </c>
      <c r="K291" s="35" t="str">
        <f>IF(Q291="NO","","U3X")</f>
        <v>U3X</v>
      </c>
      <c r="L291" s="35" t="str">
        <f>IF(Q291="NO","",D44)</f>
        <v>SÍ</v>
      </c>
      <c r="M291" s="7" t="str">
        <f>IF(Q291="NO","",G44)</f>
        <v>D3X</v>
      </c>
      <c r="N291" s="63">
        <f t="shared" si="139"/>
        <v>-5.9259259259259248E-4</v>
      </c>
      <c r="O291" s="35" t="str">
        <f t="shared" si="140"/>
        <v>U3X</v>
      </c>
      <c r="P291" s="4">
        <v>7</v>
      </c>
      <c r="Q291" s="4" t="str">
        <f>IF(3&lt;=$G$7,"SÍ","NO")</f>
        <v>SÍ</v>
      </c>
      <c r="R291" s="4">
        <f>IF(AND(Q291="SÍ",L291="SÍ"),COUNTIFS($Q$285:Q291,"SÍ",$L$285:L291,"SÍ"),"")</f>
        <v>5</v>
      </c>
      <c r="S291" s="4" t="str">
        <f>IF(AND(Q291="SÍ",L291="NO"),COUNTIFS($Q$285:Q291,"SÍ",$L$285:L291,"NO"),"")</f>
        <v/>
      </c>
      <c r="AU291">
        <v>0</v>
      </c>
      <c r="AV291">
        <v>0</v>
      </c>
      <c r="AW291">
        <v>0</v>
      </c>
      <c r="AX291">
        <v>3.9506172839506169E-7</v>
      </c>
      <c r="AY291">
        <v>0</v>
      </c>
      <c r="AZ291">
        <v>0</v>
      </c>
      <c r="BA291">
        <v>7.9012345679012337E-7</v>
      </c>
      <c r="BB291">
        <v>0</v>
      </c>
      <c r="BC291">
        <v>0</v>
      </c>
      <c r="BD291">
        <v>3.9506172839506169E-7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f t="shared" si="141"/>
        <v>-5.9259259259259248E-4</v>
      </c>
      <c r="CF291">
        <f t="shared" si="142"/>
        <v>1.1368683772161603E-13</v>
      </c>
    </row>
    <row r="292" spans="2:84" ht="18" customHeight="1" x14ac:dyDescent="0.3">
      <c r="B292" s="32" t="str">
        <f>IF(Q292="NO","","C3Y")</f>
        <v>C3Y</v>
      </c>
      <c r="C292" s="35" t="str">
        <f>IF(Q292="NO","","U3Y")</f>
        <v>U3Y</v>
      </c>
      <c r="D292" s="12">
        <f>IF(Q292="NO","",N(P44))</f>
        <v>0</v>
      </c>
      <c r="E292" s="23">
        <f>IF(Q292="NO","",-N(Y15)-N(W16))</f>
        <v>0</v>
      </c>
      <c r="F292" s="11">
        <f t="shared" si="136"/>
        <v>0</v>
      </c>
      <c r="G292" s="3" t="str">
        <f t="shared" si="137"/>
        <v>R_U3Y</v>
      </c>
      <c r="H292" s="35" t="str">
        <f t="shared" si="138"/>
        <v>U3Y</v>
      </c>
      <c r="J292" s="32" t="str">
        <f>IF(Q292="NO","","D3Y")</f>
        <v>D3Y</v>
      </c>
      <c r="K292" s="35" t="str">
        <f>IF(Q292="NO","","U3Y")</f>
        <v>U3Y</v>
      </c>
      <c r="L292" s="35" t="str">
        <f>IF(Q292="NO","",E44)</f>
        <v>NO</v>
      </c>
      <c r="M292" s="7">
        <f>IF(Q292="NO","",H44)</f>
        <v>0</v>
      </c>
      <c r="N292" s="63">
        <f t="shared" si="139"/>
        <v>0</v>
      </c>
      <c r="O292" s="35" t="str">
        <f t="shared" si="140"/>
        <v>U3Y</v>
      </c>
      <c r="P292" s="4">
        <v>8</v>
      </c>
      <c r="Q292" s="4" t="str">
        <f>IF(3&lt;=$G$7,"SÍ","NO")</f>
        <v>SÍ</v>
      </c>
      <c r="R292" s="4" t="str">
        <f>IF(AND(Q292="SÍ",L292="SÍ"),COUNTIFS($Q$285:Q292,"SÍ",$L$285:L292,"SÍ"),"")</f>
        <v/>
      </c>
      <c r="S292" s="4">
        <f>IF(AND(Q292="SÍ",L292="NO"),COUNTIFS($Q$285:Q292,"SÍ",$L$285:L292,"NO"),"")</f>
        <v>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f t="shared" si="141"/>
        <v>0</v>
      </c>
      <c r="CF292">
        <f t="shared" si="142"/>
        <v>2156.0714285714298</v>
      </c>
    </row>
    <row r="293" spans="2:84" ht="18" customHeight="1" x14ac:dyDescent="0.3">
      <c r="B293" s="32" t="str">
        <f>IF(Q293="NO","","C3θ")</f>
        <v>C3θ</v>
      </c>
      <c r="C293" s="35" t="str">
        <f>IF(Q293="NO","","U3θ")</f>
        <v>U3θ</v>
      </c>
      <c r="D293" s="12">
        <f>IF(Q293="NO","",N(Q44))</f>
        <v>0</v>
      </c>
      <c r="E293" s="23">
        <f>IF(Q293="NO","",-N(Z15)-N(X16))</f>
        <v>0</v>
      </c>
      <c r="F293" s="11">
        <f t="shared" si="136"/>
        <v>0</v>
      </c>
      <c r="G293" s="3">
        <f t="shared" si="137"/>
        <v>0</v>
      </c>
      <c r="H293" s="35" t="str">
        <f t="shared" si="138"/>
        <v>U3θ</v>
      </c>
      <c r="J293" s="32" t="str">
        <f>IF(Q293="NO","","D3θ")</f>
        <v>D3θ</v>
      </c>
      <c r="K293" s="35" t="str">
        <f>IF(Q293="NO","","U3θ")</f>
        <v>U3θ</v>
      </c>
      <c r="L293" s="35" t="str">
        <f>IF(Q293="NO","",F44)</f>
        <v>SÍ</v>
      </c>
      <c r="M293" s="7" t="str">
        <f>IF(Q293="NO","",I44)</f>
        <v>D3θ</v>
      </c>
      <c r="N293" s="63">
        <f t="shared" si="139"/>
        <v>-2.3210399111633681E-4</v>
      </c>
      <c r="O293" s="35" t="str">
        <f t="shared" si="140"/>
        <v>U3θ</v>
      </c>
      <c r="P293" s="4">
        <v>9</v>
      </c>
      <c r="Q293" s="4" t="str">
        <f>IF(3&lt;=$G$7,"SÍ","NO")</f>
        <v>SÍ</v>
      </c>
      <c r="R293" s="4">
        <f>IF(AND(Q293="SÍ",L293="SÍ"),COUNTIFS($Q$285:Q293,"SÍ",$L$285:L293,"SÍ"),"")</f>
        <v>6</v>
      </c>
      <c r="S293" s="4" t="str">
        <f>IF(AND(Q293="SÍ",L293="NO"),COUNTIFS($Q$285:Q293,"SÍ",$L$285:L293,"NO"),"")</f>
        <v/>
      </c>
      <c r="AU293">
        <v>0</v>
      </c>
      <c r="AV293">
        <v>0</v>
      </c>
      <c r="AW293">
        <v>-7.3577634071461224E-10</v>
      </c>
      <c r="AX293">
        <v>0</v>
      </c>
      <c r="AY293">
        <v>-1.1036645110719185E-7</v>
      </c>
      <c r="AZ293">
        <v>-1.8394408517865309E-10</v>
      </c>
      <c r="BA293">
        <v>0</v>
      </c>
      <c r="BB293">
        <v>0</v>
      </c>
      <c r="BC293">
        <v>1.4715526814292247E-9</v>
      </c>
      <c r="BD293">
        <v>0</v>
      </c>
      <c r="BE293">
        <v>1.8059964726631394E-7</v>
      </c>
      <c r="BF293">
        <v>-2.8427722254882776E-10</v>
      </c>
      <c r="BG293">
        <v>0</v>
      </c>
      <c r="BH293">
        <v>0</v>
      </c>
      <c r="BI293">
        <v>-3.3444379123391485E-10</v>
      </c>
      <c r="BJ293">
        <v>0</v>
      </c>
      <c r="BK293">
        <v>-3.1354105428179537E-8</v>
      </c>
      <c r="BL293">
        <v>4.1805473904239407E-11</v>
      </c>
      <c r="BM293">
        <v>0</v>
      </c>
      <c r="BN293">
        <v>0</v>
      </c>
      <c r="BO293">
        <v>1.6722189561695724E-10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f t="shared" si="141"/>
        <v>-2.3210399111633681E-4</v>
      </c>
      <c r="CF293">
        <f t="shared" si="142"/>
        <v>7.0940586738288403E-11</v>
      </c>
    </row>
    <row r="294" spans="2:84" ht="18" customHeight="1" x14ac:dyDescent="0.3">
      <c r="B294" s="32" t="str">
        <f>IF(Q294="NO","","C4X")</f>
        <v>C4X</v>
      </c>
      <c r="C294" s="35" t="str">
        <f>IF(Q294="NO","","U4X")</f>
        <v>U4X</v>
      </c>
      <c r="D294" s="12">
        <f>IF(Q294="NO","",N(O45))</f>
        <v>-1500</v>
      </c>
      <c r="E294" s="23">
        <f>IF(Q294="NO","",0)</f>
        <v>0</v>
      </c>
      <c r="F294" s="11">
        <f t="shared" si="136"/>
        <v>-1500</v>
      </c>
      <c r="G294" s="3">
        <f t="shared" si="137"/>
        <v>-1500</v>
      </c>
      <c r="H294" s="35" t="str">
        <f t="shared" si="138"/>
        <v>U4X</v>
      </c>
      <c r="J294" s="32" t="str">
        <f>IF(Q294="NO","","D4X")</f>
        <v>D4X</v>
      </c>
      <c r="K294" s="35" t="str">
        <f>IF(Q294="NO","","U4X")</f>
        <v>U4X</v>
      </c>
      <c r="L294" s="35" t="str">
        <f>IF(Q294="NO","",D45)</f>
        <v>SÍ</v>
      </c>
      <c r="M294" s="7" t="str">
        <f>IF(Q294="NO","",G45)</f>
        <v>D4X</v>
      </c>
      <c r="N294" s="63">
        <f t="shared" si="139"/>
        <v>-1.1851851851851852E-3</v>
      </c>
      <c r="O294" s="35" t="str">
        <f t="shared" si="140"/>
        <v>U4X</v>
      </c>
      <c r="P294" s="4">
        <v>10</v>
      </c>
      <c r="Q294" s="4" t="str">
        <f>IF(4&lt;=$G$7,"SÍ","NO")</f>
        <v>SÍ</v>
      </c>
      <c r="R294" s="4">
        <f>IF(AND(Q294="SÍ",L294="SÍ"),COUNTIFS($Q$285:Q294,"SÍ",$L$285:L294,"SÍ"),"")</f>
        <v>7</v>
      </c>
      <c r="S294" s="4" t="str">
        <f>IF(AND(Q294="SÍ",L294="NO"),COUNTIFS($Q$285:Q294,"SÍ",$L$285:L294,"NO"),"")</f>
        <v/>
      </c>
      <c r="AU294">
        <v>0</v>
      </c>
      <c r="AV294">
        <v>0</v>
      </c>
      <c r="AW294">
        <v>0</v>
      </c>
      <c r="AX294">
        <v>1.9753086419753087E-7</v>
      </c>
      <c r="AY294">
        <v>0</v>
      </c>
      <c r="AZ294">
        <v>0</v>
      </c>
      <c r="BA294">
        <v>3.9506172839506174E-7</v>
      </c>
      <c r="BB294">
        <v>0</v>
      </c>
      <c r="BC294">
        <v>0</v>
      </c>
      <c r="BD294">
        <v>7.9012345679012348E-7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f t="shared" si="141"/>
        <v>-1.1851851851851852E-3</v>
      </c>
      <c r="CF294">
        <f t="shared" si="142"/>
        <v>-1500</v>
      </c>
    </row>
    <row r="295" spans="2:84" ht="18" customHeight="1" x14ac:dyDescent="0.3">
      <c r="B295" s="32" t="str">
        <f>IF(Q295="NO","","C4Y")</f>
        <v>C4Y</v>
      </c>
      <c r="C295" s="35" t="str">
        <f>IF(Q295="NO","","U4Y")</f>
        <v>U4Y</v>
      </c>
      <c r="D295" s="12">
        <f>IF(Q295="NO","",N(P45))</f>
        <v>-2000</v>
      </c>
      <c r="E295" s="23">
        <f>IF(Q295="NO","",-N(Y16)-N(W17))</f>
        <v>0</v>
      </c>
      <c r="F295" s="11">
        <f t="shared" si="136"/>
        <v>-2000</v>
      </c>
      <c r="G295" s="3">
        <f t="shared" si="137"/>
        <v>-2000</v>
      </c>
      <c r="H295" s="35" t="str">
        <f t="shared" si="138"/>
        <v>U4Y</v>
      </c>
      <c r="J295" s="32" t="str">
        <f>IF(Q295="NO","","D4Y")</f>
        <v>D4Y</v>
      </c>
      <c r="K295" s="35" t="str">
        <f>IF(Q295="NO","","U4Y")</f>
        <v>U4Y</v>
      </c>
      <c r="L295" s="35" t="str">
        <f>IF(Q295="NO","",E45)</f>
        <v>SÍ</v>
      </c>
      <c r="M295" s="7" t="str">
        <f>IF(Q295="NO","",H45)</f>
        <v>D4Y</v>
      </c>
      <c r="N295" s="63">
        <f t="shared" si="139"/>
        <v>-0.15565014044026396</v>
      </c>
      <c r="O295" s="35" t="str">
        <f t="shared" si="140"/>
        <v>U4Y</v>
      </c>
      <c r="P295" s="4">
        <v>11</v>
      </c>
      <c r="Q295" s="4" t="str">
        <f>IF(4&lt;=$G$7,"SÍ","NO")</f>
        <v>SÍ</v>
      </c>
      <c r="R295" s="4">
        <f>IF(AND(Q295="SÍ",L295="SÍ"),COUNTIFS($Q$285:Q295,"SÍ",$L$285:L295,"SÍ"),"")</f>
        <v>8</v>
      </c>
      <c r="S295" s="4" t="str">
        <f>IF(AND(Q295="SÍ",L295="NO"),COUNTIFS($Q$285:Q295,"SÍ",$L$285:L295,"NO"),"")</f>
        <v/>
      </c>
      <c r="AU295">
        <v>0</v>
      </c>
      <c r="AV295">
        <v>0</v>
      </c>
      <c r="AW295">
        <v>-9.0299823633156984E-8</v>
      </c>
      <c r="AX295">
        <v>0</v>
      </c>
      <c r="AY295">
        <v>-1.3544973544973547E-5</v>
      </c>
      <c r="AZ295">
        <v>-2.2574955908289246E-8</v>
      </c>
      <c r="BA295">
        <v>0</v>
      </c>
      <c r="BB295">
        <v>0</v>
      </c>
      <c r="BC295">
        <v>1.8059964726631397E-7</v>
      </c>
      <c r="BD295">
        <v>0</v>
      </c>
      <c r="BE295">
        <v>8.4948722973414358E-5</v>
      </c>
      <c r="BF295">
        <v>5.0166568685086734E-9</v>
      </c>
      <c r="BG295">
        <v>0</v>
      </c>
      <c r="BH295">
        <v>0</v>
      </c>
      <c r="BI295">
        <v>-2.0066627474034893E-7</v>
      </c>
      <c r="BJ295">
        <v>0</v>
      </c>
      <c r="BK295">
        <v>-1.8812463256907714E-5</v>
      </c>
      <c r="BL295">
        <v>2.5083284342543643E-8</v>
      </c>
      <c r="BM295">
        <v>0</v>
      </c>
      <c r="BN295">
        <v>0</v>
      </c>
      <c r="BO295">
        <v>1.0033313737017439E-7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f t="shared" si="141"/>
        <v>-0.15565014044026396</v>
      </c>
      <c r="CF295">
        <f t="shared" si="142"/>
        <v>-2000.0000000000011</v>
      </c>
    </row>
    <row r="296" spans="2:84" ht="18" customHeight="1" x14ac:dyDescent="0.3">
      <c r="B296" s="32" t="str">
        <f>IF(Q296="NO","","C4θ")</f>
        <v>C4θ</v>
      </c>
      <c r="C296" s="35" t="str">
        <f>IF(Q296="NO","","U4θ")</f>
        <v>U4θ</v>
      </c>
      <c r="D296" s="12">
        <f>IF(Q296="NO","",N(Q45))</f>
        <v>0</v>
      </c>
      <c r="E296" s="23">
        <f>IF(Q296="NO","",-N(Z16)-N(X17))</f>
        <v>0</v>
      </c>
      <c r="F296" s="11">
        <f t="shared" si="136"/>
        <v>0</v>
      </c>
      <c r="G296" s="3">
        <f t="shared" si="137"/>
        <v>0</v>
      </c>
      <c r="H296" s="35" t="str">
        <f t="shared" si="138"/>
        <v>U4θ</v>
      </c>
      <c r="J296" s="32" t="str">
        <f>IF(Q296="NO","","D4θ")</f>
        <v>D4θ</v>
      </c>
      <c r="K296" s="35" t="str">
        <f>IF(Q296="NO","","U4θ")</f>
        <v>U4θ</v>
      </c>
      <c r="L296" s="35" t="str">
        <f>IF(Q296="NO","",F45)</f>
        <v>SÍ</v>
      </c>
      <c r="M296" s="7" t="str">
        <f>IF(Q296="NO","",I45)</f>
        <v>D4θ</v>
      </c>
      <c r="N296" s="63">
        <f t="shared" si="139"/>
        <v>-3.8962701678751057E-5</v>
      </c>
      <c r="O296" s="35" t="str">
        <f t="shared" si="140"/>
        <v>U4θ</v>
      </c>
      <c r="P296" s="4">
        <v>12</v>
      </c>
      <c r="Q296" s="4" t="str">
        <f>IF(4&lt;=$G$7,"SÍ","NO")</f>
        <v>SÍ</v>
      </c>
      <c r="R296" s="4">
        <f>IF(AND(Q296="SÍ",L296="SÍ"),COUNTIFS($Q$285:Q296,"SÍ",$L$285:L296,"SÍ"),"")</f>
        <v>9</v>
      </c>
      <c r="S296" s="4" t="str">
        <f>IF(AND(Q296="SÍ",L296="NO"),COUNTIFS($Q$285:Q296,"SÍ",$L$285:L296,"NO"),"")</f>
        <v/>
      </c>
      <c r="AU296">
        <v>0</v>
      </c>
      <c r="AV296">
        <v>0</v>
      </c>
      <c r="AW296">
        <v>1.4213861127441372E-10</v>
      </c>
      <c r="AX296">
        <v>0</v>
      </c>
      <c r="AY296">
        <v>2.1320791691162062E-8</v>
      </c>
      <c r="AZ296">
        <v>3.5534652818603437E-11</v>
      </c>
      <c r="BA296">
        <v>0</v>
      </c>
      <c r="BB296">
        <v>0</v>
      </c>
      <c r="BC296">
        <v>-2.842772225488275E-10</v>
      </c>
      <c r="BD296">
        <v>0</v>
      </c>
      <c r="BE296">
        <v>5.0166568685087197E-9</v>
      </c>
      <c r="BF296">
        <v>1.0325952054347117E-9</v>
      </c>
      <c r="BG296">
        <v>0</v>
      </c>
      <c r="BH296">
        <v>0</v>
      </c>
      <c r="BI296">
        <v>-3.3444379123391464E-10</v>
      </c>
      <c r="BJ296">
        <v>0</v>
      </c>
      <c r="BK296">
        <v>-3.1354105428179497E-8</v>
      </c>
      <c r="BL296">
        <v>4.1805473904239317E-11</v>
      </c>
      <c r="BM296">
        <v>0</v>
      </c>
      <c r="BN296">
        <v>0</v>
      </c>
      <c r="BO296">
        <v>1.6722189561695737E-10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f t="shared" si="141"/>
        <v>-3.8962701678751057E-5</v>
      </c>
      <c r="CF296">
        <f t="shared" si="142"/>
        <v>1.4551915228366852E-11</v>
      </c>
    </row>
    <row r="297" spans="2:84" ht="18" customHeight="1" x14ac:dyDescent="0.3">
      <c r="B297" s="32" t="str">
        <f>IF(Q297="NO","","C5X")</f>
        <v>C5X</v>
      </c>
      <c r="C297" s="35" t="str">
        <f>IF(Q297="NO","","U5X")</f>
        <v>U5X</v>
      </c>
      <c r="D297" s="12">
        <f>IF(Q297="NO","",N(O46))</f>
        <v>0</v>
      </c>
      <c r="E297" s="23">
        <f>IF(Q297="NO","",0)</f>
        <v>0</v>
      </c>
      <c r="F297" s="11">
        <f t="shared" si="136"/>
        <v>0</v>
      </c>
      <c r="G297" s="3" t="str">
        <f t="shared" si="137"/>
        <v>R_U5X</v>
      </c>
      <c r="H297" s="35" t="str">
        <f t="shared" si="138"/>
        <v>U5X</v>
      </c>
      <c r="J297" s="32" t="str">
        <f>IF(Q297="NO","","D5X")</f>
        <v>D5X</v>
      </c>
      <c r="K297" s="35" t="str">
        <f>IF(Q297="NO","","U5X")</f>
        <v>U5X</v>
      </c>
      <c r="L297" s="35" t="str">
        <f>IF(Q297="NO","",D46)</f>
        <v>NO</v>
      </c>
      <c r="M297" s="7">
        <f>IF(Q297="NO","",G46)</f>
        <v>0</v>
      </c>
      <c r="N297" s="63">
        <f t="shared" si="139"/>
        <v>0</v>
      </c>
      <c r="O297" s="35" t="str">
        <f t="shared" si="140"/>
        <v>U5X</v>
      </c>
      <c r="P297" s="4">
        <v>13</v>
      </c>
      <c r="Q297" s="4" t="str">
        <f>IF(5&lt;=$G$7,"SÍ","NO")</f>
        <v>SÍ</v>
      </c>
      <c r="R297" s="4" t="str">
        <f>IF(AND(Q297="SÍ",L297="SÍ"),COUNTIFS($Q$285:Q297,"SÍ",$L$285:L297,"SÍ"),"")</f>
        <v/>
      </c>
      <c r="S297" s="4">
        <f>IF(AND(Q297="SÍ",L297="NO"),COUNTIFS($Q$285:Q297,"SÍ",$L$285:L297,"NO"),"")</f>
        <v>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f t="shared" si="141"/>
        <v>0</v>
      </c>
      <c r="CF297">
        <f t="shared" si="142"/>
        <v>1000</v>
      </c>
    </row>
    <row r="298" spans="2:84" ht="18" customHeight="1" x14ac:dyDescent="0.3">
      <c r="B298" s="32" t="str">
        <f>IF(Q298="NO","","C5Y")</f>
        <v>C5Y</v>
      </c>
      <c r="C298" s="35" t="str">
        <f>IF(Q298="NO","","U5Y")</f>
        <v>U5Y</v>
      </c>
      <c r="D298" s="12">
        <f>IF(Q298="NO","",N(P46))</f>
        <v>0</v>
      </c>
      <c r="E298" s="23">
        <f>IF(Q298="NO","",-N(Y17)-N(W18))</f>
        <v>0</v>
      </c>
      <c r="F298" s="11">
        <f t="shared" si="136"/>
        <v>0</v>
      </c>
      <c r="G298" s="3" t="str">
        <f t="shared" si="137"/>
        <v>R_U5Y</v>
      </c>
      <c r="H298" s="35" t="str">
        <f t="shared" si="138"/>
        <v>U5Y</v>
      </c>
      <c r="J298" s="32" t="str">
        <f>IF(Q298="NO","","D5Y")</f>
        <v>D5Y</v>
      </c>
      <c r="K298" s="35" t="str">
        <f>IF(Q298="NO","","U5Y")</f>
        <v>U5Y</v>
      </c>
      <c r="L298" s="35" t="str">
        <f>IF(Q298="NO","",E46)</f>
        <v>NO</v>
      </c>
      <c r="M298" s="7">
        <f>IF(Q298="NO","",H46)</f>
        <v>0</v>
      </c>
      <c r="N298" s="63">
        <f t="shared" si="139"/>
        <v>0</v>
      </c>
      <c r="O298" s="35" t="str">
        <f t="shared" si="140"/>
        <v>U5Y</v>
      </c>
      <c r="P298" s="4">
        <v>14</v>
      </c>
      <c r="Q298" s="4" t="str">
        <f>IF(5&lt;=$G$7,"SÍ","NO")</f>
        <v>SÍ</v>
      </c>
      <c r="R298" s="4" t="str">
        <f>IF(AND(Q298="SÍ",L298="SÍ"),COUNTIFS($Q$285:Q298,"SÍ",$L$285:L298,"SÍ"),"")</f>
        <v/>
      </c>
      <c r="S298" s="4">
        <f>IF(AND(Q298="SÍ",L298="NO"),COUNTIFS($Q$285:Q298,"SÍ",$L$285:L298,"NO"),"")</f>
        <v>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f t="shared" si="141"/>
        <v>0</v>
      </c>
      <c r="CF298">
        <f t="shared" si="142"/>
        <v>1001.9285714285727</v>
      </c>
    </row>
    <row r="299" spans="2:84" ht="18" customHeight="1" x14ac:dyDescent="0.3">
      <c r="B299" s="32" t="str">
        <f>IF(Q299="NO","","C5θ")</f>
        <v>C5θ</v>
      </c>
      <c r="C299" s="35" t="str">
        <f>IF(Q299="NO","","U5θ")</f>
        <v>U5θ</v>
      </c>
      <c r="D299" s="12">
        <f>IF(Q299="NO","",N(Q46))</f>
        <v>0</v>
      </c>
      <c r="E299" s="23">
        <f>IF(Q299="NO","",-N(Z17)-N(X18))</f>
        <v>0</v>
      </c>
      <c r="F299" s="11">
        <f t="shared" si="136"/>
        <v>0</v>
      </c>
      <c r="G299" s="3">
        <f t="shared" si="137"/>
        <v>0</v>
      </c>
      <c r="H299" s="35" t="str">
        <f t="shared" si="138"/>
        <v>U5θ</v>
      </c>
      <c r="J299" s="32" t="str">
        <f>IF(Q299="NO","","D5θ")</f>
        <v>D5θ</v>
      </c>
      <c r="K299" s="35" t="str">
        <f>IF(Q299="NO","","U5θ")</f>
        <v>U5θ</v>
      </c>
      <c r="L299" s="35" t="str">
        <f>IF(Q299="NO","",F46)</f>
        <v>SÍ</v>
      </c>
      <c r="M299" s="7" t="str">
        <f>IF(Q299="NO","",I46)</f>
        <v>D5θ</v>
      </c>
      <c r="N299" s="63">
        <f t="shared" si="139"/>
        <v>3.8795479783134107E-4</v>
      </c>
      <c r="O299" s="35" t="str">
        <f t="shared" si="140"/>
        <v>U5θ</v>
      </c>
      <c r="P299" s="4">
        <v>15</v>
      </c>
      <c r="Q299" s="4" t="str">
        <f>IF(5&lt;=$G$7,"SÍ","NO")</f>
        <v>SÍ</v>
      </c>
      <c r="R299" s="4">
        <f>IF(AND(Q299="SÍ",L299="SÍ"),COUNTIFS($Q$285:Q299,"SÍ",$L$285:L299,"SÍ"),"")</f>
        <v>10</v>
      </c>
      <c r="S299" s="4" t="str">
        <f>IF(AND(Q299="SÍ",L299="NO"),COUNTIFS($Q$285:Q299,"SÍ",$L$285:L299,"NO"),"")</f>
        <v/>
      </c>
      <c r="AU299">
        <v>0</v>
      </c>
      <c r="AV299">
        <v>0</v>
      </c>
      <c r="AW299">
        <v>1.6722189561695737E-10</v>
      </c>
      <c r="AX299">
        <v>0</v>
      </c>
      <c r="AY299">
        <v>2.5083284342543603E-8</v>
      </c>
      <c r="AZ299">
        <v>4.1805473904239343E-11</v>
      </c>
      <c r="BA299">
        <v>0</v>
      </c>
      <c r="BB299">
        <v>0</v>
      </c>
      <c r="BC299">
        <v>-3.3444379123391474E-10</v>
      </c>
      <c r="BD299">
        <v>0</v>
      </c>
      <c r="BE299">
        <v>-2.0066627474034882E-7</v>
      </c>
      <c r="BF299">
        <v>-3.3444379123391459E-10</v>
      </c>
      <c r="BG299">
        <v>0</v>
      </c>
      <c r="BH299">
        <v>0</v>
      </c>
      <c r="BI299">
        <v>1.6722189561695735E-9</v>
      </c>
      <c r="BJ299">
        <v>0</v>
      </c>
      <c r="BK299">
        <v>1.5677052714089752E-7</v>
      </c>
      <c r="BL299">
        <v>-2.0902736952119668E-10</v>
      </c>
      <c r="BM299">
        <v>0</v>
      </c>
      <c r="BN299">
        <v>0</v>
      </c>
      <c r="BO299">
        <v>-8.3610947808478673E-10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f t="shared" si="141"/>
        <v>3.8795479783134107E-4</v>
      </c>
      <c r="CF299">
        <f t="shared" si="142"/>
        <v>-5.0931703299283981E-11</v>
      </c>
    </row>
    <row r="300" spans="2:84" ht="18" customHeight="1" x14ac:dyDescent="0.3">
      <c r="B300" s="32" t="str">
        <f>IF(Q300="NO","","C6X")</f>
        <v>C6X</v>
      </c>
      <c r="C300" s="35" t="str">
        <f>IF(Q300="NO","","U6X")</f>
        <v>U6X</v>
      </c>
      <c r="D300" s="12">
        <f>IF(Q300="NO","",N(O47))</f>
        <v>0</v>
      </c>
      <c r="E300" s="23">
        <f>IF(Q300="NO","",0)</f>
        <v>0</v>
      </c>
      <c r="F300" s="11">
        <f t="shared" si="136"/>
        <v>0</v>
      </c>
      <c r="G300" s="3">
        <f t="shared" si="137"/>
        <v>0</v>
      </c>
      <c r="H300" s="35" t="str">
        <f t="shared" si="138"/>
        <v>U6X</v>
      </c>
      <c r="J300" s="32" t="str">
        <f>IF(Q300="NO","","D6X")</f>
        <v>D6X</v>
      </c>
      <c r="K300" s="35" t="str">
        <f>IF(Q300="NO","","U6X")</f>
        <v>U6X</v>
      </c>
      <c r="L300" s="35" t="str">
        <f>IF(Q300="NO","",D47)</f>
        <v>SÍ</v>
      </c>
      <c r="M300" s="7" t="str">
        <f>IF(Q300="NO","",G47)</f>
        <v>D6X</v>
      </c>
      <c r="N300" s="63">
        <f t="shared" si="139"/>
        <v>0</v>
      </c>
      <c r="O300" s="35" t="str">
        <f t="shared" si="140"/>
        <v>U6X</v>
      </c>
      <c r="P300" s="4">
        <v>16</v>
      </c>
      <c r="Q300" s="4" t="str">
        <f>IF(6&lt;=$G$7,"SÍ","NO")</f>
        <v>SÍ</v>
      </c>
      <c r="R300" s="4">
        <f>IF(AND(Q300="SÍ",L300="SÍ"),COUNTIFS($Q$285:Q300,"SÍ",$L$285:L300,"SÍ"),"")</f>
        <v>11</v>
      </c>
      <c r="S300" s="4" t="str">
        <f>IF(AND(Q300="SÍ",L300="NO"),COUNTIFS($Q$285:Q300,"SÍ",$L$285:L300,"NO"),"")</f>
        <v/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3.7037037037037036E-7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f t="shared" si="141"/>
        <v>0</v>
      </c>
      <c r="CF300">
        <f t="shared" si="142"/>
        <v>0</v>
      </c>
    </row>
    <row r="301" spans="2:84" ht="18" customHeight="1" x14ac:dyDescent="0.3">
      <c r="B301" s="32" t="str">
        <f>IF(Q301="NO","","C6Y")</f>
        <v>C6Y</v>
      </c>
      <c r="C301" s="35" t="str">
        <f>IF(Q301="NO","","U6Y")</f>
        <v>U6Y</v>
      </c>
      <c r="D301" s="12">
        <f>IF(Q301="NO","",N(P47))</f>
        <v>0</v>
      </c>
      <c r="E301" s="23">
        <f>IF(Q301="NO","",-N(Y18)-N(W19))</f>
        <v>0</v>
      </c>
      <c r="F301" s="11">
        <f t="shared" si="136"/>
        <v>0</v>
      </c>
      <c r="G301" s="3">
        <f t="shared" si="137"/>
        <v>0</v>
      </c>
      <c r="H301" s="35" t="str">
        <f t="shared" si="138"/>
        <v>U6Y</v>
      </c>
      <c r="J301" s="32" t="str">
        <f>IF(Q301="NO","","D6Y")</f>
        <v>D6Y</v>
      </c>
      <c r="K301" s="35" t="str">
        <f>IF(Q301="NO","","U6Y")</f>
        <v>U6Y</v>
      </c>
      <c r="L301" s="35" t="str">
        <f>IF(Q301="NO","",E47)</f>
        <v>SÍ</v>
      </c>
      <c r="M301" s="7" t="str">
        <f>IF(Q301="NO","",H47)</f>
        <v>D6Y</v>
      </c>
      <c r="N301" s="63">
        <f t="shared" si="139"/>
        <v>3.3627278071722513E-2</v>
      </c>
      <c r="O301" s="35" t="str">
        <f t="shared" si="140"/>
        <v>U6Y</v>
      </c>
      <c r="P301" s="4">
        <v>17</v>
      </c>
      <c r="Q301" s="4" t="str">
        <f>IF(6&lt;=$G$7,"SÍ","NO")</f>
        <v>SÍ</v>
      </c>
      <c r="R301" s="4">
        <f>IF(AND(Q301="SÍ",L301="SÍ"),COUNTIFS($Q$285:Q301,"SÍ",$L$285:L301,"SÍ"),"")</f>
        <v>12</v>
      </c>
      <c r="S301" s="4" t="str">
        <f>IF(AND(Q301="SÍ",L301="NO"),COUNTIFS($Q$285:Q301,"SÍ",$L$285:L301,"NO"),"")</f>
        <v/>
      </c>
      <c r="AU301">
        <v>0</v>
      </c>
      <c r="AV301">
        <v>0</v>
      </c>
      <c r="AW301">
        <v>1.5677052714089752E-8</v>
      </c>
      <c r="AX301">
        <v>0</v>
      </c>
      <c r="AY301">
        <v>2.3515579071134626E-6</v>
      </c>
      <c r="AZ301">
        <v>3.9192631785224379E-9</v>
      </c>
      <c r="BA301">
        <v>0</v>
      </c>
      <c r="BB301">
        <v>0</v>
      </c>
      <c r="BC301">
        <v>-3.1354105428179504E-8</v>
      </c>
      <c r="BD301">
        <v>0</v>
      </c>
      <c r="BE301">
        <v>-1.88124632569077E-5</v>
      </c>
      <c r="BF301">
        <v>-3.135410542817949E-8</v>
      </c>
      <c r="BG301">
        <v>0</v>
      </c>
      <c r="BH301">
        <v>0</v>
      </c>
      <c r="BI301">
        <v>1.567705271408975E-7</v>
      </c>
      <c r="BJ301">
        <v>0</v>
      </c>
      <c r="BK301">
        <v>3.4701809393167417E-5</v>
      </c>
      <c r="BL301">
        <v>1.4697236919459161E-8</v>
      </c>
      <c r="BM301">
        <v>0</v>
      </c>
      <c r="BN301">
        <v>0</v>
      </c>
      <c r="BO301">
        <v>-2.1555947481873408E-7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f t="shared" si="141"/>
        <v>3.3627278071722513E-2</v>
      </c>
      <c r="CF301">
        <f t="shared" si="142"/>
        <v>-6.8212102632969618E-13</v>
      </c>
    </row>
    <row r="302" spans="2:84" ht="18" customHeight="1" x14ac:dyDescent="0.3">
      <c r="B302" s="32" t="str">
        <f>IF(Q302="NO","","C6θ")</f>
        <v>C6θ</v>
      </c>
      <c r="C302" s="35" t="str">
        <f>IF(Q302="NO","","U6θ")</f>
        <v>U6θ</v>
      </c>
      <c r="D302" s="12">
        <f>IF(Q302="NO","",N(Q47))</f>
        <v>-80000</v>
      </c>
      <c r="E302" s="23">
        <f>IF(Q302="NO","",-N(Z18)-N(X19))</f>
        <v>0</v>
      </c>
      <c r="F302" s="11">
        <f t="shared" si="136"/>
        <v>-80000</v>
      </c>
      <c r="G302" s="3">
        <f t="shared" si="137"/>
        <v>-80000</v>
      </c>
      <c r="H302" s="35" t="str">
        <f t="shared" si="138"/>
        <v>U6θ</v>
      </c>
      <c r="J302" s="32" t="str">
        <f>IF(Q302="NO","","D6θ")</f>
        <v>D6θ</v>
      </c>
      <c r="K302" s="35" t="str">
        <f>IF(Q302="NO","","U6θ")</f>
        <v>U6θ</v>
      </c>
      <c r="L302" s="35" t="str">
        <f>IF(Q302="NO","",F47)</f>
        <v>SÍ</v>
      </c>
      <c r="M302" s="7" t="str">
        <f>IF(Q302="NO","",I47)</f>
        <v>D6θ</v>
      </c>
      <c r="N302" s="63">
        <f t="shared" si="139"/>
        <v>-1.0336403422823176E-4</v>
      </c>
      <c r="O302" s="35" t="str">
        <f t="shared" si="140"/>
        <v>U6θ</v>
      </c>
      <c r="P302" s="4">
        <v>18</v>
      </c>
      <c r="Q302" s="4" t="str">
        <f>IF(6&lt;=$G$7,"SÍ","NO")</f>
        <v>SÍ</v>
      </c>
      <c r="R302" s="4">
        <f>IF(AND(Q302="SÍ",L302="SÍ"),COUNTIFS($Q$285:Q302,"SÍ",$L$285:L302,"SÍ"),"")</f>
        <v>13</v>
      </c>
      <c r="S302" s="4" t="str">
        <f>IF(AND(Q302="SÍ",L302="NO"),COUNTIFS($Q$285:Q302,"SÍ",$L$285:L302,"NO"),"")</f>
        <v/>
      </c>
      <c r="AU302">
        <v>0</v>
      </c>
      <c r="AV302">
        <v>0</v>
      </c>
      <c r="AW302">
        <v>-2.0902736952119668E-11</v>
      </c>
      <c r="AX302">
        <v>0</v>
      </c>
      <c r="AY302">
        <v>-3.1354105428179504E-9</v>
      </c>
      <c r="AZ302">
        <v>-5.2256842380299179E-12</v>
      </c>
      <c r="BA302">
        <v>0</v>
      </c>
      <c r="BB302">
        <v>0</v>
      </c>
      <c r="BC302">
        <v>4.1805473904239343E-11</v>
      </c>
      <c r="BD302">
        <v>0</v>
      </c>
      <c r="BE302">
        <v>2.5083284342543603E-8</v>
      </c>
      <c r="BF302">
        <v>4.1805473904239323E-11</v>
      </c>
      <c r="BG302">
        <v>0</v>
      </c>
      <c r="BH302">
        <v>0</v>
      </c>
      <c r="BI302">
        <v>-2.0902736952119668E-10</v>
      </c>
      <c r="BJ302">
        <v>0</v>
      </c>
      <c r="BK302">
        <v>1.4697236919459143E-8</v>
      </c>
      <c r="BL302">
        <v>7.1199947743157626E-10</v>
      </c>
      <c r="BM302">
        <v>0</v>
      </c>
      <c r="BN302">
        <v>0</v>
      </c>
      <c r="BO302">
        <v>-4.4418316023254293E-10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f t="shared" si="141"/>
        <v>-1.0336403422823176E-4</v>
      </c>
      <c r="CF302">
        <f t="shared" si="142"/>
        <v>-80000.000000000029</v>
      </c>
    </row>
    <row r="303" spans="2:84" ht="18" customHeight="1" x14ac:dyDescent="0.3">
      <c r="B303" s="32" t="str">
        <f>IF(Q303="NO","","C7X")</f>
        <v>C7X</v>
      </c>
      <c r="C303" s="35" t="str">
        <f>IF(Q303="NO","","U7X")</f>
        <v>U7X</v>
      </c>
      <c r="D303" s="12">
        <f>IF(Q303="NO","",N(O48))</f>
        <v>0</v>
      </c>
      <c r="E303" s="23">
        <f>IF(Q303="NO","",0)</f>
        <v>0</v>
      </c>
      <c r="F303" s="11">
        <f t="shared" si="136"/>
        <v>0</v>
      </c>
      <c r="G303" s="3" t="str">
        <f t="shared" si="137"/>
        <v>R_U7X</v>
      </c>
      <c r="H303" s="35" t="str">
        <f t="shared" si="138"/>
        <v>U7X</v>
      </c>
      <c r="J303" s="32" t="str">
        <f>IF(Q303="NO","","D7X")</f>
        <v>D7X</v>
      </c>
      <c r="K303" s="35" t="str">
        <f>IF(Q303="NO","","U7X")</f>
        <v>U7X</v>
      </c>
      <c r="L303" s="35" t="str">
        <f>IF(Q303="NO","",D48)</f>
        <v>NO</v>
      </c>
      <c r="M303" s="7">
        <f>IF(Q303="NO","",G48)</f>
        <v>0</v>
      </c>
      <c r="N303" s="63">
        <f t="shared" si="139"/>
        <v>0</v>
      </c>
      <c r="O303" s="35" t="str">
        <f t="shared" si="140"/>
        <v>U7X</v>
      </c>
      <c r="P303" s="4">
        <v>19</v>
      </c>
      <c r="Q303" s="4" t="str">
        <f>IF(7&lt;=$G$7,"SÍ","NO")</f>
        <v>SÍ</v>
      </c>
      <c r="R303" s="4" t="str">
        <f>IF(AND(Q303="SÍ",L303="SÍ"),COUNTIFS($Q$285:Q303,"SÍ",$L$285:L303,"SÍ"),"")</f>
        <v/>
      </c>
      <c r="S303" s="4">
        <f>IF(AND(Q303="SÍ",L303="NO"),COUNTIFS($Q$285:Q303,"SÍ",$L$285:L303,"NO"),"")</f>
        <v>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f t="shared" si="141"/>
        <v>0</v>
      </c>
      <c r="CF303">
        <f t="shared" si="142"/>
        <v>0</v>
      </c>
    </row>
    <row r="304" spans="2:84" ht="18" customHeight="1" x14ac:dyDescent="0.3">
      <c r="B304" s="32" t="str">
        <f>IF(Q304="NO","","C7Y")</f>
        <v>C7Y</v>
      </c>
      <c r="C304" s="35" t="str">
        <f>IF(Q304="NO","","U7Y")</f>
        <v>U7Y</v>
      </c>
      <c r="D304" s="12">
        <f>IF(Q304="NO","",N(P48))</f>
        <v>0</v>
      </c>
      <c r="E304" s="23">
        <f>IF(Q304="NO","",-N(Y19)-N(W20))</f>
        <v>0</v>
      </c>
      <c r="F304" s="11">
        <f t="shared" si="136"/>
        <v>0</v>
      </c>
      <c r="G304" s="3" t="str">
        <f t="shared" si="137"/>
        <v>R_U7Y</v>
      </c>
      <c r="H304" s="35" t="str">
        <f t="shared" si="138"/>
        <v>U7Y</v>
      </c>
      <c r="J304" s="32" t="str">
        <f>IF(Q304="NO","","D7Y")</f>
        <v>D7Y</v>
      </c>
      <c r="K304" s="35" t="str">
        <f>IF(Q304="NO","","U7Y")</f>
        <v>U7Y</v>
      </c>
      <c r="L304" s="35" t="str">
        <f>IF(Q304="NO","",E48)</f>
        <v>NO</v>
      </c>
      <c r="M304" s="7">
        <f>IF(Q304="NO","",H48)</f>
        <v>0</v>
      </c>
      <c r="N304" s="63">
        <f t="shared" si="139"/>
        <v>0</v>
      </c>
      <c r="O304" s="35" t="str">
        <f t="shared" si="140"/>
        <v>U7Y</v>
      </c>
      <c r="P304" s="4">
        <v>20</v>
      </c>
      <c r="Q304" s="4" t="str">
        <f>IF(7&lt;=$G$7,"SÍ","NO")</f>
        <v>SÍ</v>
      </c>
      <c r="R304" s="4" t="str">
        <f>IF(AND(Q304="SÍ",L304="SÍ"),COUNTIFS($Q$285:Q304,"SÍ",$L$285:L304,"SÍ"),"")</f>
        <v/>
      </c>
      <c r="S304" s="4">
        <f>IF(AND(Q304="SÍ",L304="NO"),COUNTIFS($Q$285:Q304,"SÍ",$L$285:L304,"NO"),"")</f>
        <v>7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f t="shared" si="141"/>
        <v>0</v>
      </c>
      <c r="CF304">
        <f t="shared" si="142"/>
        <v>-85.142857142856883</v>
      </c>
    </row>
    <row r="305" spans="2:84" ht="18" customHeight="1" x14ac:dyDescent="0.3">
      <c r="B305" s="32" t="str">
        <f>IF(Q305="NO","","C7θ")</f>
        <v>C7θ</v>
      </c>
      <c r="C305" s="35" t="str">
        <f>IF(Q305="NO","","U7θ")</f>
        <v>U7θ</v>
      </c>
      <c r="D305" s="12">
        <f>IF(Q305="NO","",N(Q48))</f>
        <v>0</v>
      </c>
      <c r="E305" s="23">
        <f>IF(Q305="NO","",-N(Z19)-N(X20))</f>
        <v>0</v>
      </c>
      <c r="F305" s="11">
        <f t="shared" si="136"/>
        <v>0</v>
      </c>
      <c r="G305" s="3">
        <f t="shared" si="137"/>
        <v>0</v>
      </c>
      <c r="H305" s="35" t="str">
        <f t="shared" si="138"/>
        <v>U7θ</v>
      </c>
      <c r="J305" s="32" t="str">
        <f>IF(Q305="NO","","D7θ")</f>
        <v>D7θ</v>
      </c>
      <c r="K305" s="35" t="str">
        <f>IF(Q305="NO","","U7θ")</f>
        <v>U7θ</v>
      </c>
      <c r="L305" s="35" t="str">
        <f>IF(Q305="NO","",F48)</f>
        <v>SÍ</v>
      </c>
      <c r="M305" s="7" t="str">
        <f>IF(Q305="NO","",I48)</f>
        <v>D7θ</v>
      </c>
      <c r="N305" s="63">
        <f t="shared" si="139"/>
        <v>-1.5008165131621923E-4</v>
      </c>
      <c r="O305" s="35" t="str">
        <f t="shared" si="140"/>
        <v>U7θ</v>
      </c>
      <c r="P305" s="4">
        <v>21</v>
      </c>
      <c r="Q305" s="4" t="str">
        <f>IF(7&lt;=$G$7,"SÍ","NO")</f>
        <v>SÍ</v>
      </c>
      <c r="R305" s="4">
        <f>IF(AND(Q305="SÍ",L305="SÍ"),COUNTIFS($Q$285:Q305,"SÍ",$L$285:L305,"SÍ"),"")</f>
        <v>14</v>
      </c>
      <c r="S305" s="4" t="str">
        <f>IF(AND(Q305="SÍ",L305="NO"),COUNTIFS($Q$285:Q305,"SÍ",$L$285:L305,"NO"),"")</f>
        <v/>
      </c>
      <c r="AU305">
        <v>0</v>
      </c>
      <c r="AV305">
        <v>0</v>
      </c>
      <c r="AW305">
        <v>-8.361094780847866E-11</v>
      </c>
      <c r="AX305">
        <v>0</v>
      </c>
      <c r="AY305">
        <v>-1.2541642171271801E-8</v>
      </c>
      <c r="AZ305">
        <v>-2.0902736952119668E-11</v>
      </c>
      <c r="BA305">
        <v>0</v>
      </c>
      <c r="BB305">
        <v>0</v>
      </c>
      <c r="BC305">
        <v>1.6722189561695735E-10</v>
      </c>
      <c r="BD305">
        <v>0</v>
      </c>
      <c r="BE305">
        <v>1.0033313737017441E-7</v>
      </c>
      <c r="BF305">
        <v>1.6722189561695729E-10</v>
      </c>
      <c r="BG305">
        <v>0</v>
      </c>
      <c r="BH305">
        <v>0</v>
      </c>
      <c r="BI305">
        <v>-8.3610947808478673E-10</v>
      </c>
      <c r="BJ305">
        <v>0</v>
      </c>
      <c r="BK305">
        <v>-2.1555947481873408E-7</v>
      </c>
      <c r="BL305">
        <v>-4.4418316023254309E-10</v>
      </c>
      <c r="BM305">
        <v>0</v>
      </c>
      <c r="BN305">
        <v>0</v>
      </c>
      <c r="BO305">
        <v>2.6128421190149584E-9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f t="shared" si="141"/>
        <v>-1.5008165131621923E-4</v>
      </c>
      <c r="CF305">
        <f t="shared" si="142"/>
        <v>-5.8207660913467407E-11</v>
      </c>
    </row>
    <row r="306" spans="2:84" ht="18" customHeight="1" x14ac:dyDescent="0.3">
      <c r="B306" s="32" t="str">
        <f>IF(Q306="NO","","C8X")</f>
        <v/>
      </c>
      <c r="C306" s="35" t="str">
        <f>IF(Q306="NO","","U8X")</f>
        <v/>
      </c>
      <c r="D306" s="12" t="str">
        <f>IF(Q306="NO","",N(O49))</f>
        <v/>
      </c>
      <c r="E306" s="23" t="str">
        <f>IF(Q306="NO","",0)</f>
        <v/>
      </c>
      <c r="F306" s="11" t="str">
        <f t="shared" si="136"/>
        <v/>
      </c>
      <c r="G306" s="3" t="str">
        <f t="shared" si="137"/>
        <v/>
      </c>
      <c r="H306" s="35" t="str">
        <f t="shared" si="138"/>
        <v/>
      </c>
      <c r="J306" s="32" t="str">
        <f>IF(Q306="NO","","D8X")</f>
        <v/>
      </c>
      <c r="K306" s="35" t="str">
        <f>IF(Q306="NO","","U8X")</f>
        <v/>
      </c>
      <c r="L306" s="35" t="str">
        <f>IF(Q306="NO","",D49)</f>
        <v/>
      </c>
      <c r="M306" s="7" t="str">
        <f>IF(Q306="NO","",G49)</f>
        <v/>
      </c>
      <c r="N306" s="63" t="str">
        <f t="shared" si="139"/>
        <v/>
      </c>
      <c r="O306" s="35" t="str">
        <f t="shared" si="140"/>
        <v/>
      </c>
      <c r="P306" s="4">
        <v>22</v>
      </c>
      <c r="Q306" s="4" t="str">
        <f>IF(8&lt;=$G$7,"SÍ","NO")</f>
        <v>NO</v>
      </c>
      <c r="R306" s="4" t="str">
        <f>IF(AND(Q306="SÍ",L306="SÍ"),COUNTIFS($Q$285:Q306,"SÍ",$L$285:L306,"SÍ"),"")</f>
        <v/>
      </c>
      <c r="S306" s="4" t="str">
        <f>IF(AND(Q306="SÍ",L306="NO"),COUNTIFS($Q$285:Q306,"SÍ",$L$285:L306,"NO"),"")</f>
        <v/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f t="shared" si="141"/>
        <v>0</v>
      </c>
      <c r="CF306">
        <f t="shared" si="142"/>
        <v>0</v>
      </c>
    </row>
    <row r="307" spans="2:84" ht="18" customHeight="1" x14ac:dyDescent="0.3">
      <c r="B307" s="32" t="str">
        <f>IF(Q307="NO","","C8Y")</f>
        <v/>
      </c>
      <c r="C307" s="35" t="str">
        <f>IF(Q307="NO","","U8Y")</f>
        <v/>
      </c>
      <c r="D307" s="12" t="str">
        <f>IF(Q307="NO","",N(P49))</f>
        <v/>
      </c>
      <c r="E307" s="23" t="str">
        <f>IF(Q307="NO","",-N(Y20)-N(W21))</f>
        <v/>
      </c>
      <c r="F307" s="11" t="str">
        <f t="shared" si="136"/>
        <v/>
      </c>
      <c r="G307" s="3" t="str">
        <f t="shared" si="137"/>
        <v/>
      </c>
      <c r="H307" s="35" t="str">
        <f t="shared" si="138"/>
        <v/>
      </c>
      <c r="J307" s="32" t="str">
        <f>IF(Q307="NO","","D8Y")</f>
        <v/>
      </c>
      <c r="K307" s="35" t="str">
        <f>IF(Q307="NO","","U8Y")</f>
        <v/>
      </c>
      <c r="L307" s="35" t="str">
        <f>IF(Q307="NO","",E49)</f>
        <v/>
      </c>
      <c r="M307" s="7" t="str">
        <f>IF(Q307="NO","",H49)</f>
        <v/>
      </c>
      <c r="N307" s="63" t="str">
        <f t="shared" si="139"/>
        <v/>
      </c>
      <c r="O307" s="35" t="str">
        <f t="shared" si="140"/>
        <v/>
      </c>
      <c r="P307" s="4">
        <v>23</v>
      </c>
      <c r="Q307" s="4" t="str">
        <f>IF(8&lt;=$G$7,"SÍ","NO")</f>
        <v>NO</v>
      </c>
      <c r="R307" s="4" t="str">
        <f>IF(AND(Q307="SÍ",L307="SÍ"),COUNTIFS($Q$285:Q307,"SÍ",$L$285:L307,"SÍ"),"")</f>
        <v/>
      </c>
      <c r="S307" s="4" t="str">
        <f>IF(AND(Q307="SÍ",L307="NO"),COUNTIFS($Q$285:Q307,"SÍ",$L$285:L307,"NO"),"")</f>
        <v/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f t="shared" si="141"/>
        <v>0</v>
      </c>
      <c r="CF307">
        <f t="shared" si="142"/>
        <v>0</v>
      </c>
    </row>
    <row r="308" spans="2:84" ht="18" customHeight="1" x14ac:dyDescent="0.3">
      <c r="B308" s="32" t="str">
        <f>IF(Q308="NO","","C8θ")</f>
        <v/>
      </c>
      <c r="C308" s="35" t="str">
        <f>IF(Q308="NO","","U8θ")</f>
        <v/>
      </c>
      <c r="D308" s="12" t="str">
        <f>IF(Q308="NO","",N(Q49))</f>
        <v/>
      </c>
      <c r="E308" s="23" t="str">
        <f>IF(Q308="NO","",-N(Z20)-N(X21))</f>
        <v/>
      </c>
      <c r="F308" s="11" t="str">
        <f t="shared" si="136"/>
        <v/>
      </c>
      <c r="G308" s="3" t="str">
        <f t="shared" si="137"/>
        <v/>
      </c>
      <c r="H308" s="35" t="str">
        <f t="shared" si="138"/>
        <v/>
      </c>
      <c r="J308" s="32" t="str">
        <f>IF(Q308="NO","","D8θ")</f>
        <v/>
      </c>
      <c r="K308" s="35" t="str">
        <f>IF(Q308="NO","","U8θ")</f>
        <v/>
      </c>
      <c r="L308" s="35" t="str">
        <f>IF(Q308="NO","",F49)</f>
        <v/>
      </c>
      <c r="M308" s="7" t="str">
        <f>IF(Q308="NO","",I49)</f>
        <v/>
      </c>
      <c r="N308" s="63" t="str">
        <f t="shared" si="139"/>
        <v/>
      </c>
      <c r="O308" s="35" t="str">
        <f t="shared" si="140"/>
        <v/>
      </c>
      <c r="P308" s="4">
        <v>24</v>
      </c>
      <c r="Q308" s="4" t="str">
        <f>IF(8&lt;=$G$7,"SÍ","NO")</f>
        <v>NO</v>
      </c>
      <c r="R308" s="4" t="str">
        <f>IF(AND(Q308="SÍ",L308="SÍ"),COUNTIFS($Q$285:Q308,"SÍ",$L$285:L308,"SÍ"),"")</f>
        <v/>
      </c>
      <c r="S308" s="4" t="str">
        <f>IF(AND(Q308="SÍ",L308="NO"),COUNTIFS($Q$285:Q308,"SÍ",$L$285:L308,"NO"),"")</f>
        <v/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f t="shared" si="141"/>
        <v>0</v>
      </c>
      <c r="CF308">
        <f t="shared" si="142"/>
        <v>0</v>
      </c>
    </row>
    <row r="309" spans="2:84" ht="18" customHeight="1" x14ac:dyDescent="0.3">
      <c r="B309" s="32" t="str">
        <f>IF(Q309="NO","","C9X")</f>
        <v/>
      </c>
      <c r="C309" s="35" t="str">
        <f>IF(Q309="NO","","U9X")</f>
        <v/>
      </c>
      <c r="D309" s="12" t="str">
        <f>IF(Q309="NO","",N(O50))</f>
        <v/>
      </c>
      <c r="E309" s="23" t="str">
        <f>IF(Q309="NO","",0)</f>
        <v/>
      </c>
      <c r="F309" s="11" t="str">
        <f t="shared" si="136"/>
        <v/>
      </c>
      <c r="G309" s="3" t="str">
        <f t="shared" si="137"/>
        <v/>
      </c>
      <c r="H309" s="35" t="str">
        <f t="shared" si="138"/>
        <v/>
      </c>
      <c r="J309" s="32" t="str">
        <f>IF(Q309="NO","","D9X")</f>
        <v/>
      </c>
      <c r="K309" s="35" t="str">
        <f>IF(Q309="NO","","U9X")</f>
        <v/>
      </c>
      <c r="L309" s="35" t="str">
        <f>IF(Q309="NO","",D50)</f>
        <v/>
      </c>
      <c r="M309" s="7" t="str">
        <f>IF(Q309="NO","",G50)</f>
        <v/>
      </c>
      <c r="N309" s="63" t="str">
        <f t="shared" si="139"/>
        <v/>
      </c>
      <c r="O309" s="35" t="str">
        <f t="shared" si="140"/>
        <v/>
      </c>
      <c r="P309" s="4">
        <v>25</v>
      </c>
      <c r="Q309" s="4" t="str">
        <f>IF(9&lt;=$G$7,"SÍ","NO")</f>
        <v>NO</v>
      </c>
      <c r="R309" s="4" t="str">
        <f>IF(AND(Q309="SÍ",L309="SÍ"),COUNTIFS($Q$285:Q309,"SÍ",$L$285:L309,"SÍ"),"")</f>
        <v/>
      </c>
      <c r="S309" s="4" t="str">
        <f>IF(AND(Q309="SÍ",L309="NO"),COUNTIFS($Q$285:Q309,"SÍ",$L$285:L309,"NO"),"")</f>
        <v/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f t="shared" si="141"/>
        <v>0</v>
      </c>
      <c r="CF309">
        <f t="shared" si="142"/>
        <v>0</v>
      </c>
    </row>
    <row r="310" spans="2:84" ht="18" customHeight="1" x14ac:dyDescent="0.3">
      <c r="B310" s="32" t="str">
        <f>IF(Q310="NO","","C9Y")</f>
        <v/>
      </c>
      <c r="C310" s="35" t="str">
        <f>IF(Q310="NO","","U9Y")</f>
        <v/>
      </c>
      <c r="D310" s="12" t="str">
        <f>IF(Q310="NO","",N(P50))</f>
        <v/>
      </c>
      <c r="E310" s="23" t="str">
        <f>IF(Q310="NO","",-N(Y21)-N(W22))</f>
        <v/>
      </c>
      <c r="F310" s="11" t="str">
        <f t="shared" si="136"/>
        <v/>
      </c>
      <c r="G310" s="3" t="str">
        <f t="shared" si="137"/>
        <v/>
      </c>
      <c r="H310" s="35" t="str">
        <f t="shared" si="138"/>
        <v/>
      </c>
      <c r="J310" s="32" t="str">
        <f>IF(Q310="NO","","D9Y")</f>
        <v/>
      </c>
      <c r="K310" s="35" t="str">
        <f>IF(Q310="NO","","U9Y")</f>
        <v/>
      </c>
      <c r="L310" s="35" t="str">
        <f>IF(Q310="NO","",E50)</f>
        <v/>
      </c>
      <c r="M310" s="7" t="str">
        <f>IF(Q310="NO","",H50)</f>
        <v/>
      </c>
      <c r="N310" s="63" t="str">
        <f t="shared" si="139"/>
        <v/>
      </c>
      <c r="O310" s="35" t="str">
        <f t="shared" si="140"/>
        <v/>
      </c>
      <c r="P310" s="4">
        <v>26</v>
      </c>
      <c r="Q310" s="4" t="str">
        <f>IF(9&lt;=$G$7,"SÍ","NO")</f>
        <v>NO</v>
      </c>
      <c r="R310" s="4" t="str">
        <f>IF(AND(Q310="SÍ",L310="SÍ"),COUNTIFS($Q$285:Q310,"SÍ",$L$285:L310,"SÍ"),"")</f>
        <v/>
      </c>
      <c r="S310" s="4" t="str">
        <f>IF(AND(Q310="SÍ",L310="NO"),COUNTIFS($Q$285:Q310,"SÍ",$L$285:L310,"NO"),"")</f>
        <v/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f t="shared" si="141"/>
        <v>0</v>
      </c>
      <c r="CF310">
        <f t="shared" si="142"/>
        <v>0</v>
      </c>
    </row>
    <row r="311" spans="2:84" ht="18" customHeight="1" x14ac:dyDescent="0.3">
      <c r="B311" s="32" t="str">
        <f>IF(Q311="NO","","C9θ")</f>
        <v/>
      </c>
      <c r="C311" s="35" t="str">
        <f>IF(Q311="NO","","U9θ")</f>
        <v/>
      </c>
      <c r="D311" s="12" t="str">
        <f>IF(Q311="NO","",N(Q50))</f>
        <v/>
      </c>
      <c r="E311" s="23" t="str">
        <f>IF(Q311="NO","",-N(Z21)-N(X22))</f>
        <v/>
      </c>
      <c r="F311" s="11" t="str">
        <f t="shared" si="136"/>
        <v/>
      </c>
      <c r="G311" s="3" t="str">
        <f t="shared" si="137"/>
        <v/>
      </c>
      <c r="H311" s="35" t="str">
        <f t="shared" si="138"/>
        <v/>
      </c>
      <c r="J311" s="32" t="str">
        <f>IF(Q311="NO","","D9θ")</f>
        <v/>
      </c>
      <c r="K311" s="35" t="str">
        <f>IF(Q311="NO","","U9θ")</f>
        <v/>
      </c>
      <c r="L311" s="35" t="str">
        <f>IF(Q311="NO","",F50)</f>
        <v/>
      </c>
      <c r="M311" s="7" t="str">
        <f>IF(Q311="NO","",I50)</f>
        <v/>
      </c>
      <c r="N311" s="63" t="str">
        <f t="shared" si="139"/>
        <v/>
      </c>
      <c r="O311" s="35" t="str">
        <f t="shared" si="140"/>
        <v/>
      </c>
      <c r="P311" s="4">
        <v>27</v>
      </c>
      <c r="Q311" s="4" t="str">
        <f>IF(9&lt;=$G$7,"SÍ","NO")</f>
        <v>NO</v>
      </c>
      <c r="R311" s="4" t="str">
        <f>IF(AND(Q311="SÍ",L311="SÍ"),COUNTIFS($Q$285:Q311,"SÍ",$L$285:L311,"SÍ"),"")</f>
        <v/>
      </c>
      <c r="S311" s="4" t="str">
        <f>IF(AND(Q311="SÍ",L311="NO"),COUNTIFS($Q$285:Q311,"SÍ",$L$285:L311,"NO"),"")</f>
        <v/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f t="shared" si="141"/>
        <v>0</v>
      </c>
      <c r="CF311">
        <f t="shared" si="142"/>
        <v>0</v>
      </c>
    </row>
    <row r="312" spans="2:84" ht="18" customHeight="1" x14ac:dyDescent="0.3">
      <c r="B312" s="32" t="str">
        <f>IF(Q312="NO","","C10X")</f>
        <v/>
      </c>
      <c r="C312" s="35" t="str">
        <f>IF(Q312="NO","","U10X")</f>
        <v/>
      </c>
      <c r="D312" s="12" t="str">
        <f>IF(Q312="NO","",N(O51))</f>
        <v/>
      </c>
      <c r="E312" s="23" t="str">
        <f>IF(Q312="NO","",0)</f>
        <v/>
      </c>
      <c r="F312" s="11" t="str">
        <f t="shared" si="136"/>
        <v/>
      </c>
      <c r="G312" s="3" t="str">
        <f t="shared" si="137"/>
        <v/>
      </c>
      <c r="H312" s="35" t="str">
        <f t="shared" si="138"/>
        <v/>
      </c>
      <c r="J312" s="32" t="str">
        <f>IF(Q312="NO","","D10X")</f>
        <v/>
      </c>
      <c r="K312" s="35" t="str">
        <f>IF(Q312="NO","","U10X")</f>
        <v/>
      </c>
      <c r="L312" s="35" t="str">
        <f>IF(Q312="NO","",D51)</f>
        <v/>
      </c>
      <c r="M312" s="7" t="str">
        <f>IF(Q312="NO","",G51)</f>
        <v/>
      </c>
      <c r="N312" s="63" t="str">
        <f t="shared" si="139"/>
        <v/>
      </c>
      <c r="O312" s="35" t="str">
        <f t="shared" si="140"/>
        <v/>
      </c>
      <c r="P312" s="4">
        <v>28</v>
      </c>
      <c r="Q312" s="4" t="str">
        <f>IF(10&lt;=$G$7,"SÍ","NO")</f>
        <v>NO</v>
      </c>
      <c r="R312" s="4" t="str">
        <f>IF(AND(Q312="SÍ",L312="SÍ"),COUNTIFS($Q$285:Q312,"SÍ",$L$285:L312,"SÍ"),"")</f>
        <v/>
      </c>
      <c r="S312" s="4" t="str">
        <f>IF(AND(Q312="SÍ",L312="NO"),COUNTIFS($Q$285:Q312,"SÍ",$L$285:L312,"NO"),"")</f>
        <v/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f t="shared" si="141"/>
        <v>0</v>
      </c>
      <c r="CF312">
        <f t="shared" si="142"/>
        <v>0</v>
      </c>
    </row>
    <row r="313" spans="2:84" ht="18" customHeight="1" x14ac:dyDescent="0.3">
      <c r="B313" s="32" t="str">
        <f>IF(Q313="NO","","C10Y")</f>
        <v/>
      </c>
      <c r="C313" s="35" t="str">
        <f>IF(Q313="NO","","U10Y")</f>
        <v/>
      </c>
      <c r="D313" s="12" t="str">
        <f>IF(Q313="NO","",N(P51))</f>
        <v/>
      </c>
      <c r="E313" s="23" t="str">
        <f>IF(Q313="NO","",-N(Y22)-N(W23))</f>
        <v/>
      </c>
      <c r="F313" s="11" t="str">
        <f t="shared" si="136"/>
        <v/>
      </c>
      <c r="G313" s="3" t="str">
        <f t="shared" si="137"/>
        <v/>
      </c>
      <c r="H313" s="35" t="str">
        <f t="shared" si="138"/>
        <v/>
      </c>
      <c r="J313" s="32" t="str">
        <f>IF(Q313="NO","","D10Y")</f>
        <v/>
      </c>
      <c r="K313" s="35" t="str">
        <f>IF(Q313="NO","","U10Y")</f>
        <v/>
      </c>
      <c r="L313" s="35" t="str">
        <f>IF(Q313="NO","",E51)</f>
        <v/>
      </c>
      <c r="M313" s="7" t="str">
        <f>IF(Q313="NO","",H51)</f>
        <v/>
      </c>
      <c r="N313" s="63" t="str">
        <f t="shared" si="139"/>
        <v/>
      </c>
      <c r="O313" s="35" t="str">
        <f t="shared" si="140"/>
        <v/>
      </c>
      <c r="P313" s="4">
        <v>29</v>
      </c>
      <c r="Q313" s="4" t="str">
        <f>IF(10&lt;=$G$7,"SÍ","NO")</f>
        <v>NO</v>
      </c>
      <c r="R313" s="4" t="str">
        <f>IF(AND(Q313="SÍ",L313="SÍ"),COUNTIFS($Q$285:Q313,"SÍ",$L$285:L313,"SÍ"),"")</f>
        <v/>
      </c>
      <c r="S313" s="4" t="str">
        <f>IF(AND(Q313="SÍ",L313="NO"),COUNTIFS($Q$285:Q313,"SÍ",$L$285:L313,"NO"),"")</f>
        <v/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f t="shared" si="141"/>
        <v>0</v>
      </c>
      <c r="CF313">
        <f t="shared" si="142"/>
        <v>0</v>
      </c>
    </row>
    <row r="314" spans="2:84" ht="18" customHeight="1" x14ac:dyDescent="0.3">
      <c r="B314" s="32" t="str">
        <f>IF(Q314="NO","","C10θ")</f>
        <v/>
      </c>
      <c r="C314" s="35" t="str">
        <f>IF(Q314="NO","","U10θ")</f>
        <v/>
      </c>
      <c r="D314" s="12" t="str">
        <f>IF(Q314="NO","",N(Q51))</f>
        <v/>
      </c>
      <c r="E314" s="23" t="str">
        <f>IF(Q314="NO","",-N(Z22)-N(X23))</f>
        <v/>
      </c>
      <c r="F314" s="11" t="str">
        <f t="shared" si="136"/>
        <v/>
      </c>
      <c r="G314" s="3" t="str">
        <f t="shared" si="137"/>
        <v/>
      </c>
      <c r="H314" s="35" t="str">
        <f t="shared" si="138"/>
        <v/>
      </c>
      <c r="J314" s="32" t="str">
        <f>IF(Q314="NO","","D10θ")</f>
        <v/>
      </c>
      <c r="K314" s="35" t="str">
        <f>IF(Q314="NO","","U10θ")</f>
        <v/>
      </c>
      <c r="L314" s="35" t="str">
        <f>IF(Q314="NO","",F51)</f>
        <v/>
      </c>
      <c r="M314" s="7" t="str">
        <f>IF(Q314="NO","",I51)</f>
        <v/>
      </c>
      <c r="N314" s="63" t="str">
        <f t="shared" si="139"/>
        <v/>
      </c>
      <c r="O314" s="35" t="str">
        <f t="shared" si="140"/>
        <v/>
      </c>
      <c r="P314" s="4">
        <v>30</v>
      </c>
      <c r="Q314" s="4" t="str">
        <f>IF(10&lt;=$G$7,"SÍ","NO")</f>
        <v>NO</v>
      </c>
      <c r="R314" s="4" t="str">
        <f>IF(AND(Q314="SÍ",L314="SÍ"),COUNTIFS($Q$285:Q314,"SÍ",$L$285:L314,"SÍ"),"")</f>
        <v/>
      </c>
      <c r="S314" s="4" t="str">
        <f>IF(AND(Q314="SÍ",L314="NO"),COUNTIFS($Q$285:Q314,"SÍ",$L$285:L314,"NO"),"")</f>
        <v/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f t="shared" si="141"/>
        <v>0</v>
      </c>
      <c r="CF314">
        <f t="shared" si="142"/>
        <v>0</v>
      </c>
    </row>
    <row r="315" spans="2:84" ht="18" customHeight="1" x14ac:dyDescent="0.3">
      <c r="B315" s="32" t="str">
        <f>IF(Q315="NO","","C11X")</f>
        <v/>
      </c>
      <c r="C315" s="35" t="str">
        <f>IF(Q315="NO","","U11X")</f>
        <v/>
      </c>
      <c r="D315" s="12" t="str">
        <f>IF(Q315="NO","",N(O52))</f>
        <v/>
      </c>
      <c r="E315" s="23" t="str">
        <f>IF(Q315="NO","",0)</f>
        <v/>
      </c>
      <c r="F315" s="11" t="str">
        <f t="shared" si="136"/>
        <v/>
      </c>
      <c r="G315" s="3" t="str">
        <f t="shared" si="137"/>
        <v/>
      </c>
      <c r="H315" s="35" t="str">
        <f t="shared" si="138"/>
        <v/>
      </c>
      <c r="J315" s="32" t="str">
        <f>IF(Q315="NO","","D11X")</f>
        <v/>
      </c>
      <c r="K315" s="35" t="str">
        <f>IF(Q315="NO","","U11X")</f>
        <v/>
      </c>
      <c r="L315" s="35" t="str">
        <f>IF(Q315="NO","",D52)</f>
        <v/>
      </c>
      <c r="M315" s="7" t="str">
        <f>IF(Q315="NO","",G52)</f>
        <v/>
      </c>
      <c r="N315" s="63" t="str">
        <f t="shared" si="139"/>
        <v/>
      </c>
      <c r="O315" s="35" t="str">
        <f t="shared" si="140"/>
        <v/>
      </c>
      <c r="P315" s="4">
        <v>31</v>
      </c>
      <c r="Q315" s="4" t="str">
        <f>IF(11&lt;=$G$7,"SÍ","NO")</f>
        <v>NO</v>
      </c>
      <c r="R315" s="4" t="str">
        <f>IF(AND(Q315="SÍ",L315="SÍ"),COUNTIFS($Q$285:Q315,"SÍ",$L$285:L315,"SÍ"),"")</f>
        <v/>
      </c>
      <c r="S315" s="4" t="str">
        <f>IF(AND(Q315="SÍ",L315="NO"),COUNTIFS($Q$285:Q315,"SÍ",$L$285:L315,"NO"),"")</f>
        <v/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f t="shared" si="141"/>
        <v>0</v>
      </c>
      <c r="CF315">
        <f t="shared" si="142"/>
        <v>0</v>
      </c>
    </row>
    <row r="316" spans="2:84" ht="18" customHeight="1" x14ac:dyDescent="0.3">
      <c r="B316" s="32" t="str">
        <f>IF(Q316="NO","","C11Y")</f>
        <v/>
      </c>
      <c r="C316" s="35" t="str">
        <f>IF(Q316="NO","","U11Y")</f>
        <v/>
      </c>
      <c r="D316" s="12" t="str">
        <f>IF(Q316="NO","",N(P52))</f>
        <v/>
      </c>
      <c r="E316" s="23" t="str">
        <f>IF(Q316="NO","",-N(Y23)-N(W24))</f>
        <v/>
      </c>
      <c r="F316" s="11" t="str">
        <f t="shared" si="136"/>
        <v/>
      </c>
      <c r="G316" s="3" t="str">
        <f t="shared" si="137"/>
        <v/>
      </c>
      <c r="H316" s="35" t="str">
        <f t="shared" si="138"/>
        <v/>
      </c>
      <c r="J316" s="32" t="str">
        <f>IF(Q316="NO","","D11Y")</f>
        <v/>
      </c>
      <c r="K316" s="35" t="str">
        <f>IF(Q316="NO","","U11Y")</f>
        <v/>
      </c>
      <c r="L316" s="35" t="str">
        <f>IF(Q316="NO","",E52)</f>
        <v/>
      </c>
      <c r="M316" s="7" t="str">
        <f>IF(Q316="NO","",H52)</f>
        <v/>
      </c>
      <c r="N316" s="63" t="str">
        <f t="shared" si="139"/>
        <v/>
      </c>
      <c r="O316" s="35" t="str">
        <f t="shared" si="140"/>
        <v/>
      </c>
      <c r="P316" s="4">
        <v>32</v>
      </c>
      <c r="Q316" s="4" t="str">
        <f>IF(11&lt;=$G$7,"SÍ","NO")</f>
        <v>NO</v>
      </c>
      <c r="R316" s="4" t="str">
        <f>IF(AND(Q316="SÍ",L316="SÍ"),COUNTIFS($Q$285:Q316,"SÍ",$L$285:L316,"SÍ"),"")</f>
        <v/>
      </c>
      <c r="S316" s="4" t="str">
        <f>IF(AND(Q316="SÍ",L316="NO"),COUNTIFS($Q$285:Q316,"SÍ",$L$285:L316,"NO"),"")</f>
        <v/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f t="shared" si="141"/>
        <v>0</v>
      </c>
      <c r="CF316">
        <f t="shared" si="142"/>
        <v>0</v>
      </c>
    </row>
    <row r="317" spans="2:84" ht="18" customHeight="1" x14ac:dyDescent="0.3">
      <c r="B317" s="32" t="str">
        <f>IF(Q317="NO","","C11θ")</f>
        <v/>
      </c>
      <c r="C317" s="35" t="str">
        <f>IF(Q317="NO","","U11θ")</f>
        <v/>
      </c>
      <c r="D317" s="12" t="str">
        <f>IF(Q317="NO","",N(Q52))</f>
        <v/>
      </c>
      <c r="E317" s="23" t="str">
        <f>IF(Q317="NO","",-N(Z23)-N(X24))</f>
        <v/>
      </c>
      <c r="F317" s="11" t="str">
        <f t="shared" si="136"/>
        <v/>
      </c>
      <c r="G317" s="3" t="str">
        <f t="shared" si="137"/>
        <v/>
      </c>
      <c r="H317" s="35" t="str">
        <f t="shared" si="138"/>
        <v/>
      </c>
      <c r="J317" s="32" t="str">
        <f>IF(Q317="NO","","D11θ")</f>
        <v/>
      </c>
      <c r="K317" s="35" t="str">
        <f>IF(Q317="NO","","U11θ")</f>
        <v/>
      </c>
      <c r="L317" s="35" t="str">
        <f>IF(Q317="NO","",F52)</f>
        <v/>
      </c>
      <c r="M317" s="7" t="str">
        <f>IF(Q317="NO","",I52)</f>
        <v/>
      </c>
      <c r="N317" s="63" t="str">
        <f t="shared" si="139"/>
        <v/>
      </c>
      <c r="O317" s="35" t="str">
        <f t="shared" si="140"/>
        <v/>
      </c>
      <c r="P317" s="4">
        <v>33</v>
      </c>
      <c r="Q317" s="4" t="str">
        <f>IF(11&lt;=$G$7,"SÍ","NO")</f>
        <v>NO</v>
      </c>
      <c r="R317" s="4" t="str">
        <f>IF(AND(Q317="SÍ",L317="SÍ"),COUNTIFS($Q$285:Q317,"SÍ",$L$285:L317,"SÍ"),"")</f>
        <v/>
      </c>
      <c r="S317" s="4" t="str">
        <f>IF(AND(Q317="SÍ",L317="NO"),COUNTIFS($Q$285:Q317,"SÍ",$L$285:L317,"NO"),"")</f>
        <v/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0</v>
      </c>
      <c r="CC317">
        <v>0</v>
      </c>
      <c r="CD317">
        <v>0</v>
      </c>
      <c r="CE317">
        <f t="shared" si="141"/>
        <v>0</v>
      </c>
      <c r="CF317">
        <f t="shared" si="142"/>
        <v>0</v>
      </c>
    </row>
    <row r="318" spans="2:84" ht="18" customHeight="1" x14ac:dyDescent="0.3">
      <c r="B318" s="32" t="str">
        <f>IF(Q318="NO","","C12X")</f>
        <v/>
      </c>
      <c r="C318" s="35" t="str">
        <f>IF(Q318="NO","","U12X")</f>
        <v/>
      </c>
      <c r="D318" s="12" t="str">
        <f>IF(Q318="NO","",N(O53))</f>
        <v/>
      </c>
      <c r="E318" s="23" t="str">
        <f>IF(Q318="NO","",0)</f>
        <v/>
      </c>
      <c r="F318" s="11" t="str">
        <f t="shared" si="136"/>
        <v/>
      </c>
      <c r="G318" s="3" t="str">
        <f t="shared" si="137"/>
        <v/>
      </c>
      <c r="H318" s="35" t="str">
        <f t="shared" si="138"/>
        <v/>
      </c>
      <c r="J318" s="32" t="str">
        <f>IF(Q318="NO","","D12X")</f>
        <v/>
      </c>
      <c r="K318" s="35" t="str">
        <f>IF(Q318="NO","","U12X")</f>
        <v/>
      </c>
      <c r="L318" s="35" t="str">
        <f>IF(Q318="NO","",D53)</f>
        <v/>
      </c>
      <c r="M318" s="7" t="str">
        <f>IF(Q318="NO","",G53)</f>
        <v/>
      </c>
      <c r="N318" s="63" t="str">
        <f t="shared" si="139"/>
        <v/>
      </c>
      <c r="O318" s="35" t="str">
        <f t="shared" si="140"/>
        <v/>
      </c>
      <c r="P318" s="4">
        <v>34</v>
      </c>
      <c r="Q318" s="4" t="str">
        <f>IF(12&lt;=$G$7,"SÍ","NO")</f>
        <v>NO</v>
      </c>
      <c r="R318" s="4" t="str">
        <f>IF(AND(Q318="SÍ",L318="SÍ"),COUNTIFS($Q$285:Q318,"SÍ",$L$285:L318,"SÍ"),"")</f>
        <v/>
      </c>
      <c r="S318" s="4" t="str">
        <f>IF(AND(Q318="SÍ",L318="NO"),COUNTIFS($Q$285:Q318,"SÍ",$L$285:L318,"NO"),"")</f>
        <v/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f t="shared" si="141"/>
        <v>0</v>
      </c>
      <c r="CF318">
        <f t="shared" si="142"/>
        <v>0</v>
      </c>
    </row>
    <row r="319" spans="2:84" ht="18" customHeight="1" x14ac:dyDescent="0.3">
      <c r="B319" s="32" t="str">
        <f>IF(Q319="NO","","C12Y")</f>
        <v/>
      </c>
      <c r="C319" s="35" t="str">
        <f>IF(Q319="NO","","U12Y")</f>
        <v/>
      </c>
      <c r="D319" s="12" t="str">
        <f>IF(Q319="NO","",N(P53))</f>
        <v/>
      </c>
      <c r="E319" s="23" t="str">
        <f>IF(Q319="NO","",-N(Y24))</f>
        <v/>
      </c>
      <c r="F319" s="11" t="str">
        <f t="shared" si="136"/>
        <v/>
      </c>
      <c r="G319" s="3" t="str">
        <f t="shared" si="137"/>
        <v/>
      </c>
      <c r="H319" s="35" t="str">
        <f t="shared" si="138"/>
        <v/>
      </c>
      <c r="J319" s="32" t="str">
        <f>IF(Q319="NO","","D12Y")</f>
        <v/>
      </c>
      <c r="K319" s="35" t="str">
        <f>IF(Q319="NO","","U12Y")</f>
        <v/>
      </c>
      <c r="L319" s="35" t="str">
        <f>IF(Q319="NO","",E53)</f>
        <v/>
      </c>
      <c r="M319" s="7" t="str">
        <f>IF(Q319="NO","",H53)</f>
        <v/>
      </c>
      <c r="N319" s="63" t="str">
        <f t="shared" si="139"/>
        <v/>
      </c>
      <c r="O319" s="35" t="str">
        <f t="shared" si="140"/>
        <v/>
      </c>
      <c r="P319" s="4">
        <v>35</v>
      </c>
      <c r="Q319" s="4" t="str">
        <f>IF(12&lt;=$G$7,"SÍ","NO")</f>
        <v>NO</v>
      </c>
      <c r="R319" s="4" t="str">
        <f>IF(AND(Q319="SÍ",L319="SÍ"),COUNTIFS($Q$285:Q319,"SÍ",$L$285:L319,"SÍ"),"")</f>
        <v/>
      </c>
      <c r="S319" s="4" t="str">
        <f>IF(AND(Q319="SÍ",L319="NO"),COUNTIFS($Q$285:Q319,"SÍ",$L$285:L319,"NO"),"")</f>
        <v/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f t="shared" si="141"/>
        <v>0</v>
      </c>
      <c r="CF319">
        <f t="shared" si="142"/>
        <v>0</v>
      </c>
    </row>
    <row r="320" spans="2:84" ht="18" customHeight="1" x14ac:dyDescent="0.3">
      <c r="B320" s="32" t="str">
        <f>IF(Q320="NO","","C12θ")</f>
        <v/>
      </c>
      <c r="C320" s="35" t="str">
        <f>IF(Q320="NO","","U12θ")</f>
        <v/>
      </c>
      <c r="D320" s="12" t="str">
        <f>IF(Q320="NO","",N(Q53))</f>
        <v/>
      </c>
      <c r="E320" s="23" t="str">
        <f>IF(Q320="NO","",-N(Z24))</f>
        <v/>
      </c>
      <c r="F320" s="11" t="str">
        <f t="shared" si="136"/>
        <v/>
      </c>
      <c r="G320" s="3" t="str">
        <f t="shared" si="137"/>
        <v/>
      </c>
      <c r="H320" s="35" t="str">
        <f t="shared" si="138"/>
        <v/>
      </c>
      <c r="J320" s="32" t="str">
        <f>IF(Q320="NO","","D12θ")</f>
        <v/>
      </c>
      <c r="K320" s="35" t="str">
        <f>IF(Q320="NO","","U12θ")</f>
        <v/>
      </c>
      <c r="L320" s="35" t="str">
        <f>IF(Q320="NO","",F53)</f>
        <v/>
      </c>
      <c r="M320" s="7" t="str">
        <f>IF(Q320="NO","",I53)</f>
        <v/>
      </c>
      <c r="N320" s="63" t="str">
        <f t="shared" si="139"/>
        <v/>
      </c>
      <c r="O320" s="35" t="str">
        <f t="shared" si="140"/>
        <v/>
      </c>
      <c r="P320" s="4">
        <v>36</v>
      </c>
      <c r="Q320" s="4" t="str">
        <f>IF(12&lt;=$G$7,"SÍ","NO")</f>
        <v>NO</v>
      </c>
      <c r="R320" s="4" t="str">
        <f>IF(AND(Q320="SÍ",L320="SÍ"),COUNTIFS($Q$285:Q320,"SÍ",$L$285:L320,"SÍ"),"")</f>
        <v/>
      </c>
      <c r="S320" s="4" t="str">
        <f>IF(AND(Q320="SÍ",L320="NO"),COUNTIFS($Q$285:Q320,"SÍ",$L$285:L320,"NO"),"")</f>
        <v/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1</v>
      </c>
      <c r="CE320">
        <f t="shared" si="141"/>
        <v>0</v>
      </c>
      <c r="CF320">
        <f t="shared" si="142"/>
        <v>0</v>
      </c>
    </row>
    <row r="323" spans="2:42" ht="22.05" customHeight="1" thickBot="1" x14ac:dyDescent="0.35">
      <c r="B323" s="1" t="s">
        <v>188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2:42" ht="15" thickBot="1" x14ac:dyDescent="0.35">
      <c r="B324" s="6" t="s">
        <v>123</v>
      </c>
      <c r="C324" s="6" t="s">
        <v>189</v>
      </c>
      <c r="D324" s="6" t="s">
        <v>190</v>
      </c>
      <c r="E324" s="6" t="s">
        <v>125</v>
      </c>
      <c r="F324" s="6" t="s">
        <v>126</v>
      </c>
      <c r="G324" s="6" t="s">
        <v>127</v>
      </c>
      <c r="H324" s="6" t="s">
        <v>128</v>
      </c>
      <c r="I324" s="6" t="s">
        <v>129</v>
      </c>
      <c r="J324" s="6" t="s">
        <v>130</v>
      </c>
      <c r="K324" s="6" t="s">
        <v>131</v>
      </c>
      <c r="L324" s="6" t="s">
        <v>132</v>
      </c>
      <c r="M324" s="6" t="s">
        <v>133</v>
      </c>
      <c r="N324" s="6" t="s">
        <v>134</v>
      </c>
      <c r="O324" s="6" t="s">
        <v>135</v>
      </c>
      <c r="P324" s="6" t="s">
        <v>136</v>
      </c>
      <c r="Q324" s="6" t="s">
        <v>137</v>
      </c>
      <c r="R324" s="6" t="s">
        <v>138</v>
      </c>
      <c r="S324" s="6" t="s">
        <v>139</v>
      </c>
      <c r="T324" s="6" t="s">
        <v>140</v>
      </c>
      <c r="U324" s="6" t="s">
        <v>141</v>
      </c>
      <c r="V324" s="6" t="s">
        <v>142</v>
      </c>
      <c r="W324" s="6" t="s">
        <v>143</v>
      </c>
      <c r="X324" s="6" t="s">
        <v>144</v>
      </c>
      <c r="Y324" s="6" t="s">
        <v>145</v>
      </c>
      <c r="Z324" s="6" t="s">
        <v>146</v>
      </c>
      <c r="AA324" s="6" t="s">
        <v>147</v>
      </c>
      <c r="AB324" s="6" t="s">
        <v>148</v>
      </c>
      <c r="AC324" s="6" t="s">
        <v>149</v>
      </c>
      <c r="AD324" s="6" t="s">
        <v>150</v>
      </c>
      <c r="AE324" s="6" t="s">
        <v>151</v>
      </c>
      <c r="AF324" s="6" t="s">
        <v>152</v>
      </c>
      <c r="AG324" s="6" t="s">
        <v>153</v>
      </c>
      <c r="AH324" s="6" t="s">
        <v>154</v>
      </c>
      <c r="AI324" s="6" t="s">
        <v>155</v>
      </c>
      <c r="AJ324" s="6" t="s">
        <v>156</v>
      </c>
      <c r="AK324" s="6" t="s">
        <v>157</v>
      </c>
      <c r="AL324" s="6" t="s">
        <v>158</v>
      </c>
      <c r="AM324" s="6" t="s">
        <v>159</v>
      </c>
      <c r="AN324" s="6" t="s">
        <v>160</v>
      </c>
      <c r="AO324" s="6" t="s">
        <v>191</v>
      </c>
      <c r="AP324" s="6" t="s">
        <v>192</v>
      </c>
    </row>
    <row r="325" spans="2:42" ht="18" customHeight="1" x14ac:dyDescent="0.3">
      <c r="B325" s="42" t="str">
        <f t="shared" ref="B325:B360" si="143">IF($Q285="NO","",C285)</f>
        <v>U1X</v>
      </c>
      <c r="C325" s="64" t="str">
        <f t="shared" ref="C325:C360" si="144">IF($Q285="NO","",G285)</f>
        <v>R_U1X</v>
      </c>
      <c r="D325" s="65" t="str">
        <f t="shared" ref="D325:D360" si="145">IF($Q285="NO","","=")</f>
        <v>=</v>
      </c>
      <c r="E325" s="64">
        <f t="shared" ref="E325:E360" si="146">IF(OR($Q285="NO",$Q$285="NO"),"",C245)</f>
        <v>1687500</v>
      </c>
      <c r="F325" s="64">
        <f t="shared" ref="F325:F360" si="147">IF(OR($Q285="NO",$Q$286="NO"),"",D245)</f>
        <v>0</v>
      </c>
      <c r="G325" s="64">
        <f t="shared" ref="G325:G360" si="148">IF(OR($Q285="NO",$Q$287="NO"),"",E245)</f>
        <v>0</v>
      </c>
      <c r="H325" s="64">
        <f t="shared" ref="H325:H360" si="149">IF(OR($Q285="NO",$Q$288="NO"),"",F245)</f>
        <v>-1687500</v>
      </c>
      <c r="I325" s="64">
        <f t="shared" ref="I325:I360" si="150">IF(OR($Q285="NO",$Q$289="NO"),"",G245)</f>
        <v>0</v>
      </c>
      <c r="J325" s="64">
        <f t="shared" ref="J325:J360" si="151">IF(OR($Q285="NO",$Q$290="NO"),"",H245)</f>
        <v>0</v>
      </c>
      <c r="K325" s="64">
        <f t="shared" ref="K325:K360" si="152">IF(OR($Q285="NO",$Q$291="NO"),"",I245)</f>
        <v>0</v>
      </c>
      <c r="L325" s="64">
        <f t="shared" ref="L325:L360" si="153">IF(OR($Q285="NO",$Q$292="NO"),"",J245)</f>
        <v>0</v>
      </c>
      <c r="M325" s="64">
        <f t="shared" ref="M325:M360" si="154">IF(OR($Q285="NO",$Q$293="NO"),"",K245)</f>
        <v>0</v>
      </c>
      <c r="N325" s="64">
        <f t="shared" ref="N325:N360" si="155">IF(OR($Q285="NO",$Q$294="NO"),"",L245)</f>
        <v>0</v>
      </c>
      <c r="O325" s="64">
        <f t="shared" ref="O325:O360" si="156">IF(OR($Q285="NO",$Q$295="NO"),"",M245)</f>
        <v>0</v>
      </c>
      <c r="P325" s="64">
        <f t="shared" ref="P325:P360" si="157">IF(OR($Q285="NO",$Q$296="NO"),"",N245)</f>
        <v>0</v>
      </c>
      <c r="Q325" s="64">
        <f t="shared" ref="Q325:Q360" si="158">IF(OR($Q285="NO",$Q$297="NO"),"",O245)</f>
        <v>0</v>
      </c>
      <c r="R325" s="64">
        <f t="shared" ref="R325:R360" si="159">IF(OR($Q285="NO",$Q$298="NO"),"",P245)</f>
        <v>0</v>
      </c>
      <c r="S325" s="64">
        <f t="shared" ref="S325:S360" si="160">IF(OR($Q285="NO",$Q$299="NO"),"",Q245)</f>
        <v>0</v>
      </c>
      <c r="T325" s="64">
        <f t="shared" ref="T325:T360" si="161">IF(OR($Q285="NO",$Q$300="NO"),"",R245)</f>
        <v>0</v>
      </c>
      <c r="U325" s="64">
        <f t="shared" ref="U325:U360" si="162">IF(OR($Q285="NO",$Q$301="NO"),"",S245)</f>
        <v>0</v>
      </c>
      <c r="V325" s="64">
        <f t="shared" ref="V325:V360" si="163">IF(OR($Q285="NO",$Q$302="NO"),"",T245)</f>
        <v>0</v>
      </c>
      <c r="W325" s="64">
        <f t="shared" ref="W325:W360" si="164">IF(OR($Q285="NO",$Q$303="NO"),"",U245)</f>
        <v>0</v>
      </c>
      <c r="X325" s="64">
        <f t="shared" ref="X325:X360" si="165">IF(OR($Q285="NO",$Q$304="NO"),"",V245)</f>
        <v>0</v>
      </c>
      <c r="Y325" s="64">
        <f t="shared" ref="Y325:Y360" si="166">IF(OR($Q285="NO",$Q$305="NO"),"",W245)</f>
        <v>0</v>
      </c>
      <c r="Z325" s="64" t="str">
        <f t="shared" ref="Z325:Z360" si="167">IF(OR($Q285="NO",$Q$306="NO"),"",X245)</f>
        <v/>
      </c>
      <c r="AA325" s="64" t="str">
        <f t="shared" ref="AA325:AA360" si="168">IF(OR($Q285="NO",$Q$307="NO"),"",Y245)</f>
        <v/>
      </c>
      <c r="AB325" s="64" t="str">
        <f t="shared" ref="AB325:AB360" si="169">IF(OR($Q285="NO",$Q$308="NO"),"",Z245)</f>
        <v/>
      </c>
      <c r="AC325" s="64" t="str">
        <f t="shared" ref="AC325:AC360" si="170">IF(OR($Q285="NO",$Q$309="NO"),"",AA245)</f>
        <v/>
      </c>
      <c r="AD325" s="64" t="str">
        <f t="shared" ref="AD325:AD360" si="171">IF(OR($Q285="NO",$Q$310="NO"),"",AB245)</f>
        <v/>
      </c>
      <c r="AE325" s="64" t="str">
        <f t="shared" ref="AE325:AE360" si="172">IF(OR($Q285="NO",$Q$311="NO"),"",AC245)</f>
        <v/>
      </c>
      <c r="AF325" s="64" t="str">
        <f t="shared" ref="AF325:AF360" si="173">IF(OR($Q285="NO",$Q$312="NO"),"",AD245)</f>
        <v/>
      </c>
      <c r="AG325" s="64" t="str">
        <f t="shared" ref="AG325:AG360" si="174">IF(OR($Q285="NO",$Q$313="NO"),"",AE245)</f>
        <v/>
      </c>
      <c r="AH325" s="64" t="str">
        <f t="shared" ref="AH325:AH360" si="175">IF(OR($Q285="NO",$Q$314="NO"),"",AF245)</f>
        <v/>
      </c>
      <c r="AI325" s="64" t="str">
        <f t="shared" ref="AI325:AI360" si="176">IF(OR($Q285="NO",$Q$315="NO"),"",AG245)</f>
        <v/>
      </c>
      <c r="AJ325" s="64" t="str">
        <f t="shared" ref="AJ325:AJ360" si="177">IF(OR($Q285="NO",$Q$316="NO"),"",AH245)</f>
        <v/>
      </c>
      <c r="AK325" s="64" t="str">
        <f t="shared" ref="AK325:AK360" si="178">IF(OR($Q285="NO",$Q$317="NO"),"",AI245)</f>
        <v/>
      </c>
      <c r="AL325" s="64" t="str">
        <f t="shared" ref="AL325:AL360" si="179">IF(OR($Q285="NO",$Q$318="NO"),"",AJ245)</f>
        <v/>
      </c>
      <c r="AM325" s="64" t="str">
        <f t="shared" ref="AM325:AM360" si="180">IF(OR($Q285="NO",$Q$319="NO"),"",AK245)</f>
        <v/>
      </c>
      <c r="AN325" s="64" t="str">
        <f t="shared" ref="AN325:AN360" si="181">IF(OR($Q285="NO",$Q$320="NO"),"",AL245)</f>
        <v/>
      </c>
      <c r="AO325" s="65" t="str">
        <f t="shared" ref="AO325:AO360" si="182">IF($Q285="NO","","*")</f>
        <v>*</v>
      </c>
      <c r="AP325" s="65">
        <f t="shared" ref="AP325:AP360" si="183">IF($Q285="NO","",M285)</f>
        <v>0</v>
      </c>
    </row>
    <row r="326" spans="2:42" ht="18" customHeight="1" x14ac:dyDescent="0.3">
      <c r="B326" s="42" t="str">
        <f t="shared" si="143"/>
        <v>U1Y</v>
      </c>
      <c r="C326" s="64" t="str">
        <f t="shared" si="144"/>
        <v>R_U1Y</v>
      </c>
      <c r="D326" s="65" t="str">
        <f t="shared" si="145"/>
        <v>=</v>
      </c>
      <c r="E326" s="64">
        <f t="shared" si="146"/>
        <v>0</v>
      </c>
      <c r="F326" s="64">
        <f t="shared" si="147"/>
        <v>85429.6875</v>
      </c>
      <c r="G326" s="64">
        <f t="shared" si="148"/>
        <v>8542968.75</v>
      </c>
      <c r="H326" s="64">
        <f t="shared" si="149"/>
        <v>0</v>
      </c>
      <c r="I326" s="64">
        <f t="shared" si="150"/>
        <v>-85429.6875</v>
      </c>
      <c r="J326" s="64">
        <f t="shared" si="151"/>
        <v>8542968.75</v>
      </c>
      <c r="K326" s="64">
        <f t="shared" si="152"/>
        <v>0</v>
      </c>
      <c r="L326" s="64">
        <f t="shared" si="153"/>
        <v>0</v>
      </c>
      <c r="M326" s="64">
        <f t="shared" si="154"/>
        <v>0</v>
      </c>
      <c r="N326" s="64">
        <f t="shared" si="155"/>
        <v>0</v>
      </c>
      <c r="O326" s="64">
        <f t="shared" si="156"/>
        <v>0</v>
      </c>
      <c r="P326" s="64">
        <f t="shared" si="157"/>
        <v>0</v>
      </c>
      <c r="Q326" s="64">
        <f t="shared" si="158"/>
        <v>0</v>
      </c>
      <c r="R326" s="64">
        <f t="shared" si="159"/>
        <v>0</v>
      </c>
      <c r="S326" s="64">
        <f t="shared" si="160"/>
        <v>0</v>
      </c>
      <c r="T326" s="64">
        <f t="shared" si="161"/>
        <v>0</v>
      </c>
      <c r="U326" s="64">
        <f t="shared" si="162"/>
        <v>0</v>
      </c>
      <c r="V326" s="64">
        <f t="shared" si="163"/>
        <v>0</v>
      </c>
      <c r="W326" s="64">
        <f t="shared" si="164"/>
        <v>0</v>
      </c>
      <c r="X326" s="64">
        <f t="shared" si="165"/>
        <v>0</v>
      </c>
      <c r="Y326" s="64">
        <f t="shared" si="166"/>
        <v>0</v>
      </c>
      <c r="Z326" s="64" t="str">
        <f t="shared" si="167"/>
        <v/>
      </c>
      <c r="AA326" s="64" t="str">
        <f t="shared" si="168"/>
        <v/>
      </c>
      <c r="AB326" s="64" t="str">
        <f t="shared" si="169"/>
        <v/>
      </c>
      <c r="AC326" s="64" t="str">
        <f t="shared" si="170"/>
        <v/>
      </c>
      <c r="AD326" s="64" t="str">
        <f t="shared" si="171"/>
        <v/>
      </c>
      <c r="AE326" s="64" t="str">
        <f t="shared" si="172"/>
        <v/>
      </c>
      <c r="AF326" s="64" t="str">
        <f t="shared" si="173"/>
        <v/>
      </c>
      <c r="AG326" s="64" t="str">
        <f t="shared" si="174"/>
        <v/>
      </c>
      <c r="AH326" s="64" t="str">
        <f t="shared" si="175"/>
        <v/>
      </c>
      <c r="AI326" s="64" t="str">
        <f t="shared" si="176"/>
        <v/>
      </c>
      <c r="AJ326" s="64" t="str">
        <f t="shared" si="177"/>
        <v/>
      </c>
      <c r="AK326" s="64" t="str">
        <f t="shared" si="178"/>
        <v/>
      </c>
      <c r="AL326" s="64" t="str">
        <f t="shared" si="179"/>
        <v/>
      </c>
      <c r="AM326" s="64" t="str">
        <f t="shared" si="180"/>
        <v/>
      </c>
      <c r="AN326" s="64" t="str">
        <f t="shared" si="181"/>
        <v/>
      </c>
      <c r="AO326" s="65" t="str">
        <f t="shared" si="182"/>
        <v>*</v>
      </c>
      <c r="AP326" s="65">
        <f t="shared" si="183"/>
        <v>0</v>
      </c>
    </row>
    <row r="327" spans="2:42" ht="18" customHeight="1" x14ac:dyDescent="0.3">
      <c r="B327" s="42" t="str">
        <f t="shared" si="143"/>
        <v>U1θ</v>
      </c>
      <c r="C327" s="66">
        <f t="shared" si="144"/>
        <v>0</v>
      </c>
      <c r="D327" s="67" t="str">
        <f t="shared" si="145"/>
        <v>=</v>
      </c>
      <c r="E327" s="41">
        <f t="shared" si="146"/>
        <v>0</v>
      </c>
      <c r="F327" s="41">
        <f t="shared" si="147"/>
        <v>8542968.75</v>
      </c>
      <c r="G327" s="41">
        <f t="shared" si="148"/>
        <v>1139062500</v>
      </c>
      <c r="H327" s="41">
        <f t="shared" si="149"/>
        <v>0</v>
      </c>
      <c r="I327" s="41">
        <f t="shared" si="150"/>
        <v>-8542968.75</v>
      </c>
      <c r="J327" s="41">
        <f t="shared" si="151"/>
        <v>569531250</v>
      </c>
      <c r="K327" s="41">
        <f t="shared" si="152"/>
        <v>0</v>
      </c>
      <c r="L327" s="41">
        <f t="shared" si="153"/>
        <v>0</v>
      </c>
      <c r="M327" s="41">
        <f t="shared" si="154"/>
        <v>0</v>
      </c>
      <c r="N327" s="41">
        <f t="shared" si="155"/>
        <v>0</v>
      </c>
      <c r="O327" s="41">
        <f t="shared" si="156"/>
        <v>0</v>
      </c>
      <c r="P327" s="41">
        <f t="shared" si="157"/>
        <v>0</v>
      </c>
      <c r="Q327" s="41">
        <f t="shared" si="158"/>
        <v>0</v>
      </c>
      <c r="R327" s="41">
        <f t="shared" si="159"/>
        <v>0</v>
      </c>
      <c r="S327" s="41">
        <f t="shared" si="160"/>
        <v>0</v>
      </c>
      <c r="T327" s="41">
        <f t="shared" si="161"/>
        <v>0</v>
      </c>
      <c r="U327" s="41">
        <f t="shared" si="162"/>
        <v>0</v>
      </c>
      <c r="V327" s="41">
        <f t="shared" si="163"/>
        <v>0</v>
      </c>
      <c r="W327" s="41">
        <f t="shared" si="164"/>
        <v>0</v>
      </c>
      <c r="X327" s="41">
        <f t="shared" si="165"/>
        <v>0</v>
      </c>
      <c r="Y327" s="41">
        <f t="shared" si="166"/>
        <v>0</v>
      </c>
      <c r="Z327" s="41" t="str">
        <f t="shared" si="167"/>
        <v/>
      </c>
      <c r="AA327" s="41" t="str">
        <f t="shared" si="168"/>
        <v/>
      </c>
      <c r="AB327" s="41" t="str">
        <f t="shared" si="169"/>
        <v/>
      </c>
      <c r="AC327" s="41" t="str">
        <f t="shared" si="170"/>
        <v/>
      </c>
      <c r="AD327" s="41" t="str">
        <f t="shared" si="171"/>
        <v/>
      </c>
      <c r="AE327" s="41" t="str">
        <f t="shared" si="172"/>
        <v/>
      </c>
      <c r="AF327" s="41" t="str">
        <f t="shared" si="173"/>
        <v/>
      </c>
      <c r="AG327" s="41" t="str">
        <f t="shared" si="174"/>
        <v/>
      </c>
      <c r="AH327" s="41" t="str">
        <f t="shared" si="175"/>
        <v/>
      </c>
      <c r="AI327" s="41" t="str">
        <f t="shared" si="176"/>
        <v/>
      </c>
      <c r="AJ327" s="41" t="str">
        <f t="shared" si="177"/>
        <v/>
      </c>
      <c r="AK327" s="41" t="str">
        <f t="shared" si="178"/>
        <v/>
      </c>
      <c r="AL327" s="41" t="str">
        <f t="shared" si="179"/>
        <v/>
      </c>
      <c r="AM327" s="41" t="str">
        <f t="shared" si="180"/>
        <v/>
      </c>
      <c r="AN327" s="41" t="str">
        <f t="shared" si="181"/>
        <v/>
      </c>
      <c r="AO327" s="67" t="str">
        <f t="shared" si="182"/>
        <v>*</v>
      </c>
      <c r="AP327" s="67" t="str">
        <f t="shared" si="183"/>
        <v>D1θ</v>
      </c>
    </row>
    <row r="328" spans="2:42" ht="18" customHeight="1" x14ac:dyDescent="0.3">
      <c r="B328" s="42" t="str">
        <f t="shared" si="143"/>
        <v>U2X</v>
      </c>
      <c r="C328" s="66">
        <f t="shared" si="144"/>
        <v>0</v>
      </c>
      <c r="D328" s="67" t="str">
        <f t="shared" si="145"/>
        <v>=</v>
      </c>
      <c r="E328" s="41">
        <f t="shared" si="146"/>
        <v>-1687500</v>
      </c>
      <c r="F328" s="41">
        <f t="shared" si="147"/>
        <v>0</v>
      </c>
      <c r="G328" s="41">
        <f t="shared" si="148"/>
        <v>0</v>
      </c>
      <c r="H328" s="41">
        <f t="shared" si="149"/>
        <v>3375000</v>
      </c>
      <c r="I328" s="41">
        <f t="shared" si="150"/>
        <v>0</v>
      </c>
      <c r="J328" s="41">
        <f t="shared" si="151"/>
        <v>0</v>
      </c>
      <c r="K328" s="41">
        <f t="shared" si="152"/>
        <v>-1687500</v>
      </c>
      <c r="L328" s="41">
        <f t="shared" si="153"/>
        <v>0</v>
      </c>
      <c r="M328" s="41">
        <f t="shared" si="154"/>
        <v>0</v>
      </c>
      <c r="N328" s="41">
        <f t="shared" si="155"/>
        <v>0</v>
      </c>
      <c r="O328" s="41">
        <f t="shared" si="156"/>
        <v>0</v>
      </c>
      <c r="P328" s="41">
        <f t="shared" si="157"/>
        <v>0</v>
      </c>
      <c r="Q328" s="41">
        <f t="shared" si="158"/>
        <v>0</v>
      </c>
      <c r="R328" s="41">
        <f t="shared" si="159"/>
        <v>0</v>
      </c>
      <c r="S328" s="41">
        <f t="shared" si="160"/>
        <v>0</v>
      </c>
      <c r="T328" s="41">
        <f t="shared" si="161"/>
        <v>0</v>
      </c>
      <c r="U328" s="41">
        <f t="shared" si="162"/>
        <v>0</v>
      </c>
      <c r="V328" s="41">
        <f t="shared" si="163"/>
        <v>0</v>
      </c>
      <c r="W328" s="41">
        <f t="shared" si="164"/>
        <v>0</v>
      </c>
      <c r="X328" s="41">
        <f t="shared" si="165"/>
        <v>0</v>
      </c>
      <c r="Y328" s="41">
        <f t="shared" si="166"/>
        <v>0</v>
      </c>
      <c r="Z328" s="41" t="str">
        <f t="shared" si="167"/>
        <v/>
      </c>
      <c r="AA328" s="41" t="str">
        <f t="shared" si="168"/>
        <v/>
      </c>
      <c r="AB328" s="41" t="str">
        <f t="shared" si="169"/>
        <v/>
      </c>
      <c r="AC328" s="41" t="str">
        <f t="shared" si="170"/>
        <v/>
      </c>
      <c r="AD328" s="41" t="str">
        <f t="shared" si="171"/>
        <v/>
      </c>
      <c r="AE328" s="41" t="str">
        <f t="shared" si="172"/>
        <v/>
      </c>
      <c r="AF328" s="41" t="str">
        <f t="shared" si="173"/>
        <v/>
      </c>
      <c r="AG328" s="41" t="str">
        <f t="shared" si="174"/>
        <v/>
      </c>
      <c r="AH328" s="41" t="str">
        <f t="shared" si="175"/>
        <v/>
      </c>
      <c r="AI328" s="41" t="str">
        <f t="shared" si="176"/>
        <v/>
      </c>
      <c r="AJ328" s="41" t="str">
        <f t="shared" si="177"/>
        <v/>
      </c>
      <c r="AK328" s="41" t="str">
        <f t="shared" si="178"/>
        <v/>
      </c>
      <c r="AL328" s="41" t="str">
        <f t="shared" si="179"/>
        <v/>
      </c>
      <c r="AM328" s="41" t="str">
        <f t="shared" si="180"/>
        <v/>
      </c>
      <c r="AN328" s="41" t="str">
        <f t="shared" si="181"/>
        <v/>
      </c>
      <c r="AO328" s="67" t="str">
        <f t="shared" si="182"/>
        <v>*</v>
      </c>
      <c r="AP328" s="67" t="str">
        <f t="shared" si="183"/>
        <v>D2X</v>
      </c>
    </row>
    <row r="329" spans="2:42" ht="18" customHeight="1" x14ac:dyDescent="0.3">
      <c r="B329" s="42" t="str">
        <f t="shared" si="143"/>
        <v>U2Y</v>
      </c>
      <c r="C329" s="66">
        <f t="shared" si="144"/>
        <v>-1200</v>
      </c>
      <c r="D329" s="67" t="str">
        <f t="shared" si="145"/>
        <v>=</v>
      </c>
      <c r="E329" s="41">
        <f t="shared" si="146"/>
        <v>0</v>
      </c>
      <c r="F329" s="41">
        <f t="shared" si="147"/>
        <v>-85429.6875</v>
      </c>
      <c r="G329" s="41">
        <f t="shared" si="148"/>
        <v>-8542968.75</v>
      </c>
      <c r="H329" s="41">
        <f t="shared" si="149"/>
        <v>0</v>
      </c>
      <c r="I329" s="41">
        <f t="shared" si="150"/>
        <v>170859.375</v>
      </c>
      <c r="J329" s="41">
        <f t="shared" si="151"/>
        <v>0</v>
      </c>
      <c r="K329" s="41">
        <f t="shared" si="152"/>
        <v>0</v>
      </c>
      <c r="L329" s="41">
        <f t="shared" si="153"/>
        <v>-85429.6875</v>
      </c>
      <c r="M329" s="41">
        <f t="shared" si="154"/>
        <v>8542968.75</v>
      </c>
      <c r="N329" s="41">
        <f t="shared" si="155"/>
        <v>0</v>
      </c>
      <c r="O329" s="41">
        <f t="shared" si="156"/>
        <v>0</v>
      </c>
      <c r="P329" s="41">
        <f t="shared" si="157"/>
        <v>0</v>
      </c>
      <c r="Q329" s="41">
        <f t="shared" si="158"/>
        <v>0</v>
      </c>
      <c r="R329" s="41">
        <f t="shared" si="159"/>
        <v>0</v>
      </c>
      <c r="S329" s="41">
        <f t="shared" si="160"/>
        <v>0</v>
      </c>
      <c r="T329" s="41">
        <f t="shared" si="161"/>
        <v>0</v>
      </c>
      <c r="U329" s="41">
        <f t="shared" si="162"/>
        <v>0</v>
      </c>
      <c r="V329" s="41">
        <f t="shared" si="163"/>
        <v>0</v>
      </c>
      <c r="W329" s="41">
        <f t="shared" si="164"/>
        <v>0</v>
      </c>
      <c r="X329" s="41">
        <f t="shared" si="165"/>
        <v>0</v>
      </c>
      <c r="Y329" s="41">
        <f t="shared" si="166"/>
        <v>0</v>
      </c>
      <c r="Z329" s="41" t="str">
        <f t="shared" si="167"/>
        <v/>
      </c>
      <c r="AA329" s="41" t="str">
        <f t="shared" si="168"/>
        <v/>
      </c>
      <c r="AB329" s="41" t="str">
        <f t="shared" si="169"/>
        <v/>
      </c>
      <c r="AC329" s="41" t="str">
        <f t="shared" si="170"/>
        <v/>
      </c>
      <c r="AD329" s="41" t="str">
        <f t="shared" si="171"/>
        <v/>
      </c>
      <c r="AE329" s="41" t="str">
        <f t="shared" si="172"/>
        <v/>
      </c>
      <c r="AF329" s="41" t="str">
        <f t="shared" si="173"/>
        <v/>
      </c>
      <c r="AG329" s="41" t="str">
        <f t="shared" si="174"/>
        <v/>
      </c>
      <c r="AH329" s="41" t="str">
        <f t="shared" si="175"/>
        <v/>
      </c>
      <c r="AI329" s="41" t="str">
        <f t="shared" si="176"/>
        <v/>
      </c>
      <c r="AJ329" s="41" t="str">
        <f t="shared" si="177"/>
        <v/>
      </c>
      <c r="AK329" s="41" t="str">
        <f t="shared" si="178"/>
        <v/>
      </c>
      <c r="AL329" s="41" t="str">
        <f t="shared" si="179"/>
        <v/>
      </c>
      <c r="AM329" s="41" t="str">
        <f t="shared" si="180"/>
        <v/>
      </c>
      <c r="AN329" s="41" t="str">
        <f t="shared" si="181"/>
        <v/>
      </c>
      <c r="AO329" s="67" t="str">
        <f t="shared" si="182"/>
        <v>*</v>
      </c>
      <c r="AP329" s="67" t="str">
        <f t="shared" si="183"/>
        <v>D2Y</v>
      </c>
    </row>
    <row r="330" spans="2:42" ht="18" customHeight="1" x14ac:dyDescent="0.3">
      <c r="B330" s="42" t="str">
        <f t="shared" si="143"/>
        <v>U2θ</v>
      </c>
      <c r="C330" s="66">
        <f t="shared" si="144"/>
        <v>0</v>
      </c>
      <c r="D330" s="67" t="str">
        <f t="shared" si="145"/>
        <v>=</v>
      </c>
      <c r="E330" s="41">
        <f t="shared" si="146"/>
        <v>0</v>
      </c>
      <c r="F330" s="41">
        <f t="shared" si="147"/>
        <v>8542968.75</v>
      </c>
      <c r="G330" s="41">
        <f t="shared" si="148"/>
        <v>569531250</v>
      </c>
      <c r="H330" s="41">
        <f t="shared" si="149"/>
        <v>0</v>
      </c>
      <c r="I330" s="41">
        <f t="shared" si="150"/>
        <v>0</v>
      </c>
      <c r="J330" s="41">
        <f t="shared" si="151"/>
        <v>2278125000</v>
      </c>
      <c r="K330" s="41">
        <f t="shared" si="152"/>
        <v>0</v>
      </c>
      <c r="L330" s="41">
        <f t="shared" si="153"/>
        <v>-8542968.75</v>
      </c>
      <c r="M330" s="41">
        <f t="shared" si="154"/>
        <v>569531250</v>
      </c>
      <c r="N330" s="41">
        <f t="shared" si="155"/>
        <v>0</v>
      </c>
      <c r="O330" s="41">
        <f t="shared" si="156"/>
        <v>0</v>
      </c>
      <c r="P330" s="41">
        <f t="shared" si="157"/>
        <v>0</v>
      </c>
      <c r="Q330" s="41">
        <f t="shared" si="158"/>
        <v>0</v>
      </c>
      <c r="R330" s="41">
        <f t="shared" si="159"/>
        <v>0</v>
      </c>
      <c r="S330" s="41">
        <f t="shared" si="160"/>
        <v>0</v>
      </c>
      <c r="T330" s="41">
        <f t="shared" si="161"/>
        <v>0</v>
      </c>
      <c r="U330" s="41">
        <f t="shared" si="162"/>
        <v>0</v>
      </c>
      <c r="V330" s="41">
        <f t="shared" si="163"/>
        <v>0</v>
      </c>
      <c r="W330" s="41">
        <f t="shared" si="164"/>
        <v>0</v>
      </c>
      <c r="X330" s="41">
        <f t="shared" si="165"/>
        <v>0</v>
      </c>
      <c r="Y330" s="41">
        <f t="shared" si="166"/>
        <v>0</v>
      </c>
      <c r="Z330" s="41" t="str">
        <f t="shared" si="167"/>
        <v/>
      </c>
      <c r="AA330" s="41" t="str">
        <f t="shared" si="168"/>
        <v/>
      </c>
      <c r="AB330" s="41" t="str">
        <f t="shared" si="169"/>
        <v/>
      </c>
      <c r="AC330" s="41" t="str">
        <f t="shared" si="170"/>
        <v/>
      </c>
      <c r="AD330" s="41" t="str">
        <f t="shared" si="171"/>
        <v/>
      </c>
      <c r="AE330" s="41" t="str">
        <f t="shared" si="172"/>
        <v/>
      </c>
      <c r="AF330" s="41" t="str">
        <f t="shared" si="173"/>
        <v/>
      </c>
      <c r="AG330" s="41" t="str">
        <f t="shared" si="174"/>
        <v/>
      </c>
      <c r="AH330" s="41" t="str">
        <f t="shared" si="175"/>
        <v/>
      </c>
      <c r="AI330" s="41" t="str">
        <f t="shared" si="176"/>
        <v/>
      </c>
      <c r="AJ330" s="41" t="str">
        <f t="shared" si="177"/>
        <v/>
      </c>
      <c r="AK330" s="41" t="str">
        <f t="shared" si="178"/>
        <v/>
      </c>
      <c r="AL330" s="41" t="str">
        <f t="shared" si="179"/>
        <v/>
      </c>
      <c r="AM330" s="41" t="str">
        <f t="shared" si="180"/>
        <v/>
      </c>
      <c r="AN330" s="41" t="str">
        <f t="shared" si="181"/>
        <v/>
      </c>
      <c r="AO330" s="67" t="str">
        <f t="shared" si="182"/>
        <v>*</v>
      </c>
      <c r="AP330" s="67" t="str">
        <f t="shared" si="183"/>
        <v>D2θ</v>
      </c>
    </row>
    <row r="331" spans="2:42" ht="18" customHeight="1" x14ac:dyDescent="0.3">
      <c r="B331" s="42" t="str">
        <f t="shared" si="143"/>
        <v>U3X</v>
      </c>
      <c r="C331" s="66">
        <f t="shared" si="144"/>
        <v>0</v>
      </c>
      <c r="D331" s="67" t="str">
        <f t="shared" si="145"/>
        <v>=</v>
      </c>
      <c r="E331" s="41">
        <f t="shared" si="146"/>
        <v>0</v>
      </c>
      <c r="F331" s="41">
        <f t="shared" si="147"/>
        <v>0</v>
      </c>
      <c r="G331" s="41">
        <f t="shared" si="148"/>
        <v>0</v>
      </c>
      <c r="H331" s="41">
        <f t="shared" si="149"/>
        <v>-1687500</v>
      </c>
      <c r="I331" s="41">
        <f t="shared" si="150"/>
        <v>0</v>
      </c>
      <c r="J331" s="41">
        <f t="shared" si="151"/>
        <v>0</v>
      </c>
      <c r="K331" s="41">
        <f t="shared" si="152"/>
        <v>2531250</v>
      </c>
      <c r="L331" s="41">
        <f t="shared" si="153"/>
        <v>0</v>
      </c>
      <c r="M331" s="41">
        <f t="shared" si="154"/>
        <v>0</v>
      </c>
      <c r="N331" s="41">
        <f t="shared" si="155"/>
        <v>-843750</v>
      </c>
      <c r="O331" s="41">
        <f t="shared" si="156"/>
        <v>0</v>
      </c>
      <c r="P331" s="41">
        <f t="shared" si="157"/>
        <v>0</v>
      </c>
      <c r="Q331" s="41">
        <f t="shared" si="158"/>
        <v>0</v>
      </c>
      <c r="R331" s="41">
        <f t="shared" si="159"/>
        <v>0</v>
      </c>
      <c r="S331" s="41">
        <f t="shared" si="160"/>
        <v>0</v>
      </c>
      <c r="T331" s="41">
        <f t="shared" si="161"/>
        <v>0</v>
      </c>
      <c r="U331" s="41">
        <f t="shared" si="162"/>
        <v>0</v>
      </c>
      <c r="V331" s="41">
        <f t="shared" si="163"/>
        <v>0</v>
      </c>
      <c r="W331" s="41">
        <f t="shared" si="164"/>
        <v>0</v>
      </c>
      <c r="X331" s="41">
        <f t="shared" si="165"/>
        <v>0</v>
      </c>
      <c r="Y331" s="41">
        <f t="shared" si="166"/>
        <v>0</v>
      </c>
      <c r="Z331" s="41" t="str">
        <f t="shared" si="167"/>
        <v/>
      </c>
      <c r="AA331" s="41" t="str">
        <f t="shared" si="168"/>
        <v/>
      </c>
      <c r="AB331" s="41" t="str">
        <f t="shared" si="169"/>
        <v/>
      </c>
      <c r="AC331" s="41" t="str">
        <f t="shared" si="170"/>
        <v/>
      </c>
      <c r="AD331" s="41" t="str">
        <f t="shared" si="171"/>
        <v/>
      </c>
      <c r="AE331" s="41" t="str">
        <f t="shared" si="172"/>
        <v/>
      </c>
      <c r="AF331" s="41" t="str">
        <f t="shared" si="173"/>
        <v/>
      </c>
      <c r="AG331" s="41" t="str">
        <f t="shared" si="174"/>
        <v/>
      </c>
      <c r="AH331" s="41" t="str">
        <f t="shared" si="175"/>
        <v/>
      </c>
      <c r="AI331" s="41" t="str">
        <f t="shared" si="176"/>
        <v/>
      </c>
      <c r="AJ331" s="41" t="str">
        <f t="shared" si="177"/>
        <v/>
      </c>
      <c r="AK331" s="41" t="str">
        <f t="shared" si="178"/>
        <v/>
      </c>
      <c r="AL331" s="41" t="str">
        <f t="shared" si="179"/>
        <v/>
      </c>
      <c r="AM331" s="41" t="str">
        <f t="shared" si="180"/>
        <v/>
      </c>
      <c r="AN331" s="41" t="str">
        <f t="shared" si="181"/>
        <v/>
      </c>
      <c r="AO331" s="67" t="str">
        <f t="shared" si="182"/>
        <v>*</v>
      </c>
      <c r="AP331" s="67" t="str">
        <f t="shared" si="183"/>
        <v>D3X</v>
      </c>
    </row>
    <row r="332" spans="2:42" ht="18" customHeight="1" x14ac:dyDescent="0.3">
      <c r="B332" s="42" t="str">
        <f t="shared" si="143"/>
        <v>U3Y</v>
      </c>
      <c r="C332" s="64" t="str">
        <f t="shared" si="144"/>
        <v>R_U3Y</v>
      </c>
      <c r="D332" s="65" t="str">
        <f t="shared" si="145"/>
        <v>=</v>
      </c>
      <c r="E332" s="64">
        <f t="shared" si="146"/>
        <v>0</v>
      </c>
      <c r="F332" s="64">
        <f t="shared" si="147"/>
        <v>0</v>
      </c>
      <c r="G332" s="64">
        <f t="shared" si="148"/>
        <v>0</v>
      </c>
      <c r="H332" s="64">
        <f t="shared" si="149"/>
        <v>0</v>
      </c>
      <c r="I332" s="64">
        <f t="shared" si="150"/>
        <v>-85429.6875</v>
      </c>
      <c r="J332" s="64">
        <f t="shared" si="151"/>
        <v>-8542968.75</v>
      </c>
      <c r="K332" s="64">
        <f t="shared" si="152"/>
        <v>0</v>
      </c>
      <c r="L332" s="64">
        <f t="shared" si="153"/>
        <v>96108.3984375</v>
      </c>
      <c r="M332" s="64">
        <f t="shared" si="154"/>
        <v>-6407226.5625</v>
      </c>
      <c r="N332" s="64">
        <f t="shared" si="155"/>
        <v>0</v>
      </c>
      <c r="O332" s="64">
        <f t="shared" si="156"/>
        <v>-10678.7109375</v>
      </c>
      <c r="P332" s="64">
        <f t="shared" si="157"/>
        <v>2135742.1875</v>
      </c>
      <c r="Q332" s="64">
        <f t="shared" si="158"/>
        <v>0</v>
      </c>
      <c r="R332" s="64">
        <f t="shared" si="159"/>
        <v>0</v>
      </c>
      <c r="S332" s="64">
        <f t="shared" si="160"/>
        <v>0</v>
      </c>
      <c r="T332" s="64">
        <f t="shared" si="161"/>
        <v>0</v>
      </c>
      <c r="U332" s="64">
        <f t="shared" si="162"/>
        <v>0</v>
      </c>
      <c r="V332" s="64">
        <f t="shared" si="163"/>
        <v>0</v>
      </c>
      <c r="W332" s="64">
        <f t="shared" si="164"/>
        <v>0</v>
      </c>
      <c r="X332" s="64">
        <f t="shared" si="165"/>
        <v>0</v>
      </c>
      <c r="Y332" s="64">
        <f t="shared" si="166"/>
        <v>0</v>
      </c>
      <c r="Z332" s="64" t="str">
        <f t="shared" si="167"/>
        <v/>
      </c>
      <c r="AA332" s="64" t="str">
        <f t="shared" si="168"/>
        <v/>
      </c>
      <c r="AB332" s="64" t="str">
        <f t="shared" si="169"/>
        <v/>
      </c>
      <c r="AC332" s="64" t="str">
        <f t="shared" si="170"/>
        <v/>
      </c>
      <c r="AD332" s="64" t="str">
        <f t="shared" si="171"/>
        <v/>
      </c>
      <c r="AE332" s="64" t="str">
        <f t="shared" si="172"/>
        <v/>
      </c>
      <c r="AF332" s="64" t="str">
        <f t="shared" si="173"/>
        <v/>
      </c>
      <c r="AG332" s="64" t="str">
        <f t="shared" si="174"/>
        <v/>
      </c>
      <c r="AH332" s="64" t="str">
        <f t="shared" si="175"/>
        <v/>
      </c>
      <c r="AI332" s="64" t="str">
        <f t="shared" si="176"/>
        <v/>
      </c>
      <c r="AJ332" s="64" t="str">
        <f t="shared" si="177"/>
        <v/>
      </c>
      <c r="AK332" s="64" t="str">
        <f t="shared" si="178"/>
        <v/>
      </c>
      <c r="AL332" s="64" t="str">
        <f t="shared" si="179"/>
        <v/>
      </c>
      <c r="AM332" s="64" t="str">
        <f t="shared" si="180"/>
        <v/>
      </c>
      <c r="AN332" s="64" t="str">
        <f t="shared" si="181"/>
        <v/>
      </c>
      <c r="AO332" s="65" t="str">
        <f t="shared" si="182"/>
        <v>*</v>
      </c>
      <c r="AP332" s="65">
        <f t="shared" si="183"/>
        <v>0</v>
      </c>
    </row>
    <row r="333" spans="2:42" ht="18" customHeight="1" x14ac:dyDescent="0.3">
      <c r="B333" s="42" t="str">
        <f t="shared" si="143"/>
        <v>U3θ</v>
      </c>
      <c r="C333" s="66">
        <f t="shared" si="144"/>
        <v>0</v>
      </c>
      <c r="D333" s="67" t="str">
        <f t="shared" si="145"/>
        <v>=</v>
      </c>
      <c r="E333" s="41">
        <f t="shared" si="146"/>
        <v>0</v>
      </c>
      <c r="F333" s="41">
        <f t="shared" si="147"/>
        <v>0</v>
      </c>
      <c r="G333" s="41">
        <f t="shared" si="148"/>
        <v>0</v>
      </c>
      <c r="H333" s="41">
        <f t="shared" si="149"/>
        <v>0</v>
      </c>
      <c r="I333" s="41">
        <f t="shared" si="150"/>
        <v>8542968.75</v>
      </c>
      <c r="J333" s="41">
        <f t="shared" si="151"/>
        <v>569531250</v>
      </c>
      <c r="K333" s="41">
        <f t="shared" si="152"/>
        <v>0</v>
      </c>
      <c r="L333" s="41">
        <f t="shared" si="153"/>
        <v>-6407226.5625</v>
      </c>
      <c r="M333" s="41">
        <f t="shared" si="154"/>
        <v>1708593750</v>
      </c>
      <c r="N333" s="41">
        <f t="shared" si="155"/>
        <v>0</v>
      </c>
      <c r="O333" s="41">
        <f t="shared" si="156"/>
        <v>-2135742.1875</v>
      </c>
      <c r="P333" s="41">
        <f t="shared" si="157"/>
        <v>284765625</v>
      </c>
      <c r="Q333" s="41">
        <f t="shared" si="158"/>
        <v>0</v>
      </c>
      <c r="R333" s="41">
        <f t="shared" si="159"/>
        <v>0</v>
      </c>
      <c r="S333" s="41">
        <f t="shared" si="160"/>
        <v>0</v>
      </c>
      <c r="T333" s="41">
        <f t="shared" si="161"/>
        <v>0</v>
      </c>
      <c r="U333" s="41">
        <f t="shared" si="162"/>
        <v>0</v>
      </c>
      <c r="V333" s="41">
        <f t="shared" si="163"/>
        <v>0</v>
      </c>
      <c r="W333" s="41">
        <f t="shared" si="164"/>
        <v>0</v>
      </c>
      <c r="X333" s="41">
        <f t="shared" si="165"/>
        <v>0</v>
      </c>
      <c r="Y333" s="41">
        <f t="shared" si="166"/>
        <v>0</v>
      </c>
      <c r="Z333" s="41" t="str">
        <f t="shared" si="167"/>
        <v/>
      </c>
      <c r="AA333" s="41" t="str">
        <f t="shared" si="168"/>
        <v/>
      </c>
      <c r="AB333" s="41" t="str">
        <f t="shared" si="169"/>
        <v/>
      </c>
      <c r="AC333" s="41" t="str">
        <f t="shared" si="170"/>
        <v/>
      </c>
      <c r="AD333" s="41" t="str">
        <f t="shared" si="171"/>
        <v/>
      </c>
      <c r="AE333" s="41" t="str">
        <f t="shared" si="172"/>
        <v/>
      </c>
      <c r="AF333" s="41" t="str">
        <f t="shared" si="173"/>
        <v/>
      </c>
      <c r="AG333" s="41" t="str">
        <f t="shared" si="174"/>
        <v/>
      </c>
      <c r="AH333" s="41" t="str">
        <f t="shared" si="175"/>
        <v/>
      </c>
      <c r="AI333" s="41" t="str">
        <f t="shared" si="176"/>
        <v/>
      </c>
      <c r="AJ333" s="41" t="str">
        <f t="shared" si="177"/>
        <v/>
      </c>
      <c r="AK333" s="41" t="str">
        <f t="shared" si="178"/>
        <v/>
      </c>
      <c r="AL333" s="41" t="str">
        <f t="shared" si="179"/>
        <v/>
      </c>
      <c r="AM333" s="41" t="str">
        <f t="shared" si="180"/>
        <v/>
      </c>
      <c r="AN333" s="41" t="str">
        <f t="shared" si="181"/>
        <v/>
      </c>
      <c r="AO333" s="67" t="str">
        <f t="shared" si="182"/>
        <v>*</v>
      </c>
      <c r="AP333" s="67" t="str">
        <f t="shared" si="183"/>
        <v>D3θ</v>
      </c>
    </row>
    <row r="334" spans="2:42" ht="18" customHeight="1" x14ac:dyDescent="0.3">
      <c r="B334" s="42" t="str">
        <f t="shared" si="143"/>
        <v>U4X</v>
      </c>
      <c r="C334" s="66">
        <f t="shared" si="144"/>
        <v>-1500</v>
      </c>
      <c r="D334" s="67" t="str">
        <f t="shared" si="145"/>
        <v>=</v>
      </c>
      <c r="E334" s="41">
        <f t="shared" si="146"/>
        <v>0</v>
      </c>
      <c r="F334" s="41">
        <f t="shared" si="147"/>
        <v>0</v>
      </c>
      <c r="G334" s="41">
        <f t="shared" si="148"/>
        <v>0</v>
      </c>
      <c r="H334" s="41">
        <f t="shared" si="149"/>
        <v>0</v>
      </c>
      <c r="I334" s="41">
        <f t="shared" si="150"/>
        <v>0</v>
      </c>
      <c r="J334" s="41">
        <f t="shared" si="151"/>
        <v>0</v>
      </c>
      <c r="K334" s="41">
        <f t="shared" si="152"/>
        <v>-843750</v>
      </c>
      <c r="L334" s="41">
        <f t="shared" si="153"/>
        <v>0</v>
      </c>
      <c r="M334" s="41">
        <f t="shared" si="154"/>
        <v>0</v>
      </c>
      <c r="N334" s="41">
        <f t="shared" si="155"/>
        <v>1687500</v>
      </c>
      <c r="O334" s="41">
        <f t="shared" si="156"/>
        <v>0</v>
      </c>
      <c r="P334" s="41">
        <f t="shared" si="157"/>
        <v>0</v>
      </c>
      <c r="Q334" s="41">
        <f t="shared" si="158"/>
        <v>-843750</v>
      </c>
      <c r="R334" s="41">
        <f t="shared" si="159"/>
        <v>0</v>
      </c>
      <c r="S334" s="41">
        <f t="shared" si="160"/>
        <v>0</v>
      </c>
      <c r="T334" s="41">
        <f t="shared" si="161"/>
        <v>0</v>
      </c>
      <c r="U334" s="41">
        <f t="shared" si="162"/>
        <v>0</v>
      </c>
      <c r="V334" s="41">
        <f t="shared" si="163"/>
        <v>0</v>
      </c>
      <c r="W334" s="41">
        <f t="shared" si="164"/>
        <v>0</v>
      </c>
      <c r="X334" s="41">
        <f t="shared" si="165"/>
        <v>0</v>
      </c>
      <c r="Y334" s="41">
        <f t="shared" si="166"/>
        <v>0</v>
      </c>
      <c r="Z334" s="41" t="str">
        <f t="shared" si="167"/>
        <v/>
      </c>
      <c r="AA334" s="41" t="str">
        <f t="shared" si="168"/>
        <v/>
      </c>
      <c r="AB334" s="41" t="str">
        <f t="shared" si="169"/>
        <v/>
      </c>
      <c r="AC334" s="41" t="str">
        <f t="shared" si="170"/>
        <v/>
      </c>
      <c r="AD334" s="41" t="str">
        <f t="shared" si="171"/>
        <v/>
      </c>
      <c r="AE334" s="41" t="str">
        <f t="shared" si="172"/>
        <v/>
      </c>
      <c r="AF334" s="41" t="str">
        <f t="shared" si="173"/>
        <v/>
      </c>
      <c r="AG334" s="41" t="str">
        <f t="shared" si="174"/>
        <v/>
      </c>
      <c r="AH334" s="41" t="str">
        <f t="shared" si="175"/>
        <v/>
      </c>
      <c r="AI334" s="41" t="str">
        <f t="shared" si="176"/>
        <v/>
      </c>
      <c r="AJ334" s="41" t="str">
        <f t="shared" si="177"/>
        <v/>
      </c>
      <c r="AK334" s="41" t="str">
        <f t="shared" si="178"/>
        <v/>
      </c>
      <c r="AL334" s="41" t="str">
        <f t="shared" si="179"/>
        <v/>
      </c>
      <c r="AM334" s="41" t="str">
        <f t="shared" si="180"/>
        <v/>
      </c>
      <c r="AN334" s="41" t="str">
        <f t="shared" si="181"/>
        <v/>
      </c>
      <c r="AO334" s="67" t="str">
        <f t="shared" si="182"/>
        <v>*</v>
      </c>
      <c r="AP334" s="67" t="str">
        <f t="shared" si="183"/>
        <v>D4X</v>
      </c>
    </row>
    <row r="335" spans="2:42" ht="18" customHeight="1" x14ac:dyDescent="0.3">
      <c r="B335" s="42" t="str">
        <f t="shared" si="143"/>
        <v>U4Y</v>
      </c>
      <c r="C335" s="66">
        <f t="shared" si="144"/>
        <v>-2000</v>
      </c>
      <c r="D335" s="67" t="str">
        <f t="shared" si="145"/>
        <v>=</v>
      </c>
      <c r="E335" s="41">
        <f t="shared" si="146"/>
        <v>0</v>
      </c>
      <c r="F335" s="41">
        <f t="shared" si="147"/>
        <v>0</v>
      </c>
      <c r="G335" s="41">
        <f t="shared" si="148"/>
        <v>0</v>
      </c>
      <c r="H335" s="41">
        <f t="shared" si="149"/>
        <v>0</v>
      </c>
      <c r="I335" s="41">
        <f t="shared" si="150"/>
        <v>0</v>
      </c>
      <c r="J335" s="41">
        <f t="shared" si="151"/>
        <v>0</v>
      </c>
      <c r="K335" s="41">
        <f t="shared" si="152"/>
        <v>0</v>
      </c>
      <c r="L335" s="41">
        <f t="shared" si="153"/>
        <v>-10678.7109375</v>
      </c>
      <c r="M335" s="41">
        <f t="shared" si="154"/>
        <v>-2135742.1875</v>
      </c>
      <c r="N335" s="41">
        <f t="shared" si="155"/>
        <v>0</v>
      </c>
      <c r="O335" s="41">
        <f t="shared" si="156"/>
        <v>21357.421875</v>
      </c>
      <c r="P335" s="41">
        <f t="shared" si="157"/>
        <v>0</v>
      </c>
      <c r="Q335" s="41">
        <f t="shared" si="158"/>
        <v>0</v>
      </c>
      <c r="R335" s="41">
        <f t="shared" si="159"/>
        <v>-10678.7109375</v>
      </c>
      <c r="S335" s="41">
        <f t="shared" si="160"/>
        <v>2135742.1875</v>
      </c>
      <c r="T335" s="41">
        <f t="shared" si="161"/>
        <v>0</v>
      </c>
      <c r="U335" s="41">
        <f t="shared" si="162"/>
        <v>0</v>
      </c>
      <c r="V335" s="41">
        <f t="shared" si="163"/>
        <v>0</v>
      </c>
      <c r="W335" s="41">
        <f t="shared" si="164"/>
        <v>0</v>
      </c>
      <c r="X335" s="41">
        <f t="shared" si="165"/>
        <v>0</v>
      </c>
      <c r="Y335" s="41">
        <f t="shared" si="166"/>
        <v>0</v>
      </c>
      <c r="Z335" s="41" t="str">
        <f t="shared" si="167"/>
        <v/>
      </c>
      <c r="AA335" s="41" t="str">
        <f t="shared" si="168"/>
        <v/>
      </c>
      <c r="AB335" s="41" t="str">
        <f t="shared" si="169"/>
        <v/>
      </c>
      <c r="AC335" s="41" t="str">
        <f t="shared" si="170"/>
        <v/>
      </c>
      <c r="AD335" s="41" t="str">
        <f t="shared" si="171"/>
        <v/>
      </c>
      <c r="AE335" s="41" t="str">
        <f t="shared" si="172"/>
        <v/>
      </c>
      <c r="AF335" s="41" t="str">
        <f t="shared" si="173"/>
        <v/>
      </c>
      <c r="AG335" s="41" t="str">
        <f t="shared" si="174"/>
        <v/>
      </c>
      <c r="AH335" s="41" t="str">
        <f t="shared" si="175"/>
        <v/>
      </c>
      <c r="AI335" s="41" t="str">
        <f t="shared" si="176"/>
        <v/>
      </c>
      <c r="AJ335" s="41" t="str">
        <f t="shared" si="177"/>
        <v/>
      </c>
      <c r="AK335" s="41" t="str">
        <f t="shared" si="178"/>
        <v/>
      </c>
      <c r="AL335" s="41" t="str">
        <f t="shared" si="179"/>
        <v/>
      </c>
      <c r="AM335" s="41" t="str">
        <f t="shared" si="180"/>
        <v/>
      </c>
      <c r="AN335" s="41" t="str">
        <f t="shared" si="181"/>
        <v/>
      </c>
      <c r="AO335" s="67" t="str">
        <f t="shared" si="182"/>
        <v>*</v>
      </c>
      <c r="AP335" s="67" t="str">
        <f t="shared" si="183"/>
        <v>D4Y</v>
      </c>
    </row>
    <row r="336" spans="2:42" ht="18" customHeight="1" x14ac:dyDescent="0.3">
      <c r="B336" s="42" t="str">
        <f t="shared" si="143"/>
        <v>U4θ</v>
      </c>
      <c r="C336" s="66">
        <f t="shared" si="144"/>
        <v>0</v>
      </c>
      <c r="D336" s="67" t="str">
        <f t="shared" si="145"/>
        <v>=</v>
      </c>
      <c r="E336" s="41">
        <f t="shared" si="146"/>
        <v>0</v>
      </c>
      <c r="F336" s="41">
        <f t="shared" si="147"/>
        <v>0</v>
      </c>
      <c r="G336" s="41">
        <f t="shared" si="148"/>
        <v>0</v>
      </c>
      <c r="H336" s="41">
        <f t="shared" si="149"/>
        <v>0</v>
      </c>
      <c r="I336" s="41">
        <f t="shared" si="150"/>
        <v>0</v>
      </c>
      <c r="J336" s="41">
        <f t="shared" si="151"/>
        <v>0</v>
      </c>
      <c r="K336" s="41">
        <f t="shared" si="152"/>
        <v>0</v>
      </c>
      <c r="L336" s="41">
        <f t="shared" si="153"/>
        <v>2135742.1875</v>
      </c>
      <c r="M336" s="41">
        <f t="shared" si="154"/>
        <v>284765625</v>
      </c>
      <c r="N336" s="41">
        <f t="shared" si="155"/>
        <v>0</v>
      </c>
      <c r="O336" s="41">
        <f t="shared" si="156"/>
        <v>0</v>
      </c>
      <c r="P336" s="41">
        <f t="shared" si="157"/>
        <v>1139062500</v>
      </c>
      <c r="Q336" s="41">
        <f t="shared" si="158"/>
        <v>0</v>
      </c>
      <c r="R336" s="41">
        <f t="shared" si="159"/>
        <v>-2135742.1875</v>
      </c>
      <c r="S336" s="41">
        <f t="shared" si="160"/>
        <v>284765625</v>
      </c>
      <c r="T336" s="41">
        <f t="shared" si="161"/>
        <v>0</v>
      </c>
      <c r="U336" s="41">
        <f t="shared" si="162"/>
        <v>0</v>
      </c>
      <c r="V336" s="41">
        <f t="shared" si="163"/>
        <v>0</v>
      </c>
      <c r="W336" s="41">
        <f t="shared" si="164"/>
        <v>0</v>
      </c>
      <c r="X336" s="41">
        <f t="shared" si="165"/>
        <v>0</v>
      </c>
      <c r="Y336" s="41">
        <f t="shared" si="166"/>
        <v>0</v>
      </c>
      <c r="Z336" s="41" t="str">
        <f t="shared" si="167"/>
        <v/>
      </c>
      <c r="AA336" s="41" t="str">
        <f t="shared" si="168"/>
        <v/>
      </c>
      <c r="AB336" s="41" t="str">
        <f t="shared" si="169"/>
        <v/>
      </c>
      <c r="AC336" s="41" t="str">
        <f t="shared" si="170"/>
        <v/>
      </c>
      <c r="AD336" s="41" t="str">
        <f t="shared" si="171"/>
        <v/>
      </c>
      <c r="AE336" s="41" t="str">
        <f t="shared" si="172"/>
        <v/>
      </c>
      <c r="AF336" s="41" t="str">
        <f t="shared" si="173"/>
        <v/>
      </c>
      <c r="AG336" s="41" t="str">
        <f t="shared" si="174"/>
        <v/>
      </c>
      <c r="AH336" s="41" t="str">
        <f t="shared" si="175"/>
        <v/>
      </c>
      <c r="AI336" s="41" t="str">
        <f t="shared" si="176"/>
        <v/>
      </c>
      <c r="AJ336" s="41" t="str">
        <f t="shared" si="177"/>
        <v/>
      </c>
      <c r="AK336" s="41" t="str">
        <f t="shared" si="178"/>
        <v/>
      </c>
      <c r="AL336" s="41" t="str">
        <f t="shared" si="179"/>
        <v/>
      </c>
      <c r="AM336" s="41" t="str">
        <f t="shared" si="180"/>
        <v/>
      </c>
      <c r="AN336" s="41" t="str">
        <f t="shared" si="181"/>
        <v/>
      </c>
      <c r="AO336" s="67" t="str">
        <f t="shared" si="182"/>
        <v>*</v>
      </c>
      <c r="AP336" s="67" t="str">
        <f t="shared" si="183"/>
        <v>D4θ</v>
      </c>
    </row>
    <row r="337" spans="2:42" ht="18" customHeight="1" x14ac:dyDescent="0.3">
      <c r="B337" s="42" t="str">
        <f t="shared" si="143"/>
        <v>U5X</v>
      </c>
      <c r="C337" s="64" t="str">
        <f t="shared" si="144"/>
        <v>R_U5X</v>
      </c>
      <c r="D337" s="65" t="str">
        <f t="shared" si="145"/>
        <v>=</v>
      </c>
      <c r="E337" s="64">
        <f t="shared" si="146"/>
        <v>0</v>
      </c>
      <c r="F337" s="64">
        <f t="shared" si="147"/>
        <v>0</v>
      </c>
      <c r="G337" s="64">
        <f t="shared" si="148"/>
        <v>0</v>
      </c>
      <c r="H337" s="64">
        <f t="shared" si="149"/>
        <v>0</v>
      </c>
      <c r="I337" s="64">
        <f t="shared" si="150"/>
        <v>0</v>
      </c>
      <c r="J337" s="64">
        <f t="shared" si="151"/>
        <v>0</v>
      </c>
      <c r="K337" s="64">
        <f t="shared" si="152"/>
        <v>0</v>
      </c>
      <c r="L337" s="64">
        <f t="shared" si="153"/>
        <v>0</v>
      </c>
      <c r="M337" s="64">
        <f t="shared" si="154"/>
        <v>0</v>
      </c>
      <c r="N337" s="64">
        <f t="shared" si="155"/>
        <v>-843750</v>
      </c>
      <c r="O337" s="64">
        <f t="shared" si="156"/>
        <v>0</v>
      </c>
      <c r="P337" s="64">
        <f t="shared" si="157"/>
        <v>0</v>
      </c>
      <c r="Q337" s="64">
        <f t="shared" si="158"/>
        <v>2193750</v>
      </c>
      <c r="R337" s="64">
        <f t="shared" si="159"/>
        <v>0</v>
      </c>
      <c r="S337" s="64">
        <f t="shared" si="160"/>
        <v>0</v>
      </c>
      <c r="T337" s="64">
        <f t="shared" si="161"/>
        <v>-1350000</v>
      </c>
      <c r="U337" s="64">
        <f t="shared" si="162"/>
        <v>0</v>
      </c>
      <c r="V337" s="64">
        <f t="shared" si="163"/>
        <v>0</v>
      </c>
      <c r="W337" s="64">
        <f t="shared" si="164"/>
        <v>0</v>
      </c>
      <c r="X337" s="64">
        <f t="shared" si="165"/>
        <v>0</v>
      </c>
      <c r="Y337" s="64">
        <f t="shared" si="166"/>
        <v>0</v>
      </c>
      <c r="Z337" s="64" t="str">
        <f t="shared" si="167"/>
        <v/>
      </c>
      <c r="AA337" s="64" t="str">
        <f t="shared" si="168"/>
        <v/>
      </c>
      <c r="AB337" s="64" t="str">
        <f t="shared" si="169"/>
        <v/>
      </c>
      <c r="AC337" s="64" t="str">
        <f t="shared" si="170"/>
        <v/>
      </c>
      <c r="AD337" s="64" t="str">
        <f t="shared" si="171"/>
        <v/>
      </c>
      <c r="AE337" s="64" t="str">
        <f t="shared" si="172"/>
        <v/>
      </c>
      <c r="AF337" s="64" t="str">
        <f t="shared" si="173"/>
        <v/>
      </c>
      <c r="AG337" s="64" t="str">
        <f t="shared" si="174"/>
        <v/>
      </c>
      <c r="AH337" s="64" t="str">
        <f t="shared" si="175"/>
        <v/>
      </c>
      <c r="AI337" s="64" t="str">
        <f t="shared" si="176"/>
        <v/>
      </c>
      <c r="AJ337" s="64" t="str">
        <f t="shared" si="177"/>
        <v/>
      </c>
      <c r="AK337" s="64" t="str">
        <f t="shared" si="178"/>
        <v/>
      </c>
      <c r="AL337" s="64" t="str">
        <f t="shared" si="179"/>
        <v/>
      </c>
      <c r="AM337" s="64" t="str">
        <f t="shared" si="180"/>
        <v/>
      </c>
      <c r="AN337" s="64" t="str">
        <f t="shared" si="181"/>
        <v/>
      </c>
      <c r="AO337" s="65" t="str">
        <f t="shared" si="182"/>
        <v>*</v>
      </c>
      <c r="AP337" s="65">
        <f t="shared" si="183"/>
        <v>0</v>
      </c>
    </row>
    <row r="338" spans="2:42" ht="18" customHeight="1" x14ac:dyDescent="0.3">
      <c r="B338" s="42" t="str">
        <f t="shared" si="143"/>
        <v>U5Y</v>
      </c>
      <c r="C338" s="64" t="str">
        <f t="shared" si="144"/>
        <v>R_U5Y</v>
      </c>
      <c r="D338" s="65" t="str">
        <f t="shared" si="145"/>
        <v>=</v>
      </c>
      <c r="E338" s="64">
        <f t="shared" si="146"/>
        <v>0</v>
      </c>
      <c r="F338" s="64">
        <f t="shared" si="147"/>
        <v>0</v>
      </c>
      <c r="G338" s="64">
        <f t="shared" si="148"/>
        <v>0</v>
      </c>
      <c r="H338" s="64">
        <f t="shared" si="149"/>
        <v>0</v>
      </c>
      <c r="I338" s="64">
        <f t="shared" si="150"/>
        <v>0</v>
      </c>
      <c r="J338" s="64">
        <f t="shared" si="151"/>
        <v>0</v>
      </c>
      <c r="K338" s="64">
        <f t="shared" si="152"/>
        <v>0</v>
      </c>
      <c r="L338" s="64">
        <f t="shared" si="153"/>
        <v>0</v>
      </c>
      <c r="M338" s="64">
        <f t="shared" si="154"/>
        <v>0</v>
      </c>
      <c r="N338" s="64">
        <f t="shared" si="155"/>
        <v>0</v>
      </c>
      <c r="O338" s="64">
        <f t="shared" si="156"/>
        <v>-10678.7109375</v>
      </c>
      <c r="P338" s="64">
        <f t="shared" si="157"/>
        <v>-2135742.1875</v>
      </c>
      <c r="Q338" s="64">
        <f t="shared" si="158"/>
        <v>0</v>
      </c>
      <c r="R338" s="64">
        <f t="shared" si="159"/>
        <v>54418.7109375</v>
      </c>
      <c r="S338" s="64">
        <f t="shared" si="160"/>
        <v>3331757.8125</v>
      </c>
      <c r="T338" s="64">
        <f t="shared" si="161"/>
        <v>0</v>
      </c>
      <c r="U338" s="64">
        <f t="shared" si="162"/>
        <v>-43740</v>
      </c>
      <c r="V338" s="64">
        <f t="shared" si="163"/>
        <v>5467500</v>
      </c>
      <c r="W338" s="64">
        <f t="shared" si="164"/>
        <v>0</v>
      </c>
      <c r="X338" s="64">
        <f t="shared" si="165"/>
        <v>0</v>
      </c>
      <c r="Y338" s="64">
        <f t="shared" si="166"/>
        <v>0</v>
      </c>
      <c r="Z338" s="64" t="str">
        <f t="shared" si="167"/>
        <v/>
      </c>
      <c r="AA338" s="64" t="str">
        <f t="shared" si="168"/>
        <v/>
      </c>
      <c r="AB338" s="64" t="str">
        <f t="shared" si="169"/>
        <v/>
      </c>
      <c r="AC338" s="64" t="str">
        <f t="shared" si="170"/>
        <v/>
      </c>
      <c r="AD338" s="64" t="str">
        <f t="shared" si="171"/>
        <v/>
      </c>
      <c r="AE338" s="64" t="str">
        <f t="shared" si="172"/>
        <v/>
      </c>
      <c r="AF338" s="64" t="str">
        <f t="shared" si="173"/>
        <v/>
      </c>
      <c r="AG338" s="64" t="str">
        <f t="shared" si="174"/>
        <v/>
      </c>
      <c r="AH338" s="64" t="str">
        <f t="shared" si="175"/>
        <v/>
      </c>
      <c r="AI338" s="64" t="str">
        <f t="shared" si="176"/>
        <v/>
      </c>
      <c r="AJ338" s="64" t="str">
        <f t="shared" si="177"/>
        <v/>
      </c>
      <c r="AK338" s="64" t="str">
        <f t="shared" si="178"/>
        <v/>
      </c>
      <c r="AL338" s="64" t="str">
        <f t="shared" si="179"/>
        <v/>
      </c>
      <c r="AM338" s="64" t="str">
        <f t="shared" si="180"/>
        <v/>
      </c>
      <c r="AN338" s="64" t="str">
        <f t="shared" si="181"/>
        <v/>
      </c>
      <c r="AO338" s="65" t="str">
        <f t="shared" si="182"/>
        <v>*</v>
      </c>
      <c r="AP338" s="65">
        <f t="shared" si="183"/>
        <v>0</v>
      </c>
    </row>
    <row r="339" spans="2:42" ht="18" customHeight="1" x14ac:dyDescent="0.3">
      <c r="B339" s="42" t="str">
        <f t="shared" si="143"/>
        <v>U5θ</v>
      </c>
      <c r="C339" s="66">
        <f t="shared" si="144"/>
        <v>0</v>
      </c>
      <c r="D339" s="67" t="str">
        <f t="shared" si="145"/>
        <v>=</v>
      </c>
      <c r="E339" s="41">
        <f t="shared" si="146"/>
        <v>0</v>
      </c>
      <c r="F339" s="41">
        <f t="shared" si="147"/>
        <v>0</v>
      </c>
      <c r="G339" s="41">
        <f t="shared" si="148"/>
        <v>0</v>
      </c>
      <c r="H339" s="41">
        <f t="shared" si="149"/>
        <v>0</v>
      </c>
      <c r="I339" s="41">
        <f t="shared" si="150"/>
        <v>0</v>
      </c>
      <c r="J339" s="41">
        <f t="shared" si="151"/>
        <v>0</v>
      </c>
      <c r="K339" s="41">
        <f t="shared" si="152"/>
        <v>0</v>
      </c>
      <c r="L339" s="41">
        <f t="shared" si="153"/>
        <v>0</v>
      </c>
      <c r="M339" s="41">
        <f t="shared" si="154"/>
        <v>0</v>
      </c>
      <c r="N339" s="41">
        <f t="shared" si="155"/>
        <v>0</v>
      </c>
      <c r="O339" s="41">
        <f t="shared" si="156"/>
        <v>2135742.1875</v>
      </c>
      <c r="P339" s="41">
        <f t="shared" si="157"/>
        <v>284765625</v>
      </c>
      <c r="Q339" s="41">
        <f t="shared" si="158"/>
        <v>0</v>
      </c>
      <c r="R339" s="41">
        <f t="shared" si="159"/>
        <v>3331757.8125</v>
      </c>
      <c r="S339" s="41">
        <f t="shared" si="160"/>
        <v>1480781250</v>
      </c>
      <c r="T339" s="41">
        <f t="shared" si="161"/>
        <v>0</v>
      </c>
      <c r="U339" s="41">
        <f t="shared" si="162"/>
        <v>-5467500</v>
      </c>
      <c r="V339" s="41">
        <f t="shared" si="163"/>
        <v>455625000</v>
      </c>
      <c r="W339" s="41">
        <f t="shared" si="164"/>
        <v>0</v>
      </c>
      <c r="X339" s="41">
        <f t="shared" si="165"/>
        <v>0</v>
      </c>
      <c r="Y339" s="41">
        <f t="shared" si="166"/>
        <v>0</v>
      </c>
      <c r="Z339" s="41" t="str">
        <f t="shared" si="167"/>
        <v/>
      </c>
      <c r="AA339" s="41" t="str">
        <f t="shared" si="168"/>
        <v/>
      </c>
      <c r="AB339" s="41" t="str">
        <f t="shared" si="169"/>
        <v/>
      </c>
      <c r="AC339" s="41" t="str">
        <f t="shared" si="170"/>
        <v/>
      </c>
      <c r="AD339" s="41" t="str">
        <f t="shared" si="171"/>
        <v/>
      </c>
      <c r="AE339" s="41" t="str">
        <f t="shared" si="172"/>
        <v/>
      </c>
      <c r="AF339" s="41" t="str">
        <f t="shared" si="173"/>
        <v/>
      </c>
      <c r="AG339" s="41" t="str">
        <f t="shared" si="174"/>
        <v/>
      </c>
      <c r="AH339" s="41" t="str">
        <f t="shared" si="175"/>
        <v/>
      </c>
      <c r="AI339" s="41" t="str">
        <f t="shared" si="176"/>
        <v/>
      </c>
      <c r="AJ339" s="41" t="str">
        <f t="shared" si="177"/>
        <v/>
      </c>
      <c r="AK339" s="41" t="str">
        <f t="shared" si="178"/>
        <v/>
      </c>
      <c r="AL339" s="41" t="str">
        <f t="shared" si="179"/>
        <v/>
      </c>
      <c r="AM339" s="41" t="str">
        <f t="shared" si="180"/>
        <v/>
      </c>
      <c r="AN339" s="41" t="str">
        <f t="shared" si="181"/>
        <v/>
      </c>
      <c r="AO339" s="67" t="str">
        <f t="shared" si="182"/>
        <v>*</v>
      </c>
      <c r="AP339" s="67" t="str">
        <f t="shared" si="183"/>
        <v>D5θ</v>
      </c>
    </row>
    <row r="340" spans="2:42" ht="18" customHeight="1" x14ac:dyDescent="0.3">
      <c r="B340" s="42" t="str">
        <f t="shared" si="143"/>
        <v>U6X</v>
      </c>
      <c r="C340" s="66">
        <f t="shared" si="144"/>
        <v>0</v>
      </c>
      <c r="D340" s="67" t="str">
        <f t="shared" si="145"/>
        <v>=</v>
      </c>
      <c r="E340" s="41">
        <f t="shared" si="146"/>
        <v>0</v>
      </c>
      <c r="F340" s="41">
        <f t="shared" si="147"/>
        <v>0</v>
      </c>
      <c r="G340" s="41">
        <f t="shared" si="148"/>
        <v>0</v>
      </c>
      <c r="H340" s="41">
        <f t="shared" si="149"/>
        <v>0</v>
      </c>
      <c r="I340" s="41">
        <f t="shared" si="150"/>
        <v>0</v>
      </c>
      <c r="J340" s="41">
        <f t="shared" si="151"/>
        <v>0</v>
      </c>
      <c r="K340" s="41">
        <f t="shared" si="152"/>
        <v>0</v>
      </c>
      <c r="L340" s="41">
        <f t="shared" si="153"/>
        <v>0</v>
      </c>
      <c r="M340" s="41">
        <f t="shared" si="154"/>
        <v>0</v>
      </c>
      <c r="N340" s="41">
        <f t="shared" si="155"/>
        <v>0</v>
      </c>
      <c r="O340" s="41">
        <f t="shared" si="156"/>
        <v>0</v>
      </c>
      <c r="P340" s="41">
        <f t="shared" si="157"/>
        <v>0</v>
      </c>
      <c r="Q340" s="41">
        <f t="shared" si="158"/>
        <v>-1350000</v>
      </c>
      <c r="R340" s="41">
        <f t="shared" si="159"/>
        <v>0</v>
      </c>
      <c r="S340" s="41">
        <f t="shared" si="160"/>
        <v>0</v>
      </c>
      <c r="T340" s="41">
        <f t="shared" si="161"/>
        <v>2700000</v>
      </c>
      <c r="U340" s="41">
        <f t="shared" si="162"/>
        <v>0</v>
      </c>
      <c r="V340" s="41">
        <f t="shared" si="163"/>
        <v>0</v>
      </c>
      <c r="W340" s="41">
        <f t="shared" si="164"/>
        <v>-1350000</v>
      </c>
      <c r="X340" s="41">
        <f t="shared" si="165"/>
        <v>0</v>
      </c>
      <c r="Y340" s="41">
        <f t="shared" si="166"/>
        <v>0</v>
      </c>
      <c r="Z340" s="41" t="str">
        <f t="shared" si="167"/>
        <v/>
      </c>
      <c r="AA340" s="41" t="str">
        <f t="shared" si="168"/>
        <v/>
      </c>
      <c r="AB340" s="41" t="str">
        <f t="shared" si="169"/>
        <v/>
      </c>
      <c r="AC340" s="41" t="str">
        <f t="shared" si="170"/>
        <v/>
      </c>
      <c r="AD340" s="41" t="str">
        <f t="shared" si="171"/>
        <v/>
      </c>
      <c r="AE340" s="41" t="str">
        <f t="shared" si="172"/>
        <v/>
      </c>
      <c r="AF340" s="41" t="str">
        <f t="shared" si="173"/>
        <v/>
      </c>
      <c r="AG340" s="41" t="str">
        <f t="shared" si="174"/>
        <v/>
      </c>
      <c r="AH340" s="41" t="str">
        <f t="shared" si="175"/>
        <v/>
      </c>
      <c r="AI340" s="41" t="str">
        <f t="shared" si="176"/>
        <v/>
      </c>
      <c r="AJ340" s="41" t="str">
        <f t="shared" si="177"/>
        <v/>
      </c>
      <c r="AK340" s="41" t="str">
        <f t="shared" si="178"/>
        <v/>
      </c>
      <c r="AL340" s="41" t="str">
        <f t="shared" si="179"/>
        <v/>
      </c>
      <c r="AM340" s="41" t="str">
        <f t="shared" si="180"/>
        <v/>
      </c>
      <c r="AN340" s="41" t="str">
        <f t="shared" si="181"/>
        <v/>
      </c>
      <c r="AO340" s="67" t="str">
        <f t="shared" si="182"/>
        <v>*</v>
      </c>
      <c r="AP340" s="67" t="str">
        <f t="shared" si="183"/>
        <v>D6X</v>
      </c>
    </row>
    <row r="341" spans="2:42" ht="18" customHeight="1" x14ac:dyDescent="0.3">
      <c r="B341" s="42" t="str">
        <f t="shared" si="143"/>
        <v>U6Y</v>
      </c>
      <c r="C341" s="66">
        <f t="shared" si="144"/>
        <v>0</v>
      </c>
      <c r="D341" s="67" t="str">
        <f t="shared" si="145"/>
        <v>=</v>
      </c>
      <c r="E341" s="41">
        <f t="shared" si="146"/>
        <v>0</v>
      </c>
      <c r="F341" s="41">
        <f t="shared" si="147"/>
        <v>0</v>
      </c>
      <c r="G341" s="41">
        <f t="shared" si="148"/>
        <v>0</v>
      </c>
      <c r="H341" s="41">
        <f t="shared" si="149"/>
        <v>0</v>
      </c>
      <c r="I341" s="41">
        <f t="shared" si="150"/>
        <v>0</v>
      </c>
      <c r="J341" s="41">
        <f t="shared" si="151"/>
        <v>0</v>
      </c>
      <c r="K341" s="41">
        <f t="shared" si="152"/>
        <v>0</v>
      </c>
      <c r="L341" s="41">
        <f t="shared" si="153"/>
        <v>0</v>
      </c>
      <c r="M341" s="41">
        <f t="shared" si="154"/>
        <v>0</v>
      </c>
      <c r="N341" s="41">
        <f t="shared" si="155"/>
        <v>0</v>
      </c>
      <c r="O341" s="41">
        <f t="shared" si="156"/>
        <v>0</v>
      </c>
      <c r="P341" s="41">
        <f t="shared" si="157"/>
        <v>0</v>
      </c>
      <c r="Q341" s="41">
        <f t="shared" si="158"/>
        <v>0</v>
      </c>
      <c r="R341" s="41">
        <f t="shared" si="159"/>
        <v>-43740</v>
      </c>
      <c r="S341" s="41">
        <f t="shared" si="160"/>
        <v>-5467500</v>
      </c>
      <c r="T341" s="41">
        <f t="shared" si="161"/>
        <v>0</v>
      </c>
      <c r="U341" s="41">
        <f t="shared" si="162"/>
        <v>87480</v>
      </c>
      <c r="V341" s="41">
        <f t="shared" si="163"/>
        <v>0</v>
      </c>
      <c r="W341" s="41">
        <f t="shared" si="164"/>
        <v>0</v>
      </c>
      <c r="X341" s="41">
        <f t="shared" si="165"/>
        <v>-43740</v>
      </c>
      <c r="Y341" s="41">
        <f t="shared" si="166"/>
        <v>5467500</v>
      </c>
      <c r="Z341" s="41" t="str">
        <f t="shared" si="167"/>
        <v/>
      </c>
      <c r="AA341" s="41" t="str">
        <f t="shared" si="168"/>
        <v/>
      </c>
      <c r="AB341" s="41" t="str">
        <f t="shared" si="169"/>
        <v/>
      </c>
      <c r="AC341" s="41" t="str">
        <f t="shared" si="170"/>
        <v/>
      </c>
      <c r="AD341" s="41" t="str">
        <f t="shared" si="171"/>
        <v/>
      </c>
      <c r="AE341" s="41" t="str">
        <f t="shared" si="172"/>
        <v/>
      </c>
      <c r="AF341" s="41" t="str">
        <f t="shared" si="173"/>
        <v/>
      </c>
      <c r="AG341" s="41" t="str">
        <f t="shared" si="174"/>
        <v/>
      </c>
      <c r="AH341" s="41" t="str">
        <f t="shared" si="175"/>
        <v/>
      </c>
      <c r="AI341" s="41" t="str">
        <f t="shared" si="176"/>
        <v/>
      </c>
      <c r="AJ341" s="41" t="str">
        <f t="shared" si="177"/>
        <v/>
      </c>
      <c r="AK341" s="41" t="str">
        <f t="shared" si="178"/>
        <v/>
      </c>
      <c r="AL341" s="41" t="str">
        <f t="shared" si="179"/>
        <v/>
      </c>
      <c r="AM341" s="41" t="str">
        <f t="shared" si="180"/>
        <v/>
      </c>
      <c r="AN341" s="41" t="str">
        <f t="shared" si="181"/>
        <v/>
      </c>
      <c r="AO341" s="67" t="str">
        <f t="shared" si="182"/>
        <v>*</v>
      </c>
      <c r="AP341" s="67" t="str">
        <f t="shared" si="183"/>
        <v>D6Y</v>
      </c>
    </row>
    <row r="342" spans="2:42" ht="18" customHeight="1" x14ac:dyDescent="0.3">
      <c r="B342" s="42" t="str">
        <f t="shared" si="143"/>
        <v>U6θ</v>
      </c>
      <c r="C342" s="66">
        <f t="shared" si="144"/>
        <v>-80000</v>
      </c>
      <c r="D342" s="67" t="str">
        <f t="shared" si="145"/>
        <v>=</v>
      </c>
      <c r="E342" s="41">
        <f t="shared" si="146"/>
        <v>0</v>
      </c>
      <c r="F342" s="41">
        <f t="shared" si="147"/>
        <v>0</v>
      </c>
      <c r="G342" s="41">
        <f t="shared" si="148"/>
        <v>0</v>
      </c>
      <c r="H342" s="41">
        <f t="shared" si="149"/>
        <v>0</v>
      </c>
      <c r="I342" s="41">
        <f t="shared" si="150"/>
        <v>0</v>
      </c>
      <c r="J342" s="41">
        <f t="shared" si="151"/>
        <v>0</v>
      </c>
      <c r="K342" s="41">
        <f t="shared" si="152"/>
        <v>0</v>
      </c>
      <c r="L342" s="41">
        <f t="shared" si="153"/>
        <v>0</v>
      </c>
      <c r="M342" s="41">
        <f t="shared" si="154"/>
        <v>0</v>
      </c>
      <c r="N342" s="41">
        <f t="shared" si="155"/>
        <v>0</v>
      </c>
      <c r="O342" s="41">
        <f t="shared" si="156"/>
        <v>0</v>
      </c>
      <c r="P342" s="41">
        <f t="shared" si="157"/>
        <v>0</v>
      </c>
      <c r="Q342" s="41">
        <f t="shared" si="158"/>
        <v>0</v>
      </c>
      <c r="R342" s="41">
        <f t="shared" si="159"/>
        <v>5467500</v>
      </c>
      <c r="S342" s="41">
        <f t="shared" si="160"/>
        <v>455625000</v>
      </c>
      <c r="T342" s="41">
        <f t="shared" si="161"/>
        <v>0</v>
      </c>
      <c r="U342" s="41">
        <f t="shared" si="162"/>
        <v>0</v>
      </c>
      <c r="V342" s="41">
        <f t="shared" si="163"/>
        <v>1822500000</v>
      </c>
      <c r="W342" s="41">
        <f t="shared" si="164"/>
        <v>0</v>
      </c>
      <c r="X342" s="41">
        <f t="shared" si="165"/>
        <v>-5467500</v>
      </c>
      <c r="Y342" s="41">
        <f t="shared" si="166"/>
        <v>455625000</v>
      </c>
      <c r="Z342" s="41" t="str">
        <f t="shared" si="167"/>
        <v/>
      </c>
      <c r="AA342" s="41" t="str">
        <f t="shared" si="168"/>
        <v/>
      </c>
      <c r="AB342" s="41" t="str">
        <f t="shared" si="169"/>
        <v/>
      </c>
      <c r="AC342" s="41" t="str">
        <f t="shared" si="170"/>
        <v/>
      </c>
      <c r="AD342" s="41" t="str">
        <f t="shared" si="171"/>
        <v/>
      </c>
      <c r="AE342" s="41" t="str">
        <f t="shared" si="172"/>
        <v/>
      </c>
      <c r="AF342" s="41" t="str">
        <f t="shared" si="173"/>
        <v/>
      </c>
      <c r="AG342" s="41" t="str">
        <f t="shared" si="174"/>
        <v/>
      </c>
      <c r="AH342" s="41" t="str">
        <f t="shared" si="175"/>
        <v/>
      </c>
      <c r="AI342" s="41" t="str">
        <f t="shared" si="176"/>
        <v/>
      </c>
      <c r="AJ342" s="41" t="str">
        <f t="shared" si="177"/>
        <v/>
      </c>
      <c r="AK342" s="41" t="str">
        <f t="shared" si="178"/>
        <v/>
      </c>
      <c r="AL342" s="41" t="str">
        <f t="shared" si="179"/>
        <v/>
      </c>
      <c r="AM342" s="41" t="str">
        <f t="shared" si="180"/>
        <v/>
      </c>
      <c r="AN342" s="41" t="str">
        <f t="shared" si="181"/>
        <v/>
      </c>
      <c r="AO342" s="67" t="str">
        <f t="shared" si="182"/>
        <v>*</v>
      </c>
      <c r="AP342" s="67" t="str">
        <f t="shared" si="183"/>
        <v>D6θ</v>
      </c>
    </row>
    <row r="343" spans="2:42" ht="18" customHeight="1" x14ac:dyDescent="0.3">
      <c r="B343" s="42" t="str">
        <f t="shared" si="143"/>
        <v>U7X</v>
      </c>
      <c r="C343" s="64" t="str">
        <f t="shared" si="144"/>
        <v>R_U7X</v>
      </c>
      <c r="D343" s="65" t="str">
        <f t="shared" si="145"/>
        <v>=</v>
      </c>
      <c r="E343" s="64">
        <f t="shared" si="146"/>
        <v>0</v>
      </c>
      <c r="F343" s="64">
        <f t="shared" si="147"/>
        <v>0</v>
      </c>
      <c r="G343" s="64">
        <f t="shared" si="148"/>
        <v>0</v>
      </c>
      <c r="H343" s="64">
        <f t="shared" si="149"/>
        <v>0</v>
      </c>
      <c r="I343" s="64">
        <f t="shared" si="150"/>
        <v>0</v>
      </c>
      <c r="J343" s="64">
        <f t="shared" si="151"/>
        <v>0</v>
      </c>
      <c r="K343" s="64">
        <f t="shared" si="152"/>
        <v>0</v>
      </c>
      <c r="L343" s="64">
        <f t="shared" si="153"/>
        <v>0</v>
      </c>
      <c r="M343" s="64">
        <f t="shared" si="154"/>
        <v>0</v>
      </c>
      <c r="N343" s="64">
        <f t="shared" si="155"/>
        <v>0</v>
      </c>
      <c r="O343" s="64">
        <f t="shared" si="156"/>
        <v>0</v>
      </c>
      <c r="P343" s="64">
        <f t="shared" si="157"/>
        <v>0</v>
      </c>
      <c r="Q343" s="64">
        <f t="shared" si="158"/>
        <v>0</v>
      </c>
      <c r="R343" s="64">
        <f t="shared" si="159"/>
        <v>0</v>
      </c>
      <c r="S343" s="64">
        <f t="shared" si="160"/>
        <v>0</v>
      </c>
      <c r="T343" s="64">
        <f t="shared" si="161"/>
        <v>-1350000</v>
      </c>
      <c r="U343" s="64">
        <f t="shared" si="162"/>
        <v>0</v>
      </c>
      <c r="V343" s="64">
        <f t="shared" si="163"/>
        <v>0</v>
      </c>
      <c r="W343" s="64">
        <f t="shared" si="164"/>
        <v>1350000</v>
      </c>
      <c r="X343" s="64">
        <f t="shared" si="165"/>
        <v>0</v>
      </c>
      <c r="Y343" s="64">
        <f t="shared" si="166"/>
        <v>0</v>
      </c>
      <c r="Z343" s="64" t="str">
        <f t="shared" si="167"/>
        <v/>
      </c>
      <c r="AA343" s="64" t="str">
        <f t="shared" si="168"/>
        <v/>
      </c>
      <c r="AB343" s="64" t="str">
        <f t="shared" si="169"/>
        <v/>
      </c>
      <c r="AC343" s="64" t="str">
        <f t="shared" si="170"/>
        <v/>
      </c>
      <c r="AD343" s="64" t="str">
        <f t="shared" si="171"/>
        <v/>
      </c>
      <c r="AE343" s="64" t="str">
        <f t="shared" si="172"/>
        <v/>
      </c>
      <c r="AF343" s="64" t="str">
        <f t="shared" si="173"/>
        <v/>
      </c>
      <c r="AG343" s="64" t="str">
        <f t="shared" si="174"/>
        <v/>
      </c>
      <c r="AH343" s="64" t="str">
        <f t="shared" si="175"/>
        <v/>
      </c>
      <c r="AI343" s="64" t="str">
        <f t="shared" si="176"/>
        <v/>
      </c>
      <c r="AJ343" s="64" t="str">
        <f t="shared" si="177"/>
        <v/>
      </c>
      <c r="AK343" s="64" t="str">
        <f t="shared" si="178"/>
        <v/>
      </c>
      <c r="AL343" s="64" t="str">
        <f t="shared" si="179"/>
        <v/>
      </c>
      <c r="AM343" s="64" t="str">
        <f t="shared" si="180"/>
        <v/>
      </c>
      <c r="AN343" s="64" t="str">
        <f t="shared" si="181"/>
        <v/>
      </c>
      <c r="AO343" s="65" t="str">
        <f t="shared" si="182"/>
        <v>*</v>
      </c>
      <c r="AP343" s="65">
        <f t="shared" si="183"/>
        <v>0</v>
      </c>
    </row>
    <row r="344" spans="2:42" ht="18" customHeight="1" x14ac:dyDescent="0.3">
      <c r="B344" s="42" t="str">
        <f t="shared" si="143"/>
        <v>U7Y</v>
      </c>
      <c r="C344" s="64" t="str">
        <f t="shared" si="144"/>
        <v>R_U7Y</v>
      </c>
      <c r="D344" s="65" t="str">
        <f t="shared" si="145"/>
        <v>=</v>
      </c>
      <c r="E344" s="64">
        <f t="shared" si="146"/>
        <v>0</v>
      </c>
      <c r="F344" s="64">
        <f t="shared" si="147"/>
        <v>0</v>
      </c>
      <c r="G344" s="64">
        <f t="shared" si="148"/>
        <v>0</v>
      </c>
      <c r="H344" s="64">
        <f t="shared" si="149"/>
        <v>0</v>
      </c>
      <c r="I344" s="64">
        <f t="shared" si="150"/>
        <v>0</v>
      </c>
      <c r="J344" s="64">
        <f t="shared" si="151"/>
        <v>0</v>
      </c>
      <c r="K344" s="64">
        <f t="shared" si="152"/>
        <v>0</v>
      </c>
      <c r="L344" s="64">
        <f t="shared" si="153"/>
        <v>0</v>
      </c>
      <c r="M344" s="64">
        <f t="shared" si="154"/>
        <v>0</v>
      </c>
      <c r="N344" s="64">
        <f t="shared" si="155"/>
        <v>0</v>
      </c>
      <c r="O344" s="64">
        <f t="shared" si="156"/>
        <v>0</v>
      </c>
      <c r="P344" s="64">
        <f t="shared" si="157"/>
        <v>0</v>
      </c>
      <c r="Q344" s="64">
        <f t="shared" si="158"/>
        <v>0</v>
      </c>
      <c r="R344" s="64">
        <f t="shared" si="159"/>
        <v>0</v>
      </c>
      <c r="S344" s="64">
        <f t="shared" si="160"/>
        <v>0</v>
      </c>
      <c r="T344" s="64">
        <f t="shared" si="161"/>
        <v>0</v>
      </c>
      <c r="U344" s="64">
        <f t="shared" si="162"/>
        <v>-43740</v>
      </c>
      <c r="V344" s="64">
        <f t="shared" si="163"/>
        <v>-5467500</v>
      </c>
      <c r="W344" s="64">
        <f t="shared" si="164"/>
        <v>0</v>
      </c>
      <c r="X344" s="64">
        <f t="shared" si="165"/>
        <v>43740</v>
      </c>
      <c r="Y344" s="64">
        <f t="shared" si="166"/>
        <v>-5467500</v>
      </c>
      <c r="Z344" s="64" t="str">
        <f t="shared" si="167"/>
        <v/>
      </c>
      <c r="AA344" s="64" t="str">
        <f t="shared" si="168"/>
        <v/>
      </c>
      <c r="AB344" s="64" t="str">
        <f t="shared" si="169"/>
        <v/>
      </c>
      <c r="AC344" s="64" t="str">
        <f t="shared" si="170"/>
        <v/>
      </c>
      <c r="AD344" s="64" t="str">
        <f t="shared" si="171"/>
        <v/>
      </c>
      <c r="AE344" s="64" t="str">
        <f t="shared" si="172"/>
        <v/>
      </c>
      <c r="AF344" s="64" t="str">
        <f t="shared" si="173"/>
        <v/>
      </c>
      <c r="AG344" s="64" t="str">
        <f t="shared" si="174"/>
        <v/>
      </c>
      <c r="AH344" s="64" t="str">
        <f t="shared" si="175"/>
        <v/>
      </c>
      <c r="AI344" s="64" t="str">
        <f t="shared" si="176"/>
        <v/>
      </c>
      <c r="AJ344" s="64" t="str">
        <f t="shared" si="177"/>
        <v/>
      </c>
      <c r="AK344" s="64" t="str">
        <f t="shared" si="178"/>
        <v/>
      </c>
      <c r="AL344" s="64" t="str">
        <f t="shared" si="179"/>
        <v/>
      </c>
      <c r="AM344" s="64" t="str">
        <f t="shared" si="180"/>
        <v/>
      </c>
      <c r="AN344" s="64" t="str">
        <f t="shared" si="181"/>
        <v/>
      </c>
      <c r="AO344" s="65" t="str">
        <f t="shared" si="182"/>
        <v>*</v>
      </c>
      <c r="AP344" s="65">
        <f t="shared" si="183"/>
        <v>0</v>
      </c>
    </row>
    <row r="345" spans="2:42" ht="18" customHeight="1" x14ac:dyDescent="0.3">
      <c r="B345" s="42" t="str">
        <f t="shared" si="143"/>
        <v>U7θ</v>
      </c>
      <c r="C345" s="66">
        <f t="shared" si="144"/>
        <v>0</v>
      </c>
      <c r="D345" s="67" t="str">
        <f t="shared" si="145"/>
        <v>=</v>
      </c>
      <c r="E345" s="41">
        <f t="shared" si="146"/>
        <v>0</v>
      </c>
      <c r="F345" s="41">
        <f t="shared" si="147"/>
        <v>0</v>
      </c>
      <c r="G345" s="41">
        <f t="shared" si="148"/>
        <v>0</v>
      </c>
      <c r="H345" s="41">
        <f t="shared" si="149"/>
        <v>0</v>
      </c>
      <c r="I345" s="41">
        <f t="shared" si="150"/>
        <v>0</v>
      </c>
      <c r="J345" s="41">
        <f t="shared" si="151"/>
        <v>0</v>
      </c>
      <c r="K345" s="41">
        <f t="shared" si="152"/>
        <v>0</v>
      </c>
      <c r="L345" s="41">
        <f t="shared" si="153"/>
        <v>0</v>
      </c>
      <c r="M345" s="41">
        <f t="shared" si="154"/>
        <v>0</v>
      </c>
      <c r="N345" s="41">
        <f t="shared" si="155"/>
        <v>0</v>
      </c>
      <c r="O345" s="41">
        <f t="shared" si="156"/>
        <v>0</v>
      </c>
      <c r="P345" s="41">
        <f t="shared" si="157"/>
        <v>0</v>
      </c>
      <c r="Q345" s="41">
        <f t="shared" si="158"/>
        <v>0</v>
      </c>
      <c r="R345" s="41">
        <f t="shared" si="159"/>
        <v>0</v>
      </c>
      <c r="S345" s="41">
        <f t="shared" si="160"/>
        <v>0</v>
      </c>
      <c r="T345" s="41">
        <f t="shared" si="161"/>
        <v>0</v>
      </c>
      <c r="U345" s="41">
        <f t="shared" si="162"/>
        <v>5467500</v>
      </c>
      <c r="V345" s="41">
        <f t="shared" si="163"/>
        <v>455625000</v>
      </c>
      <c r="W345" s="41">
        <f t="shared" si="164"/>
        <v>0</v>
      </c>
      <c r="X345" s="41">
        <f t="shared" si="165"/>
        <v>-5467500</v>
      </c>
      <c r="Y345" s="41">
        <f t="shared" si="166"/>
        <v>911250000</v>
      </c>
      <c r="Z345" s="41" t="str">
        <f t="shared" si="167"/>
        <v/>
      </c>
      <c r="AA345" s="41" t="str">
        <f t="shared" si="168"/>
        <v/>
      </c>
      <c r="AB345" s="41" t="str">
        <f t="shared" si="169"/>
        <v/>
      </c>
      <c r="AC345" s="41" t="str">
        <f t="shared" si="170"/>
        <v/>
      </c>
      <c r="AD345" s="41" t="str">
        <f t="shared" si="171"/>
        <v/>
      </c>
      <c r="AE345" s="41" t="str">
        <f t="shared" si="172"/>
        <v/>
      </c>
      <c r="AF345" s="41" t="str">
        <f t="shared" si="173"/>
        <v/>
      </c>
      <c r="AG345" s="41" t="str">
        <f t="shared" si="174"/>
        <v/>
      </c>
      <c r="AH345" s="41" t="str">
        <f t="shared" si="175"/>
        <v/>
      </c>
      <c r="AI345" s="41" t="str">
        <f t="shared" si="176"/>
        <v/>
      </c>
      <c r="AJ345" s="41" t="str">
        <f t="shared" si="177"/>
        <v/>
      </c>
      <c r="AK345" s="41" t="str">
        <f t="shared" si="178"/>
        <v/>
      </c>
      <c r="AL345" s="41" t="str">
        <f t="shared" si="179"/>
        <v/>
      </c>
      <c r="AM345" s="41" t="str">
        <f t="shared" si="180"/>
        <v/>
      </c>
      <c r="AN345" s="41" t="str">
        <f t="shared" si="181"/>
        <v/>
      </c>
      <c r="AO345" s="67" t="str">
        <f t="shared" si="182"/>
        <v>*</v>
      </c>
      <c r="AP345" s="67" t="str">
        <f t="shared" si="183"/>
        <v>D7θ</v>
      </c>
    </row>
    <row r="346" spans="2:42" ht="18" customHeight="1" x14ac:dyDescent="0.3">
      <c r="B346" s="42" t="str">
        <f t="shared" si="143"/>
        <v/>
      </c>
      <c r="C346" s="66" t="str">
        <f t="shared" si="144"/>
        <v/>
      </c>
      <c r="D346" s="67" t="str">
        <f t="shared" si="145"/>
        <v/>
      </c>
      <c r="E346" s="41" t="str">
        <f t="shared" si="146"/>
        <v/>
      </c>
      <c r="F346" s="41" t="str">
        <f t="shared" si="147"/>
        <v/>
      </c>
      <c r="G346" s="41" t="str">
        <f t="shared" si="148"/>
        <v/>
      </c>
      <c r="H346" s="41" t="str">
        <f t="shared" si="149"/>
        <v/>
      </c>
      <c r="I346" s="41" t="str">
        <f t="shared" si="150"/>
        <v/>
      </c>
      <c r="J346" s="41" t="str">
        <f t="shared" si="151"/>
        <v/>
      </c>
      <c r="K346" s="41" t="str">
        <f t="shared" si="152"/>
        <v/>
      </c>
      <c r="L346" s="41" t="str">
        <f t="shared" si="153"/>
        <v/>
      </c>
      <c r="M346" s="41" t="str">
        <f t="shared" si="154"/>
        <v/>
      </c>
      <c r="N346" s="41" t="str">
        <f t="shared" si="155"/>
        <v/>
      </c>
      <c r="O346" s="41" t="str">
        <f t="shared" si="156"/>
        <v/>
      </c>
      <c r="P346" s="41" t="str">
        <f t="shared" si="157"/>
        <v/>
      </c>
      <c r="Q346" s="41" t="str">
        <f t="shared" si="158"/>
        <v/>
      </c>
      <c r="R346" s="41" t="str">
        <f t="shared" si="159"/>
        <v/>
      </c>
      <c r="S346" s="41" t="str">
        <f t="shared" si="160"/>
        <v/>
      </c>
      <c r="T346" s="41" t="str">
        <f t="shared" si="161"/>
        <v/>
      </c>
      <c r="U346" s="41" t="str">
        <f t="shared" si="162"/>
        <v/>
      </c>
      <c r="V346" s="41" t="str">
        <f t="shared" si="163"/>
        <v/>
      </c>
      <c r="W346" s="41" t="str">
        <f t="shared" si="164"/>
        <v/>
      </c>
      <c r="X346" s="41" t="str">
        <f t="shared" si="165"/>
        <v/>
      </c>
      <c r="Y346" s="41" t="str">
        <f t="shared" si="166"/>
        <v/>
      </c>
      <c r="Z346" s="41" t="str">
        <f t="shared" si="167"/>
        <v/>
      </c>
      <c r="AA346" s="41" t="str">
        <f t="shared" si="168"/>
        <v/>
      </c>
      <c r="AB346" s="41" t="str">
        <f t="shared" si="169"/>
        <v/>
      </c>
      <c r="AC346" s="41" t="str">
        <f t="shared" si="170"/>
        <v/>
      </c>
      <c r="AD346" s="41" t="str">
        <f t="shared" si="171"/>
        <v/>
      </c>
      <c r="AE346" s="41" t="str">
        <f t="shared" si="172"/>
        <v/>
      </c>
      <c r="AF346" s="41" t="str">
        <f t="shared" si="173"/>
        <v/>
      </c>
      <c r="AG346" s="41" t="str">
        <f t="shared" si="174"/>
        <v/>
      </c>
      <c r="AH346" s="41" t="str">
        <f t="shared" si="175"/>
        <v/>
      </c>
      <c r="AI346" s="41" t="str">
        <f t="shared" si="176"/>
        <v/>
      </c>
      <c r="AJ346" s="41" t="str">
        <f t="shared" si="177"/>
        <v/>
      </c>
      <c r="AK346" s="41" t="str">
        <f t="shared" si="178"/>
        <v/>
      </c>
      <c r="AL346" s="41" t="str">
        <f t="shared" si="179"/>
        <v/>
      </c>
      <c r="AM346" s="41" t="str">
        <f t="shared" si="180"/>
        <v/>
      </c>
      <c r="AN346" s="41" t="str">
        <f t="shared" si="181"/>
        <v/>
      </c>
      <c r="AO346" s="67" t="str">
        <f t="shared" si="182"/>
        <v/>
      </c>
      <c r="AP346" s="67" t="str">
        <f t="shared" si="183"/>
        <v/>
      </c>
    </row>
    <row r="347" spans="2:42" ht="18" customHeight="1" x14ac:dyDescent="0.3">
      <c r="B347" s="42" t="str">
        <f t="shared" si="143"/>
        <v/>
      </c>
      <c r="C347" s="66" t="str">
        <f t="shared" si="144"/>
        <v/>
      </c>
      <c r="D347" s="67" t="str">
        <f t="shared" si="145"/>
        <v/>
      </c>
      <c r="E347" s="41" t="str">
        <f t="shared" si="146"/>
        <v/>
      </c>
      <c r="F347" s="41" t="str">
        <f t="shared" si="147"/>
        <v/>
      </c>
      <c r="G347" s="41" t="str">
        <f t="shared" si="148"/>
        <v/>
      </c>
      <c r="H347" s="41" t="str">
        <f t="shared" si="149"/>
        <v/>
      </c>
      <c r="I347" s="41" t="str">
        <f t="shared" si="150"/>
        <v/>
      </c>
      <c r="J347" s="41" t="str">
        <f t="shared" si="151"/>
        <v/>
      </c>
      <c r="K347" s="41" t="str">
        <f t="shared" si="152"/>
        <v/>
      </c>
      <c r="L347" s="41" t="str">
        <f t="shared" si="153"/>
        <v/>
      </c>
      <c r="M347" s="41" t="str">
        <f t="shared" si="154"/>
        <v/>
      </c>
      <c r="N347" s="41" t="str">
        <f t="shared" si="155"/>
        <v/>
      </c>
      <c r="O347" s="41" t="str">
        <f t="shared" si="156"/>
        <v/>
      </c>
      <c r="P347" s="41" t="str">
        <f t="shared" si="157"/>
        <v/>
      </c>
      <c r="Q347" s="41" t="str">
        <f t="shared" si="158"/>
        <v/>
      </c>
      <c r="R347" s="41" t="str">
        <f t="shared" si="159"/>
        <v/>
      </c>
      <c r="S347" s="41" t="str">
        <f t="shared" si="160"/>
        <v/>
      </c>
      <c r="T347" s="41" t="str">
        <f t="shared" si="161"/>
        <v/>
      </c>
      <c r="U347" s="41" t="str">
        <f t="shared" si="162"/>
        <v/>
      </c>
      <c r="V347" s="41" t="str">
        <f t="shared" si="163"/>
        <v/>
      </c>
      <c r="W347" s="41" t="str">
        <f t="shared" si="164"/>
        <v/>
      </c>
      <c r="X347" s="41" t="str">
        <f t="shared" si="165"/>
        <v/>
      </c>
      <c r="Y347" s="41" t="str">
        <f t="shared" si="166"/>
        <v/>
      </c>
      <c r="Z347" s="41" t="str">
        <f t="shared" si="167"/>
        <v/>
      </c>
      <c r="AA347" s="41" t="str">
        <f t="shared" si="168"/>
        <v/>
      </c>
      <c r="AB347" s="41" t="str">
        <f t="shared" si="169"/>
        <v/>
      </c>
      <c r="AC347" s="41" t="str">
        <f t="shared" si="170"/>
        <v/>
      </c>
      <c r="AD347" s="41" t="str">
        <f t="shared" si="171"/>
        <v/>
      </c>
      <c r="AE347" s="41" t="str">
        <f t="shared" si="172"/>
        <v/>
      </c>
      <c r="AF347" s="41" t="str">
        <f t="shared" si="173"/>
        <v/>
      </c>
      <c r="AG347" s="41" t="str">
        <f t="shared" si="174"/>
        <v/>
      </c>
      <c r="AH347" s="41" t="str">
        <f t="shared" si="175"/>
        <v/>
      </c>
      <c r="AI347" s="41" t="str">
        <f t="shared" si="176"/>
        <v/>
      </c>
      <c r="AJ347" s="41" t="str">
        <f t="shared" si="177"/>
        <v/>
      </c>
      <c r="AK347" s="41" t="str">
        <f t="shared" si="178"/>
        <v/>
      </c>
      <c r="AL347" s="41" t="str">
        <f t="shared" si="179"/>
        <v/>
      </c>
      <c r="AM347" s="41" t="str">
        <f t="shared" si="180"/>
        <v/>
      </c>
      <c r="AN347" s="41" t="str">
        <f t="shared" si="181"/>
        <v/>
      </c>
      <c r="AO347" s="67" t="str">
        <f t="shared" si="182"/>
        <v/>
      </c>
      <c r="AP347" s="67" t="str">
        <f t="shared" si="183"/>
        <v/>
      </c>
    </row>
    <row r="348" spans="2:42" ht="18" customHeight="1" x14ac:dyDescent="0.3">
      <c r="B348" s="42" t="str">
        <f t="shared" si="143"/>
        <v/>
      </c>
      <c r="C348" s="66" t="str">
        <f t="shared" si="144"/>
        <v/>
      </c>
      <c r="D348" s="67" t="str">
        <f t="shared" si="145"/>
        <v/>
      </c>
      <c r="E348" s="41" t="str">
        <f t="shared" si="146"/>
        <v/>
      </c>
      <c r="F348" s="41" t="str">
        <f t="shared" si="147"/>
        <v/>
      </c>
      <c r="G348" s="41" t="str">
        <f t="shared" si="148"/>
        <v/>
      </c>
      <c r="H348" s="41" t="str">
        <f t="shared" si="149"/>
        <v/>
      </c>
      <c r="I348" s="41" t="str">
        <f t="shared" si="150"/>
        <v/>
      </c>
      <c r="J348" s="41" t="str">
        <f t="shared" si="151"/>
        <v/>
      </c>
      <c r="K348" s="41" t="str">
        <f t="shared" si="152"/>
        <v/>
      </c>
      <c r="L348" s="41" t="str">
        <f t="shared" si="153"/>
        <v/>
      </c>
      <c r="M348" s="41" t="str">
        <f t="shared" si="154"/>
        <v/>
      </c>
      <c r="N348" s="41" t="str">
        <f t="shared" si="155"/>
        <v/>
      </c>
      <c r="O348" s="41" t="str">
        <f t="shared" si="156"/>
        <v/>
      </c>
      <c r="P348" s="41" t="str">
        <f t="shared" si="157"/>
        <v/>
      </c>
      <c r="Q348" s="41" t="str">
        <f t="shared" si="158"/>
        <v/>
      </c>
      <c r="R348" s="41" t="str">
        <f t="shared" si="159"/>
        <v/>
      </c>
      <c r="S348" s="41" t="str">
        <f t="shared" si="160"/>
        <v/>
      </c>
      <c r="T348" s="41" t="str">
        <f t="shared" si="161"/>
        <v/>
      </c>
      <c r="U348" s="41" t="str">
        <f t="shared" si="162"/>
        <v/>
      </c>
      <c r="V348" s="41" t="str">
        <f t="shared" si="163"/>
        <v/>
      </c>
      <c r="W348" s="41" t="str">
        <f t="shared" si="164"/>
        <v/>
      </c>
      <c r="X348" s="41" t="str">
        <f t="shared" si="165"/>
        <v/>
      </c>
      <c r="Y348" s="41" t="str">
        <f t="shared" si="166"/>
        <v/>
      </c>
      <c r="Z348" s="41" t="str">
        <f t="shared" si="167"/>
        <v/>
      </c>
      <c r="AA348" s="41" t="str">
        <f t="shared" si="168"/>
        <v/>
      </c>
      <c r="AB348" s="41" t="str">
        <f t="shared" si="169"/>
        <v/>
      </c>
      <c r="AC348" s="41" t="str">
        <f t="shared" si="170"/>
        <v/>
      </c>
      <c r="AD348" s="41" t="str">
        <f t="shared" si="171"/>
        <v/>
      </c>
      <c r="AE348" s="41" t="str">
        <f t="shared" si="172"/>
        <v/>
      </c>
      <c r="AF348" s="41" t="str">
        <f t="shared" si="173"/>
        <v/>
      </c>
      <c r="AG348" s="41" t="str">
        <f t="shared" si="174"/>
        <v/>
      </c>
      <c r="AH348" s="41" t="str">
        <f t="shared" si="175"/>
        <v/>
      </c>
      <c r="AI348" s="41" t="str">
        <f t="shared" si="176"/>
        <v/>
      </c>
      <c r="AJ348" s="41" t="str">
        <f t="shared" si="177"/>
        <v/>
      </c>
      <c r="AK348" s="41" t="str">
        <f t="shared" si="178"/>
        <v/>
      </c>
      <c r="AL348" s="41" t="str">
        <f t="shared" si="179"/>
        <v/>
      </c>
      <c r="AM348" s="41" t="str">
        <f t="shared" si="180"/>
        <v/>
      </c>
      <c r="AN348" s="41" t="str">
        <f t="shared" si="181"/>
        <v/>
      </c>
      <c r="AO348" s="67" t="str">
        <f t="shared" si="182"/>
        <v/>
      </c>
      <c r="AP348" s="67" t="str">
        <f t="shared" si="183"/>
        <v/>
      </c>
    </row>
    <row r="349" spans="2:42" ht="18" customHeight="1" x14ac:dyDescent="0.3">
      <c r="B349" s="42" t="str">
        <f t="shared" si="143"/>
        <v/>
      </c>
      <c r="C349" s="66" t="str">
        <f t="shared" si="144"/>
        <v/>
      </c>
      <c r="D349" s="67" t="str">
        <f t="shared" si="145"/>
        <v/>
      </c>
      <c r="E349" s="41" t="str">
        <f t="shared" si="146"/>
        <v/>
      </c>
      <c r="F349" s="41" t="str">
        <f t="shared" si="147"/>
        <v/>
      </c>
      <c r="G349" s="41" t="str">
        <f t="shared" si="148"/>
        <v/>
      </c>
      <c r="H349" s="41" t="str">
        <f t="shared" si="149"/>
        <v/>
      </c>
      <c r="I349" s="41" t="str">
        <f t="shared" si="150"/>
        <v/>
      </c>
      <c r="J349" s="41" t="str">
        <f t="shared" si="151"/>
        <v/>
      </c>
      <c r="K349" s="41" t="str">
        <f t="shared" si="152"/>
        <v/>
      </c>
      <c r="L349" s="41" t="str">
        <f t="shared" si="153"/>
        <v/>
      </c>
      <c r="M349" s="41" t="str">
        <f t="shared" si="154"/>
        <v/>
      </c>
      <c r="N349" s="41" t="str">
        <f t="shared" si="155"/>
        <v/>
      </c>
      <c r="O349" s="41" t="str">
        <f t="shared" si="156"/>
        <v/>
      </c>
      <c r="P349" s="41" t="str">
        <f t="shared" si="157"/>
        <v/>
      </c>
      <c r="Q349" s="41" t="str">
        <f t="shared" si="158"/>
        <v/>
      </c>
      <c r="R349" s="41" t="str">
        <f t="shared" si="159"/>
        <v/>
      </c>
      <c r="S349" s="41" t="str">
        <f t="shared" si="160"/>
        <v/>
      </c>
      <c r="T349" s="41" t="str">
        <f t="shared" si="161"/>
        <v/>
      </c>
      <c r="U349" s="41" t="str">
        <f t="shared" si="162"/>
        <v/>
      </c>
      <c r="V349" s="41" t="str">
        <f t="shared" si="163"/>
        <v/>
      </c>
      <c r="W349" s="41" t="str">
        <f t="shared" si="164"/>
        <v/>
      </c>
      <c r="X349" s="41" t="str">
        <f t="shared" si="165"/>
        <v/>
      </c>
      <c r="Y349" s="41" t="str">
        <f t="shared" si="166"/>
        <v/>
      </c>
      <c r="Z349" s="41" t="str">
        <f t="shared" si="167"/>
        <v/>
      </c>
      <c r="AA349" s="41" t="str">
        <f t="shared" si="168"/>
        <v/>
      </c>
      <c r="AB349" s="41" t="str">
        <f t="shared" si="169"/>
        <v/>
      </c>
      <c r="AC349" s="41" t="str">
        <f t="shared" si="170"/>
        <v/>
      </c>
      <c r="AD349" s="41" t="str">
        <f t="shared" si="171"/>
        <v/>
      </c>
      <c r="AE349" s="41" t="str">
        <f t="shared" si="172"/>
        <v/>
      </c>
      <c r="AF349" s="41" t="str">
        <f t="shared" si="173"/>
        <v/>
      </c>
      <c r="AG349" s="41" t="str">
        <f t="shared" si="174"/>
        <v/>
      </c>
      <c r="AH349" s="41" t="str">
        <f t="shared" si="175"/>
        <v/>
      </c>
      <c r="AI349" s="41" t="str">
        <f t="shared" si="176"/>
        <v/>
      </c>
      <c r="AJ349" s="41" t="str">
        <f t="shared" si="177"/>
        <v/>
      </c>
      <c r="AK349" s="41" t="str">
        <f t="shared" si="178"/>
        <v/>
      </c>
      <c r="AL349" s="41" t="str">
        <f t="shared" si="179"/>
        <v/>
      </c>
      <c r="AM349" s="41" t="str">
        <f t="shared" si="180"/>
        <v/>
      </c>
      <c r="AN349" s="41" t="str">
        <f t="shared" si="181"/>
        <v/>
      </c>
      <c r="AO349" s="67" t="str">
        <f t="shared" si="182"/>
        <v/>
      </c>
      <c r="AP349" s="67" t="str">
        <f t="shared" si="183"/>
        <v/>
      </c>
    </row>
    <row r="350" spans="2:42" ht="18" customHeight="1" x14ac:dyDescent="0.3">
      <c r="B350" s="42" t="str">
        <f t="shared" si="143"/>
        <v/>
      </c>
      <c r="C350" s="66" t="str">
        <f t="shared" si="144"/>
        <v/>
      </c>
      <c r="D350" s="67" t="str">
        <f t="shared" si="145"/>
        <v/>
      </c>
      <c r="E350" s="41" t="str">
        <f t="shared" si="146"/>
        <v/>
      </c>
      <c r="F350" s="41" t="str">
        <f t="shared" si="147"/>
        <v/>
      </c>
      <c r="G350" s="41" t="str">
        <f t="shared" si="148"/>
        <v/>
      </c>
      <c r="H350" s="41" t="str">
        <f t="shared" si="149"/>
        <v/>
      </c>
      <c r="I350" s="41" t="str">
        <f t="shared" si="150"/>
        <v/>
      </c>
      <c r="J350" s="41" t="str">
        <f t="shared" si="151"/>
        <v/>
      </c>
      <c r="K350" s="41" t="str">
        <f t="shared" si="152"/>
        <v/>
      </c>
      <c r="L350" s="41" t="str">
        <f t="shared" si="153"/>
        <v/>
      </c>
      <c r="M350" s="41" t="str">
        <f t="shared" si="154"/>
        <v/>
      </c>
      <c r="N350" s="41" t="str">
        <f t="shared" si="155"/>
        <v/>
      </c>
      <c r="O350" s="41" t="str">
        <f t="shared" si="156"/>
        <v/>
      </c>
      <c r="P350" s="41" t="str">
        <f t="shared" si="157"/>
        <v/>
      </c>
      <c r="Q350" s="41" t="str">
        <f t="shared" si="158"/>
        <v/>
      </c>
      <c r="R350" s="41" t="str">
        <f t="shared" si="159"/>
        <v/>
      </c>
      <c r="S350" s="41" t="str">
        <f t="shared" si="160"/>
        <v/>
      </c>
      <c r="T350" s="41" t="str">
        <f t="shared" si="161"/>
        <v/>
      </c>
      <c r="U350" s="41" t="str">
        <f t="shared" si="162"/>
        <v/>
      </c>
      <c r="V350" s="41" t="str">
        <f t="shared" si="163"/>
        <v/>
      </c>
      <c r="W350" s="41" t="str">
        <f t="shared" si="164"/>
        <v/>
      </c>
      <c r="X350" s="41" t="str">
        <f t="shared" si="165"/>
        <v/>
      </c>
      <c r="Y350" s="41" t="str">
        <f t="shared" si="166"/>
        <v/>
      </c>
      <c r="Z350" s="41" t="str">
        <f t="shared" si="167"/>
        <v/>
      </c>
      <c r="AA350" s="41" t="str">
        <f t="shared" si="168"/>
        <v/>
      </c>
      <c r="AB350" s="41" t="str">
        <f t="shared" si="169"/>
        <v/>
      </c>
      <c r="AC350" s="41" t="str">
        <f t="shared" si="170"/>
        <v/>
      </c>
      <c r="AD350" s="41" t="str">
        <f t="shared" si="171"/>
        <v/>
      </c>
      <c r="AE350" s="41" t="str">
        <f t="shared" si="172"/>
        <v/>
      </c>
      <c r="AF350" s="41" t="str">
        <f t="shared" si="173"/>
        <v/>
      </c>
      <c r="AG350" s="41" t="str">
        <f t="shared" si="174"/>
        <v/>
      </c>
      <c r="AH350" s="41" t="str">
        <f t="shared" si="175"/>
        <v/>
      </c>
      <c r="AI350" s="41" t="str">
        <f t="shared" si="176"/>
        <v/>
      </c>
      <c r="AJ350" s="41" t="str">
        <f t="shared" si="177"/>
        <v/>
      </c>
      <c r="AK350" s="41" t="str">
        <f t="shared" si="178"/>
        <v/>
      </c>
      <c r="AL350" s="41" t="str">
        <f t="shared" si="179"/>
        <v/>
      </c>
      <c r="AM350" s="41" t="str">
        <f t="shared" si="180"/>
        <v/>
      </c>
      <c r="AN350" s="41" t="str">
        <f t="shared" si="181"/>
        <v/>
      </c>
      <c r="AO350" s="67" t="str">
        <f t="shared" si="182"/>
        <v/>
      </c>
      <c r="AP350" s="67" t="str">
        <f t="shared" si="183"/>
        <v/>
      </c>
    </row>
    <row r="351" spans="2:42" ht="18" customHeight="1" x14ac:dyDescent="0.3">
      <c r="B351" s="42" t="str">
        <f t="shared" si="143"/>
        <v/>
      </c>
      <c r="C351" s="66" t="str">
        <f t="shared" si="144"/>
        <v/>
      </c>
      <c r="D351" s="67" t="str">
        <f t="shared" si="145"/>
        <v/>
      </c>
      <c r="E351" s="41" t="str">
        <f t="shared" si="146"/>
        <v/>
      </c>
      <c r="F351" s="41" t="str">
        <f t="shared" si="147"/>
        <v/>
      </c>
      <c r="G351" s="41" t="str">
        <f t="shared" si="148"/>
        <v/>
      </c>
      <c r="H351" s="41" t="str">
        <f t="shared" si="149"/>
        <v/>
      </c>
      <c r="I351" s="41" t="str">
        <f t="shared" si="150"/>
        <v/>
      </c>
      <c r="J351" s="41" t="str">
        <f t="shared" si="151"/>
        <v/>
      </c>
      <c r="K351" s="41" t="str">
        <f t="shared" si="152"/>
        <v/>
      </c>
      <c r="L351" s="41" t="str">
        <f t="shared" si="153"/>
        <v/>
      </c>
      <c r="M351" s="41" t="str">
        <f t="shared" si="154"/>
        <v/>
      </c>
      <c r="N351" s="41" t="str">
        <f t="shared" si="155"/>
        <v/>
      </c>
      <c r="O351" s="41" t="str">
        <f t="shared" si="156"/>
        <v/>
      </c>
      <c r="P351" s="41" t="str">
        <f t="shared" si="157"/>
        <v/>
      </c>
      <c r="Q351" s="41" t="str">
        <f t="shared" si="158"/>
        <v/>
      </c>
      <c r="R351" s="41" t="str">
        <f t="shared" si="159"/>
        <v/>
      </c>
      <c r="S351" s="41" t="str">
        <f t="shared" si="160"/>
        <v/>
      </c>
      <c r="T351" s="41" t="str">
        <f t="shared" si="161"/>
        <v/>
      </c>
      <c r="U351" s="41" t="str">
        <f t="shared" si="162"/>
        <v/>
      </c>
      <c r="V351" s="41" t="str">
        <f t="shared" si="163"/>
        <v/>
      </c>
      <c r="W351" s="41" t="str">
        <f t="shared" si="164"/>
        <v/>
      </c>
      <c r="X351" s="41" t="str">
        <f t="shared" si="165"/>
        <v/>
      </c>
      <c r="Y351" s="41" t="str">
        <f t="shared" si="166"/>
        <v/>
      </c>
      <c r="Z351" s="41" t="str">
        <f t="shared" si="167"/>
        <v/>
      </c>
      <c r="AA351" s="41" t="str">
        <f t="shared" si="168"/>
        <v/>
      </c>
      <c r="AB351" s="41" t="str">
        <f t="shared" si="169"/>
        <v/>
      </c>
      <c r="AC351" s="41" t="str">
        <f t="shared" si="170"/>
        <v/>
      </c>
      <c r="AD351" s="41" t="str">
        <f t="shared" si="171"/>
        <v/>
      </c>
      <c r="AE351" s="41" t="str">
        <f t="shared" si="172"/>
        <v/>
      </c>
      <c r="AF351" s="41" t="str">
        <f t="shared" si="173"/>
        <v/>
      </c>
      <c r="AG351" s="41" t="str">
        <f t="shared" si="174"/>
        <v/>
      </c>
      <c r="AH351" s="41" t="str">
        <f t="shared" si="175"/>
        <v/>
      </c>
      <c r="AI351" s="41" t="str">
        <f t="shared" si="176"/>
        <v/>
      </c>
      <c r="AJ351" s="41" t="str">
        <f t="shared" si="177"/>
        <v/>
      </c>
      <c r="AK351" s="41" t="str">
        <f t="shared" si="178"/>
        <v/>
      </c>
      <c r="AL351" s="41" t="str">
        <f t="shared" si="179"/>
        <v/>
      </c>
      <c r="AM351" s="41" t="str">
        <f t="shared" si="180"/>
        <v/>
      </c>
      <c r="AN351" s="41" t="str">
        <f t="shared" si="181"/>
        <v/>
      </c>
      <c r="AO351" s="67" t="str">
        <f t="shared" si="182"/>
        <v/>
      </c>
      <c r="AP351" s="67" t="str">
        <f t="shared" si="183"/>
        <v/>
      </c>
    </row>
    <row r="352" spans="2:42" ht="18" customHeight="1" x14ac:dyDescent="0.3">
      <c r="B352" s="42" t="str">
        <f t="shared" si="143"/>
        <v/>
      </c>
      <c r="C352" s="66" t="str">
        <f t="shared" si="144"/>
        <v/>
      </c>
      <c r="D352" s="67" t="str">
        <f t="shared" si="145"/>
        <v/>
      </c>
      <c r="E352" s="41" t="str">
        <f t="shared" si="146"/>
        <v/>
      </c>
      <c r="F352" s="41" t="str">
        <f t="shared" si="147"/>
        <v/>
      </c>
      <c r="G352" s="41" t="str">
        <f t="shared" si="148"/>
        <v/>
      </c>
      <c r="H352" s="41" t="str">
        <f t="shared" si="149"/>
        <v/>
      </c>
      <c r="I352" s="41" t="str">
        <f t="shared" si="150"/>
        <v/>
      </c>
      <c r="J352" s="41" t="str">
        <f t="shared" si="151"/>
        <v/>
      </c>
      <c r="K352" s="41" t="str">
        <f t="shared" si="152"/>
        <v/>
      </c>
      <c r="L352" s="41" t="str">
        <f t="shared" si="153"/>
        <v/>
      </c>
      <c r="M352" s="41" t="str">
        <f t="shared" si="154"/>
        <v/>
      </c>
      <c r="N352" s="41" t="str">
        <f t="shared" si="155"/>
        <v/>
      </c>
      <c r="O352" s="41" t="str">
        <f t="shared" si="156"/>
        <v/>
      </c>
      <c r="P352" s="41" t="str">
        <f t="shared" si="157"/>
        <v/>
      </c>
      <c r="Q352" s="41" t="str">
        <f t="shared" si="158"/>
        <v/>
      </c>
      <c r="R352" s="41" t="str">
        <f t="shared" si="159"/>
        <v/>
      </c>
      <c r="S352" s="41" t="str">
        <f t="shared" si="160"/>
        <v/>
      </c>
      <c r="T352" s="41" t="str">
        <f t="shared" si="161"/>
        <v/>
      </c>
      <c r="U352" s="41" t="str">
        <f t="shared" si="162"/>
        <v/>
      </c>
      <c r="V352" s="41" t="str">
        <f t="shared" si="163"/>
        <v/>
      </c>
      <c r="W352" s="41" t="str">
        <f t="shared" si="164"/>
        <v/>
      </c>
      <c r="X352" s="41" t="str">
        <f t="shared" si="165"/>
        <v/>
      </c>
      <c r="Y352" s="41" t="str">
        <f t="shared" si="166"/>
        <v/>
      </c>
      <c r="Z352" s="41" t="str">
        <f t="shared" si="167"/>
        <v/>
      </c>
      <c r="AA352" s="41" t="str">
        <f t="shared" si="168"/>
        <v/>
      </c>
      <c r="AB352" s="41" t="str">
        <f t="shared" si="169"/>
        <v/>
      </c>
      <c r="AC352" s="41" t="str">
        <f t="shared" si="170"/>
        <v/>
      </c>
      <c r="AD352" s="41" t="str">
        <f t="shared" si="171"/>
        <v/>
      </c>
      <c r="AE352" s="41" t="str">
        <f t="shared" si="172"/>
        <v/>
      </c>
      <c r="AF352" s="41" t="str">
        <f t="shared" si="173"/>
        <v/>
      </c>
      <c r="AG352" s="41" t="str">
        <f t="shared" si="174"/>
        <v/>
      </c>
      <c r="AH352" s="41" t="str">
        <f t="shared" si="175"/>
        <v/>
      </c>
      <c r="AI352" s="41" t="str">
        <f t="shared" si="176"/>
        <v/>
      </c>
      <c r="AJ352" s="41" t="str">
        <f t="shared" si="177"/>
        <v/>
      </c>
      <c r="AK352" s="41" t="str">
        <f t="shared" si="178"/>
        <v/>
      </c>
      <c r="AL352" s="41" t="str">
        <f t="shared" si="179"/>
        <v/>
      </c>
      <c r="AM352" s="41" t="str">
        <f t="shared" si="180"/>
        <v/>
      </c>
      <c r="AN352" s="41" t="str">
        <f t="shared" si="181"/>
        <v/>
      </c>
      <c r="AO352" s="67" t="str">
        <f t="shared" si="182"/>
        <v/>
      </c>
      <c r="AP352" s="67" t="str">
        <f t="shared" si="183"/>
        <v/>
      </c>
    </row>
    <row r="353" spans="2:43" ht="18" customHeight="1" x14ac:dyDescent="0.3">
      <c r="B353" s="42" t="str">
        <f t="shared" si="143"/>
        <v/>
      </c>
      <c r="C353" s="66" t="str">
        <f t="shared" si="144"/>
        <v/>
      </c>
      <c r="D353" s="67" t="str">
        <f t="shared" si="145"/>
        <v/>
      </c>
      <c r="E353" s="41" t="str">
        <f t="shared" si="146"/>
        <v/>
      </c>
      <c r="F353" s="41" t="str">
        <f t="shared" si="147"/>
        <v/>
      </c>
      <c r="G353" s="41" t="str">
        <f t="shared" si="148"/>
        <v/>
      </c>
      <c r="H353" s="41" t="str">
        <f t="shared" si="149"/>
        <v/>
      </c>
      <c r="I353" s="41" t="str">
        <f t="shared" si="150"/>
        <v/>
      </c>
      <c r="J353" s="41" t="str">
        <f t="shared" si="151"/>
        <v/>
      </c>
      <c r="K353" s="41" t="str">
        <f t="shared" si="152"/>
        <v/>
      </c>
      <c r="L353" s="41" t="str">
        <f t="shared" si="153"/>
        <v/>
      </c>
      <c r="M353" s="41" t="str">
        <f t="shared" si="154"/>
        <v/>
      </c>
      <c r="N353" s="41" t="str">
        <f t="shared" si="155"/>
        <v/>
      </c>
      <c r="O353" s="41" t="str">
        <f t="shared" si="156"/>
        <v/>
      </c>
      <c r="P353" s="41" t="str">
        <f t="shared" si="157"/>
        <v/>
      </c>
      <c r="Q353" s="41" t="str">
        <f t="shared" si="158"/>
        <v/>
      </c>
      <c r="R353" s="41" t="str">
        <f t="shared" si="159"/>
        <v/>
      </c>
      <c r="S353" s="41" t="str">
        <f t="shared" si="160"/>
        <v/>
      </c>
      <c r="T353" s="41" t="str">
        <f t="shared" si="161"/>
        <v/>
      </c>
      <c r="U353" s="41" t="str">
        <f t="shared" si="162"/>
        <v/>
      </c>
      <c r="V353" s="41" t="str">
        <f t="shared" si="163"/>
        <v/>
      </c>
      <c r="W353" s="41" t="str">
        <f t="shared" si="164"/>
        <v/>
      </c>
      <c r="X353" s="41" t="str">
        <f t="shared" si="165"/>
        <v/>
      </c>
      <c r="Y353" s="41" t="str">
        <f t="shared" si="166"/>
        <v/>
      </c>
      <c r="Z353" s="41" t="str">
        <f t="shared" si="167"/>
        <v/>
      </c>
      <c r="AA353" s="41" t="str">
        <f t="shared" si="168"/>
        <v/>
      </c>
      <c r="AB353" s="41" t="str">
        <f t="shared" si="169"/>
        <v/>
      </c>
      <c r="AC353" s="41" t="str">
        <f t="shared" si="170"/>
        <v/>
      </c>
      <c r="AD353" s="41" t="str">
        <f t="shared" si="171"/>
        <v/>
      </c>
      <c r="AE353" s="41" t="str">
        <f t="shared" si="172"/>
        <v/>
      </c>
      <c r="AF353" s="41" t="str">
        <f t="shared" si="173"/>
        <v/>
      </c>
      <c r="AG353" s="41" t="str">
        <f t="shared" si="174"/>
        <v/>
      </c>
      <c r="AH353" s="41" t="str">
        <f t="shared" si="175"/>
        <v/>
      </c>
      <c r="AI353" s="41" t="str">
        <f t="shared" si="176"/>
        <v/>
      </c>
      <c r="AJ353" s="41" t="str">
        <f t="shared" si="177"/>
        <v/>
      </c>
      <c r="AK353" s="41" t="str">
        <f t="shared" si="178"/>
        <v/>
      </c>
      <c r="AL353" s="41" t="str">
        <f t="shared" si="179"/>
        <v/>
      </c>
      <c r="AM353" s="41" t="str">
        <f t="shared" si="180"/>
        <v/>
      </c>
      <c r="AN353" s="41" t="str">
        <f t="shared" si="181"/>
        <v/>
      </c>
      <c r="AO353" s="67" t="str">
        <f t="shared" si="182"/>
        <v/>
      </c>
      <c r="AP353" s="67" t="str">
        <f t="shared" si="183"/>
        <v/>
      </c>
    </row>
    <row r="354" spans="2:43" ht="18" customHeight="1" x14ac:dyDescent="0.3">
      <c r="B354" s="42" t="str">
        <f t="shared" si="143"/>
        <v/>
      </c>
      <c r="C354" s="66" t="str">
        <f t="shared" si="144"/>
        <v/>
      </c>
      <c r="D354" s="67" t="str">
        <f t="shared" si="145"/>
        <v/>
      </c>
      <c r="E354" s="41" t="str">
        <f t="shared" si="146"/>
        <v/>
      </c>
      <c r="F354" s="41" t="str">
        <f t="shared" si="147"/>
        <v/>
      </c>
      <c r="G354" s="41" t="str">
        <f t="shared" si="148"/>
        <v/>
      </c>
      <c r="H354" s="41" t="str">
        <f t="shared" si="149"/>
        <v/>
      </c>
      <c r="I354" s="41" t="str">
        <f t="shared" si="150"/>
        <v/>
      </c>
      <c r="J354" s="41" t="str">
        <f t="shared" si="151"/>
        <v/>
      </c>
      <c r="K354" s="41" t="str">
        <f t="shared" si="152"/>
        <v/>
      </c>
      <c r="L354" s="41" t="str">
        <f t="shared" si="153"/>
        <v/>
      </c>
      <c r="M354" s="41" t="str">
        <f t="shared" si="154"/>
        <v/>
      </c>
      <c r="N354" s="41" t="str">
        <f t="shared" si="155"/>
        <v/>
      </c>
      <c r="O354" s="41" t="str">
        <f t="shared" si="156"/>
        <v/>
      </c>
      <c r="P354" s="41" t="str">
        <f t="shared" si="157"/>
        <v/>
      </c>
      <c r="Q354" s="41" t="str">
        <f t="shared" si="158"/>
        <v/>
      </c>
      <c r="R354" s="41" t="str">
        <f t="shared" si="159"/>
        <v/>
      </c>
      <c r="S354" s="41" t="str">
        <f t="shared" si="160"/>
        <v/>
      </c>
      <c r="T354" s="41" t="str">
        <f t="shared" si="161"/>
        <v/>
      </c>
      <c r="U354" s="41" t="str">
        <f t="shared" si="162"/>
        <v/>
      </c>
      <c r="V354" s="41" t="str">
        <f t="shared" si="163"/>
        <v/>
      </c>
      <c r="W354" s="41" t="str">
        <f t="shared" si="164"/>
        <v/>
      </c>
      <c r="X354" s="41" t="str">
        <f t="shared" si="165"/>
        <v/>
      </c>
      <c r="Y354" s="41" t="str">
        <f t="shared" si="166"/>
        <v/>
      </c>
      <c r="Z354" s="41" t="str">
        <f t="shared" si="167"/>
        <v/>
      </c>
      <c r="AA354" s="41" t="str">
        <f t="shared" si="168"/>
        <v/>
      </c>
      <c r="AB354" s="41" t="str">
        <f t="shared" si="169"/>
        <v/>
      </c>
      <c r="AC354" s="41" t="str">
        <f t="shared" si="170"/>
        <v/>
      </c>
      <c r="AD354" s="41" t="str">
        <f t="shared" si="171"/>
        <v/>
      </c>
      <c r="AE354" s="41" t="str">
        <f t="shared" si="172"/>
        <v/>
      </c>
      <c r="AF354" s="41" t="str">
        <f t="shared" si="173"/>
        <v/>
      </c>
      <c r="AG354" s="41" t="str">
        <f t="shared" si="174"/>
        <v/>
      </c>
      <c r="AH354" s="41" t="str">
        <f t="shared" si="175"/>
        <v/>
      </c>
      <c r="AI354" s="41" t="str">
        <f t="shared" si="176"/>
        <v/>
      </c>
      <c r="AJ354" s="41" t="str">
        <f t="shared" si="177"/>
        <v/>
      </c>
      <c r="AK354" s="41" t="str">
        <f t="shared" si="178"/>
        <v/>
      </c>
      <c r="AL354" s="41" t="str">
        <f t="shared" si="179"/>
        <v/>
      </c>
      <c r="AM354" s="41" t="str">
        <f t="shared" si="180"/>
        <v/>
      </c>
      <c r="AN354" s="41" t="str">
        <f t="shared" si="181"/>
        <v/>
      </c>
      <c r="AO354" s="67" t="str">
        <f t="shared" si="182"/>
        <v/>
      </c>
      <c r="AP354" s="67" t="str">
        <f t="shared" si="183"/>
        <v/>
      </c>
    </row>
    <row r="355" spans="2:43" ht="18" customHeight="1" x14ac:dyDescent="0.3">
      <c r="B355" s="42" t="str">
        <f t="shared" si="143"/>
        <v/>
      </c>
      <c r="C355" s="66" t="str">
        <f t="shared" si="144"/>
        <v/>
      </c>
      <c r="D355" s="67" t="str">
        <f t="shared" si="145"/>
        <v/>
      </c>
      <c r="E355" s="41" t="str">
        <f t="shared" si="146"/>
        <v/>
      </c>
      <c r="F355" s="41" t="str">
        <f t="shared" si="147"/>
        <v/>
      </c>
      <c r="G355" s="41" t="str">
        <f t="shared" si="148"/>
        <v/>
      </c>
      <c r="H355" s="41" t="str">
        <f t="shared" si="149"/>
        <v/>
      </c>
      <c r="I355" s="41" t="str">
        <f t="shared" si="150"/>
        <v/>
      </c>
      <c r="J355" s="41" t="str">
        <f t="shared" si="151"/>
        <v/>
      </c>
      <c r="K355" s="41" t="str">
        <f t="shared" si="152"/>
        <v/>
      </c>
      <c r="L355" s="41" t="str">
        <f t="shared" si="153"/>
        <v/>
      </c>
      <c r="M355" s="41" t="str">
        <f t="shared" si="154"/>
        <v/>
      </c>
      <c r="N355" s="41" t="str">
        <f t="shared" si="155"/>
        <v/>
      </c>
      <c r="O355" s="41" t="str">
        <f t="shared" si="156"/>
        <v/>
      </c>
      <c r="P355" s="41" t="str">
        <f t="shared" si="157"/>
        <v/>
      </c>
      <c r="Q355" s="41" t="str">
        <f t="shared" si="158"/>
        <v/>
      </c>
      <c r="R355" s="41" t="str">
        <f t="shared" si="159"/>
        <v/>
      </c>
      <c r="S355" s="41" t="str">
        <f t="shared" si="160"/>
        <v/>
      </c>
      <c r="T355" s="41" t="str">
        <f t="shared" si="161"/>
        <v/>
      </c>
      <c r="U355" s="41" t="str">
        <f t="shared" si="162"/>
        <v/>
      </c>
      <c r="V355" s="41" t="str">
        <f t="shared" si="163"/>
        <v/>
      </c>
      <c r="W355" s="41" t="str">
        <f t="shared" si="164"/>
        <v/>
      </c>
      <c r="X355" s="41" t="str">
        <f t="shared" si="165"/>
        <v/>
      </c>
      <c r="Y355" s="41" t="str">
        <f t="shared" si="166"/>
        <v/>
      </c>
      <c r="Z355" s="41" t="str">
        <f t="shared" si="167"/>
        <v/>
      </c>
      <c r="AA355" s="41" t="str">
        <f t="shared" si="168"/>
        <v/>
      </c>
      <c r="AB355" s="41" t="str">
        <f t="shared" si="169"/>
        <v/>
      </c>
      <c r="AC355" s="41" t="str">
        <f t="shared" si="170"/>
        <v/>
      </c>
      <c r="AD355" s="41" t="str">
        <f t="shared" si="171"/>
        <v/>
      </c>
      <c r="AE355" s="41" t="str">
        <f t="shared" si="172"/>
        <v/>
      </c>
      <c r="AF355" s="41" t="str">
        <f t="shared" si="173"/>
        <v/>
      </c>
      <c r="AG355" s="41" t="str">
        <f t="shared" si="174"/>
        <v/>
      </c>
      <c r="AH355" s="41" t="str">
        <f t="shared" si="175"/>
        <v/>
      </c>
      <c r="AI355" s="41" t="str">
        <f t="shared" si="176"/>
        <v/>
      </c>
      <c r="AJ355" s="41" t="str">
        <f t="shared" si="177"/>
        <v/>
      </c>
      <c r="AK355" s="41" t="str">
        <f t="shared" si="178"/>
        <v/>
      </c>
      <c r="AL355" s="41" t="str">
        <f t="shared" si="179"/>
        <v/>
      </c>
      <c r="AM355" s="41" t="str">
        <f t="shared" si="180"/>
        <v/>
      </c>
      <c r="AN355" s="41" t="str">
        <f t="shared" si="181"/>
        <v/>
      </c>
      <c r="AO355" s="67" t="str">
        <f t="shared" si="182"/>
        <v/>
      </c>
      <c r="AP355" s="67" t="str">
        <f t="shared" si="183"/>
        <v/>
      </c>
    </row>
    <row r="356" spans="2:43" ht="18" customHeight="1" x14ac:dyDescent="0.3">
      <c r="B356" s="42" t="str">
        <f t="shared" si="143"/>
        <v/>
      </c>
      <c r="C356" s="66" t="str">
        <f t="shared" si="144"/>
        <v/>
      </c>
      <c r="D356" s="67" t="str">
        <f t="shared" si="145"/>
        <v/>
      </c>
      <c r="E356" s="41" t="str">
        <f t="shared" si="146"/>
        <v/>
      </c>
      <c r="F356" s="41" t="str">
        <f t="shared" si="147"/>
        <v/>
      </c>
      <c r="G356" s="41" t="str">
        <f t="shared" si="148"/>
        <v/>
      </c>
      <c r="H356" s="41" t="str">
        <f t="shared" si="149"/>
        <v/>
      </c>
      <c r="I356" s="41" t="str">
        <f t="shared" si="150"/>
        <v/>
      </c>
      <c r="J356" s="41" t="str">
        <f t="shared" si="151"/>
        <v/>
      </c>
      <c r="K356" s="41" t="str">
        <f t="shared" si="152"/>
        <v/>
      </c>
      <c r="L356" s="41" t="str">
        <f t="shared" si="153"/>
        <v/>
      </c>
      <c r="M356" s="41" t="str">
        <f t="shared" si="154"/>
        <v/>
      </c>
      <c r="N356" s="41" t="str">
        <f t="shared" si="155"/>
        <v/>
      </c>
      <c r="O356" s="41" t="str">
        <f t="shared" si="156"/>
        <v/>
      </c>
      <c r="P356" s="41" t="str">
        <f t="shared" si="157"/>
        <v/>
      </c>
      <c r="Q356" s="41" t="str">
        <f t="shared" si="158"/>
        <v/>
      </c>
      <c r="R356" s="41" t="str">
        <f t="shared" si="159"/>
        <v/>
      </c>
      <c r="S356" s="41" t="str">
        <f t="shared" si="160"/>
        <v/>
      </c>
      <c r="T356" s="41" t="str">
        <f t="shared" si="161"/>
        <v/>
      </c>
      <c r="U356" s="41" t="str">
        <f t="shared" si="162"/>
        <v/>
      </c>
      <c r="V356" s="41" t="str">
        <f t="shared" si="163"/>
        <v/>
      </c>
      <c r="W356" s="41" t="str">
        <f t="shared" si="164"/>
        <v/>
      </c>
      <c r="X356" s="41" t="str">
        <f t="shared" si="165"/>
        <v/>
      </c>
      <c r="Y356" s="41" t="str">
        <f t="shared" si="166"/>
        <v/>
      </c>
      <c r="Z356" s="41" t="str">
        <f t="shared" si="167"/>
        <v/>
      </c>
      <c r="AA356" s="41" t="str">
        <f t="shared" si="168"/>
        <v/>
      </c>
      <c r="AB356" s="41" t="str">
        <f t="shared" si="169"/>
        <v/>
      </c>
      <c r="AC356" s="41" t="str">
        <f t="shared" si="170"/>
        <v/>
      </c>
      <c r="AD356" s="41" t="str">
        <f t="shared" si="171"/>
        <v/>
      </c>
      <c r="AE356" s="41" t="str">
        <f t="shared" si="172"/>
        <v/>
      </c>
      <c r="AF356" s="41" t="str">
        <f t="shared" si="173"/>
        <v/>
      </c>
      <c r="AG356" s="41" t="str">
        <f t="shared" si="174"/>
        <v/>
      </c>
      <c r="AH356" s="41" t="str">
        <f t="shared" si="175"/>
        <v/>
      </c>
      <c r="AI356" s="41" t="str">
        <f t="shared" si="176"/>
        <v/>
      </c>
      <c r="AJ356" s="41" t="str">
        <f t="shared" si="177"/>
        <v/>
      </c>
      <c r="AK356" s="41" t="str">
        <f t="shared" si="178"/>
        <v/>
      </c>
      <c r="AL356" s="41" t="str">
        <f t="shared" si="179"/>
        <v/>
      </c>
      <c r="AM356" s="41" t="str">
        <f t="shared" si="180"/>
        <v/>
      </c>
      <c r="AN356" s="41" t="str">
        <f t="shared" si="181"/>
        <v/>
      </c>
      <c r="AO356" s="67" t="str">
        <f t="shared" si="182"/>
        <v/>
      </c>
      <c r="AP356" s="67" t="str">
        <f t="shared" si="183"/>
        <v/>
      </c>
    </row>
    <row r="357" spans="2:43" ht="18" customHeight="1" x14ac:dyDescent="0.3">
      <c r="B357" s="42" t="str">
        <f t="shared" si="143"/>
        <v/>
      </c>
      <c r="C357" s="66" t="str">
        <f t="shared" si="144"/>
        <v/>
      </c>
      <c r="D357" s="67" t="str">
        <f t="shared" si="145"/>
        <v/>
      </c>
      <c r="E357" s="41" t="str">
        <f t="shared" si="146"/>
        <v/>
      </c>
      <c r="F357" s="41" t="str">
        <f t="shared" si="147"/>
        <v/>
      </c>
      <c r="G357" s="41" t="str">
        <f t="shared" si="148"/>
        <v/>
      </c>
      <c r="H357" s="41" t="str">
        <f t="shared" si="149"/>
        <v/>
      </c>
      <c r="I357" s="41" t="str">
        <f t="shared" si="150"/>
        <v/>
      </c>
      <c r="J357" s="41" t="str">
        <f t="shared" si="151"/>
        <v/>
      </c>
      <c r="K357" s="41" t="str">
        <f t="shared" si="152"/>
        <v/>
      </c>
      <c r="L357" s="41" t="str">
        <f t="shared" si="153"/>
        <v/>
      </c>
      <c r="M357" s="41" t="str">
        <f t="shared" si="154"/>
        <v/>
      </c>
      <c r="N357" s="41" t="str">
        <f t="shared" si="155"/>
        <v/>
      </c>
      <c r="O357" s="41" t="str">
        <f t="shared" si="156"/>
        <v/>
      </c>
      <c r="P357" s="41" t="str">
        <f t="shared" si="157"/>
        <v/>
      </c>
      <c r="Q357" s="41" t="str">
        <f t="shared" si="158"/>
        <v/>
      </c>
      <c r="R357" s="41" t="str">
        <f t="shared" si="159"/>
        <v/>
      </c>
      <c r="S357" s="41" t="str">
        <f t="shared" si="160"/>
        <v/>
      </c>
      <c r="T357" s="41" t="str">
        <f t="shared" si="161"/>
        <v/>
      </c>
      <c r="U357" s="41" t="str">
        <f t="shared" si="162"/>
        <v/>
      </c>
      <c r="V357" s="41" t="str">
        <f t="shared" si="163"/>
        <v/>
      </c>
      <c r="W357" s="41" t="str">
        <f t="shared" si="164"/>
        <v/>
      </c>
      <c r="X357" s="41" t="str">
        <f t="shared" si="165"/>
        <v/>
      </c>
      <c r="Y357" s="41" t="str">
        <f t="shared" si="166"/>
        <v/>
      </c>
      <c r="Z357" s="41" t="str">
        <f t="shared" si="167"/>
        <v/>
      </c>
      <c r="AA357" s="41" t="str">
        <f t="shared" si="168"/>
        <v/>
      </c>
      <c r="AB357" s="41" t="str">
        <f t="shared" si="169"/>
        <v/>
      </c>
      <c r="AC357" s="41" t="str">
        <f t="shared" si="170"/>
        <v/>
      </c>
      <c r="AD357" s="41" t="str">
        <f t="shared" si="171"/>
        <v/>
      </c>
      <c r="AE357" s="41" t="str">
        <f t="shared" si="172"/>
        <v/>
      </c>
      <c r="AF357" s="41" t="str">
        <f t="shared" si="173"/>
        <v/>
      </c>
      <c r="AG357" s="41" t="str">
        <f t="shared" si="174"/>
        <v/>
      </c>
      <c r="AH357" s="41" t="str">
        <f t="shared" si="175"/>
        <v/>
      </c>
      <c r="AI357" s="41" t="str">
        <f t="shared" si="176"/>
        <v/>
      </c>
      <c r="AJ357" s="41" t="str">
        <f t="shared" si="177"/>
        <v/>
      </c>
      <c r="AK357" s="41" t="str">
        <f t="shared" si="178"/>
        <v/>
      </c>
      <c r="AL357" s="41" t="str">
        <f t="shared" si="179"/>
        <v/>
      </c>
      <c r="AM357" s="41" t="str">
        <f t="shared" si="180"/>
        <v/>
      </c>
      <c r="AN357" s="41" t="str">
        <f t="shared" si="181"/>
        <v/>
      </c>
      <c r="AO357" s="67" t="str">
        <f t="shared" si="182"/>
        <v/>
      </c>
      <c r="AP357" s="67" t="str">
        <f t="shared" si="183"/>
        <v/>
      </c>
    </row>
    <row r="358" spans="2:43" ht="18" customHeight="1" x14ac:dyDescent="0.3">
      <c r="B358" s="42" t="str">
        <f t="shared" si="143"/>
        <v/>
      </c>
      <c r="C358" s="66" t="str">
        <f t="shared" si="144"/>
        <v/>
      </c>
      <c r="D358" s="67" t="str">
        <f t="shared" si="145"/>
        <v/>
      </c>
      <c r="E358" s="41" t="str">
        <f t="shared" si="146"/>
        <v/>
      </c>
      <c r="F358" s="41" t="str">
        <f t="shared" si="147"/>
        <v/>
      </c>
      <c r="G358" s="41" t="str">
        <f t="shared" si="148"/>
        <v/>
      </c>
      <c r="H358" s="41" t="str">
        <f t="shared" si="149"/>
        <v/>
      </c>
      <c r="I358" s="41" t="str">
        <f t="shared" si="150"/>
        <v/>
      </c>
      <c r="J358" s="41" t="str">
        <f t="shared" si="151"/>
        <v/>
      </c>
      <c r="K358" s="41" t="str">
        <f t="shared" si="152"/>
        <v/>
      </c>
      <c r="L358" s="41" t="str">
        <f t="shared" si="153"/>
        <v/>
      </c>
      <c r="M358" s="41" t="str">
        <f t="shared" si="154"/>
        <v/>
      </c>
      <c r="N358" s="41" t="str">
        <f t="shared" si="155"/>
        <v/>
      </c>
      <c r="O358" s="41" t="str">
        <f t="shared" si="156"/>
        <v/>
      </c>
      <c r="P358" s="41" t="str">
        <f t="shared" si="157"/>
        <v/>
      </c>
      <c r="Q358" s="41" t="str">
        <f t="shared" si="158"/>
        <v/>
      </c>
      <c r="R358" s="41" t="str">
        <f t="shared" si="159"/>
        <v/>
      </c>
      <c r="S358" s="41" t="str">
        <f t="shared" si="160"/>
        <v/>
      </c>
      <c r="T358" s="41" t="str">
        <f t="shared" si="161"/>
        <v/>
      </c>
      <c r="U358" s="41" t="str">
        <f t="shared" si="162"/>
        <v/>
      </c>
      <c r="V358" s="41" t="str">
        <f t="shared" si="163"/>
        <v/>
      </c>
      <c r="W358" s="41" t="str">
        <f t="shared" si="164"/>
        <v/>
      </c>
      <c r="X358" s="41" t="str">
        <f t="shared" si="165"/>
        <v/>
      </c>
      <c r="Y358" s="41" t="str">
        <f t="shared" si="166"/>
        <v/>
      </c>
      <c r="Z358" s="41" t="str">
        <f t="shared" si="167"/>
        <v/>
      </c>
      <c r="AA358" s="41" t="str">
        <f t="shared" si="168"/>
        <v/>
      </c>
      <c r="AB358" s="41" t="str">
        <f t="shared" si="169"/>
        <v/>
      </c>
      <c r="AC358" s="41" t="str">
        <f t="shared" si="170"/>
        <v/>
      </c>
      <c r="AD358" s="41" t="str">
        <f t="shared" si="171"/>
        <v/>
      </c>
      <c r="AE358" s="41" t="str">
        <f t="shared" si="172"/>
        <v/>
      </c>
      <c r="AF358" s="41" t="str">
        <f t="shared" si="173"/>
        <v/>
      </c>
      <c r="AG358" s="41" t="str">
        <f t="shared" si="174"/>
        <v/>
      </c>
      <c r="AH358" s="41" t="str">
        <f t="shared" si="175"/>
        <v/>
      </c>
      <c r="AI358" s="41" t="str">
        <f t="shared" si="176"/>
        <v/>
      </c>
      <c r="AJ358" s="41" t="str">
        <f t="shared" si="177"/>
        <v/>
      </c>
      <c r="AK358" s="41" t="str">
        <f t="shared" si="178"/>
        <v/>
      </c>
      <c r="AL358" s="41" t="str">
        <f t="shared" si="179"/>
        <v/>
      </c>
      <c r="AM358" s="41" t="str">
        <f t="shared" si="180"/>
        <v/>
      </c>
      <c r="AN358" s="41" t="str">
        <f t="shared" si="181"/>
        <v/>
      </c>
      <c r="AO358" s="67" t="str">
        <f t="shared" si="182"/>
        <v/>
      </c>
      <c r="AP358" s="67" t="str">
        <f t="shared" si="183"/>
        <v/>
      </c>
    </row>
    <row r="359" spans="2:43" ht="18" customHeight="1" x14ac:dyDescent="0.3">
      <c r="B359" s="42" t="str">
        <f t="shared" si="143"/>
        <v/>
      </c>
      <c r="C359" s="66" t="str">
        <f t="shared" si="144"/>
        <v/>
      </c>
      <c r="D359" s="67" t="str">
        <f t="shared" si="145"/>
        <v/>
      </c>
      <c r="E359" s="41" t="str">
        <f t="shared" si="146"/>
        <v/>
      </c>
      <c r="F359" s="41" t="str">
        <f t="shared" si="147"/>
        <v/>
      </c>
      <c r="G359" s="41" t="str">
        <f t="shared" si="148"/>
        <v/>
      </c>
      <c r="H359" s="41" t="str">
        <f t="shared" si="149"/>
        <v/>
      </c>
      <c r="I359" s="41" t="str">
        <f t="shared" si="150"/>
        <v/>
      </c>
      <c r="J359" s="41" t="str">
        <f t="shared" si="151"/>
        <v/>
      </c>
      <c r="K359" s="41" t="str">
        <f t="shared" si="152"/>
        <v/>
      </c>
      <c r="L359" s="41" t="str">
        <f t="shared" si="153"/>
        <v/>
      </c>
      <c r="M359" s="41" t="str">
        <f t="shared" si="154"/>
        <v/>
      </c>
      <c r="N359" s="41" t="str">
        <f t="shared" si="155"/>
        <v/>
      </c>
      <c r="O359" s="41" t="str">
        <f t="shared" si="156"/>
        <v/>
      </c>
      <c r="P359" s="41" t="str">
        <f t="shared" si="157"/>
        <v/>
      </c>
      <c r="Q359" s="41" t="str">
        <f t="shared" si="158"/>
        <v/>
      </c>
      <c r="R359" s="41" t="str">
        <f t="shared" si="159"/>
        <v/>
      </c>
      <c r="S359" s="41" t="str">
        <f t="shared" si="160"/>
        <v/>
      </c>
      <c r="T359" s="41" t="str">
        <f t="shared" si="161"/>
        <v/>
      </c>
      <c r="U359" s="41" t="str">
        <f t="shared" si="162"/>
        <v/>
      </c>
      <c r="V359" s="41" t="str">
        <f t="shared" si="163"/>
        <v/>
      </c>
      <c r="W359" s="41" t="str">
        <f t="shared" si="164"/>
        <v/>
      </c>
      <c r="X359" s="41" t="str">
        <f t="shared" si="165"/>
        <v/>
      </c>
      <c r="Y359" s="41" t="str">
        <f t="shared" si="166"/>
        <v/>
      </c>
      <c r="Z359" s="41" t="str">
        <f t="shared" si="167"/>
        <v/>
      </c>
      <c r="AA359" s="41" t="str">
        <f t="shared" si="168"/>
        <v/>
      </c>
      <c r="AB359" s="41" t="str">
        <f t="shared" si="169"/>
        <v/>
      </c>
      <c r="AC359" s="41" t="str">
        <f t="shared" si="170"/>
        <v/>
      </c>
      <c r="AD359" s="41" t="str">
        <f t="shared" si="171"/>
        <v/>
      </c>
      <c r="AE359" s="41" t="str">
        <f t="shared" si="172"/>
        <v/>
      </c>
      <c r="AF359" s="41" t="str">
        <f t="shared" si="173"/>
        <v/>
      </c>
      <c r="AG359" s="41" t="str">
        <f t="shared" si="174"/>
        <v/>
      </c>
      <c r="AH359" s="41" t="str">
        <f t="shared" si="175"/>
        <v/>
      </c>
      <c r="AI359" s="41" t="str">
        <f t="shared" si="176"/>
        <v/>
      </c>
      <c r="AJ359" s="41" t="str">
        <f t="shared" si="177"/>
        <v/>
      </c>
      <c r="AK359" s="41" t="str">
        <f t="shared" si="178"/>
        <v/>
      </c>
      <c r="AL359" s="41" t="str">
        <f t="shared" si="179"/>
        <v/>
      </c>
      <c r="AM359" s="41" t="str">
        <f t="shared" si="180"/>
        <v/>
      </c>
      <c r="AN359" s="41" t="str">
        <f t="shared" si="181"/>
        <v/>
      </c>
      <c r="AO359" s="67" t="str">
        <f t="shared" si="182"/>
        <v/>
      </c>
      <c r="AP359" s="67" t="str">
        <f t="shared" si="183"/>
        <v/>
      </c>
    </row>
    <row r="360" spans="2:43" ht="18" customHeight="1" x14ac:dyDescent="0.3">
      <c r="B360" s="42" t="str">
        <f t="shared" si="143"/>
        <v/>
      </c>
      <c r="C360" s="66" t="str">
        <f t="shared" si="144"/>
        <v/>
      </c>
      <c r="D360" s="67" t="str">
        <f t="shared" si="145"/>
        <v/>
      </c>
      <c r="E360" s="41" t="str">
        <f t="shared" si="146"/>
        <v/>
      </c>
      <c r="F360" s="41" t="str">
        <f t="shared" si="147"/>
        <v/>
      </c>
      <c r="G360" s="41" t="str">
        <f t="shared" si="148"/>
        <v/>
      </c>
      <c r="H360" s="41" t="str">
        <f t="shared" si="149"/>
        <v/>
      </c>
      <c r="I360" s="41" t="str">
        <f t="shared" si="150"/>
        <v/>
      </c>
      <c r="J360" s="41" t="str">
        <f t="shared" si="151"/>
        <v/>
      </c>
      <c r="K360" s="41" t="str">
        <f t="shared" si="152"/>
        <v/>
      </c>
      <c r="L360" s="41" t="str">
        <f t="shared" si="153"/>
        <v/>
      </c>
      <c r="M360" s="41" t="str">
        <f t="shared" si="154"/>
        <v/>
      </c>
      <c r="N360" s="41" t="str">
        <f t="shared" si="155"/>
        <v/>
      </c>
      <c r="O360" s="41" t="str">
        <f t="shared" si="156"/>
        <v/>
      </c>
      <c r="P360" s="41" t="str">
        <f t="shared" si="157"/>
        <v/>
      </c>
      <c r="Q360" s="41" t="str">
        <f t="shared" si="158"/>
        <v/>
      </c>
      <c r="R360" s="41" t="str">
        <f t="shared" si="159"/>
        <v/>
      </c>
      <c r="S360" s="41" t="str">
        <f t="shared" si="160"/>
        <v/>
      </c>
      <c r="T360" s="41" t="str">
        <f t="shared" si="161"/>
        <v/>
      </c>
      <c r="U360" s="41" t="str">
        <f t="shared" si="162"/>
        <v/>
      </c>
      <c r="V360" s="41" t="str">
        <f t="shared" si="163"/>
        <v/>
      </c>
      <c r="W360" s="41" t="str">
        <f t="shared" si="164"/>
        <v/>
      </c>
      <c r="X360" s="41" t="str">
        <f t="shared" si="165"/>
        <v/>
      </c>
      <c r="Y360" s="41" t="str">
        <f t="shared" si="166"/>
        <v/>
      </c>
      <c r="Z360" s="41" t="str">
        <f t="shared" si="167"/>
        <v/>
      </c>
      <c r="AA360" s="41" t="str">
        <f t="shared" si="168"/>
        <v/>
      </c>
      <c r="AB360" s="41" t="str">
        <f t="shared" si="169"/>
        <v/>
      </c>
      <c r="AC360" s="41" t="str">
        <f t="shared" si="170"/>
        <v/>
      </c>
      <c r="AD360" s="41" t="str">
        <f t="shared" si="171"/>
        <v/>
      </c>
      <c r="AE360" s="41" t="str">
        <f t="shared" si="172"/>
        <v/>
      </c>
      <c r="AF360" s="41" t="str">
        <f t="shared" si="173"/>
        <v/>
      </c>
      <c r="AG360" s="41" t="str">
        <f t="shared" si="174"/>
        <v/>
      </c>
      <c r="AH360" s="41" t="str">
        <f t="shared" si="175"/>
        <v/>
      </c>
      <c r="AI360" s="41" t="str">
        <f t="shared" si="176"/>
        <v/>
      </c>
      <c r="AJ360" s="41" t="str">
        <f t="shared" si="177"/>
        <v/>
      </c>
      <c r="AK360" s="41" t="str">
        <f t="shared" si="178"/>
        <v/>
      </c>
      <c r="AL360" s="41" t="str">
        <f t="shared" si="179"/>
        <v/>
      </c>
      <c r="AM360" s="41" t="str">
        <f t="shared" si="180"/>
        <v/>
      </c>
      <c r="AN360" s="41" t="str">
        <f t="shared" si="181"/>
        <v/>
      </c>
      <c r="AO360" s="67" t="str">
        <f t="shared" si="182"/>
        <v/>
      </c>
      <c r="AP360" s="67" t="str">
        <f t="shared" si="183"/>
        <v/>
      </c>
    </row>
    <row r="361" spans="2:43" ht="15" thickBot="1" x14ac:dyDescent="0.35"/>
    <row r="362" spans="2:43" ht="15" hidden="1" thickBot="1" x14ac:dyDescent="0.35">
      <c r="E362">
        <f>IFERROR(MATCH(1,$R$285:$R$320,0),"")</f>
        <v>3</v>
      </c>
      <c r="F362">
        <f>IFERROR(MATCH(2,$R$285:$R$320,0),"")</f>
        <v>4</v>
      </c>
      <c r="G362">
        <f>IFERROR(MATCH(3,$R$285:$R$320,0),"")</f>
        <v>5</v>
      </c>
      <c r="H362">
        <f>IFERROR(MATCH(4,$R$285:$R$320,0),"")</f>
        <v>6</v>
      </c>
      <c r="I362">
        <f>IFERROR(MATCH(5,$R$285:$R$320,0),"")</f>
        <v>7</v>
      </c>
      <c r="J362">
        <f>IFERROR(MATCH(6,$R$285:$R$320,0),"")</f>
        <v>9</v>
      </c>
      <c r="K362">
        <f>IFERROR(MATCH(7,$R$285:$R$320,0),"")</f>
        <v>10</v>
      </c>
      <c r="L362">
        <f>IFERROR(MATCH(8,$R$285:$R$320,0),"")</f>
        <v>11</v>
      </c>
      <c r="M362">
        <f>IFERROR(MATCH(9,$R$285:$R$320,0),"")</f>
        <v>12</v>
      </c>
      <c r="N362">
        <f>IFERROR(MATCH(10,$R$285:$R$320,0),"")</f>
        <v>15</v>
      </c>
      <c r="O362">
        <f>IFERROR(MATCH(11,$R$285:$R$320,0),"")</f>
        <v>16</v>
      </c>
      <c r="P362">
        <f>IFERROR(MATCH(12,$R$285:$R$320,0),"")</f>
        <v>17</v>
      </c>
      <c r="Q362">
        <f>IFERROR(MATCH(13,$R$285:$R$320,0),"")</f>
        <v>18</v>
      </c>
      <c r="R362">
        <f>IFERROR(MATCH(14,$R$285:$R$320,0),"")</f>
        <v>21</v>
      </c>
      <c r="S362" t="str">
        <f>IFERROR(MATCH(15,$R$285:$R$320,0),"")</f>
        <v/>
      </c>
      <c r="T362" t="str">
        <f>IFERROR(MATCH(16,$R$285:$R$320,0),"")</f>
        <v/>
      </c>
      <c r="U362" t="str">
        <f>IFERROR(MATCH(17,$R$285:$R$320,0),"")</f>
        <v/>
      </c>
      <c r="V362" t="str">
        <f>IFERROR(MATCH(18,$R$285:$R$320,0),"")</f>
        <v/>
      </c>
      <c r="W362" t="str">
        <f>IFERROR(MATCH(19,$R$285:$R$320,0),"")</f>
        <v/>
      </c>
      <c r="X362" t="str">
        <f>IFERROR(MATCH(20,$R$285:$R$320,0),"")</f>
        <v/>
      </c>
      <c r="Y362" t="str">
        <f>IFERROR(MATCH(21,$R$285:$R$320,0),"")</f>
        <v/>
      </c>
      <c r="Z362" t="str">
        <f>IFERROR(MATCH(22,$R$285:$R$320,0),"")</f>
        <v/>
      </c>
      <c r="AA362" t="str">
        <f>IFERROR(MATCH(23,$R$285:$R$320,0),"")</f>
        <v/>
      </c>
      <c r="AB362" t="str">
        <f>IFERROR(MATCH(24,$R$285:$R$320,0),"")</f>
        <v/>
      </c>
      <c r="AC362" t="str">
        <f>IFERROR(MATCH(25,$R$285:$R$320,0),"")</f>
        <v/>
      </c>
      <c r="AD362" t="str">
        <f>IFERROR(MATCH(26,$R$285:$R$320,0),"")</f>
        <v/>
      </c>
      <c r="AE362" t="str">
        <f>IFERROR(MATCH(27,$R$285:$R$320,0),"")</f>
        <v/>
      </c>
      <c r="AF362" t="str">
        <f>IFERROR(MATCH(28,$R$285:$R$320,0),"")</f>
        <v/>
      </c>
      <c r="AG362" t="str">
        <f>IFERROR(MATCH(29,$R$285:$R$320,0),"")</f>
        <v/>
      </c>
      <c r="AH362" t="str">
        <f>IFERROR(MATCH(30,$R$285:$R$320,0),"")</f>
        <v/>
      </c>
      <c r="AI362" t="str">
        <f>IFERROR(MATCH(31,$R$285:$R$320,0),"")</f>
        <v/>
      </c>
      <c r="AJ362" t="str">
        <f>IFERROR(MATCH(32,$R$285:$R$320,0),"")</f>
        <v/>
      </c>
      <c r="AK362" t="str">
        <f>IFERROR(MATCH(33,$R$285:$R$320,0),"")</f>
        <v/>
      </c>
      <c r="AL362" t="str">
        <f>IFERROR(MATCH(34,$R$285:$R$320,0),"")</f>
        <v/>
      </c>
      <c r="AM362" t="str">
        <f>IFERROR(MATCH(35,$R$285:$R$320,0),"")</f>
        <v/>
      </c>
      <c r="AN362" t="str">
        <f>IFERROR(MATCH(36,$R$285:$R$320,0),"")</f>
        <v/>
      </c>
    </row>
    <row r="363" spans="2:43" ht="22.05" customHeight="1" thickBot="1" x14ac:dyDescent="0.35">
      <c r="B363" s="1" t="s">
        <v>193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2:43" ht="15" thickBot="1" x14ac:dyDescent="0.35">
      <c r="B364" s="6" t="s">
        <v>123</v>
      </c>
      <c r="C364" s="6" t="s">
        <v>194</v>
      </c>
      <c r="D364" s="6" t="s">
        <v>190</v>
      </c>
      <c r="E364" s="6" t="str">
        <f t="shared" ref="E364:AN364" si="184">IF(E$362="","",INDEX($C$285:$C$320,E$362))</f>
        <v>U1θ</v>
      </c>
      <c r="F364" s="6" t="str">
        <f t="shared" si="184"/>
        <v>U2X</v>
      </c>
      <c r="G364" s="6" t="str">
        <f t="shared" si="184"/>
        <v>U2Y</v>
      </c>
      <c r="H364" s="6" t="str">
        <f t="shared" si="184"/>
        <v>U2θ</v>
      </c>
      <c r="I364" s="6" t="str">
        <f t="shared" si="184"/>
        <v>U3X</v>
      </c>
      <c r="J364" s="6" t="str">
        <f t="shared" si="184"/>
        <v>U3θ</v>
      </c>
      <c r="K364" s="6" t="str">
        <f t="shared" si="184"/>
        <v>U4X</v>
      </c>
      <c r="L364" s="6" t="str">
        <f t="shared" si="184"/>
        <v>U4Y</v>
      </c>
      <c r="M364" s="6" t="str">
        <f t="shared" si="184"/>
        <v>U4θ</v>
      </c>
      <c r="N364" s="6" t="str">
        <f t="shared" si="184"/>
        <v>U5θ</v>
      </c>
      <c r="O364" s="6" t="str">
        <f t="shared" si="184"/>
        <v>U6X</v>
      </c>
      <c r="P364" s="6" t="str">
        <f t="shared" si="184"/>
        <v>U6Y</v>
      </c>
      <c r="Q364" s="6" t="str">
        <f t="shared" si="184"/>
        <v>U6θ</v>
      </c>
      <c r="R364" s="6" t="str">
        <f t="shared" si="184"/>
        <v>U7θ</v>
      </c>
      <c r="S364" s="6" t="str">
        <f t="shared" si="184"/>
        <v/>
      </c>
      <c r="T364" s="6" t="str">
        <f t="shared" si="184"/>
        <v/>
      </c>
      <c r="U364" s="6" t="str">
        <f t="shared" si="184"/>
        <v/>
      </c>
      <c r="V364" s="6" t="str">
        <f t="shared" si="184"/>
        <v/>
      </c>
      <c r="W364" s="6" t="str">
        <f t="shared" si="184"/>
        <v/>
      </c>
      <c r="X364" s="6" t="str">
        <f t="shared" si="184"/>
        <v/>
      </c>
      <c r="Y364" s="6" t="str">
        <f t="shared" si="184"/>
        <v/>
      </c>
      <c r="Z364" s="6" t="str">
        <f t="shared" si="184"/>
        <v/>
      </c>
      <c r="AA364" s="6" t="str">
        <f t="shared" si="184"/>
        <v/>
      </c>
      <c r="AB364" s="6" t="str">
        <f t="shared" si="184"/>
        <v/>
      </c>
      <c r="AC364" s="6" t="str">
        <f t="shared" si="184"/>
        <v/>
      </c>
      <c r="AD364" s="6" t="str">
        <f t="shared" si="184"/>
        <v/>
      </c>
      <c r="AE364" s="6" t="str">
        <f t="shared" si="184"/>
        <v/>
      </c>
      <c r="AF364" s="6" t="str">
        <f t="shared" si="184"/>
        <v/>
      </c>
      <c r="AG364" s="6" t="str">
        <f t="shared" si="184"/>
        <v/>
      </c>
      <c r="AH364" s="6" t="str">
        <f t="shared" si="184"/>
        <v/>
      </c>
      <c r="AI364" s="6" t="str">
        <f t="shared" si="184"/>
        <v/>
      </c>
      <c r="AJ364" s="6" t="str">
        <f t="shared" si="184"/>
        <v/>
      </c>
      <c r="AK364" s="6" t="str">
        <f t="shared" si="184"/>
        <v/>
      </c>
      <c r="AL364" s="6" t="str">
        <f t="shared" si="184"/>
        <v/>
      </c>
      <c r="AM364" s="6" t="str">
        <f t="shared" si="184"/>
        <v/>
      </c>
      <c r="AN364" s="6" t="str">
        <f t="shared" si="184"/>
        <v/>
      </c>
      <c r="AO364" s="6" t="s">
        <v>191</v>
      </c>
      <c r="AP364" s="6" t="s">
        <v>195</v>
      </c>
    </row>
    <row r="365" spans="2:43" ht="18" customHeight="1" x14ac:dyDescent="0.3">
      <c r="B365" s="42" t="str">
        <f t="shared" ref="B365:B400" si="185">IF($AQ365="","",INDEX($C$285:$C$320,$AQ365))</f>
        <v>U1θ</v>
      </c>
      <c r="C365" s="45">
        <f t="shared" ref="C365:C400" si="186">IF($AQ365="","",INDEX($F$285:$F$320,$AQ365))</f>
        <v>0</v>
      </c>
      <c r="D365" s="67" t="str">
        <f t="shared" ref="D365:D400" si="187">IF($AQ365="","","=")</f>
        <v>=</v>
      </c>
      <c r="E365" s="44">
        <f t="shared" ref="E365:T380" si="188">IF(OR($AQ365="",E$362=""),"",INDEX($C$245:$AL$280,$AQ365,E$362))</f>
        <v>1139062500</v>
      </c>
      <c r="F365" s="41">
        <f t="shared" si="188"/>
        <v>0</v>
      </c>
      <c r="G365" s="41">
        <f t="shared" si="188"/>
        <v>-8542968.75</v>
      </c>
      <c r="H365" s="41">
        <f t="shared" si="188"/>
        <v>569531250</v>
      </c>
      <c r="I365" s="41">
        <f t="shared" si="188"/>
        <v>0</v>
      </c>
      <c r="J365" s="41">
        <f t="shared" si="188"/>
        <v>0</v>
      </c>
      <c r="K365" s="41">
        <f t="shared" si="188"/>
        <v>0</v>
      </c>
      <c r="L365" s="41">
        <f t="shared" si="188"/>
        <v>0</v>
      </c>
      <c r="M365" s="41">
        <f t="shared" si="188"/>
        <v>0</v>
      </c>
      <c r="N365" s="41">
        <f t="shared" si="188"/>
        <v>0</v>
      </c>
      <c r="O365" s="41">
        <f t="shared" si="188"/>
        <v>0</v>
      </c>
      <c r="P365" s="41">
        <f t="shared" si="188"/>
        <v>0</v>
      </c>
      <c r="Q365" s="41">
        <f t="shared" si="188"/>
        <v>0</v>
      </c>
      <c r="R365" s="41">
        <f t="shared" si="188"/>
        <v>0</v>
      </c>
      <c r="S365" s="41" t="str">
        <f t="shared" si="188"/>
        <v/>
      </c>
      <c r="T365" s="41" t="str">
        <f t="shared" si="188"/>
        <v/>
      </c>
      <c r="U365" s="41" t="str">
        <f t="shared" ref="U365:AJ380" si="189">IF(OR($AQ365="",U$362=""),"",INDEX($C$245:$AL$280,$AQ365,U$362))</f>
        <v/>
      </c>
      <c r="V365" s="41" t="str">
        <f t="shared" si="189"/>
        <v/>
      </c>
      <c r="W365" s="41" t="str">
        <f t="shared" si="189"/>
        <v/>
      </c>
      <c r="X365" s="41" t="str">
        <f t="shared" si="189"/>
        <v/>
      </c>
      <c r="Y365" s="41" t="str">
        <f t="shared" si="189"/>
        <v/>
      </c>
      <c r="Z365" s="41" t="str">
        <f t="shared" si="189"/>
        <v/>
      </c>
      <c r="AA365" s="41" t="str">
        <f t="shared" si="189"/>
        <v/>
      </c>
      <c r="AB365" s="41" t="str">
        <f t="shared" si="189"/>
        <v/>
      </c>
      <c r="AC365" s="41" t="str">
        <f t="shared" si="189"/>
        <v/>
      </c>
      <c r="AD365" s="41" t="str">
        <f t="shared" si="189"/>
        <v/>
      </c>
      <c r="AE365" s="41" t="str">
        <f t="shared" si="189"/>
        <v/>
      </c>
      <c r="AF365" s="41" t="str">
        <f t="shared" si="189"/>
        <v/>
      </c>
      <c r="AG365" s="41" t="str">
        <f t="shared" si="189"/>
        <v/>
      </c>
      <c r="AH365" s="41" t="str">
        <f t="shared" si="189"/>
        <v/>
      </c>
      <c r="AI365" s="41" t="str">
        <f t="shared" si="189"/>
        <v/>
      </c>
      <c r="AJ365" s="41" t="str">
        <f t="shared" si="189"/>
        <v/>
      </c>
      <c r="AK365" s="41" t="str">
        <f t="shared" ref="AI365:AP380" si="190">IF(OR($AQ365="",AK$362=""),"",INDEX($C$245:$AL$280,$AQ365,AK$362))</f>
        <v/>
      </c>
      <c r="AL365" s="41" t="str">
        <f t="shared" si="190"/>
        <v/>
      </c>
      <c r="AM365" s="41" t="str">
        <f t="shared" si="190"/>
        <v/>
      </c>
      <c r="AN365" s="41" t="str">
        <f t="shared" si="190"/>
        <v/>
      </c>
      <c r="AO365" s="67" t="str">
        <f t="shared" ref="AO365:AO400" si="191">IF($AQ365="","","*")</f>
        <v>*</v>
      </c>
      <c r="AP365" s="68" t="str">
        <f t="shared" ref="AP365:AP400" si="192">IF($AQ365="","",INDEX($M$285:$M$320,$AQ365))</f>
        <v>D1θ</v>
      </c>
      <c r="AQ365">
        <f>IFERROR(MATCH(1,$R$285:$R$320,0),"")</f>
        <v>3</v>
      </c>
    </row>
    <row r="366" spans="2:43" ht="18" customHeight="1" x14ac:dyDescent="0.3">
      <c r="B366" s="42" t="str">
        <f t="shared" si="185"/>
        <v>U2X</v>
      </c>
      <c r="C366" s="45">
        <f t="shared" si="186"/>
        <v>0</v>
      </c>
      <c r="D366" s="67" t="str">
        <f t="shared" si="187"/>
        <v>=</v>
      </c>
      <c r="E366" s="41">
        <f t="shared" si="188"/>
        <v>0</v>
      </c>
      <c r="F366" s="44">
        <f t="shared" si="188"/>
        <v>3375000</v>
      </c>
      <c r="G366" s="41">
        <f t="shared" si="188"/>
        <v>0</v>
      </c>
      <c r="H366" s="41">
        <f t="shared" si="188"/>
        <v>0</v>
      </c>
      <c r="I366" s="41">
        <f t="shared" si="188"/>
        <v>-1687500</v>
      </c>
      <c r="J366" s="41">
        <f t="shared" si="188"/>
        <v>0</v>
      </c>
      <c r="K366" s="41">
        <f t="shared" si="188"/>
        <v>0</v>
      </c>
      <c r="L366" s="41">
        <f t="shared" si="188"/>
        <v>0</v>
      </c>
      <c r="M366" s="41">
        <f t="shared" si="188"/>
        <v>0</v>
      </c>
      <c r="N366" s="41">
        <f t="shared" si="188"/>
        <v>0</v>
      </c>
      <c r="O366" s="41">
        <f t="shared" si="188"/>
        <v>0</v>
      </c>
      <c r="P366" s="41">
        <f t="shared" si="188"/>
        <v>0</v>
      </c>
      <c r="Q366" s="41">
        <f t="shared" si="188"/>
        <v>0</v>
      </c>
      <c r="R366" s="41">
        <f t="shared" si="188"/>
        <v>0</v>
      </c>
      <c r="S366" s="41" t="str">
        <f t="shared" si="188"/>
        <v/>
      </c>
      <c r="T366" s="41" t="str">
        <f t="shared" si="188"/>
        <v/>
      </c>
      <c r="U366" s="41" t="str">
        <f t="shared" si="189"/>
        <v/>
      </c>
      <c r="V366" s="41" t="str">
        <f t="shared" si="189"/>
        <v/>
      </c>
      <c r="W366" s="41" t="str">
        <f t="shared" si="189"/>
        <v/>
      </c>
      <c r="X366" s="41" t="str">
        <f t="shared" si="189"/>
        <v/>
      </c>
      <c r="Y366" s="41" t="str">
        <f t="shared" si="189"/>
        <v/>
      </c>
      <c r="Z366" s="41" t="str">
        <f t="shared" si="189"/>
        <v/>
      </c>
      <c r="AA366" s="41" t="str">
        <f t="shared" si="189"/>
        <v/>
      </c>
      <c r="AB366" s="41" t="str">
        <f t="shared" si="189"/>
        <v/>
      </c>
      <c r="AC366" s="41" t="str">
        <f t="shared" si="189"/>
        <v/>
      </c>
      <c r="AD366" s="41" t="str">
        <f t="shared" si="189"/>
        <v/>
      </c>
      <c r="AE366" s="41" t="str">
        <f t="shared" si="189"/>
        <v/>
      </c>
      <c r="AF366" s="41" t="str">
        <f t="shared" si="189"/>
        <v/>
      </c>
      <c r="AG366" s="41" t="str">
        <f t="shared" si="189"/>
        <v/>
      </c>
      <c r="AH366" s="41" t="str">
        <f t="shared" si="189"/>
        <v/>
      </c>
      <c r="AI366" s="41" t="str">
        <f t="shared" si="190"/>
        <v/>
      </c>
      <c r="AJ366" s="41" t="str">
        <f t="shared" si="190"/>
        <v/>
      </c>
      <c r="AK366" s="41" t="str">
        <f t="shared" si="190"/>
        <v/>
      </c>
      <c r="AL366" s="41" t="str">
        <f t="shared" si="190"/>
        <v/>
      </c>
      <c r="AM366" s="41" t="str">
        <f t="shared" si="190"/>
        <v/>
      </c>
      <c r="AN366" s="41" t="str">
        <f t="shared" si="190"/>
        <v/>
      </c>
      <c r="AO366" s="67" t="str">
        <f t="shared" si="191"/>
        <v>*</v>
      </c>
      <c r="AP366" s="68" t="str">
        <f t="shared" si="192"/>
        <v>D2X</v>
      </c>
      <c r="AQ366">
        <f>IFERROR(MATCH(2,$R$285:$R$320,0),"")</f>
        <v>4</v>
      </c>
    </row>
    <row r="367" spans="2:43" ht="18" customHeight="1" x14ac:dyDescent="0.3">
      <c r="B367" s="42" t="str">
        <f t="shared" si="185"/>
        <v>U2Y</v>
      </c>
      <c r="C367" s="45">
        <f t="shared" si="186"/>
        <v>-1200</v>
      </c>
      <c r="D367" s="67" t="str">
        <f t="shared" si="187"/>
        <v>=</v>
      </c>
      <c r="E367" s="41">
        <f t="shared" si="188"/>
        <v>-8542968.75</v>
      </c>
      <c r="F367" s="41">
        <f t="shared" si="188"/>
        <v>0</v>
      </c>
      <c r="G367" s="44">
        <f t="shared" si="188"/>
        <v>170859.375</v>
      </c>
      <c r="H367" s="41">
        <f t="shared" si="188"/>
        <v>0</v>
      </c>
      <c r="I367" s="41">
        <f t="shared" si="188"/>
        <v>0</v>
      </c>
      <c r="J367" s="41">
        <f t="shared" si="188"/>
        <v>8542968.75</v>
      </c>
      <c r="K367" s="41">
        <f t="shared" si="188"/>
        <v>0</v>
      </c>
      <c r="L367" s="41">
        <f t="shared" si="188"/>
        <v>0</v>
      </c>
      <c r="M367" s="41">
        <f t="shared" si="188"/>
        <v>0</v>
      </c>
      <c r="N367" s="41">
        <f t="shared" si="188"/>
        <v>0</v>
      </c>
      <c r="O367" s="41">
        <f t="shared" si="188"/>
        <v>0</v>
      </c>
      <c r="P367" s="41">
        <f t="shared" si="188"/>
        <v>0</v>
      </c>
      <c r="Q367" s="41">
        <f t="shared" si="188"/>
        <v>0</v>
      </c>
      <c r="R367" s="41">
        <f t="shared" si="188"/>
        <v>0</v>
      </c>
      <c r="S367" s="41" t="str">
        <f t="shared" si="188"/>
        <v/>
      </c>
      <c r="T367" s="41" t="str">
        <f t="shared" si="188"/>
        <v/>
      </c>
      <c r="U367" s="41" t="str">
        <f t="shared" si="189"/>
        <v/>
      </c>
      <c r="V367" s="41" t="str">
        <f t="shared" si="189"/>
        <v/>
      </c>
      <c r="W367" s="41" t="str">
        <f t="shared" si="189"/>
        <v/>
      </c>
      <c r="X367" s="41" t="str">
        <f t="shared" si="189"/>
        <v/>
      </c>
      <c r="Y367" s="41" t="str">
        <f t="shared" si="189"/>
        <v/>
      </c>
      <c r="Z367" s="41" t="str">
        <f t="shared" si="189"/>
        <v/>
      </c>
      <c r="AA367" s="41" t="str">
        <f t="shared" si="189"/>
        <v/>
      </c>
      <c r="AB367" s="41" t="str">
        <f t="shared" si="189"/>
        <v/>
      </c>
      <c r="AC367" s="41" t="str">
        <f t="shared" si="189"/>
        <v/>
      </c>
      <c r="AD367" s="41" t="str">
        <f t="shared" si="189"/>
        <v/>
      </c>
      <c r="AE367" s="41" t="str">
        <f t="shared" si="189"/>
        <v/>
      </c>
      <c r="AF367" s="41" t="str">
        <f t="shared" si="189"/>
        <v/>
      </c>
      <c r="AG367" s="41" t="str">
        <f t="shared" si="189"/>
        <v/>
      </c>
      <c r="AH367" s="41" t="str">
        <f t="shared" si="189"/>
        <v/>
      </c>
      <c r="AI367" s="41" t="str">
        <f t="shared" si="190"/>
        <v/>
      </c>
      <c r="AJ367" s="41" t="str">
        <f t="shared" si="190"/>
        <v/>
      </c>
      <c r="AK367" s="41" t="str">
        <f t="shared" si="190"/>
        <v/>
      </c>
      <c r="AL367" s="41" t="str">
        <f t="shared" si="190"/>
        <v/>
      </c>
      <c r="AM367" s="41" t="str">
        <f t="shared" si="190"/>
        <v/>
      </c>
      <c r="AN367" s="41" t="str">
        <f t="shared" si="190"/>
        <v/>
      </c>
      <c r="AO367" s="67" t="str">
        <f t="shared" si="191"/>
        <v>*</v>
      </c>
      <c r="AP367" s="68" t="str">
        <f t="shared" si="192"/>
        <v>D2Y</v>
      </c>
      <c r="AQ367">
        <f>IFERROR(MATCH(3,$R$285:$R$320,0),"")</f>
        <v>5</v>
      </c>
    </row>
    <row r="368" spans="2:43" ht="18" customHeight="1" x14ac:dyDescent="0.3">
      <c r="B368" s="42" t="str">
        <f t="shared" si="185"/>
        <v>U2θ</v>
      </c>
      <c r="C368" s="45">
        <f t="shared" si="186"/>
        <v>0</v>
      </c>
      <c r="D368" s="67" t="str">
        <f t="shared" si="187"/>
        <v>=</v>
      </c>
      <c r="E368" s="41">
        <f t="shared" si="188"/>
        <v>569531250</v>
      </c>
      <c r="F368" s="41">
        <f t="shared" si="188"/>
        <v>0</v>
      </c>
      <c r="G368" s="41">
        <f t="shared" si="188"/>
        <v>0</v>
      </c>
      <c r="H368" s="44">
        <f t="shared" si="188"/>
        <v>2278125000</v>
      </c>
      <c r="I368" s="41">
        <f t="shared" si="188"/>
        <v>0</v>
      </c>
      <c r="J368" s="41">
        <f t="shared" si="188"/>
        <v>569531250</v>
      </c>
      <c r="K368" s="41">
        <f t="shared" si="188"/>
        <v>0</v>
      </c>
      <c r="L368" s="41">
        <f t="shared" si="188"/>
        <v>0</v>
      </c>
      <c r="M368" s="41">
        <f t="shared" si="188"/>
        <v>0</v>
      </c>
      <c r="N368" s="41">
        <f t="shared" si="188"/>
        <v>0</v>
      </c>
      <c r="O368" s="41">
        <f t="shared" si="188"/>
        <v>0</v>
      </c>
      <c r="P368" s="41">
        <f t="shared" si="188"/>
        <v>0</v>
      </c>
      <c r="Q368" s="41">
        <f t="shared" si="188"/>
        <v>0</v>
      </c>
      <c r="R368" s="41">
        <f t="shared" si="188"/>
        <v>0</v>
      </c>
      <c r="S368" s="41" t="str">
        <f t="shared" si="188"/>
        <v/>
      </c>
      <c r="T368" s="41" t="str">
        <f t="shared" si="188"/>
        <v/>
      </c>
      <c r="U368" s="41" t="str">
        <f t="shared" si="189"/>
        <v/>
      </c>
      <c r="V368" s="41" t="str">
        <f t="shared" si="189"/>
        <v/>
      </c>
      <c r="W368" s="41" t="str">
        <f t="shared" si="189"/>
        <v/>
      </c>
      <c r="X368" s="41" t="str">
        <f t="shared" si="189"/>
        <v/>
      </c>
      <c r="Y368" s="41" t="str">
        <f t="shared" si="189"/>
        <v/>
      </c>
      <c r="Z368" s="41" t="str">
        <f t="shared" si="189"/>
        <v/>
      </c>
      <c r="AA368" s="41" t="str">
        <f t="shared" si="189"/>
        <v/>
      </c>
      <c r="AB368" s="41" t="str">
        <f t="shared" si="189"/>
        <v/>
      </c>
      <c r="AC368" s="41" t="str">
        <f t="shared" si="189"/>
        <v/>
      </c>
      <c r="AD368" s="41" t="str">
        <f t="shared" si="189"/>
        <v/>
      </c>
      <c r="AE368" s="41" t="str">
        <f t="shared" si="189"/>
        <v/>
      </c>
      <c r="AF368" s="41" t="str">
        <f t="shared" si="189"/>
        <v/>
      </c>
      <c r="AG368" s="41" t="str">
        <f t="shared" si="189"/>
        <v/>
      </c>
      <c r="AH368" s="41" t="str">
        <f t="shared" si="189"/>
        <v/>
      </c>
      <c r="AI368" s="41" t="str">
        <f t="shared" si="190"/>
        <v/>
      </c>
      <c r="AJ368" s="41" t="str">
        <f t="shared" si="190"/>
        <v/>
      </c>
      <c r="AK368" s="41" t="str">
        <f t="shared" si="190"/>
        <v/>
      </c>
      <c r="AL368" s="41" t="str">
        <f t="shared" si="190"/>
        <v/>
      </c>
      <c r="AM368" s="41" t="str">
        <f t="shared" si="190"/>
        <v/>
      </c>
      <c r="AN368" s="41" t="str">
        <f t="shared" si="190"/>
        <v/>
      </c>
      <c r="AO368" s="67" t="str">
        <f t="shared" si="191"/>
        <v>*</v>
      </c>
      <c r="AP368" s="68" t="str">
        <f t="shared" si="192"/>
        <v>D2θ</v>
      </c>
      <c r="AQ368">
        <f>IFERROR(MATCH(4,$R$285:$R$320,0),"")</f>
        <v>6</v>
      </c>
    </row>
    <row r="369" spans="2:43" ht="18" customHeight="1" x14ac:dyDescent="0.3">
      <c r="B369" s="42" t="str">
        <f t="shared" si="185"/>
        <v>U3X</v>
      </c>
      <c r="C369" s="45">
        <f t="shared" si="186"/>
        <v>0</v>
      </c>
      <c r="D369" s="67" t="str">
        <f t="shared" si="187"/>
        <v>=</v>
      </c>
      <c r="E369" s="41">
        <f t="shared" si="188"/>
        <v>0</v>
      </c>
      <c r="F369" s="41">
        <f t="shared" si="188"/>
        <v>-1687500</v>
      </c>
      <c r="G369" s="41">
        <f t="shared" si="188"/>
        <v>0</v>
      </c>
      <c r="H369" s="41">
        <f t="shared" si="188"/>
        <v>0</v>
      </c>
      <c r="I369" s="44">
        <f t="shared" si="188"/>
        <v>2531250</v>
      </c>
      <c r="J369" s="41">
        <f t="shared" si="188"/>
        <v>0</v>
      </c>
      <c r="K369" s="41">
        <f t="shared" si="188"/>
        <v>-843750</v>
      </c>
      <c r="L369" s="41">
        <f t="shared" si="188"/>
        <v>0</v>
      </c>
      <c r="M369" s="41">
        <f t="shared" si="188"/>
        <v>0</v>
      </c>
      <c r="N369" s="41">
        <f t="shared" si="188"/>
        <v>0</v>
      </c>
      <c r="O369" s="41">
        <f t="shared" si="188"/>
        <v>0</v>
      </c>
      <c r="P369" s="41">
        <f t="shared" si="188"/>
        <v>0</v>
      </c>
      <c r="Q369" s="41">
        <f t="shared" si="188"/>
        <v>0</v>
      </c>
      <c r="R369" s="41">
        <f t="shared" si="188"/>
        <v>0</v>
      </c>
      <c r="S369" s="41" t="str">
        <f t="shared" si="188"/>
        <v/>
      </c>
      <c r="T369" s="41" t="str">
        <f t="shared" si="188"/>
        <v/>
      </c>
      <c r="U369" s="41" t="str">
        <f t="shared" si="189"/>
        <v/>
      </c>
      <c r="V369" s="41" t="str">
        <f t="shared" si="189"/>
        <v/>
      </c>
      <c r="W369" s="41" t="str">
        <f t="shared" si="189"/>
        <v/>
      </c>
      <c r="X369" s="41" t="str">
        <f t="shared" si="189"/>
        <v/>
      </c>
      <c r="Y369" s="41" t="str">
        <f t="shared" si="189"/>
        <v/>
      </c>
      <c r="Z369" s="41" t="str">
        <f t="shared" si="189"/>
        <v/>
      </c>
      <c r="AA369" s="41" t="str">
        <f t="shared" si="189"/>
        <v/>
      </c>
      <c r="AB369" s="41" t="str">
        <f t="shared" si="189"/>
        <v/>
      </c>
      <c r="AC369" s="41" t="str">
        <f t="shared" si="189"/>
        <v/>
      </c>
      <c r="AD369" s="41" t="str">
        <f t="shared" si="189"/>
        <v/>
      </c>
      <c r="AE369" s="41" t="str">
        <f t="shared" si="189"/>
        <v/>
      </c>
      <c r="AF369" s="41" t="str">
        <f t="shared" si="189"/>
        <v/>
      </c>
      <c r="AG369" s="41" t="str">
        <f t="shared" si="189"/>
        <v/>
      </c>
      <c r="AH369" s="41" t="str">
        <f t="shared" si="189"/>
        <v/>
      </c>
      <c r="AI369" s="41" t="str">
        <f t="shared" si="190"/>
        <v/>
      </c>
      <c r="AJ369" s="41" t="str">
        <f t="shared" si="190"/>
        <v/>
      </c>
      <c r="AK369" s="41" t="str">
        <f t="shared" si="190"/>
        <v/>
      </c>
      <c r="AL369" s="41" t="str">
        <f t="shared" si="190"/>
        <v/>
      </c>
      <c r="AM369" s="41" t="str">
        <f t="shared" si="190"/>
        <v/>
      </c>
      <c r="AN369" s="41" t="str">
        <f t="shared" si="190"/>
        <v/>
      </c>
      <c r="AO369" s="67" t="str">
        <f t="shared" si="191"/>
        <v>*</v>
      </c>
      <c r="AP369" s="68" t="str">
        <f t="shared" si="192"/>
        <v>D3X</v>
      </c>
      <c r="AQ369">
        <f>IFERROR(MATCH(5,$R$285:$R$320,0),"")</f>
        <v>7</v>
      </c>
    </row>
    <row r="370" spans="2:43" ht="18" customHeight="1" x14ac:dyDescent="0.3">
      <c r="B370" s="42" t="str">
        <f t="shared" si="185"/>
        <v>U3θ</v>
      </c>
      <c r="C370" s="45">
        <f t="shared" si="186"/>
        <v>0</v>
      </c>
      <c r="D370" s="67" t="str">
        <f t="shared" si="187"/>
        <v>=</v>
      </c>
      <c r="E370" s="41">
        <f t="shared" si="188"/>
        <v>0</v>
      </c>
      <c r="F370" s="41">
        <f t="shared" si="188"/>
        <v>0</v>
      </c>
      <c r="G370" s="41">
        <f t="shared" si="188"/>
        <v>8542968.75</v>
      </c>
      <c r="H370" s="41">
        <f t="shared" si="188"/>
        <v>569531250</v>
      </c>
      <c r="I370" s="41">
        <f t="shared" si="188"/>
        <v>0</v>
      </c>
      <c r="J370" s="44">
        <f t="shared" si="188"/>
        <v>1708593750</v>
      </c>
      <c r="K370" s="41">
        <f t="shared" si="188"/>
        <v>0</v>
      </c>
      <c r="L370" s="41">
        <f t="shared" si="188"/>
        <v>-2135742.1875</v>
      </c>
      <c r="M370" s="41">
        <f t="shared" si="188"/>
        <v>284765625</v>
      </c>
      <c r="N370" s="41">
        <f t="shared" si="188"/>
        <v>0</v>
      </c>
      <c r="O370" s="41">
        <f t="shared" si="188"/>
        <v>0</v>
      </c>
      <c r="P370" s="41">
        <f t="shared" si="188"/>
        <v>0</v>
      </c>
      <c r="Q370" s="41">
        <f t="shared" si="188"/>
        <v>0</v>
      </c>
      <c r="R370" s="41">
        <f t="shared" si="188"/>
        <v>0</v>
      </c>
      <c r="S370" s="41" t="str">
        <f t="shared" si="188"/>
        <v/>
      </c>
      <c r="T370" s="41" t="str">
        <f t="shared" si="188"/>
        <v/>
      </c>
      <c r="U370" s="41" t="str">
        <f t="shared" si="189"/>
        <v/>
      </c>
      <c r="V370" s="41" t="str">
        <f t="shared" si="189"/>
        <v/>
      </c>
      <c r="W370" s="41" t="str">
        <f t="shared" si="189"/>
        <v/>
      </c>
      <c r="X370" s="41" t="str">
        <f t="shared" si="189"/>
        <v/>
      </c>
      <c r="Y370" s="41" t="str">
        <f t="shared" si="189"/>
        <v/>
      </c>
      <c r="Z370" s="41" t="str">
        <f t="shared" si="189"/>
        <v/>
      </c>
      <c r="AA370" s="41" t="str">
        <f t="shared" si="189"/>
        <v/>
      </c>
      <c r="AB370" s="41" t="str">
        <f t="shared" si="189"/>
        <v/>
      </c>
      <c r="AC370" s="41" t="str">
        <f t="shared" si="189"/>
        <v/>
      </c>
      <c r="AD370" s="41" t="str">
        <f t="shared" si="189"/>
        <v/>
      </c>
      <c r="AE370" s="41" t="str">
        <f t="shared" si="189"/>
        <v/>
      </c>
      <c r="AF370" s="41" t="str">
        <f t="shared" si="189"/>
        <v/>
      </c>
      <c r="AG370" s="41" t="str">
        <f t="shared" si="189"/>
        <v/>
      </c>
      <c r="AH370" s="41" t="str">
        <f t="shared" si="189"/>
        <v/>
      </c>
      <c r="AI370" s="41" t="str">
        <f t="shared" si="190"/>
        <v/>
      </c>
      <c r="AJ370" s="41" t="str">
        <f t="shared" si="190"/>
        <v/>
      </c>
      <c r="AK370" s="41" t="str">
        <f t="shared" si="190"/>
        <v/>
      </c>
      <c r="AL370" s="41" t="str">
        <f t="shared" si="190"/>
        <v/>
      </c>
      <c r="AM370" s="41" t="str">
        <f t="shared" si="190"/>
        <v/>
      </c>
      <c r="AN370" s="41" t="str">
        <f t="shared" si="190"/>
        <v/>
      </c>
      <c r="AO370" s="67" t="str">
        <f t="shared" si="191"/>
        <v>*</v>
      </c>
      <c r="AP370" s="68" t="str">
        <f t="shared" si="192"/>
        <v>D3θ</v>
      </c>
      <c r="AQ370">
        <f>IFERROR(MATCH(6,$R$285:$R$320,0),"")</f>
        <v>9</v>
      </c>
    </row>
    <row r="371" spans="2:43" ht="18" customHeight="1" x14ac:dyDescent="0.3">
      <c r="B371" s="42" t="str">
        <f t="shared" si="185"/>
        <v>U4X</v>
      </c>
      <c r="C371" s="45">
        <f t="shared" si="186"/>
        <v>-1500</v>
      </c>
      <c r="D371" s="67" t="str">
        <f t="shared" si="187"/>
        <v>=</v>
      </c>
      <c r="E371" s="41">
        <f t="shared" si="188"/>
        <v>0</v>
      </c>
      <c r="F371" s="41">
        <f t="shared" si="188"/>
        <v>0</v>
      </c>
      <c r="G371" s="41">
        <f t="shared" si="188"/>
        <v>0</v>
      </c>
      <c r="H371" s="41">
        <f t="shared" si="188"/>
        <v>0</v>
      </c>
      <c r="I371" s="41">
        <f t="shared" si="188"/>
        <v>-843750</v>
      </c>
      <c r="J371" s="41">
        <f t="shared" si="188"/>
        <v>0</v>
      </c>
      <c r="K371" s="44">
        <f t="shared" si="188"/>
        <v>1687500</v>
      </c>
      <c r="L371" s="41">
        <f t="shared" si="188"/>
        <v>0</v>
      </c>
      <c r="M371" s="41">
        <f t="shared" si="188"/>
        <v>0</v>
      </c>
      <c r="N371" s="41">
        <f t="shared" si="188"/>
        <v>0</v>
      </c>
      <c r="O371" s="41">
        <f t="shared" si="188"/>
        <v>0</v>
      </c>
      <c r="P371" s="41">
        <f t="shared" si="188"/>
        <v>0</v>
      </c>
      <c r="Q371" s="41">
        <f t="shared" si="188"/>
        <v>0</v>
      </c>
      <c r="R371" s="41">
        <f t="shared" si="188"/>
        <v>0</v>
      </c>
      <c r="S371" s="41" t="str">
        <f t="shared" si="188"/>
        <v/>
      </c>
      <c r="T371" s="41" t="str">
        <f t="shared" si="188"/>
        <v/>
      </c>
      <c r="U371" s="41" t="str">
        <f t="shared" si="189"/>
        <v/>
      </c>
      <c r="V371" s="41" t="str">
        <f t="shared" si="189"/>
        <v/>
      </c>
      <c r="W371" s="41" t="str">
        <f t="shared" si="189"/>
        <v/>
      </c>
      <c r="X371" s="41" t="str">
        <f t="shared" si="189"/>
        <v/>
      </c>
      <c r="Y371" s="41" t="str">
        <f t="shared" si="189"/>
        <v/>
      </c>
      <c r="Z371" s="41" t="str">
        <f t="shared" si="189"/>
        <v/>
      </c>
      <c r="AA371" s="41" t="str">
        <f t="shared" si="189"/>
        <v/>
      </c>
      <c r="AB371" s="41" t="str">
        <f t="shared" si="189"/>
        <v/>
      </c>
      <c r="AC371" s="41" t="str">
        <f t="shared" si="189"/>
        <v/>
      </c>
      <c r="AD371" s="41" t="str">
        <f t="shared" si="189"/>
        <v/>
      </c>
      <c r="AE371" s="41" t="str">
        <f t="shared" si="189"/>
        <v/>
      </c>
      <c r="AF371" s="41" t="str">
        <f t="shared" si="189"/>
        <v/>
      </c>
      <c r="AG371" s="41" t="str">
        <f t="shared" si="189"/>
        <v/>
      </c>
      <c r="AH371" s="41" t="str">
        <f t="shared" si="189"/>
        <v/>
      </c>
      <c r="AI371" s="41" t="str">
        <f t="shared" si="190"/>
        <v/>
      </c>
      <c r="AJ371" s="41" t="str">
        <f t="shared" si="190"/>
        <v/>
      </c>
      <c r="AK371" s="41" t="str">
        <f t="shared" si="190"/>
        <v/>
      </c>
      <c r="AL371" s="41" t="str">
        <f t="shared" si="190"/>
        <v/>
      </c>
      <c r="AM371" s="41" t="str">
        <f t="shared" si="190"/>
        <v/>
      </c>
      <c r="AN371" s="41" t="str">
        <f t="shared" si="190"/>
        <v/>
      </c>
      <c r="AO371" s="67" t="str">
        <f t="shared" si="191"/>
        <v>*</v>
      </c>
      <c r="AP371" s="68" t="str">
        <f t="shared" si="192"/>
        <v>D4X</v>
      </c>
      <c r="AQ371">
        <f>IFERROR(MATCH(7,$R$285:$R$320,0),"")</f>
        <v>10</v>
      </c>
    </row>
    <row r="372" spans="2:43" ht="18" customHeight="1" x14ac:dyDescent="0.3">
      <c r="B372" s="42" t="str">
        <f t="shared" si="185"/>
        <v>U4Y</v>
      </c>
      <c r="C372" s="45">
        <f t="shared" si="186"/>
        <v>-2000</v>
      </c>
      <c r="D372" s="67" t="str">
        <f t="shared" si="187"/>
        <v>=</v>
      </c>
      <c r="E372" s="41">
        <f t="shared" si="188"/>
        <v>0</v>
      </c>
      <c r="F372" s="41">
        <f t="shared" si="188"/>
        <v>0</v>
      </c>
      <c r="G372" s="41">
        <f t="shared" si="188"/>
        <v>0</v>
      </c>
      <c r="H372" s="41">
        <f t="shared" si="188"/>
        <v>0</v>
      </c>
      <c r="I372" s="41">
        <f t="shared" si="188"/>
        <v>0</v>
      </c>
      <c r="J372" s="41">
        <f t="shared" si="188"/>
        <v>-2135742.1875</v>
      </c>
      <c r="K372" s="41">
        <f t="shared" si="188"/>
        <v>0</v>
      </c>
      <c r="L372" s="44">
        <f t="shared" si="188"/>
        <v>21357.421875</v>
      </c>
      <c r="M372" s="41">
        <f t="shared" si="188"/>
        <v>0</v>
      </c>
      <c r="N372" s="41">
        <f t="shared" si="188"/>
        <v>2135742.1875</v>
      </c>
      <c r="O372" s="41">
        <f t="shared" si="188"/>
        <v>0</v>
      </c>
      <c r="P372" s="41">
        <f t="shared" si="188"/>
        <v>0</v>
      </c>
      <c r="Q372" s="41">
        <f t="shared" si="188"/>
        <v>0</v>
      </c>
      <c r="R372" s="41">
        <f t="shared" si="188"/>
        <v>0</v>
      </c>
      <c r="S372" s="41" t="str">
        <f t="shared" si="188"/>
        <v/>
      </c>
      <c r="T372" s="41" t="str">
        <f t="shared" si="188"/>
        <v/>
      </c>
      <c r="U372" s="41" t="str">
        <f t="shared" si="189"/>
        <v/>
      </c>
      <c r="V372" s="41" t="str">
        <f t="shared" si="189"/>
        <v/>
      </c>
      <c r="W372" s="41" t="str">
        <f t="shared" si="189"/>
        <v/>
      </c>
      <c r="X372" s="41" t="str">
        <f t="shared" si="189"/>
        <v/>
      </c>
      <c r="Y372" s="41" t="str">
        <f t="shared" si="189"/>
        <v/>
      </c>
      <c r="Z372" s="41" t="str">
        <f t="shared" si="189"/>
        <v/>
      </c>
      <c r="AA372" s="41" t="str">
        <f t="shared" si="189"/>
        <v/>
      </c>
      <c r="AB372" s="41" t="str">
        <f t="shared" si="189"/>
        <v/>
      </c>
      <c r="AC372" s="41" t="str">
        <f t="shared" si="189"/>
        <v/>
      </c>
      <c r="AD372" s="41" t="str">
        <f t="shared" si="189"/>
        <v/>
      </c>
      <c r="AE372" s="41" t="str">
        <f t="shared" si="189"/>
        <v/>
      </c>
      <c r="AF372" s="41" t="str">
        <f t="shared" si="189"/>
        <v/>
      </c>
      <c r="AG372" s="41" t="str">
        <f t="shared" si="189"/>
        <v/>
      </c>
      <c r="AH372" s="41" t="str">
        <f t="shared" si="189"/>
        <v/>
      </c>
      <c r="AI372" s="41" t="str">
        <f t="shared" si="190"/>
        <v/>
      </c>
      <c r="AJ372" s="41" t="str">
        <f t="shared" si="190"/>
        <v/>
      </c>
      <c r="AK372" s="41" t="str">
        <f t="shared" si="190"/>
        <v/>
      </c>
      <c r="AL372" s="41" t="str">
        <f t="shared" si="190"/>
        <v/>
      </c>
      <c r="AM372" s="41" t="str">
        <f t="shared" si="190"/>
        <v/>
      </c>
      <c r="AN372" s="41" t="str">
        <f t="shared" si="190"/>
        <v/>
      </c>
      <c r="AO372" s="67" t="str">
        <f t="shared" si="191"/>
        <v>*</v>
      </c>
      <c r="AP372" s="68" t="str">
        <f t="shared" si="192"/>
        <v>D4Y</v>
      </c>
      <c r="AQ372">
        <f>IFERROR(MATCH(8,$R$285:$R$320,0),"")</f>
        <v>11</v>
      </c>
    </row>
    <row r="373" spans="2:43" ht="18" customHeight="1" x14ac:dyDescent="0.3">
      <c r="B373" s="42" t="str">
        <f t="shared" si="185"/>
        <v>U4θ</v>
      </c>
      <c r="C373" s="45">
        <f t="shared" si="186"/>
        <v>0</v>
      </c>
      <c r="D373" s="67" t="str">
        <f t="shared" si="187"/>
        <v>=</v>
      </c>
      <c r="E373" s="41">
        <f t="shared" si="188"/>
        <v>0</v>
      </c>
      <c r="F373" s="41">
        <f t="shared" si="188"/>
        <v>0</v>
      </c>
      <c r="G373" s="41">
        <f t="shared" si="188"/>
        <v>0</v>
      </c>
      <c r="H373" s="41">
        <f t="shared" si="188"/>
        <v>0</v>
      </c>
      <c r="I373" s="41">
        <f t="shared" si="188"/>
        <v>0</v>
      </c>
      <c r="J373" s="41">
        <f t="shared" si="188"/>
        <v>284765625</v>
      </c>
      <c r="K373" s="41">
        <f t="shared" si="188"/>
        <v>0</v>
      </c>
      <c r="L373" s="41">
        <f t="shared" si="188"/>
        <v>0</v>
      </c>
      <c r="M373" s="44">
        <f t="shared" si="188"/>
        <v>1139062500</v>
      </c>
      <c r="N373" s="41">
        <f t="shared" si="188"/>
        <v>284765625</v>
      </c>
      <c r="O373" s="41">
        <f t="shared" si="188"/>
        <v>0</v>
      </c>
      <c r="P373" s="41">
        <f t="shared" si="188"/>
        <v>0</v>
      </c>
      <c r="Q373" s="41">
        <f t="shared" si="188"/>
        <v>0</v>
      </c>
      <c r="R373" s="41">
        <f t="shared" si="188"/>
        <v>0</v>
      </c>
      <c r="S373" s="41" t="str">
        <f t="shared" si="188"/>
        <v/>
      </c>
      <c r="T373" s="41" t="str">
        <f t="shared" si="188"/>
        <v/>
      </c>
      <c r="U373" s="41" t="str">
        <f t="shared" si="189"/>
        <v/>
      </c>
      <c r="V373" s="41" t="str">
        <f t="shared" si="189"/>
        <v/>
      </c>
      <c r="W373" s="41" t="str">
        <f t="shared" si="189"/>
        <v/>
      </c>
      <c r="X373" s="41" t="str">
        <f t="shared" si="189"/>
        <v/>
      </c>
      <c r="Y373" s="41" t="str">
        <f t="shared" si="189"/>
        <v/>
      </c>
      <c r="Z373" s="41" t="str">
        <f t="shared" si="189"/>
        <v/>
      </c>
      <c r="AA373" s="41" t="str">
        <f t="shared" si="189"/>
        <v/>
      </c>
      <c r="AB373" s="41" t="str">
        <f t="shared" si="189"/>
        <v/>
      </c>
      <c r="AC373" s="41" t="str">
        <f t="shared" si="189"/>
        <v/>
      </c>
      <c r="AD373" s="41" t="str">
        <f t="shared" si="189"/>
        <v/>
      </c>
      <c r="AE373" s="41" t="str">
        <f t="shared" si="189"/>
        <v/>
      </c>
      <c r="AF373" s="41" t="str">
        <f t="shared" si="189"/>
        <v/>
      </c>
      <c r="AG373" s="41" t="str">
        <f t="shared" si="189"/>
        <v/>
      </c>
      <c r="AH373" s="41" t="str">
        <f t="shared" si="189"/>
        <v/>
      </c>
      <c r="AI373" s="41" t="str">
        <f t="shared" si="190"/>
        <v/>
      </c>
      <c r="AJ373" s="41" t="str">
        <f t="shared" si="190"/>
        <v/>
      </c>
      <c r="AK373" s="41" t="str">
        <f t="shared" si="190"/>
        <v/>
      </c>
      <c r="AL373" s="41" t="str">
        <f t="shared" si="190"/>
        <v/>
      </c>
      <c r="AM373" s="41" t="str">
        <f t="shared" si="190"/>
        <v/>
      </c>
      <c r="AN373" s="41" t="str">
        <f t="shared" si="190"/>
        <v/>
      </c>
      <c r="AO373" s="67" t="str">
        <f t="shared" si="191"/>
        <v>*</v>
      </c>
      <c r="AP373" s="68" t="str">
        <f t="shared" si="192"/>
        <v>D4θ</v>
      </c>
      <c r="AQ373">
        <f>IFERROR(MATCH(9,$R$285:$R$320,0),"")</f>
        <v>12</v>
      </c>
    </row>
    <row r="374" spans="2:43" ht="18" customHeight="1" x14ac:dyDescent="0.3">
      <c r="B374" s="42" t="str">
        <f t="shared" si="185"/>
        <v>U5θ</v>
      </c>
      <c r="C374" s="45">
        <f t="shared" si="186"/>
        <v>0</v>
      </c>
      <c r="D374" s="67" t="str">
        <f t="shared" si="187"/>
        <v>=</v>
      </c>
      <c r="E374" s="41">
        <f t="shared" si="188"/>
        <v>0</v>
      </c>
      <c r="F374" s="41">
        <f t="shared" si="188"/>
        <v>0</v>
      </c>
      <c r="G374" s="41">
        <f t="shared" si="188"/>
        <v>0</v>
      </c>
      <c r="H374" s="41">
        <f t="shared" si="188"/>
        <v>0</v>
      </c>
      <c r="I374" s="41">
        <f t="shared" si="188"/>
        <v>0</v>
      </c>
      <c r="J374" s="41">
        <f t="shared" si="188"/>
        <v>0</v>
      </c>
      <c r="K374" s="41">
        <f t="shared" si="188"/>
        <v>0</v>
      </c>
      <c r="L374" s="41">
        <f t="shared" si="188"/>
        <v>2135742.1875</v>
      </c>
      <c r="M374" s="41">
        <f t="shared" si="188"/>
        <v>284765625</v>
      </c>
      <c r="N374" s="44">
        <f t="shared" si="188"/>
        <v>1480781250</v>
      </c>
      <c r="O374" s="41">
        <f t="shared" si="188"/>
        <v>0</v>
      </c>
      <c r="P374" s="41">
        <f t="shared" si="188"/>
        <v>-5467500</v>
      </c>
      <c r="Q374" s="41">
        <f t="shared" si="188"/>
        <v>455625000</v>
      </c>
      <c r="R374" s="41">
        <f t="shared" si="188"/>
        <v>0</v>
      </c>
      <c r="S374" s="41" t="str">
        <f t="shared" si="188"/>
        <v/>
      </c>
      <c r="T374" s="41" t="str">
        <f t="shared" si="188"/>
        <v/>
      </c>
      <c r="U374" s="41" t="str">
        <f t="shared" si="189"/>
        <v/>
      </c>
      <c r="V374" s="41" t="str">
        <f t="shared" si="189"/>
        <v/>
      </c>
      <c r="W374" s="41" t="str">
        <f t="shared" si="189"/>
        <v/>
      </c>
      <c r="X374" s="41" t="str">
        <f t="shared" si="189"/>
        <v/>
      </c>
      <c r="Y374" s="41" t="str">
        <f t="shared" si="189"/>
        <v/>
      </c>
      <c r="Z374" s="41" t="str">
        <f t="shared" si="189"/>
        <v/>
      </c>
      <c r="AA374" s="41" t="str">
        <f t="shared" si="189"/>
        <v/>
      </c>
      <c r="AB374" s="41" t="str">
        <f t="shared" si="189"/>
        <v/>
      </c>
      <c r="AC374" s="41" t="str">
        <f t="shared" si="189"/>
        <v/>
      </c>
      <c r="AD374" s="41" t="str">
        <f t="shared" si="189"/>
        <v/>
      </c>
      <c r="AE374" s="41" t="str">
        <f t="shared" si="189"/>
        <v/>
      </c>
      <c r="AF374" s="41" t="str">
        <f t="shared" si="189"/>
        <v/>
      </c>
      <c r="AG374" s="41" t="str">
        <f t="shared" si="189"/>
        <v/>
      </c>
      <c r="AH374" s="41" t="str">
        <f t="shared" si="189"/>
        <v/>
      </c>
      <c r="AI374" s="41" t="str">
        <f t="shared" si="190"/>
        <v/>
      </c>
      <c r="AJ374" s="41" t="str">
        <f t="shared" si="190"/>
        <v/>
      </c>
      <c r="AK374" s="41" t="str">
        <f t="shared" si="190"/>
        <v/>
      </c>
      <c r="AL374" s="41" t="str">
        <f t="shared" si="190"/>
        <v/>
      </c>
      <c r="AM374" s="41" t="str">
        <f t="shared" si="190"/>
        <v/>
      </c>
      <c r="AN374" s="41" t="str">
        <f t="shared" si="190"/>
        <v/>
      </c>
      <c r="AO374" s="67" t="str">
        <f t="shared" si="191"/>
        <v>*</v>
      </c>
      <c r="AP374" s="68" t="str">
        <f t="shared" si="192"/>
        <v>D5θ</v>
      </c>
      <c r="AQ374">
        <f>IFERROR(MATCH(10,$R$285:$R$320,0),"")</f>
        <v>15</v>
      </c>
    </row>
    <row r="375" spans="2:43" ht="18" customHeight="1" x14ac:dyDescent="0.3">
      <c r="B375" s="42" t="str">
        <f t="shared" si="185"/>
        <v>U6X</v>
      </c>
      <c r="C375" s="45">
        <f t="shared" si="186"/>
        <v>0</v>
      </c>
      <c r="D375" s="67" t="str">
        <f t="shared" si="187"/>
        <v>=</v>
      </c>
      <c r="E375" s="41">
        <f t="shared" si="188"/>
        <v>0</v>
      </c>
      <c r="F375" s="41">
        <f t="shared" si="188"/>
        <v>0</v>
      </c>
      <c r="G375" s="41">
        <f t="shared" si="188"/>
        <v>0</v>
      </c>
      <c r="H375" s="41">
        <f t="shared" si="188"/>
        <v>0</v>
      </c>
      <c r="I375" s="41">
        <f t="shared" si="188"/>
        <v>0</v>
      </c>
      <c r="J375" s="41">
        <f t="shared" si="188"/>
        <v>0</v>
      </c>
      <c r="K375" s="41">
        <f t="shared" si="188"/>
        <v>0</v>
      </c>
      <c r="L375" s="41">
        <f t="shared" si="188"/>
        <v>0</v>
      </c>
      <c r="M375" s="41">
        <f t="shared" si="188"/>
        <v>0</v>
      </c>
      <c r="N375" s="41">
        <f t="shared" si="188"/>
        <v>0</v>
      </c>
      <c r="O375" s="44">
        <f t="shared" si="188"/>
        <v>2700000</v>
      </c>
      <c r="P375" s="41">
        <f t="shared" si="188"/>
        <v>0</v>
      </c>
      <c r="Q375" s="41">
        <f t="shared" si="188"/>
        <v>0</v>
      </c>
      <c r="R375" s="41">
        <f t="shared" si="188"/>
        <v>0</v>
      </c>
      <c r="S375" s="41" t="str">
        <f t="shared" si="188"/>
        <v/>
      </c>
      <c r="T375" s="41" t="str">
        <f t="shared" si="188"/>
        <v/>
      </c>
      <c r="U375" s="41" t="str">
        <f t="shared" si="189"/>
        <v/>
      </c>
      <c r="V375" s="41" t="str">
        <f t="shared" si="189"/>
        <v/>
      </c>
      <c r="W375" s="41" t="str">
        <f t="shared" si="189"/>
        <v/>
      </c>
      <c r="X375" s="41" t="str">
        <f t="shared" si="189"/>
        <v/>
      </c>
      <c r="Y375" s="41" t="str">
        <f t="shared" si="189"/>
        <v/>
      </c>
      <c r="Z375" s="41" t="str">
        <f t="shared" si="189"/>
        <v/>
      </c>
      <c r="AA375" s="41" t="str">
        <f t="shared" si="189"/>
        <v/>
      </c>
      <c r="AB375" s="41" t="str">
        <f t="shared" si="189"/>
        <v/>
      </c>
      <c r="AC375" s="41" t="str">
        <f t="shared" si="189"/>
        <v/>
      </c>
      <c r="AD375" s="41" t="str">
        <f t="shared" si="189"/>
        <v/>
      </c>
      <c r="AE375" s="41" t="str">
        <f t="shared" si="189"/>
        <v/>
      </c>
      <c r="AF375" s="41" t="str">
        <f t="shared" si="189"/>
        <v/>
      </c>
      <c r="AG375" s="41" t="str">
        <f t="shared" si="189"/>
        <v/>
      </c>
      <c r="AH375" s="41" t="str">
        <f t="shared" si="189"/>
        <v/>
      </c>
      <c r="AI375" s="41" t="str">
        <f t="shared" si="190"/>
        <v/>
      </c>
      <c r="AJ375" s="41" t="str">
        <f t="shared" si="190"/>
        <v/>
      </c>
      <c r="AK375" s="41" t="str">
        <f t="shared" si="190"/>
        <v/>
      </c>
      <c r="AL375" s="41" t="str">
        <f t="shared" si="190"/>
        <v/>
      </c>
      <c r="AM375" s="41" t="str">
        <f t="shared" si="190"/>
        <v/>
      </c>
      <c r="AN375" s="41" t="str">
        <f t="shared" si="190"/>
        <v/>
      </c>
      <c r="AO375" s="67" t="str">
        <f t="shared" si="191"/>
        <v>*</v>
      </c>
      <c r="AP375" s="68" t="str">
        <f t="shared" si="192"/>
        <v>D6X</v>
      </c>
      <c r="AQ375">
        <f>IFERROR(MATCH(11,$R$285:$R$320,0),"")</f>
        <v>16</v>
      </c>
    </row>
    <row r="376" spans="2:43" ht="18" customHeight="1" x14ac:dyDescent="0.3">
      <c r="B376" s="42" t="str">
        <f t="shared" si="185"/>
        <v>U6Y</v>
      </c>
      <c r="C376" s="45">
        <f t="shared" si="186"/>
        <v>0</v>
      </c>
      <c r="D376" s="67" t="str">
        <f t="shared" si="187"/>
        <v>=</v>
      </c>
      <c r="E376" s="41">
        <f t="shared" si="188"/>
        <v>0</v>
      </c>
      <c r="F376" s="41">
        <f t="shared" si="188"/>
        <v>0</v>
      </c>
      <c r="G376" s="41">
        <f t="shared" si="188"/>
        <v>0</v>
      </c>
      <c r="H376" s="41">
        <f t="shared" si="188"/>
        <v>0</v>
      </c>
      <c r="I376" s="41">
        <f t="shared" si="188"/>
        <v>0</v>
      </c>
      <c r="J376" s="41">
        <f t="shared" si="188"/>
        <v>0</v>
      </c>
      <c r="K376" s="41">
        <f t="shared" si="188"/>
        <v>0</v>
      </c>
      <c r="L376" s="41">
        <f t="shared" si="188"/>
        <v>0</v>
      </c>
      <c r="M376" s="41">
        <f t="shared" si="188"/>
        <v>0</v>
      </c>
      <c r="N376" s="41">
        <f t="shared" si="188"/>
        <v>-5467500</v>
      </c>
      <c r="O376" s="41">
        <f t="shared" si="188"/>
        <v>0</v>
      </c>
      <c r="P376" s="44">
        <f t="shared" si="188"/>
        <v>87480</v>
      </c>
      <c r="Q376" s="41">
        <f t="shared" si="188"/>
        <v>0</v>
      </c>
      <c r="R376" s="41">
        <f t="shared" si="188"/>
        <v>5467500</v>
      </c>
      <c r="S376" s="41" t="str">
        <f t="shared" si="188"/>
        <v/>
      </c>
      <c r="T376" s="41" t="str">
        <f t="shared" si="188"/>
        <v/>
      </c>
      <c r="U376" s="41" t="str">
        <f t="shared" si="189"/>
        <v/>
      </c>
      <c r="V376" s="41" t="str">
        <f t="shared" si="189"/>
        <v/>
      </c>
      <c r="W376" s="41" t="str">
        <f t="shared" si="189"/>
        <v/>
      </c>
      <c r="X376" s="41" t="str">
        <f t="shared" si="189"/>
        <v/>
      </c>
      <c r="Y376" s="41" t="str">
        <f t="shared" si="189"/>
        <v/>
      </c>
      <c r="Z376" s="41" t="str">
        <f t="shared" si="189"/>
        <v/>
      </c>
      <c r="AA376" s="41" t="str">
        <f t="shared" si="189"/>
        <v/>
      </c>
      <c r="AB376" s="41" t="str">
        <f t="shared" si="189"/>
        <v/>
      </c>
      <c r="AC376" s="41" t="str">
        <f t="shared" si="189"/>
        <v/>
      </c>
      <c r="AD376" s="41" t="str">
        <f t="shared" si="189"/>
        <v/>
      </c>
      <c r="AE376" s="41" t="str">
        <f t="shared" si="189"/>
        <v/>
      </c>
      <c r="AF376" s="41" t="str">
        <f t="shared" si="189"/>
        <v/>
      </c>
      <c r="AG376" s="41" t="str">
        <f t="shared" si="189"/>
        <v/>
      </c>
      <c r="AH376" s="41" t="str">
        <f t="shared" si="189"/>
        <v/>
      </c>
      <c r="AI376" s="41" t="str">
        <f t="shared" si="190"/>
        <v/>
      </c>
      <c r="AJ376" s="41" t="str">
        <f t="shared" si="190"/>
        <v/>
      </c>
      <c r="AK376" s="41" t="str">
        <f t="shared" si="190"/>
        <v/>
      </c>
      <c r="AL376" s="41" t="str">
        <f t="shared" si="190"/>
        <v/>
      </c>
      <c r="AM376" s="41" t="str">
        <f t="shared" si="190"/>
        <v/>
      </c>
      <c r="AN376" s="41" t="str">
        <f t="shared" si="190"/>
        <v/>
      </c>
      <c r="AO376" s="67" t="str">
        <f t="shared" si="191"/>
        <v>*</v>
      </c>
      <c r="AP376" s="68" t="str">
        <f t="shared" si="192"/>
        <v>D6Y</v>
      </c>
      <c r="AQ376">
        <f>IFERROR(MATCH(12,$R$285:$R$320,0),"")</f>
        <v>17</v>
      </c>
    </row>
    <row r="377" spans="2:43" ht="18" customHeight="1" x14ac:dyDescent="0.3">
      <c r="B377" s="42" t="str">
        <f t="shared" si="185"/>
        <v>U6θ</v>
      </c>
      <c r="C377" s="45">
        <f t="shared" si="186"/>
        <v>-80000</v>
      </c>
      <c r="D377" s="67" t="str">
        <f t="shared" si="187"/>
        <v>=</v>
      </c>
      <c r="E377" s="41">
        <f t="shared" si="188"/>
        <v>0</v>
      </c>
      <c r="F377" s="41">
        <f t="shared" si="188"/>
        <v>0</v>
      </c>
      <c r="G377" s="41">
        <f t="shared" si="188"/>
        <v>0</v>
      </c>
      <c r="H377" s="41">
        <f t="shared" si="188"/>
        <v>0</v>
      </c>
      <c r="I377" s="41">
        <f t="shared" si="188"/>
        <v>0</v>
      </c>
      <c r="J377" s="41">
        <f t="shared" si="188"/>
        <v>0</v>
      </c>
      <c r="K377" s="41">
        <f t="shared" si="188"/>
        <v>0</v>
      </c>
      <c r="L377" s="41">
        <f t="shared" si="188"/>
        <v>0</v>
      </c>
      <c r="M377" s="41">
        <f t="shared" si="188"/>
        <v>0</v>
      </c>
      <c r="N377" s="41">
        <f t="shared" si="188"/>
        <v>455625000</v>
      </c>
      <c r="O377" s="41">
        <f t="shared" si="188"/>
        <v>0</v>
      </c>
      <c r="P377" s="41">
        <f t="shared" si="188"/>
        <v>0</v>
      </c>
      <c r="Q377" s="44">
        <f t="shared" si="188"/>
        <v>1822500000</v>
      </c>
      <c r="R377" s="41">
        <f t="shared" si="188"/>
        <v>455625000</v>
      </c>
      <c r="S377" s="41" t="str">
        <f t="shared" si="188"/>
        <v/>
      </c>
      <c r="T377" s="41" t="str">
        <f t="shared" si="188"/>
        <v/>
      </c>
      <c r="U377" s="41" t="str">
        <f t="shared" si="189"/>
        <v/>
      </c>
      <c r="V377" s="41" t="str">
        <f t="shared" si="189"/>
        <v/>
      </c>
      <c r="W377" s="41" t="str">
        <f t="shared" si="189"/>
        <v/>
      </c>
      <c r="X377" s="41" t="str">
        <f t="shared" si="189"/>
        <v/>
      </c>
      <c r="Y377" s="41" t="str">
        <f t="shared" si="189"/>
        <v/>
      </c>
      <c r="Z377" s="41" t="str">
        <f t="shared" si="189"/>
        <v/>
      </c>
      <c r="AA377" s="41" t="str">
        <f t="shared" si="189"/>
        <v/>
      </c>
      <c r="AB377" s="41" t="str">
        <f t="shared" si="189"/>
        <v/>
      </c>
      <c r="AC377" s="41" t="str">
        <f t="shared" si="189"/>
        <v/>
      </c>
      <c r="AD377" s="41" t="str">
        <f t="shared" si="189"/>
        <v/>
      </c>
      <c r="AE377" s="41" t="str">
        <f t="shared" si="189"/>
        <v/>
      </c>
      <c r="AF377" s="41" t="str">
        <f t="shared" si="189"/>
        <v/>
      </c>
      <c r="AG377" s="41" t="str">
        <f t="shared" si="189"/>
        <v/>
      </c>
      <c r="AH377" s="41" t="str">
        <f t="shared" si="189"/>
        <v/>
      </c>
      <c r="AI377" s="41" t="str">
        <f t="shared" si="190"/>
        <v/>
      </c>
      <c r="AJ377" s="41" t="str">
        <f t="shared" si="190"/>
        <v/>
      </c>
      <c r="AK377" s="41" t="str">
        <f t="shared" si="190"/>
        <v/>
      </c>
      <c r="AL377" s="41" t="str">
        <f t="shared" si="190"/>
        <v/>
      </c>
      <c r="AM377" s="41" t="str">
        <f t="shared" si="190"/>
        <v/>
      </c>
      <c r="AN377" s="41" t="str">
        <f t="shared" si="190"/>
        <v/>
      </c>
      <c r="AO377" s="67" t="str">
        <f t="shared" si="191"/>
        <v>*</v>
      </c>
      <c r="AP377" s="68" t="str">
        <f t="shared" si="192"/>
        <v>D6θ</v>
      </c>
      <c r="AQ377">
        <f>IFERROR(MATCH(13,$R$285:$R$320,0),"")</f>
        <v>18</v>
      </c>
    </row>
    <row r="378" spans="2:43" ht="18" customHeight="1" x14ac:dyDescent="0.3">
      <c r="B378" s="42" t="str">
        <f t="shared" si="185"/>
        <v>U7θ</v>
      </c>
      <c r="C378" s="45">
        <f t="shared" si="186"/>
        <v>0</v>
      </c>
      <c r="D378" s="67" t="str">
        <f t="shared" si="187"/>
        <v>=</v>
      </c>
      <c r="E378" s="41">
        <f t="shared" si="188"/>
        <v>0</v>
      </c>
      <c r="F378" s="41">
        <f t="shared" si="188"/>
        <v>0</v>
      </c>
      <c r="G378" s="41">
        <f t="shared" si="188"/>
        <v>0</v>
      </c>
      <c r="H378" s="41">
        <f t="shared" si="188"/>
        <v>0</v>
      </c>
      <c r="I378" s="41">
        <f t="shared" si="188"/>
        <v>0</v>
      </c>
      <c r="J378" s="41">
        <f t="shared" si="188"/>
        <v>0</v>
      </c>
      <c r="K378" s="41">
        <f t="shared" si="188"/>
        <v>0</v>
      </c>
      <c r="L378" s="41">
        <f t="shared" si="188"/>
        <v>0</v>
      </c>
      <c r="M378" s="41">
        <f t="shared" si="188"/>
        <v>0</v>
      </c>
      <c r="N378" s="41">
        <f t="shared" si="188"/>
        <v>0</v>
      </c>
      <c r="O378" s="41">
        <f t="shared" si="188"/>
        <v>0</v>
      </c>
      <c r="P378" s="41">
        <f t="shared" si="188"/>
        <v>5467500</v>
      </c>
      <c r="Q378" s="41">
        <f t="shared" si="188"/>
        <v>455625000</v>
      </c>
      <c r="R378" s="44">
        <f t="shared" si="188"/>
        <v>911250000</v>
      </c>
      <c r="S378" s="41" t="str">
        <f t="shared" si="188"/>
        <v/>
      </c>
      <c r="T378" s="41" t="str">
        <f t="shared" si="188"/>
        <v/>
      </c>
      <c r="U378" s="41" t="str">
        <f t="shared" si="189"/>
        <v/>
      </c>
      <c r="V378" s="41" t="str">
        <f t="shared" si="189"/>
        <v/>
      </c>
      <c r="W378" s="41" t="str">
        <f t="shared" si="189"/>
        <v/>
      </c>
      <c r="X378" s="41" t="str">
        <f t="shared" si="189"/>
        <v/>
      </c>
      <c r="Y378" s="41" t="str">
        <f t="shared" si="189"/>
        <v/>
      </c>
      <c r="Z378" s="41" t="str">
        <f t="shared" si="189"/>
        <v/>
      </c>
      <c r="AA378" s="41" t="str">
        <f t="shared" si="189"/>
        <v/>
      </c>
      <c r="AB378" s="41" t="str">
        <f t="shared" si="189"/>
        <v/>
      </c>
      <c r="AC378" s="41" t="str">
        <f t="shared" si="189"/>
        <v/>
      </c>
      <c r="AD378" s="41" t="str">
        <f t="shared" si="189"/>
        <v/>
      </c>
      <c r="AE378" s="41" t="str">
        <f t="shared" si="189"/>
        <v/>
      </c>
      <c r="AF378" s="41" t="str">
        <f t="shared" si="189"/>
        <v/>
      </c>
      <c r="AG378" s="41" t="str">
        <f t="shared" si="189"/>
        <v/>
      </c>
      <c r="AH378" s="41" t="str">
        <f t="shared" si="189"/>
        <v/>
      </c>
      <c r="AI378" s="41" t="str">
        <f t="shared" si="190"/>
        <v/>
      </c>
      <c r="AJ378" s="41" t="str">
        <f t="shared" si="190"/>
        <v/>
      </c>
      <c r="AK378" s="41" t="str">
        <f t="shared" si="190"/>
        <v/>
      </c>
      <c r="AL378" s="41" t="str">
        <f t="shared" si="190"/>
        <v/>
      </c>
      <c r="AM378" s="41" t="str">
        <f t="shared" si="190"/>
        <v/>
      </c>
      <c r="AN378" s="41" t="str">
        <f t="shared" si="190"/>
        <v/>
      </c>
      <c r="AO378" s="67" t="str">
        <f t="shared" si="191"/>
        <v>*</v>
      </c>
      <c r="AP378" s="68" t="str">
        <f t="shared" si="192"/>
        <v>D7θ</v>
      </c>
      <c r="AQ378">
        <f>IFERROR(MATCH(14,$R$285:$R$320,0),"")</f>
        <v>21</v>
      </c>
    </row>
    <row r="379" spans="2:43" ht="18" customHeight="1" x14ac:dyDescent="0.3">
      <c r="B379" s="42" t="str">
        <f t="shared" si="185"/>
        <v/>
      </c>
      <c r="C379" s="45" t="str">
        <f t="shared" si="186"/>
        <v/>
      </c>
      <c r="D379" s="67" t="str">
        <f t="shared" si="187"/>
        <v/>
      </c>
      <c r="E379" s="41" t="str">
        <f t="shared" si="188"/>
        <v/>
      </c>
      <c r="F379" s="41" t="str">
        <f t="shared" si="188"/>
        <v/>
      </c>
      <c r="G379" s="41" t="str">
        <f t="shared" si="188"/>
        <v/>
      </c>
      <c r="H379" s="41" t="str">
        <f t="shared" si="188"/>
        <v/>
      </c>
      <c r="I379" s="41" t="str">
        <f t="shared" si="188"/>
        <v/>
      </c>
      <c r="J379" s="41" t="str">
        <f t="shared" si="188"/>
        <v/>
      </c>
      <c r="K379" s="41" t="str">
        <f t="shared" si="188"/>
        <v/>
      </c>
      <c r="L379" s="41" t="str">
        <f t="shared" si="188"/>
        <v/>
      </c>
      <c r="M379" s="41" t="str">
        <f t="shared" si="188"/>
        <v/>
      </c>
      <c r="N379" s="41" t="str">
        <f t="shared" si="188"/>
        <v/>
      </c>
      <c r="O379" s="41" t="str">
        <f t="shared" si="188"/>
        <v/>
      </c>
      <c r="P379" s="41" t="str">
        <f t="shared" si="188"/>
        <v/>
      </c>
      <c r="Q379" s="41" t="str">
        <f t="shared" si="188"/>
        <v/>
      </c>
      <c r="R379" s="41" t="str">
        <f t="shared" si="188"/>
        <v/>
      </c>
      <c r="S379" s="44" t="str">
        <f t="shared" si="188"/>
        <v/>
      </c>
      <c r="T379" s="41" t="str">
        <f t="shared" si="188"/>
        <v/>
      </c>
      <c r="U379" s="41" t="str">
        <f t="shared" si="189"/>
        <v/>
      </c>
      <c r="V379" s="41" t="str">
        <f t="shared" si="189"/>
        <v/>
      </c>
      <c r="W379" s="41" t="str">
        <f t="shared" si="189"/>
        <v/>
      </c>
      <c r="X379" s="41" t="str">
        <f t="shared" si="189"/>
        <v/>
      </c>
      <c r="Y379" s="41" t="str">
        <f t="shared" si="189"/>
        <v/>
      </c>
      <c r="Z379" s="41" t="str">
        <f t="shared" si="189"/>
        <v/>
      </c>
      <c r="AA379" s="41" t="str">
        <f t="shared" si="189"/>
        <v/>
      </c>
      <c r="AB379" s="41" t="str">
        <f t="shared" si="189"/>
        <v/>
      </c>
      <c r="AC379" s="41" t="str">
        <f t="shared" si="189"/>
        <v/>
      </c>
      <c r="AD379" s="41" t="str">
        <f t="shared" si="189"/>
        <v/>
      </c>
      <c r="AE379" s="41" t="str">
        <f t="shared" si="189"/>
        <v/>
      </c>
      <c r="AF379" s="41" t="str">
        <f t="shared" si="189"/>
        <v/>
      </c>
      <c r="AG379" s="41" t="str">
        <f t="shared" si="189"/>
        <v/>
      </c>
      <c r="AH379" s="41" t="str">
        <f t="shared" si="189"/>
        <v/>
      </c>
      <c r="AI379" s="41" t="str">
        <f t="shared" si="190"/>
        <v/>
      </c>
      <c r="AJ379" s="41" t="str">
        <f t="shared" si="190"/>
        <v/>
      </c>
      <c r="AK379" s="41" t="str">
        <f t="shared" si="190"/>
        <v/>
      </c>
      <c r="AL379" s="41" t="str">
        <f t="shared" si="190"/>
        <v/>
      </c>
      <c r="AM379" s="41" t="str">
        <f t="shared" si="190"/>
        <v/>
      </c>
      <c r="AN379" s="41" t="str">
        <f t="shared" si="190"/>
        <v/>
      </c>
      <c r="AO379" s="67" t="str">
        <f t="shared" si="191"/>
        <v/>
      </c>
      <c r="AP379" s="68" t="str">
        <f t="shared" si="192"/>
        <v/>
      </c>
      <c r="AQ379" t="str">
        <f>IFERROR(MATCH(15,$R$285:$R$320,0),"")</f>
        <v/>
      </c>
    </row>
    <row r="380" spans="2:43" ht="18" customHeight="1" x14ac:dyDescent="0.3">
      <c r="B380" s="42" t="str">
        <f t="shared" si="185"/>
        <v/>
      </c>
      <c r="C380" s="45" t="str">
        <f t="shared" si="186"/>
        <v/>
      </c>
      <c r="D380" s="67" t="str">
        <f t="shared" si="187"/>
        <v/>
      </c>
      <c r="E380" s="41" t="str">
        <f t="shared" si="188"/>
        <v/>
      </c>
      <c r="F380" s="41" t="str">
        <f t="shared" si="188"/>
        <v/>
      </c>
      <c r="G380" s="41" t="str">
        <f t="shared" si="188"/>
        <v/>
      </c>
      <c r="H380" s="41" t="str">
        <f t="shared" si="188"/>
        <v/>
      </c>
      <c r="I380" s="41" t="str">
        <f t="shared" si="188"/>
        <v/>
      </c>
      <c r="J380" s="41" t="str">
        <f t="shared" si="188"/>
        <v/>
      </c>
      <c r="K380" s="41" t="str">
        <f t="shared" si="188"/>
        <v/>
      </c>
      <c r="L380" s="41" t="str">
        <f t="shared" si="188"/>
        <v/>
      </c>
      <c r="M380" s="41" t="str">
        <f t="shared" si="188"/>
        <v/>
      </c>
      <c r="N380" s="41" t="str">
        <f t="shared" si="188"/>
        <v/>
      </c>
      <c r="O380" s="41" t="str">
        <f t="shared" si="188"/>
        <v/>
      </c>
      <c r="P380" s="41" t="str">
        <f t="shared" si="188"/>
        <v/>
      </c>
      <c r="Q380" s="41" t="str">
        <f t="shared" si="188"/>
        <v/>
      </c>
      <c r="R380" s="41" t="str">
        <f t="shared" si="188"/>
        <v/>
      </c>
      <c r="S380" s="41" t="str">
        <f t="shared" si="188"/>
        <v/>
      </c>
      <c r="T380" s="44" t="str">
        <f t="shared" ref="O380:AD395" si="193">IF(OR($AQ380="",T$362=""),"",INDEX($C$245:$AL$280,$AQ380,T$362))</f>
        <v/>
      </c>
      <c r="U380" s="41" t="str">
        <f t="shared" si="193"/>
        <v/>
      </c>
      <c r="V380" s="41" t="str">
        <f t="shared" si="193"/>
        <v/>
      </c>
      <c r="W380" s="41" t="str">
        <f t="shared" si="193"/>
        <v/>
      </c>
      <c r="X380" s="41" t="str">
        <f t="shared" si="193"/>
        <v/>
      </c>
      <c r="Y380" s="41" t="str">
        <f t="shared" si="189"/>
        <v/>
      </c>
      <c r="Z380" s="41" t="str">
        <f t="shared" si="189"/>
        <v/>
      </c>
      <c r="AA380" s="41" t="str">
        <f t="shared" si="189"/>
        <v/>
      </c>
      <c r="AB380" s="41" t="str">
        <f t="shared" si="189"/>
        <v/>
      </c>
      <c r="AC380" s="41" t="str">
        <f t="shared" si="189"/>
        <v/>
      </c>
      <c r="AD380" s="41" t="str">
        <f t="shared" si="189"/>
        <v/>
      </c>
      <c r="AE380" s="41" t="str">
        <f t="shared" si="189"/>
        <v/>
      </c>
      <c r="AF380" s="41" t="str">
        <f t="shared" si="189"/>
        <v/>
      </c>
      <c r="AG380" s="41" t="str">
        <f t="shared" si="189"/>
        <v/>
      </c>
      <c r="AH380" s="41" t="str">
        <f t="shared" si="189"/>
        <v/>
      </c>
      <c r="AI380" s="41" t="str">
        <f t="shared" si="190"/>
        <v/>
      </c>
      <c r="AJ380" s="41" t="str">
        <f t="shared" si="190"/>
        <v/>
      </c>
      <c r="AK380" s="41" t="str">
        <f t="shared" si="190"/>
        <v/>
      </c>
      <c r="AL380" s="41" t="str">
        <f t="shared" si="190"/>
        <v/>
      </c>
      <c r="AM380" s="41" t="str">
        <f t="shared" si="190"/>
        <v/>
      </c>
      <c r="AN380" s="41" t="str">
        <f t="shared" si="190"/>
        <v/>
      </c>
      <c r="AO380" s="67" t="str">
        <f t="shared" si="191"/>
        <v/>
      </c>
      <c r="AP380" s="68" t="str">
        <f t="shared" si="192"/>
        <v/>
      </c>
      <c r="AQ380" t="str">
        <f>IFERROR(MATCH(16,$R$285:$R$320,0),"")</f>
        <v/>
      </c>
    </row>
    <row r="381" spans="2:43" ht="18" customHeight="1" x14ac:dyDescent="0.3">
      <c r="B381" s="42" t="str">
        <f t="shared" si="185"/>
        <v/>
      </c>
      <c r="C381" s="45" t="str">
        <f t="shared" si="186"/>
        <v/>
      </c>
      <c r="D381" s="67" t="str">
        <f t="shared" si="187"/>
        <v/>
      </c>
      <c r="E381" s="41" t="str">
        <f t="shared" ref="E381:T396" si="194">IF(OR($AQ381="",E$362=""),"",INDEX($C$245:$AL$280,$AQ381,E$362))</f>
        <v/>
      </c>
      <c r="F381" s="41" t="str">
        <f t="shared" si="194"/>
        <v/>
      </c>
      <c r="G381" s="41" t="str">
        <f t="shared" si="194"/>
        <v/>
      </c>
      <c r="H381" s="41" t="str">
        <f t="shared" si="194"/>
        <v/>
      </c>
      <c r="I381" s="41" t="str">
        <f t="shared" si="194"/>
        <v/>
      </c>
      <c r="J381" s="41" t="str">
        <f t="shared" si="194"/>
        <v/>
      </c>
      <c r="K381" s="41" t="str">
        <f t="shared" si="194"/>
        <v/>
      </c>
      <c r="L381" s="41" t="str">
        <f t="shared" si="194"/>
        <v/>
      </c>
      <c r="M381" s="41" t="str">
        <f t="shared" si="194"/>
        <v/>
      </c>
      <c r="N381" s="41" t="str">
        <f t="shared" si="194"/>
        <v/>
      </c>
      <c r="O381" s="41" t="str">
        <f t="shared" si="193"/>
        <v/>
      </c>
      <c r="P381" s="41" t="str">
        <f t="shared" si="193"/>
        <v/>
      </c>
      <c r="Q381" s="41" t="str">
        <f t="shared" si="193"/>
        <v/>
      </c>
      <c r="R381" s="41" t="str">
        <f t="shared" si="193"/>
        <v/>
      </c>
      <c r="S381" s="41" t="str">
        <f t="shared" si="193"/>
        <v/>
      </c>
      <c r="T381" s="41" t="str">
        <f t="shared" si="193"/>
        <v/>
      </c>
      <c r="U381" s="44" t="str">
        <f t="shared" si="193"/>
        <v/>
      </c>
      <c r="V381" s="41" t="str">
        <f t="shared" si="193"/>
        <v/>
      </c>
      <c r="W381" s="41" t="str">
        <f t="shared" si="193"/>
        <v/>
      </c>
      <c r="X381" s="41" t="str">
        <f t="shared" si="193"/>
        <v/>
      </c>
      <c r="Y381" s="41" t="str">
        <f t="shared" si="193"/>
        <v/>
      </c>
      <c r="Z381" s="41" t="str">
        <f t="shared" si="193"/>
        <v/>
      </c>
      <c r="AA381" s="41" t="str">
        <f t="shared" si="193"/>
        <v/>
      </c>
      <c r="AB381" s="41" t="str">
        <f t="shared" si="193"/>
        <v/>
      </c>
      <c r="AC381" s="41" t="str">
        <f t="shared" si="193"/>
        <v/>
      </c>
      <c r="AD381" s="41" t="str">
        <f t="shared" si="193"/>
        <v/>
      </c>
      <c r="AE381" s="41" t="str">
        <f t="shared" ref="Y381:AN396" si="195">IF(OR($AQ381="",AE$362=""),"",INDEX($C$245:$AL$280,$AQ381,AE$362))</f>
        <v/>
      </c>
      <c r="AF381" s="41" t="str">
        <f t="shared" si="195"/>
        <v/>
      </c>
      <c r="AG381" s="41" t="str">
        <f t="shared" si="195"/>
        <v/>
      </c>
      <c r="AH381" s="41" t="str">
        <f t="shared" si="195"/>
        <v/>
      </c>
      <c r="AI381" s="41" t="str">
        <f t="shared" si="195"/>
        <v/>
      </c>
      <c r="AJ381" s="41" t="str">
        <f t="shared" si="195"/>
        <v/>
      </c>
      <c r="AK381" s="41" t="str">
        <f t="shared" si="195"/>
        <v/>
      </c>
      <c r="AL381" s="41" t="str">
        <f t="shared" si="195"/>
        <v/>
      </c>
      <c r="AM381" s="41" t="str">
        <f t="shared" si="195"/>
        <v/>
      </c>
      <c r="AN381" s="41" t="str">
        <f t="shared" si="195"/>
        <v/>
      </c>
      <c r="AO381" s="67" t="str">
        <f t="shared" si="191"/>
        <v/>
      </c>
      <c r="AP381" s="68" t="str">
        <f t="shared" si="192"/>
        <v/>
      </c>
      <c r="AQ381" t="str">
        <f>IFERROR(MATCH(17,$R$285:$R$320,0),"")</f>
        <v/>
      </c>
    </row>
    <row r="382" spans="2:43" ht="18" customHeight="1" x14ac:dyDescent="0.3">
      <c r="B382" s="42" t="str">
        <f t="shared" si="185"/>
        <v/>
      </c>
      <c r="C382" s="45" t="str">
        <f t="shared" si="186"/>
        <v/>
      </c>
      <c r="D382" s="67" t="str">
        <f t="shared" si="187"/>
        <v/>
      </c>
      <c r="E382" s="41" t="str">
        <f t="shared" si="194"/>
        <v/>
      </c>
      <c r="F382" s="41" t="str">
        <f t="shared" si="194"/>
        <v/>
      </c>
      <c r="G382" s="41" t="str">
        <f t="shared" si="194"/>
        <v/>
      </c>
      <c r="H382" s="41" t="str">
        <f t="shared" si="194"/>
        <v/>
      </c>
      <c r="I382" s="41" t="str">
        <f t="shared" si="194"/>
        <v/>
      </c>
      <c r="J382" s="41" t="str">
        <f t="shared" si="194"/>
        <v/>
      </c>
      <c r="K382" s="41" t="str">
        <f t="shared" si="194"/>
        <v/>
      </c>
      <c r="L382" s="41" t="str">
        <f t="shared" si="194"/>
        <v/>
      </c>
      <c r="M382" s="41" t="str">
        <f t="shared" si="194"/>
        <v/>
      </c>
      <c r="N382" s="41" t="str">
        <f t="shared" si="194"/>
        <v/>
      </c>
      <c r="O382" s="41" t="str">
        <f t="shared" si="193"/>
        <v/>
      </c>
      <c r="P382" s="41" t="str">
        <f t="shared" si="193"/>
        <v/>
      </c>
      <c r="Q382" s="41" t="str">
        <f t="shared" si="193"/>
        <v/>
      </c>
      <c r="R382" s="41" t="str">
        <f t="shared" si="193"/>
        <v/>
      </c>
      <c r="S382" s="41" t="str">
        <f t="shared" si="193"/>
        <v/>
      </c>
      <c r="T382" s="41" t="str">
        <f t="shared" si="193"/>
        <v/>
      </c>
      <c r="U382" s="41" t="str">
        <f t="shared" si="193"/>
        <v/>
      </c>
      <c r="V382" s="44" t="str">
        <f t="shared" si="193"/>
        <v/>
      </c>
      <c r="W382" s="41" t="str">
        <f t="shared" si="193"/>
        <v/>
      </c>
      <c r="X382" s="41" t="str">
        <f t="shared" si="193"/>
        <v/>
      </c>
      <c r="Y382" s="41" t="str">
        <f t="shared" si="195"/>
        <v/>
      </c>
      <c r="Z382" s="41" t="str">
        <f t="shared" si="195"/>
        <v/>
      </c>
      <c r="AA382" s="41" t="str">
        <f t="shared" si="195"/>
        <v/>
      </c>
      <c r="AB382" s="41" t="str">
        <f t="shared" si="195"/>
        <v/>
      </c>
      <c r="AC382" s="41" t="str">
        <f t="shared" si="195"/>
        <v/>
      </c>
      <c r="AD382" s="41" t="str">
        <f t="shared" si="195"/>
        <v/>
      </c>
      <c r="AE382" s="41" t="str">
        <f t="shared" si="195"/>
        <v/>
      </c>
      <c r="AF382" s="41" t="str">
        <f t="shared" si="195"/>
        <v/>
      </c>
      <c r="AG382" s="41" t="str">
        <f t="shared" si="195"/>
        <v/>
      </c>
      <c r="AH382" s="41" t="str">
        <f t="shared" si="195"/>
        <v/>
      </c>
      <c r="AI382" s="41" t="str">
        <f t="shared" si="195"/>
        <v/>
      </c>
      <c r="AJ382" s="41" t="str">
        <f t="shared" si="195"/>
        <v/>
      </c>
      <c r="AK382" s="41" t="str">
        <f t="shared" si="195"/>
        <v/>
      </c>
      <c r="AL382" s="41" t="str">
        <f t="shared" si="195"/>
        <v/>
      </c>
      <c r="AM382" s="41" t="str">
        <f t="shared" si="195"/>
        <v/>
      </c>
      <c r="AN382" s="41" t="str">
        <f t="shared" si="195"/>
        <v/>
      </c>
      <c r="AO382" s="67" t="str">
        <f t="shared" si="191"/>
        <v/>
      </c>
      <c r="AP382" s="68" t="str">
        <f t="shared" si="192"/>
        <v/>
      </c>
      <c r="AQ382" t="str">
        <f>IFERROR(MATCH(18,$R$285:$R$320,0),"")</f>
        <v/>
      </c>
    </row>
    <row r="383" spans="2:43" ht="18" customHeight="1" x14ac:dyDescent="0.3">
      <c r="B383" s="42" t="str">
        <f t="shared" si="185"/>
        <v/>
      </c>
      <c r="C383" s="45" t="str">
        <f t="shared" si="186"/>
        <v/>
      </c>
      <c r="D383" s="67" t="str">
        <f t="shared" si="187"/>
        <v/>
      </c>
      <c r="E383" s="41" t="str">
        <f t="shared" si="194"/>
        <v/>
      </c>
      <c r="F383" s="41" t="str">
        <f t="shared" si="194"/>
        <v/>
      </c>
      <c r="G383" s="41" t="str">
        <f t="shared" si="194"/>
        <v/>
      </c>
      <c r="H383" s="41" t="str">
        <f t="shared" si="194"/>
        <v/>
      </c>
      <c r="I383" s="41" t="str">
        <f t="shared" si="194"/>
        <v/>
      </c>
      <c r="J383" s="41" t="str">
        <f t="shared" si="194"/>
        <v/>
      </c>
      <c r="K383" s="41" t="str">
        <f t="shared" si="194"/>
        <v/>
      </c>
      <c r="L383" s="41" t="str">
        <f t="shared" si="194"/>
        <v/>
      </c>
      <c r="M383" s="41" t="str">
        <f t="shared" si="194"/>
        <v/>
      </c>
      <c r="N383" s="41" t="str">
        <f t="shared" si="194"/>
        <v/>
      </c>
      <c r="O383" s="41" t="str">
        <f t="shared" si="193"/>
        <v/>
      </c>
      <c r="P383" s="41" t="str">
        <f t="shared" si="193"/>
        <v/>
      </c>
      <c r="Q383" s="41" t="str">
        <f t="shared" si="193"/>
        <v/>
      </c>
      <c r="R383" s="41" t="str">
        <f t="shared" si="193"/>
        <v/>
      </c>
      <c r="S383" s="41" t="str">
        <f t="shared" si="193"/>
        <v/>
      </c>
      <c r="T383" s="41" t="str">
        <f t="shared" si="193"/>
        <v/>
      </c>
      <c r="U383" s="41" t="str">
        <f t="shared" si="193"/>
        <v/>
      </c>
      <c r="V383" s="41" t="str">
        <f t="shared" si="193"/>
        <v/>
      </c>
      <c r="W383" s="44" t="str">
        <f t="shared" si="193"/>
        <v/>
      </c>
      <c r="X383" s="41" t="str">
        <f t="shared" si="193"/>
        <v/>
      </c>
      <c r="Y383" s="41" t="str">
        <f t="shared" si="195"/>
        <v/>
      </c>
      <c r="Z383" s="41" t="str">
        <f t="shared" si="195"/>
        <v/>
      </c>
      <c r="AA383" s="41" t="str">
        <f t="shared" si="195"/>
        <v/>
      </c>
      <c r="AB383" s="41" t="str">
        <f t="shared" si="195"/>
        <v/>
      </c>
      <c r="AC383" s="41" t="str">
        <f t="shared" si="195"/>
        <v/>
      </c>
      <c r="AD383" s="41" t="str">
        <f t="shared" si="195"/>
        <v/>
      </c>
      <c r="AE383" s="41" t="str">
        <f t="shared" si="195"/>
        <v/>
      </c>
      <c r="AF383" s="41" t="str">
        <f t="shared" si="195"/>
        <v/>
      </c>
      <c r="AG383" s="41" t="str">
        <f t="shared" si="195"/>
        <v/>
      </c>
      <c r="AH383" s="41" t="str">
        <f t="shared" si="195"/>
        <v/>
      </c>
      <c r="AI383" s="41" t="str">
        <f t="shared" si="195"/>
        <v/>
      </c>
      <c r="AJ383" s="41" t="str">
        <f t="shared" si="195"/>
        <v/>
      </c>
      <c r="AK383" s="41" t="str">
        <f t="shared" si="195"/>
        <v/>
      </c>
      <c r="AL383" s="41" t="str">
        <f t="shared" si="195"/>
        <v/>
      </c>
      <c r="AM383" s="41" t="str">
        <f t="shared" si="195"/>
        <v/>
      </c>
      <c r="AN383" s="41" t="str">
        <f t="shared" si="195"/>
        <v/>
      </c>
      <c r="AO383" s="67" t="str">
        <f t="shared" si="191"/>
        <v/>
      </c>
      <c r="AP383" s="68" t="str">
        <f t="shared" si="192"/>
        <v/>
      </c>
      <c r="AQ383" t="str">
        <f>IFERROR(MATCH(19,$R$285:$R$320,0),"")</f>
        <v/>
      </c>
    </row>
    <row r="384" spans="2:43" ht="18" customHeight="1" x14ac:dyDescent="0.3">
      <c r="B384" s="42" t="str">
        <f t="shared" si="185"/>
        <v/>
      </c>
      <c r="C384" s="45" t="str">
        <f t="shared" si="186"/>
        <v/>
      </c>
      <c r="D384" s="67" t="str">
        <f t="shared" si="187"/>
        <v/>
      </c>
      <c r="E384" s="41" t="str">
        <f t="shared" si="194"/>
        <v/>
      </c>
      <c r="F384" s="41" t="str">
        <f t="shared" si="194"/>
        <v/>
      </c>
      <c r="G384" s="41" t="str">
        <f t="shared" si="194"/>
        <v/>
      </c>
      <c r="H384" s="41" t="str">
        <f t="shared" si="194"/>
        <v/>
      </c>
      <c r="I384" s="41" t="str">
        <f t="shared" si="194"/>
        <v/>
      </c>
      <c r="J384" s="41" t="str">
        <f t="shared" si="194"/>
        <v/>
      </c>
      <c r="K384" s="41" t="str">
        <f t="shared" si="194"/>
        <v/>
      </c>
      <c r="L384" s="41" t="str">
        <f t="shared" si="194"/>
        <v/>
      </c>
      <c r="M384" s="41" t="str">
        <f t="shared" si="194"/>
        <v/>
      </c>
      <c r="N384" s="41" t="str">
        <f t="shared" si="194"/>
        <v/>
      </c>
      <c r="O384" s="41" t="str">
        <f t="shared" si="193"/>
        <v/>
      </c>
      <c r="P384" s="41" t="str">
        <f t="shared" si="193"/>
        <v/>
      </c>
      <c r="Q384" s="41" t="str">
        <f t="shared" si="193"/>
        <v/>
      </c>
      <c r="R384" s="41" t="str">
        <f t="shared" si="193"/>
        <v/>
      </c>
      <c r="S384" s="41" t="str">
        <f t="shared" si="193"/>
        <v/>
      </c>
      <c r="T384" s="41" t="str">
        <f t="shared" si="193"/>
        <v/>
      </c>
      <c r="U384" s="41" t="str">
        <f t="shared" si="193"/>
        <v/>
      </c>
      <c r="V384" s="41" t="str">
        <f t="shared" si="193"/>
        <v/>
      </c>
      <c r="W384" s="41" t="str">
        <f t="shared" si="193"/>
        <v/>
      </c>
      <c r="X384" s="44" t="str">
        <f t="shared" si="193"/>
        <v/>
      </c>
      <c r="Y384" s="41" t="str">
        <f t="shared" si="195"/>
        <v/>
      </c>
      <c r="Z384" s="41" t="str">
        <f t="shared" si="195"/>
        <v/>
      </c>
      <c r="AA384" s="41" t="str">
        <f t="shared" si="195"/>
        <v/>
      </c>
      <c r="AB384" s="41" t="str">
        <f t="shared" si="195"/>
        <v/>
      </c>
      <c r="AC384" s="41" t="str">
        <f t="shared" si="195"/>
        <v/>
      </c>
      <c r="AD384" s="41" t="str">
        <f t="shared" si="195"/>
        <v/>
      </c>
      <c r="AE384" s="41" t="str">
        <f t="shared" si="195"/>
        <v/>
      </c>
      <c r="AF384" s="41" t="str">
        <f t="shared" si="195"/>
        <v/>
      </c>
      <c r="AG384" s="41" t="str">
        <f t="shared" si="195"/>
        <v/>
      </c>
      <c r="AH384" s="41" t="str">
        <f t="shared" si="195"/>
        <v/>
      </c>
      <c r="AI384" s="41" t="str">
        <f t="shared" si="195"/>
        <v/>
      </c>
      <c r="AJ384" s="41" t="str">
        <f t="shared" si="195"/>
        <v/>
      </c>
      <c r="AK384" s="41" t="str">
        <f t="shared" si="195"/>
        <v/>
      </c>
      <c r="AL384" s="41" t="str">
        <f t="shared" si="195"/>
        <v/>
      </c>
      <c r="AM384" s="41" t="str">
        <f t="shared" si="195"/>
        <v/>
      </c>
      <c r="AN384" s="41" t="str">
        <f t="shared" si="195"/>
        <v/>
      </c>
      <c r="AO384" s="67" t="str">
        <f t="shared" si="191"/>
        <v/>
      </c>
      <c r="AP384" s="68" t="str">
        <f t="shared" si="192"/>
        <v/>
      </c>
      <c r="AQ384" t="str">
        <f>IFERROR(MATCH(20,$R$285:$R$320,0),"")</f>
        <v/>
      </c>
    </row>
    <row r="385" spans="2:43" ht="18" customHeight="1" x14ac:dyDescent="0.3">
      <c r="B385" s="42" t="str">
        <f t="shared" si="185"/>
        <v/>
      </c>
      <c r="C385" s="45" t="str">
        <f t="shared" si="186"/>
        <v/>
      </c>
      <c r="D385" s="67" t="str">
        <f t="shared" si="187"/>
        <v/>
      </c>
      <c r="E385" s="41" t="str">
        <f t="shared" si="194"/>
        <v/>
      </c>
      <c r="F385" s="41" t="str">
        <f t="shared" si="194"/>
        <v/>
      </c>
      <c r="G385" s="41" t="str">
        <f t="shared" si="194"/>
        <v/>
      </c>
      <c r="H385" s="41" t="str">
        <f t="shared" si="194"/>
        <v/>
      </c>
      <c r="I385" s="41" t="str">
        <f t="shared" si="194"/>
        <v/>
      </c>
      <c r="J385" s="41" t="str">
        <f t="shared" si="194"/>
        <v/>
      </c>
      <c r="K385" s="41" t="str">
        <f t="shared" si="194"/>
        <v/>
      </c>
      <c r="L385" s="41" t="str">
        <f t="shared" si="194"/>
        <v/>
      </c>
      <c r="M385" s="41" t="str">
        <f t="shared" si="194"/>
        <v/>
      </c>
      <c r="N385" s="41" t="str">
        <f t="shared" si="194"/>
        <v/>
      </c>
      <c r="O385" s="41" t="str">
        <f t="shared" si="193"/>
        <v/>
      </c>
      <c r="P385" s="41" t="str">
        <f t="shared" si="193"/>
        <v/>
      </c>
      <c r="Q385" s="41" t="str">
        <f t="shared" si="193"/>
        <v/>
      </c>
      <c r="R385" s="41" t="str">
        <f t="shared" si="193"/>
        <v/>
      </c>
      <c r="S385" s="41" t="str">
        <f t="shared" si="193"/>
        <v/>
      </c>
      <c r="T385" s="41" t="str">
        <f t="shared" si="193"/>
        <v/>
      </c>
      <c r="U385" s="41" t="str">
        <f t="shared" si="193"/>
        <v/>
      </c>
      <c r="V385" s="41" t="str">
        <f t="shared" si="193"/>
        <v/>
      </c>
      <c r="W385" s="41" t="str">
        <f t="shared" si="193"/>
        <v/>
      </c>
      <c r="X385" s="41" t="str">
        <f t="shared" si="193"/>
        <v/>
      </c>
      <c r="Y385" s="44" t="str">
        <f t="shared" si="195"/>
        <v/>
      </c>
      <c r="Z385" s="41" t="str">
        <f t="shared" si="195"/>
        <v/>
      </c>
      <c r="AA385" s="41" t="str">
        <f t="shared" si="195"/>
        <v/>
      </c>
      <c r="AB385" s="41" t="str">
        <f t="shared" si="195"/>
        <v/>
      </c>
      <c r="AC385" s="41" t="str">
        <f t="shared" si="195"/>
        <v/>
      </c>
      <c r="AD385" s="41" t="str">
        <f t="shared" si="195"/>
        <v/>
      </c>
      <c r="AE385" s="41" t="str">
        <f t="shared" si="195"/>
        <v/>
      </c>
      <c r="AF385" s="41" t="str">
        <f t="shared" si="195"/>
        <v/>
      </c>
      <c r="AG385" s="41" t="str">
        <f t="shared" si="195"/>
        <v/>
      </c>
      <c r="AH385" s="41" t="str">
        <f t="shared" si="195"/>
        <v/>
      </c>
      <c r="AI385" s="41" t="str">
        <f t="shared" si="195"/>
        <v/>
      </c>
      <c r="AJ385" s="41" t="str">
        <f t="shared" si="195"/>
        <v/>
      </c>
      <c r="AK385" s="41" t="str">
        <f t="shared" si="195"/>
        <v/>
      </c>
      <c r="AL385" s="41" t="str">
        <f t="shared" si="195"/>
        <v/>
      </c>
      <c r="AM385" s="41" t="str">
        <f t="shared" si="195"/>
        <v/>
      </c>
      <c r="AN385" s="41" t="str">
        <f t="shared" si="195"/>
        <v/>
      </c>
      <c r="AO385" s="67" t="str">
        <f t="shared" si="191"/>
        <v/>
      </c>
      <c r="AP385" s="68" t="str">
        <f t="shared" si="192"/>
        <v/>
      </c>
      <c r="AQ385" t="str">
        <f>IFERROR(MATCH(21,$R$285:$R$320,0),"")</f>
        <v/>
      </c>
    </row>
    <row r="386" spans="2:43" ht="18" customHeight="1" x14ac:dyDescent="0.3">
      <c r="B386" s="42" t="str">
        <f t="shared" si="185"/>
        <v/>
      </c>
      <c r="C386" s="45" t="str">
        <f t="shared" si="186"/>
        <v/>
      </c>
      <c r="D386" s="67" t="str">
        <f t="shared" si="187"/>
        <v/>
      </c>
      <c r="E386" s="41" t="str">
        <f t="shared" si="194"/>
        <v/>
      </c>
      <c r="F386" s="41" t="str">
        <f t="shared" si="194"/>
        <v/>
      </c>
      <c r="G386" s="41" t="str">
        <f t="shared" si="194"/>
        <v/>
      </c>
      <c r="H386" s="41" t="str">
        <f t="shared" si="194"/>
        <v/>
      </c>
      <c r="I386" s="41" t="str">
        <f t="shared" si="194"/>
        <v/>
      </c>
      <c r="J386" s="41" t="str">
        <f t="shared" si="194"/>
        <v/>
      </c>
      <c r="K386" s="41" t="str">
        <f t="shared" si="194"/>
        <v/>
      </c>
      <c r="L386" s="41" t="str">
        <f t="shared" si="194"/>
        <v/>
      </c>
      <c r="M386" s="41" t="str">
        <f t="shared" si="194"/>
        <v/>
      </c>
      <c r="N386" s="41" t="str">
        <f t="shared" si="194"/>
        <v/>
      </c>
      <c r="O386" s="41" t="str">
        <f t="shared" si="193"/>
        <v/>
      </c>
      <c r="P386" s="41" t="str">
        <f t="shared" si="193"/>
        <v/>
      </c>
      <c r="Q386" s="41" t="str">
        <f t="shared" si="193"/>
        <v/>
      </c>
      <c r="R386" s="41" t="str">
        <f t="shared" si="193"/>
        <v/>
      </c>
      <c r="S386" s="41" t="str">
        <f t="shared" si="193"/>
        <v/>
      </c>
      <c r="T386" s="41" t="str">
        <f t="shared" si="193"/>
        <v/>
      </c>
      <c r="U386" s="41" t="str">
        <f t="shared" si="193"/>
        <v/>
      </c>
      <c r="V386" s="41" t="str">
        <f t="shared" si="193"/>
        <v/>
      </c>
      <c r="W386" s="41" t="str">
        <f t="shared" si="193"/>
        <v/>
      </c>
      <c r="X386" s="41" t="str">
        <f t="shared" si="193"/>
        <v/>
      </c>
      <c r="Y386" s="41" t="str">
        <f t="shared" si="195"/>
        <v/>
      </c>
      <c r="Z386" s="44" t="str">
        <f t="shared" si="195"/>
        <v/>
      </c>
      <c r="AA386" s="41" t="str">
        <f t="shared" si="195"/>
        <v/>
      </c>
      <c r="AB386" s="41" t="str">
        <f t="shared" si="195"/>
        <v/>
      </c>
      <c r="AC386" s="41" t="str">
        <f t="shared" si="195"/>
        <v/>
      </c>
      <c r="AD386" s="41" t="str">
        <f t="shared" si="195"/>
        <v/>
      </c>
      <c r="AE386" s="41" t="str">
        <f t="shared" si="195"/>
        <v/>
      </c>
      <c r="AF386" s="41" t="str">
        <f t="shared" si="195"/>
        <v/>
      </c>
      <c r="AG386" s="41" t="str">
        <f t="shared" si="195"/>
        <v/>
      </c>
      <c r="AH386" s="41" t="str">
        <f t="shared" si="195"/>
        <v/>
      </c>
      <c r="AI386" s="41" t="str">
        <f t="shared" si="195"/>
        <v/>
      </c>
      <c r="AJ386" s="41" t="str">
        <f t="shared" si="195"/>
        <v/>
      </c>
      <c r="AK386" s="41" t="str">
        <f t="shared" si="195"/>
        <v/>
      </c>
      <c r="AL386" s="41" t="str">
        <f t="shared" si="195"/>
        <v/>
      </c>
      <c r="AM386" s="41" t="str">
        <f t="shared" si="195"/>
        <v/>
      </c>
      <c r="AN386" s="41" t="str">
        <f t="shared" si="195"/>
        <v/>
      </c>
      <c r="AO386" s="67" t="str">
        <f t="shared" si="191"/>
        <v/>
      </c>
      <c r="AP386" s="68" t="str">
        <f t="shared" si="192"/>
        <v/>
      </c>
      <c r="AQ386" t="str">
        <f>IFERROR(MATCH(22,$R$285:$R$320,0),"")</f>
        <v/>
      </c>
    </row>
    <row r="387" spans="2:43" ht="18" customHeight="1" x14ac:dyDescent="0.3">
      <c r="B387" s="42" t="str">
        <f t="shared" si="185"/>
        <v/>
      </c>
      <c r="C387" s="45" t="str">
        <f t="shared" si="186"/>
        <v/>
      </c>
      <c r="D387" s="67" t="str">
        <f t="shared" si="187"/>
        <v/>
      </c>
      <c r="E387" s="41" t="str">
        <f t="shared" si="194"/>
        <v/>
      </c>
      <c r="F387" s="41" t="str">
        <f t="shared" si="194"/>
        <v/>
      </c>
      <c r="G387" s="41" t="str">
        <f t="shared" si="194"/>
        <v/>
      </c>
      <c r="H387" s="41" t="str">
        <f t="shared" si="194"/>
        <v/>
      </c>
      <c r="I387" s="41" t="str">
        <f t="shared" si="194"/>
        <v/>
      </c>
      <c r="J387" s="41" t="str">
        <f t="shared" si="194"/>
        <v/>
      </c>
      <c r="K387" s="41" t="str">
        <f t="shared" si="194"/>
        <v/>
      </c>
      <c r="L387" s="41" t="str">
        <f t="shared" si="194"/>
        <v/>
      </c>
      <c r="M387" s="41" t="str">
        <f t="shared" si="194"/>
        <v/>
      </c>
      <c r="N387" s="41" t="str">
        <f t="shared" si="194"/>
        <v/>
      </c>
      <c r="O387" s="41" t="str">
        <f t="shared" si="193"/>
        <v/>
      </c>
      <c r="P387" s="41" t="str">
        <f t="shared" si="193"/>
        <v/>
      </c>
      <c r="Q387" s="41" t="str">
        <f t="shared" si="193"/>
        <v/>
      </c>
      <c r="R387" s="41" t="str">
        <f t="shared" si="193"/>
        <v/>
      </c>
      <c r="S387" s="41" t="str">
        <f t="shared" si="193"/>
        <v/>
      </c>
      <c r="T387" s="41" t="str">
        <f t="shared" si="193"/>
        <v/>
      </c>
      <c r="U387" s="41" t="str">
        <f t="shared" si="193"/>
        <v/>
      </c>
      <c r="V387" s="41" t="str">
        <f t="shared" si="193"/>
        <v/>
      </c>
      <c r="W387" s="41" t="str">
        <f t="shared" si="193"/>
        <v/>
      </c>
      <c r="X387" s="41" t="str">
        <f t="shared" si="193"/>
        <v/>
      </c>
      <c r="Y387" s="41" t="str">
        <f t="shared" si="195"/>
        <v/>
      </c>
      <c r="Z387" s="41" t="str">
        <f t="shared" si="195"/>
        <v/>
      </c>
      <c r="AA387" s="44" t="str">
        <f t="shared" si="195"/>
        <v/>
      </c>
      <c r="AB387" s="41" t="str">
        <f t="shared" si="195"/>
        <v/>
      </c>
      <c r="AC387" s="41" t="str">
        <f t="shared" si="195"/>
        <v/>
      </c>
      <c r="AD387" s="41" t="str">
        <f t="shared" si="195"/>
        <v/>
      </c>
      <c r="AE387" s="41" t="str">
        <f t="shared" si="195"/>
        <v/>
      </c>
      <c r="AF387" s="41" t="str">
        <f t="shared" si="195"/>
        <v/>
      </c>
      <c r="AG387" s="41" t="str">
        <f t="shared" si="195"/>
        <v/>
      </c>
      <c r="AH387" s="41" t="str">
        <f t="shared" si="195"/>
        <v/>
      </c>
      <c r="AI387" s="41" t="str">
        <f t="shared" si="195"/>
        <v/>
      </c>
      <c r="AJ387" s="41" t="str">
        <f t="shared" si="195"/>
        <v/>
      </c>
      <c r="AK387" s="41" t="str">
        <f t="shared" si="195"/>
        <v/>
      </c>
      <c r="AL387" s="41" t="str">
        <f t="shared" si="195"/>
        <v/>
      </c>
      <c r="AM387" s="41" t="str">
        <f t="shared" si="195"/>
        <v/>
      </c>
      <c r="AN387" s="41" t="str">
        <f t="shared" si="195"/>
        <v/>
      </c>
      <c r="AO387" s="67" t="str">
        <f t="shared" si="191"/>
        <v/>
      </c>
      <c r="AP387" s="68" t="str">
        <f t="shared" si="192"/>
        <v/>
      </c>
      <c r="AQ387" t="str">
        <f>IFERROR(MATCH(23,$R$285:$R$320,0),"")</f>
        <v/>
      </c>
    </row>
    <row r="388" spans="2:43" ht="18" customHeight="1" x14ac:dyDescent="0.3">
      <c r="B388" s="42" t="str">
        <f t="shared" si="185"/>
        <v/>
      </c>
      <c r="C388" s="45" t="str">
        <f t="shared" si="186"/>
        <v/>
      </c>
      <c r="D388" s="67" t="str">
        <f t="shared" si="187"/>
        <v/>
      </c>
      <c r="E388" s="41" t="str">
        <f t="shared" si="194"/>
        <v/>
      </c>
      <c r="F388" s="41" t="str">
        <f t="shared" si="194"/>
        <v/>
      </c>
      <c r="G388" s="41" t="str">
        <f t="shared" si="194"/>
        <v/>
      </c>
      <c r="H388" s="41" t="str">
        <f t="shared" si="194"/>
        <v/>
      </c>
      <c r="I388" s="41" t="str">
        <f t="shared" si="194"/>
        <v/>
      </c>
      <c r="J388" s="41" t="str">
        <f t="shared" si="194"/>
        <v/>
      </c>
      <c r="K388" s="41" t="str">
        <f t="shared" si="194"/>
        <v/>
      </c>
      <c r="L388" s="41" t="str">
        <f t="shared" si="194"/>
        <v/>
      </c>
      <c r="M388" s="41" t="str">
        <f t="shared" si="194"/>
        <v/>
      </c>
      <c r="N388" s="41" t="str">
        <f t="shared" si="194"/>
        <v/>
      </c>
      <c r="O388" s="41" t="str">
        <f t="shared" si="193"/>
        <v/>
      </c>
      <c r="P388" s="41" t="str">
        <f t="shared" si="193"/>
        <v/>
      </c>
      <c r="Q388" s="41" t="str">
        <f t="shared" si="193"/>
        <v/>
      </c>
      <c r="R388" s="41" t="str">
        <f t="shared" si="193"/>
        <v/>
      </c>
      <c r="S388" s="41" t="str">
        <f t="shared" si="193"/>
        <v/>
      </c>
      <c r="T388" s="41" t="str">
        <f t="shared" si="193"/>
        <v/>
      </c>
      <c r="U388" s="41" t="str">
        <f t="shared" si="193"/>
        <v/>
      </c>
      <c r="V388" s="41" t="str">
        <f t="shared" si="193"/>
        <v/>
      </c>
      <c r="W388" s="41" t="str">
        <f t="shared" si="193"/>
        <v/>
      </c>
      <c r="X388" s="41" t="str">
        <f t="shared" si="193"/>
        <v/>
      </c>
      <c r="Y388" s="41" t="str">
        <f t="shared" si="195"/>
        <v/>
      </c>
      <c r="Z388" s="41" t="str">
        <f t="shared" si="195"/>
        <v/>
      </c>
      <c r="AA388" s="41" t="str">
        <f t="shared" si="195"/>
        <v/>
      </c>
      <c r="AB388" s="44" t="str">
        <f t="shared" si="195"/>
        <v/>
      </c>
      <c r="AC388" s="41" t="str">
        <f t="shared" si="195"/>
        <v/>
      </c>
      <c r="AD388" s="41" t="str">
        <f t="shared" si="195"/>
        <v/>
      </c>
      <c r="AE388" s="41" t="str">
        <f t="shared" si="195"/>
        <v/>
      </c>
      <c r="AF388" s="41" t="str">
        <f t="shared" si="195"/>
        <v/>
      </c>
      <c r="AG388" s="41" t="str">
        <f t="shared" si="195"/>
        <v/>
      </c>
      <c r="AH388" s="41" t="str">
        <f t="shared" si="195"/>
        <v/>
      </c>
      <c r="AI388" s="41" t="str">
        <f t="shared" si="195"/>
        <v/>
      </c>
      <c r="AJ388" s="41" t="str">
        <f t="shared" si="195"/>
        <v/>
      </c>
      <c r="AK388" s="41" t="str">
        <f t="shared" si="195"/>
        <v/>
      </c>
      <c r="AL388" s="41" t="str">
        <f t="shared" si="195"/>
        <v/>
      </c>
      <c r="AM388" s="41" t="str">
        <f t="shared" si="195"/>
        <v/>
      </c>
      <c r="AN388" s="41" t="str">
        <f t="shared" si="195"/>
        <v/>
      </c>
      <c r="AO388" s="67" t="str">
        <f t="shared" si="191"/>
        <v/>
      </c>
      <c r="AP388" s="68" t="str">
        <f t="shared" si="192"/>
        <v/>
      </c>
      <c r="AQ388" t="str">
        <f>IFERROR(MATCH(24,$R$285:$R$320,0),"")</f>
        <v/>
      </c>
    </row>
    <row r="389" spans="2:43" ht="18" customHeight="1" x14ac:dyDescent="0.3">
      <c r="B389" s="42" t="str">
        <f t="shared" si="185"/>
        <v/>
      </c>
      <c r="C389" s="45" t="str">
        <f t="shared" si="186"/>
        <v/>
      </c>
      <c r="D389" s="67" t="str">
        <f t="shared" si="187"/>
        <v/>
      </c>
      <c r="E389" s="41" t="str">
        <f t="shared" si="194"/>
        <v/>
      </c>
      <c r="F389" s="41" t="str">
        <f t="shared" si="194"/>
        <v/>
      </c>
      <c r="G389" s="41" t="str">
        <f t="shared" si="194"/>
        <v/>
      </c>
      <c r="H389" s="41" t="str">
        <f t="shared" si="194"/>
        <v/>
      </c>
      <c r="I389" s="41" t="str">
        <f t="shared" si="194"/>
        <v/>
      </c>
      <c r="J389" s="41" t="str">
        <f t="shared" si="194"/>
        <v/>
      </c>
      <c r="K389" s="41" t="str">
        <f t="shared" si="194"/>
        <v/>
      </c>
      <c r="L389" s="41" t="str">
        <f t="shared" si="194"/>
        <v/>
      </c>
      <c r="M389" s="41" t="str">
        <f t="shared" si="194"/>
        <v/>
      </c>
      <c r="N389" s="41" t="str">
        <f t="shared" si="194"/>
        <v/>
      </c>
      <c r="O389" s="41" t="str">
        <f t="shared" si="193"/>
        <v/>
      </c>
      <c r="P389" s="41" t="str">
        <f t="shared" si="193"/>
        <v/>
      </c>
      <c r="Q389" s="41" t="str">
        <f t="shared" si="193"/>
        <v/>
      </c>
      <c r="R389" s="41" t="str">
        <f t="shared" si="193"/>
        <v/>
      </c>
      <c r="S389" s="41" t="str">
        <f t="shared" si="193"/>
        <v/>
      </c>
      <c r="T389" s="41" t="str">
        <f t="shared" si="193"/>
        <v/>
      </c>
      <c r="U389" s="41" t="str">
        <f t="shared" si="193"/>
        <v/>
      </c>
      <c r="V389" s="41" t="str">
        <f t="shared" si="193"/>
        <v/>
      </c>
      <c r="W389" s="41" t="str">
        <f t="shared" si="193"/>
        <v/>
      </c>
      <c r="X389" s="41" t="str">
        <f t="shared" si="193"/>
        <v/>
      </c>
      <c r="Y389" s="41" t="str">
        <f t="shared" si="195"/>
        <v/>
      </c>
      <c r="Z389" s="41" t="str">
        <f t="shared" si="195"/>
        <v/>
      </c>
      <c r="AA389" s="41" t="str">
        <f t="shared" si="195"/>
        <v/>
      </c>
      <c r="AB389" s="41" t="str">
        <f t="shared" si="195"/>
        <v/>
      </c>
      <c r="AC389" s="44" t="str">
        <f t="shared" si="195"/>
        <v/>
      </c>
      <c r="AD389" s="41" t="str">
        <f t="shared" si="195"/>
        <v/>
      </c>
      <c r="AE389" s="41" t="str">
        <f t="shared" si="195"/>
        <v/>
      </c>
      <c r="AF389" s="41" t="str">
        <f t="shared" si="195"/>
        <v/>
      </c>
      <c r="AG389" s="41" t="str">
        <f t="shared" si="195"/>
        <v/>
      </c>
      <c r="AH389" s="41" t="str">
        <f t="shared" si="195"/>
        <v/>
      </c>
      <c r="AI389" s="41" t="str">
        <f t="shared" si="195"/>
        <v/>
      </c>
      <c r="AJ389" s="41" t="str">
        <f t="shared" si="195"/>
        <v/>
      </c>
      <c r="AK389" s="41" t="str">
        <f t="shared" si="195"/>
        <v/>
      </c>
      <c r="AL389" s="41" t="str">
        <f t="shared" si="195"/>
        <v/>
      </c>
      <c r="AM389" s="41" t="str">
        <f t="shared" si="195"/>
        <v/>
      </c>
      <c r="AN389" s="41" t="str">
        <f t="shared" si="195"/>
        <v/>
      </c>
      <c r="AO389" s="67" t="str">
        <f t="shared" si="191"/>
        <v/>
      </c>
      <c r="AP389" s="68" t="str">
        <f t="shared" si="192"/>
        <v/>
      </c>
      <c r="AQ389" t="str">
        <f>IFERROR(MATCH(25,$R$285:$R$320,0),"")</f>
        <v/>
      </c>
    </row>
    <row r="390" spans="2:43" ht="18" customHeight="1" x14ac:dyDescent="0.3">
      <c r="B390" s="42" t="str">
        <f t="shared" si="185"/>
        <v/>
      </c>
      <c r="C390" s="45" t="str">
        <f t="shared" si="186"/>
        <v/>
      </c>
      <c r="D390" s="67" t="str">
        <f t="shared" si="187"/>
        <v/>
      </c>
      <c r="E390" s="41" t="str">
        <f t="shared" si="194"/>
        <v/>
      </c>
      <c r="F390" s="41" t="str">
        <f t="shared" si="194"/>
        <v/>
      </c>
      <c r="G390" s="41" t="str">
        <f t="shared" si="194"/>
        <v/>
      </c>
      <c r="H390" s="41" t="str">
        <f t="shared" si="194"/>
        <v/>
      </c>
      <c r="I390" s="41" t="str">
        <f t="shared" si="194"/>
        <v/>
      </c>
      <c r="J390" s="41" t="str">
        <f t="shared" si="194"/>
        <v/>
      </c>
      <c r="K390" s="41" t="str">
        <f t="shared" si="194"/>
        <v/>
      </c>
      <c r="L390" s="41" t="str">
        <f t="shared" si="194"/>
        <v/>
      </c>
      <c r="M390" s="41" t="str">
        <f t="shared" si="194"/>
        <v/>
      </c>
      <c r="N390" s="41" t="str">
        <f t="shared" si="194"/>
        <v/>
      </c>
      <c r="O390" s="41" t="str">
        <f t="shared" si="193"/>
        <v/>
      </c>
      <c r="P390" s="41" t="str">
        <f t="shared" si="193"/>
        <v/>
      </c>
      <c r="Q390" s="41" t="str">
        <f t="shared" si="193"/>
        <v/>
      </c>
      <c r="R390" s="41" t="str">
        <f t="shared" si="193"/>
        <v/>
      </c>
      <c r="S390" s="41" t="str">
        <f t="shared" si="193"/>
        <v/>
      </c>
      <c r="T390" s="41" t="str">
        <f t="shared" si="193"/>
        <v/>
      </c>
      <c r="U390" s="41" t="str">
        <f t="shared" si="193"/>
        <v/>
      </c>
      <c r="V390" s="41" t="str">
        <f t="shared" si="193"/>
        <v/>
      </c>
      <c r="W390" s="41" t="str">
        <f t="shared" si="193"/>
        <v/>
      </c>
      <c r="X390" s="41" t="str">
        <f t="shared" si="193"/>
        <v/>
      </c>
      <c r="Y390" s="41" t="str">
        <f t="shared" si="195"/>
        <v/>
      </c>
      <c r="Z390" s="41" t="str">
        <f t="shared" si="195"/>
        <v/>
      </c>
      <c r="AA390" s="41" t="str">
        <f t="shared" si="195"/>
        <v/>
      </c>
      <c r="AB390" s="41" t="str">
        <f t="shared" si="195"/>
        <v/>
      </c>
      <c r="AC390" s="41" t="str">
        <f t="shared" si="195"/>
        <v/>
      </c>
      <c r="AD390" s="44" t="str">
        <f t="shared" si="195"/>
        <v/>
      </c>
      <c r="AE390" s="41" t="str">
        <f t="shared" si="195"/>
        <v/>
      </c>
      <c r="AF390" s="41" t="str">
        <f t="shared" si="195"/>
        <v/>
      </c>
      <c r="AG390" s="41" t="str">
        <f t="shared" si="195"/>
        <v/>
      </c>
      <c r="AH390" s="41" t="str">
        <f t="shared" si="195"/>
        <v/>
      </c>
      <c r="AI390" s="41" t="str">
        <f t="shared" si="195"/>
        <v/>
      </c>
      <c r="AJ390" s="41" t="str">
        <f t="shared" si="195"/>
        <v/>
      </c>
      <c r="AK390" s="41" t="str">
        <f t="shared" si="195"/>
        <v/>
      </c>
      <c r="AL390" s="41" t="str">
        <f t="shared" si="195"/>
        <v/>
      </c>
      <c r="AM390" s="41" t="str">
        <f t="shared" si="195"/>
        <v/>
      </c>
      <c r="AN390" s="41" t="str">
        <f t="shared" si="195"/>
        <v/>
      </c>
      <c r="AO390" s="67" t="str">
        <f t="shared" si="191"/>
        <v/>
      </c>
      <c r="AP390" s="68" t="str">
        <f t="shared" si="192"/>
        <v/>
      </c>
      <c r="AQ390" t="str">
        <f>IFERROR(MATCH(26,$R$285:$R$320,0),"")</f>
        <v/>
      </c>
    </row>
    <row r="391" spans="2:43" ht="18" customHeight="1" x14ac:dyDescent="0.3">
      <c r="B391" s="42" t="str">
        <f t="shared" si="185"/>
        <v/>
      </c>
      <c r="C391" s="45" t="str">
        <f t="shared" si="186"/>
        <v/>
      </c>
      <c r="D391" s="67" t="str">
        <f t="shared" si="187"/>
        <v/>
      </c>
      <c r="E391" s="41" t="str">
        <f t="shared" si="194"/>
        <v/>
      </c>
      <c r="F391" s="41" t="str">
        <f t="shared" si="194"/>
        <v/>
      </c>
      <c r="G391" s="41" t="str">
        <f t="shared" si="194"/>
        <v/>
      </c>
      <c r="H391" s="41" t="str">
        <f t="shared" si="194"/>
        <v/>
      </c>
      <c r="I391" s="41" t="str">
        <f t="shared" si="194"/>
        <v/>
      </c>
      <c r="J391" s="41" t="str">
        <f t="shared" si="194"/>
        <v/>
      </c>
      <c r="K391" s="41" t="str">
        <f t="shared" si="194"/>
        <v/>
      </c>
      <c r="L391" s="41" t="str">
        <f t="shared" si="194"/>
        <v/>
      </c>
      <c r="M391" s="41" t="str">
        <f t="shared" si="194"/>
        <v/>
      </c>
      <c r="N391" s="41" t="str">
        <f t="shared" si="194"/>
        <v/>
      </c>
      <c r="O391" s="41" t="str">
        <f t="shared" si="193"/>
        <v/>
      </c>
      <c r="P391" s="41" t="str">
        <f t="shared" si="193"/>
        <v/>
      </c>
      <c r="Q391" s="41" t="str">
        <f t="shared" si="193"/>
        <v/>
      </c>
      <c r="R391" s="41" t="str">
        <f t="shared" si="193"/>
        <v/>
      </c>
      <c r="S391" s="41" t="str">
        <f t="shared" si="193"/>
        <v/>
      </c>
      <c r="T391" s="41" t="str">
        <f t="shared" si="193"/>
        <v/>
      </c>
      <c r="U391" s="41" t="str">
        <f t="shared" si="193"/>
        <v/>
      </c>
      <c r="V391" s="41" t="str">
        <f t="shared" si="193"/>
        <v/>
      </c>
      <c r="W391" s="41" t="str">
        <f t="shared" si="193"/>
        <v/>
      </c>
      <c r="X391" s="41" t="str">
        <f t="shared" si="193"/>
        <v/>
      </c>
      <c r="Y391" s="41" t="str">
        <f t="shared" si="195"/>
        <v/>
      </c>
      <c r="Z391" s="41" t="str">
        <f t="shared" si="195"/>
        <v/>
      </c>
      <c r="AA391" s="41" t="str">
        <f t="shared" si="195"/>
        <v/>
      </c>
      <c r="AB391" s="41" t="str">
        <f t="shared" si="195"/>
        <v/>
      </c>
      <c r="AC391" s="41" t="str">
        <f t="shared" si="195"/>
        <v/>
      </c>
      <c r="AD391" s="41" t="str">
        <f t="shared" si="195"/>
        <v/>
      </c>
      <c r="AE391" s="44" t="str">
        <f t="shared" si="195"/>
        <v/>
      </c>
      <c r="AF391" s="41" t="str">
        <f t="shared" si="195"/>
        <v/>
      </c>
      <c r="AG391" s="41" t="str">
        <f t="shared" si="195"/>
        <v/>
      </c>
      <c r="AH391" s="41" t="str">
        <f t="shared" si="195"/>
        <v/>
      </c>
      <c r="AI391" s="41" t="str">
        <f t="shared" si="195"/>
        <v/>
      </c>
      <c r="AJ391" s="41" t="str">
        <f t="shared" si="195"/>
        <v/>
      </c>
      <c r="AK391" s="41" t="str">
        <f t="shared" si="195"/>
        <v/>
      </c>
      <c r="AL391" s="41" t="str">
        <f t="shared" si="195"/>
        <v/>
      </c>
      <c r="AM391" s="41" t="str">
        <f t="shared" si="195"/>
        <v/>
      </c>
      <c r="AN391" s="41" t="str">
        <f t="shared" si="195"/>
        <v/>
      </c>
      <c r="AO391" s="67" t="str">
        <f t="shared" si="191"/>
        <v/>
      </c>
      <c r="AP391" s="68" t="str">
        <f t="shared" si="192"/>
        <v/>
      </c>
      <c r="AQ391" t="str">
        <f>IFERROR(MATCH(27,$R$285:$R$320,0),"")</f>
        <v/>
      </c>
    </row>
    <row r="392" spans="2:43" ht="18" customHeight="1" x14ac:dyDescent="0.3">
      <c r="B392" s="42" t="str">
        <f t="shared" si="185"/>
        <v/>
      </c>
      <c r="C392" s="45" t="str">
        <f t="shared" si="186"/>
        <v/>
      </c>
      <c r="D392" s="67" t="str">
        <f t="shared" si="187"/>
        <v/>
      </c>
      <c r="E392" s="41" t="str">
        <f t="shared" si="194"/>
        <v/>
      </c>
      <c r="F392" s="41" t="str">
        <f t="shared" si="194"/>
        <v/>
      </c>
      <c r="G392" s="41" t="str">
        <f t="shared" si="194"/>
        <v/>
      </c>
      <c r="H392" s="41" t="str">
        <f t="shared" si="194"/>
        <v/>
      </c>
      <c r="I392" s="41" t="str">
        <f t="shared" si="194"/>
        <v/>
      </c>
      <c r="J392" s="41" t="str">
        <f t="shared" si="194"/>
        <v/>
      </c>
      <c r="K392" s="41" t="str">
        <f t="shared" si="194"/>
        <v/>
      </c>
      <c r="L392" s="41" t="str">
        <f t="shared" si="194"/>
        <v/>
      </c>
      <c r="M392" s="41" t="str">
        <f t="shared" si="194"/>
        <v/>
      </c>
      <c r="N392" s="41" t="str">
        <f t="shared" si="194"/>
        <v/>
      </c>
      <c r="O392" s="41" t="str">
        <f t="shared" si="193"/>
        <v/>
      </c>
      <c r="P392" s="41" t="str">
        <f t="shared" si="193"/>
        <v/>
      </c>
      <c r="Q392" s="41" t="str">
        <f t="shared" si="193"/>
        <v/>
      </c>
      <c r="R392" s="41" t="str">
        <f t="shared" si="193"/>
        <v/>
      </c>
      <c r="S392" s="41" t="str">
        <f t="shared" si="193"/>
        <v/>
      </c>
      <c r="T392" s="41" t="str">
        <f t="shared" si="193"/>
        <v/>
      </c>
      <c r="U392" s="41" t="str">
        <f t="shared" si="193"/>
        <v/>
      </c>
      <c r="V392" s="41" t="str">
        <f t="shared" si="193"/>
        <v/>
      </c>
      <c r="W392" s="41" t="str">
        <f t="shared" si="193"/>
        <v/>
      </c>
      <c r="X392" s="41" t="str">
        <f t="shared" si="193"/>
        <v/>
      </c>
      <c r="Y392" s="41" t="str">
        <f t="shared" si="195"/>
        <v/>
      </c>
      <c r="Z392" s="41" t="str">
        <f t="shared" si="195"/>
        <v/>
      </c>
      <c r="AA392" s="41" t="str">
        <f t="shared" si="195"/>
        <v/>
      </c>
      <c r="AB392" s="41" t="str">
        <f t="shared" si="195"/>
        <v/>
      </c>
      <c r="AC392" s="41" t="str">
        <f t="shared" si="195"/>
        <v/>
      </c>
      <c r="AD392" s="41" t="str">
        <f t="shared" si="195"/>
        <v/>
      </c>
      <c r="AE392" s="41" t="str">
        <f t="shared" si="195"/>
        <v/>
      </c>
      <c r="AF392" s="44" t="str">
        <f t="shared" si="195"/>
        <v/>
      </c>
      <c r="AG392" s="41" t="str">
        <f t="shared" si="195"/>
        <v/>
      </c>
      <c r="AH392" s="41" t="str">
        <f t="shared" si="195"/>
        <v/>
      </c>
      <c r="AI392" s="41" t="str">
        <f t="shared" si="195"/>
        <v/>
      </c>
      <c r="AJ392" s="41" t="str">
        <f t="shared" si="195"/>
        <v/>
      </c>
      <c r="AK392" s="41" t="str">
        <f t="shared" si="195"/>
        <v/>
      </c>
      <c r="AL392" s="41" t="str">
        <f t="shared" si="195"/>
        <v/>
      </c>
      <c r="AM392" s="41" t="str">
        <f t="shared" si="195"/>
        <v/>
      </c>
      <c r="AN392" s="41" t="str">
        <f t="shared" si="195"/>
        <v/>
      </c>
      <c r="AO392" s="67" t="str">
        <f t="shared" si="191"/>
        <v/>
      </c>
      <c r="AP392" s="68" t="str">
        <f t="shared" si="192"/>
        <v/>
      </c>
      <c r="AQ392" t="str">
        <f>IFERROR(MATCH(28,$R$285:$R$320,0),"")</f>
        <v/>
      </c>
    </row>
    <row r="393" spans="2:43" ht="18" customHeight="1" x14ac:dyDescent="0.3">
      <c r="B393" s="42" t="str">
        <f t="shared" si="185"/>
        <v/>
      </c>
      <c r="C393" s="45" t="str">
        <f t="shared" si="186"/>
        <v/>
      </c>
      <c r="D393" s="67" t="str">
        <f t="shared" si="187"/>
        <v/>
      </c>
      <c r="E393" s="41" t="str">
        <f t="shared" si="194"/>
        <v/>
      </c>
      <c r="F393" s="41" t="str">
        <f t="shared" si="194"/>
        <v/>
      </c>
      <c r="G393" s="41" t="str">
        <f t="shared" si="194"/>
        <v/>
      </c>
      <c r="H393" s="41" t="str">
        <f t="shared" si="194"/>
        <v/>
      </c>
      <c r="I393" s="41" t="str">
        <f t="shared" si="194"/>
        <v/>
      </c>
      <c r="J393" s="41" t="str">
        <f t="shared" si="194"/>
        <v/>
      </c>
      <c r="K393" s="41" t="str">
        <f t="shared" si="194"/>
        <v/>
      </c>
      <c r="L393" s="41" t="str">
        <f t="shared" si="194"/>
        <v/>
      </c>
      <c r="M393" s="41" t="str">
        <f t="shared" si="194"/>
        <v/>
      </c>
      <c r="N393" s="41" t="str">
        <f t="shared" si="194"/>
        <v/>
      </c>
      <c r="O393" s="41" t="str">
        <f t="shared" si="193"/>
        <v/>
      </c>
      <c r="P393" s="41" t="str">
        <f t="shared" si="193"/>
        <v/>
      </c>
      <c r="Q393" s="41" t="str">
        <f t="shared" si="193"/>
        <v/>
      </c>
      <c r="R393" s="41" t="str">
        <f t="shared" si="193"/>
        <v/>
      </c>
      <c r="S393" s="41" t="str">
        <f t="shared" si="193"/>
        <v/>
      </c>
      <c r="T393" s="41" t="str">
        <f t="shared" si="193"/>
        <v/>
      </c>
      <c r="U393" s="41" t="str">
        <f t="shared" si="193"/>
        <v/>
      </c>
      <c r="V393" s="41" t="str">
        <f t="shared" si="193"/>
        <v/>
      </c>
      <c r="W393" s="41" t="str">
        <f t="shared" si="193"/>
        <v/>
      </c>
      <c r="X393" s="41" t="str">
        <f t="shared" si="193"/>
        <v/>
      </c>
      <c r="Y393" s="41" t="str">
        <f t="shared" si="195"/>
        <v/>
      </c>
      <c r="Z393" s="41" t="str">
        <f t="shared" si="195"/>
        <v/>
      </c>
      <c r="AA393" s="41" t="str">
        <f t="shared" si="195"/>
        <v/>
      </c>
      <c r="AB393" s="41" t="str">
        <f t="shared" si="195"/>
        <v/>
      </c>
      <c r="AC393" s="41" t="str">
        <f t="shared" si="195"/>
        <v/>
      </c>
      <c r="AD393" s="41" t="str">
        <f t="shared" si="195"/>
        <v/>
      </c>
      <c r="AE393" s="41" t="str">
        <f t="shared" si="195"/>
        <v/>
      </c>
      <c r="AF393" s="41" t="str">
        <f t="shared" si="195"/>
        <v/>
      </c>
      <c r="AG393" s="44" t="str">
        <f t="shared" si="195"/>
        <v/>
      </c>
      <c r="AH393" s="41" t="str">
        <f t="shared" si="195"/>
        <v/>
      </c>
      <c r="AI393" s="41" t="str">
        <f t="shared" si="195"/>
        <v/>
      </c>
      <c r="AJ393" s="41" t="str">
        <f t="shared" si="195"/>
        <v/>
      </c>
      <c r="AK393" s="41" t="str">
        <f t="shared" si="195"/>
        <v/>
      </c>
      <c r="AL393" s="41" t="str">
        <f t="shared" si="195"/>
        <v/>
      </c>
      <c r="AM393" s="41" t="str">
        <f t="shared" si="195"/>
        <v/>
      </c>
      <c r="AN393" s="41" t="str">
        <f t="shared" si="195"/>
        <v/>
      </c>
      <c r="AO393" s="67" t="str">
        <f t="shared" si="191"/>
        <v/>
      </c>
      <c r="AP393" s="68" t="str">
        <f t="shared" si="192"/>
        <v/>
      </c>
      <c r="AQ393" t="str">
        <f>IFERROR(MATCH(29,$R$285:$R$320,0),"")</f>
        <v/>
      </c>
    </row>
    <row r="394" spans="2:43" ht="18" customHeight="1" x14ac:dyDescent="0.3">
      <c r="B394" s="42" t="str">
        <f t="shared" si="185"/>
        <v/>
      </c>
      <c r="C394" s="45" t="str">
        <f t="shared" si="186"/>
        <v/>
      </c>
      <c r="D394" s="67" t="str">
        <f t="shared" si="187"/>
        <v/>
      </c>
      <c r="E394" s="41" t="str">
        <f t="shared" si="194"/>
        <v/>
      </c>
      <c r="F394" s="41" t="str">
        <f t="shared" si="194"/>
        <v/>
      </c>
      <c r="G394" s="41" t="str">
        <f t="shared" si="194"/>
        <v/>
      </c>
      <c r="H394" s="41" t="str">
        <f t="shared" si="194"/>
        <v/>
      </c>
      <c r="I394" s="41" t="str">
        <f t="shared" si="194"/>
        <v/>
      </c>
      <c r="J394" s="41" t="str">
        <f t="shared" si="194"/>
        <v/>
      </c>
      <c r="K394" s="41" t="str">
        <f t="shared" si="194"/>
        <v/>
      </c>
      <c r="L394" s="41" t="str">
        <f t="shared" si="194"/>
        <v/>
      </c>
      <c r="M394" s="41" t="str">
        <f t="shared" si="194"/>
        <v/>
      </c>
      <c r="N394" s="41" t="str">
        <f t="shared" si="194"/>
        <v/>
      </c>
      <c r="O394" s="41" t="str">
        <f t="shared" si="193"/>
        <v/>
      </c>
      <c r="P394" s="41" t="str">
        <f t="shared" si="193"/>
        <v/>
      </c>
      <c r="Q394" s="41" t="str">
        <f t="shared" si="193"/>
        <v/>
      </c>
      <c r="R394" s="41" t="str">
        <f t="shared" si="193"/>
        <v/>
      </c>
      <c r="S394" s="41" t="str">
        <f t="shared" si="193"/>
        <v/>
      </c>
      <c r="T394" s="41" t="str">
        <f t="shared" si="193"/>
        <v/>
      </c>
      <c r="U394" s="41" t="str">
        <f t="shared" si="193"/>
        <v/>
      </c>
      <c r="V394" s="41" t="str">
        <f t="shared" si="193"/>
        <v/>
      </c>
      <c r="W394" s="41" t="str">
        <f t="shared" si="193"/>
        <v/>
      </c>
      <c r="X394" s="41" t="str">
        <f t="shared" si="193"/>
        <v/>
      </c>
      <c r="Y394" s="41" t="str">
        <f t="shared" si="195"/>
        <v/>
      </c>
      <c r="Z394" s="41" t="str">
        <f t="shared" si="195"/>
        <v/>
      </c>
      <c r="AA394" s="41" t="str">
        <f t="shared" si="195"/>
        <v/>
      </c>
      <c r="AB394" s="41" t="str">
        <f t="shared" si="195"/>
        <v/>
      </c>
      <c r="AC394" s="41" t="str">
        <f t="shared" si="195"/>
        <v/>
      </c>
      <c r="AD394" s="41" t="str">
        <f t="shared" si="195"/>
        <v/>
      </c>
      <c r="AE394" s="41" t="str">
        <f t="shared" si="195"/>
        <v/>
      </c>
      <c r="AF394" s="41" t="str">
        <f t="shared" si="195"/>
        <v/>
      </c>
      <c r="AG394" s="41" t="str">
        <f t="shared" si="195"/>
        <v/>
      </c>
      <c r="AH394" s="44" t="str">
        <f t="shared" si="195"/>
        <v/>
      </c>
      <c r="AI394" s="41" t="str">
        <f t="shared" si="195"/>
        <v/>
      </c>
      <c r="AJ394" s="41" t="str">
        <f t="shared" si="195"/>
        <v/>
      </c>
      <c r="AK394" s="41" t="str">
        <f t="shared" si="195"/>
        <v/>
      </c>
      <c r="AL394" s="41" t="str">
        <f t="shared" si="195"/>
        <v/>
      </c>
      <c r="AM394" s="41" t="str">
        <f t="shared" si="195"/>
        <v/>
      </c>
      <c r="AN394" s="41" t="str">
        <f t="shared" si="195"/>
        <v/>
      </c>
      <c r="AO394" s="67" t="str">
        <f t="shared" si="191"/>
        <v/>
      </c>
      <c r="AP394" s="68" t="str">
        <f t="shared" si="192"/>
        <v/>
      </c>
      <c r="AQ394" t="str">
        <f>IFERROR(MATCH(30,$R$285:$R$320,0),"")</f>
        <v/>
      </c>
    </row>
    <row r="395" spans="2:43" ht="18" customHeight="1" x14ac:dyDescent="0.3">
      <c r="B395" s="42" t="str">
        <f t="shared" si="185"/>
        <v/>
      </c>
      <c r="C395" s="45" t="str">
        <f t="shared" si="186"/>
        <v/>
      </c>
      <c r="D395" s="67" t="str">
        <f t="shared" si="187"/>
        <v/>
      </c>
      <c r="E395" s="41" t="str">
        <f t="shared" si="194"/>
        <v/>
      </c>
      <c r="F395" s="41" t="str">
        <f t="shared" si="194"/>
        <v/>
      </c>
      <c r="G395" s="41" t="str">
        <f t="shared" si="194"/>
        <v/>
      </c>
      <c r="H395" s="41" t="str">
        <f t="shared" si="194"/>
        <v/>
      </c>
      <c r="I395" s="41" t="str">
        <f t="shared" si="194"/>
        <v/>
      </c>
      <c r="J395" s="41" t="str">
        <f t="shared" si="194"/>
        <v/>
      </c>
      <c r="K395" s="41" t="str">
        <f t="shared" si="194"/>
        <v/>
      </c>
      <c r="L395" s="41" t="str">
        <f t="shared" si="194"/>
        <v/>
      </c>
      <c r="M395" s="41" t="str">
        <f t="shared" si="194"/>
        <v/>
      </c>
      <c r="N395" s="41" t="str">
        <f t="shared" si="194"/>
        <v/>
      </c>
      <c r="O395" s="41" t="str">
        <f t="shared" si="193"/>
        <v/>
      </c>
      <c r="P395" s="41" t="str">
        <f t="shared" si="193"/>
        <v/>
      </c>
      <c r="Q395" s="41" t="str">
        <f t="shared" si="193"/>
        <v/>
      </c>
      <c r="R395" s="41" t="str">
        <f t="shared" si="193"/>
        <v/>
      </c>
      <c r="S395" s="41" t="str">
        <f t="shared" si="193"/>
        <v/>
      </c>
      <c r="T395" s="41" t="str">
        <f t="shared" si="193"/>
        <v/>
      </c>
      <c r="U395" s="41" t="str">
        <f t="shared" si="193"/>
        <v/>
      </c>
      <c r="V395" s="41" t="str">
        <f t="shared" si="193"/>
        <v/>
      </c>
      <c r="W395" s="41" t="str">
        <f t="shared" si="193"/>
        <v/>
      </c>
      <c r="X395" s="41" t="str">
        <f t="shared" si="193"/>
        <v/>
      </c>
      <c r="Y395" s="41" t="str">
        <f t="shared" si="195"/>
        <v/>
      </c>
      <c r="Z395" s="41" t="str">
        <f t="shared" si="195"/>
        <v/>
      </c>
      <c r="AA395" s="41" t="str">
        <f t="shared" si="195"/>
        <v/>
      </c>
      <c r="AB395" s="41" t="str">
        <f t="shared" si="195"/>
        <v/>
      </c>
      <c r="AC395" s="41" t="str">
        <f t="shared" si="195"/>
        <v/>
      </c>
      <c r="AD395" s="41" t="str">
        <f t="shared" si="195"/>
        <v/>
      </c>
      <c r="AE395" s="41" t="str">
        <f t="shared" si="195"/>
        <v/>
      </c>
      <c r="AF395" s="41" t="str">
        <f t="shared" si="195"/>
        <v/>
      </c>
      <c r="AG395" s="41" t="str">
        <f t="shared" si="195"/>
        <v/>
      </c>
      <c r="AH395" s="41" t="str">
        <f t="shared" si="195"/>
        <v/>
      </c>
      <c r="AI395" s="44" t="str">
        <f t="shared" si="195"/>
        <v/>
      </c>
      <c r="AJ395" s="41" t="str">
        <f t="shared" si="195"/>
        <v/>
      </c>
      <c r="AK395" s="41" t="str">
        <f t="shared" si="195"/>
        <v/>
      </c>
      <c r="AL395" s="41" t="str">
        <f t="shared" si="195"/>
        <v/>
      </c>
      <c r="AM395" s="41" t="str">
        <f t="shared" si="195"/>
        <v/>
      </c>
      <c r="AN395" s="41" t="str">
        <f t="shared" si="195"/>
        <v/>
      </c>
      <c r="AO395" s="67" t="str">
        <f t="shared" si="191"/>
        <v/>
      </c>
      <c r="AP395" s="68" t="str">
        <f t="shared" si="192"/>
        <v/>
      </c>
      <c r="AQ395" t="str">
        <f>IFERROR(MATCH(31,$R$285:$R$320,0),"")</f>
        <v/>
      </c>
    </row>
    <row r="396" spans="2:43" ht="18" customHeight="1" x14ac:dyDescent="0.3">
      <c r="B396" s="42" t="str">
        <f t="shared" si="185"/>
        <v/>
      </c>
      <c r="C396" s="45" t="str">
        <f t="shared" si="186"/>
        <v/>
      </c>
      <c r="D396" s="67" t="str">
        <f t="shared" si="187"/>
        <v/>
      </c>
      <c r="E396" s="41" t="str">
        <f t="shared" si="194"/>
        <v/>
      </c>
      <c r="F396" s="41" t="str">
        <f t="shared" si="194"/>
        <v/>
      </c>
      <c r="G396" s="41" t="str">
        <f t="shared" si="194"/>
        <v/>
      </c>
      <c r="H396" s="41" t="str">
        <f t="shared" si="194"/>
        <v/>
      </c>
      <c r="I396" s="41" t="str">
        <f t="shared" si="194"/>
        <v/>
      </c>
      <c r="J396" s="41" t="str">
        <f t="shared" si="194"/>
        <v/>
      </c>
      <c r="K396" s="41" t="str">
        <f t="shared" si="194"/>
        <v/>
      </c>
      <c r="L396" s="41" t="str">
        <f t="shared" si="194"/>
        <v/>
      </c>
      <c r="M396" s="41" t="str">
        <f t="shared" si="194"/>
        <v/>
      </c>
      <c r="N396" s="41" t="str">
        <f t="shared" si="194"/>
        <v/>
      </c>
      <c r="O396" s="41" t="str">
        <f t="shared" si="194"/>
        <v/>
      </c>
      <c r="P396" s="41" t="str">
        <f t="shared" si="194"/>
        <v/>
      </c>
      <c r="Q396" s="41" t="str">
        <f t="shared" si="194"/>
        <v/>
      </c>
      <c r="R396" s="41" t="str">
        <f t="shared" si="194"/>
        <v/>
      </c>
      <c r="S396" s="41" t="str">
        <f t="shared" si="194"/>
        <v/>
      </c>
      <c r="T396" s="41" t="str">
        <f t="shared" si="194"/>
        <v/>
      </c>
      <c r="U396" s="41" t="str">
        <f t="shared" ref="O396:AD401" si="196">IF(OR($AQ396="",U$362=""),"",INDEX($C$245:$AL$280,$AQ396,U$362))</f>
        <v/>
      </c>
      <c r="V396" s="41" t="str">
        <f t="shared" si="196"/>
        <v/>
      </c>
      <c r="W396" s="41" t="str">
        <f t="shared" si="196"/>
        <v/>
      </c>
      <c r="X396" s="41" t="str">
        <f t="shared" si="196"/>
        <v/>
      </c>
      <c r="Y396" s="41" t="str">
        <f t="shared" si="195"/>
        <v/>
      </c>
      <c r="Z396" s="41" t="str">
        <f t="shared" si="195"/>
        <v/>
      </c>
      <c r="AA396" s="41" t="str">
        <f t="shared" si="195"/>
        <v/>
      </c>
      <c r="AB396" s="41" t="str">
        <f t="shared" si="195"/>
        <v/>
      </c>
      <c r="AC396" s="41" t="str">
        <f t="shared" si="195"/>
        <v/>
      </c>
      <c r="AD396" s="41" t="str">
        <f t="shared" si="195"/>
        <v/>
      </c>
      <c r="AE396" s="41" t="str">
        <f t="shared" si="195"/>
        <v/>
      </c>
      <c r="AF396" s="41" t="str">
        <f t="shared" si="195"/>
        <v/>
      </c>
      <c r="AG396" s="41" t="str">
        <f t="shared" si="195"/>
        <v/>
      </c>
      <c r="AH396" s="41" t="str">
        <f t="shared" si="195"/>
        <v/>
      </c>
      <c r="AI396" s="41" t="str">
        <f t="shared" si="195"/>
        <v/>
      </c>
      <c r="AJ396" s="44" t="str">
        <f t="shared" si="195"/>
        <v/>
      </c>
      <c r="AK396" s="41" t="str">
        <f t="shared" si="195"/>
        <v/>
      </c>
      <c r="AL396" s="41" t="str">
        <f t="shared" si="195"/>
        <v/>
      </c>
      <c r="AM396" s="41" t="str">
        <f t="shared" si="195"/>
        <v/>
      </c>
      <c r="AN396" s="41" t="str">
        <f t="shared" si="195"/>
        <v/>
      </c>
      <c r="AO396" s="67" t="str">
        <f t="shared" si="191"/>
        <v/>
      </c>
      <c r="AP396" s="68" t="str">
        <f t="shared" si="192"/>
        <v/>
      </c>
      <c r="AQ396" t="str">
        <f>IFERROR(MATCH(32,$R$285:$R$320,0),"")</f>
        <v/>
      </c>
    </row>
    <row r="397" spans="2:43" ht="18" customHeight="1" x14ac:dyDescent="0.3">
      <c r="B397" s="42" t="str">
        <f t="shared" si="185"/>
        <v/>
      </c>
      <c r="C397" s="45" t="str">
        <f t="shared" si="186"/>
        <v/>
      </c>
      <c r="D397" s="67" t="str">
        <f t="shared" si="187"/>
        <v/>
      </c>
      <c r="E397" s="41" t="str">
        <f t="shared" ref="E397:N402" si="197">IF(OR($AQ397="",E$362=""),"",INDEX($C$245:$AL$280,$AQ397,E$362))</f>
        <v/>
      </c>
      <c r="F397" s="41" t="str">
        <f t="shared" si="197"/>
        <v/>
      </c>
      <c r="G397" s="41" t="str">
        <f t="shared" si="197"/>
        <v/>
      </c>
      <c r="H397" s="41" t="str">
        <f t="shared" si="197"/>
        <v/>
      </c>
      <c r="I397" s="41" t="str">
        <f t="shared" si="197"/>
        <v/>
      </c>
      <c r="J397" s="41" t="str">
        <f t="shared" si="197"/>
        <v/>
      </c>
      <c r="K397" s="41" t="str">
        <f t="shared" si="197"/>
        <v/>
      </c>
      <c r="L397" s="41" t="str">
        <f t="shared" si="197"/>
        <v/>
      </c>
      <c r="M397" s="41" t="str">
        <f t="shared" si="197"/>
        <v/>
      </c>
      <c r="N397" s="41" t="str">
        <f t="shared" si="197"/>
        <v/>
      </c>
      <c r="O397" s="41" t="str">
        <f t="shared" si="196"/>
        <v/>
      </c>
      <c r="P397" s="41" t="str">
        <f t="shared" si="196"/>
        <v/>
      </c>
      <c r="Q397" s="41" t="str">
        <f t="shared" si="196"/>
        <v/>
      </c>
      <c r="R397" s="41" t="str">
        <f t="shared" si="196"/>
        <v/>
      </c>
      <c r="S397" s="41" t="str">
        <f t="shared" si="196"/>
        <v/>
      </c>
      <c r="T397" s="41" t="str">
        <f t="shared" si="196"/>
        <v/>
      </c>
      <c r="U397" s="41" t="str">
        <f t="shared" si="196"/>
        <v/>
      </c>
      <c r="V397" s="41" t="str">
        <f t="shared" si="196"/>
        <v/>
      </c>
      <c r="W397" s="41" t="str">
        <f t="shared" si="196"/>
        <v/>
      </c>
      <c r="X397" s="41" t="str">
        <f t="shared" si="196"/>
        <v/>
      </c>
      <c r="Y397" s="41" t="str">
        <f t="shared" si="196"/>
        <v/>
      </c>
      <c r="Z397" s="41" t="str">
        <f t="shared" si="196"/>
        <v/>
      </c>
      <c r="AA397" s="41" t="str">
        <f t="shared" si="196"/>
        <v/>
      </c>
      <c r="AB397" s="41" t="str">
        <f t="shared" si="196"/>
        <v/>
      </c>
      <c r="AC397" s="41" t="str">
        <f t="shared" si="196"/>
        <v/>
      </c>
      <c r="AD397" s="41" t="str">
        <f t="shared" si="196"/>
        <v/>
      </c>
      <c r="AE397" s="41" t="str">
        <f t="shared" ref="Y397:AN402" si="198">IF(OR($AQ397="",AE$362=""),"",INDEX($C$245:$AL$280,$AQ397,AE$362))</f>
        <v/>
      </c>
      <c r="AF397" s="41" t="str">
        <f t="shared" si="198"/>
        <v/>
      </c>
      <c r="AG397" s="41" t="str">
        <f t="shared" si="198"/>
        <v/>
      </c>
      <c r="AH397" s="41" t="str">
        <f t="shared" si="198"/>
        <v/>
      </c>
      <c r="AI397" s="41" t="str">
        <f t="shared" si="198"/>
        <v/>
      </c>
      <c r="AJ397" s="41" t="str">
        <f t="shared" si="198"/>
        <v/>
      </c>
      <c r="AK397" s="44" t="str">
        <f t="shared" si="198"/>
        <v/>
      </c>
      <c r="AL397" s="41" t="str">
        <f t="shared" si="198"/>
        <v/>
      </c>
      <c r="AM397" s="41" t="str">
        <f t="shared" si="198"/>
        <v/>
      </c>
      <c r="AN397" s="41" t="str">
        <f t="shared" si="198"/>
        <v/>
      </c>
      <c r="AO397" s="67" t="str">
        <f t="shared" si="191"/>
        <v/>
      </c>
      <c r="AP397" s="68" t="str">
        <f t="shared" si="192"/>
        <v/>
      </c>
      <c r="AQ397" t="str">
        <f>IFERROR(MATCH(33,$R$285:$R$320,0),"")</f>
        <v/>
      </c>
    </row>
    <row r="398" spans="2:43" ht="18" customHeight="1" x14ac:dyDescent="0.3">
      <c r="B398" s="42" t="str">
        <f t="shared" si="185"/>
        <v/>
      </c>
      <c r="C398" s="45" t="str">
        <f t="shared" si="186"/>
        <v/>
      </c>
      <c r="D398" s="67" t="str">
        <f t="shared" si="187"/>
        <v/>
      </c>
      <c r="E398" s="41" t="str">
        <f t="shared" si="197"/>
        <v/>
      </c>
      <c r="F398" s="41" t="str">
        <f t="shared" si="197"/>
        <v/>
      </c>
      <c r="G398" s="41" t="str">
        <f t="shared" si="197"/>
        <v/>
      </c>
      <c r="H398" s="41" t="str">
        <f t="shared" si="197"/>
        <v/>
      </c>
      <c r="I398" s="41" t="str">
        <f t="shared" si="197"/>
        <v/>
      </c>
      <c r="J398" s="41" t="str">
        <f t="shared" si="197"/>
        <v/>
      </c>
      <c r="K398" s="41" t="str">
        <f t="shared" si="197"/>
        <v/>
      </c>
      <c r="L398" s="41" t="str">
        <f t="shared" si="197"/>
        <v/>
      </c>
      <c r="M398" s="41" t="str">
        <f t="shared" si="197"/>
        <v/>
      </c>
      <c r="N398" s="41" t="str">
        <f t="shared" si="197"/>
        <v/>
      </c>
      <c r="O398" s="41" t="str">
        <f t="shared" si="196"/>
        <v/>
      </c>
      <c r="P398" s="41" t="str">
        <f t="shared" si="196"/>
        <v/>
      </c>
      <c r="Q398" s="41" t="str">
        <f t="shared" si="196"/>
        <v/>
      </c>
      <c r="R398" s="41" t="str">
        <f t="shared" si="196"/>
        <v/>
      </c>
      <c r="S398" s="41" t="str">
        <f t="shared" si="196"/>
        <v/>
      </c>
      <c r="T398" s="41" t="str">
        <f t="shared" si="196"/>
        <v/>
      </c>
      <c r="U398" s="41" t="str">
        <f t="shared" si="196"/>
        <v/>
      </c>
      <c r="V398" s="41" t="str">
        <f t="shared" si="196"/>
        <v/>
      </c>
      <c r="W398" s="41" t="str">
        <f t="shared" si="196"/>
        <v/>
      </c>
      <c r="X398" s="41" t="str">
        <f t="shared" si="196"/>
        <v/>
      </c>
      <c r="Y398" s="41" t="str">
        <f t="shared" si="198"/>
        <v/>
      </c>
      <c r="Z398" s="41" t="str">
        <f t="shared" si="198"/>
        <v/>
      </c>
      <c r="AA398" s="41" t="str">
        <f t="shared" si="198"/>
        <v/>
      </c>
      <c r="AB398" s="41" t="str">
        <f t="shared" si="198"/>
        <v/>
      </c>
      <c r="AC398" s="41" t="str">
        <f t="shared" si="198"/>
        <v/>
      </c>
      <c r="AD398" s="41" t="str">
        <f t="shared" si="198"/>
        <v/>
      </c>
      <c r="AE398" s="41" t="str">
        <f t="shared" si="198"/>
        <v/>
      </c>
      <c r="AF398" s="41" t="str">
        <f t="shared" si="198"/>
        <v/>
      </c>
      <c r="AG398" s="41" t="str">
        <f t="shared" si="198"/>
        <v/>
      </c>
      <c r="AH398" s="41" t="str">
        <f t="shared" si="198"/>
        <v/>
      </c>
      <c r="AI398" s="41" t="str">
        <f t="shared" si="198"/>
        <v/>
      </c>
      <c r="AJ398" s="41" t="str">
        <f t="shared" si="198"/>
        <v/>
      </c>
      <c r="AK398" s="41" t="str">
        <f t="shared" si="198"/>
        <v/>
      </c>
      <c r="AL398" s="44" t="str">
        <f t="shared" si="198"/>
        <v/>
      </c>
      <c r="AM398" s="41" t="str">
        <f t="shared" si="198"/>
        <v/>
      </c>
      <c r="AN398" s="41" t="str">
        <f t="shared" si="198"/>
        <v/>
      </c>
      <c r="AO398" s="67" t="str">
        <f t="shared" si="191"/>
        <v/>
      </c>
      <c r="AP398" s="68" t="str">
        <f t="shared" si="192"/>
        <v/>
      </c>
      <c r="AQ398" t="str">
        <f>IFERROR(MATCH(34,$R$285:$R$320,0),"")</f>
        <v/>
      </c>
    </row>
    <row r="399" spans="2:43" ht="18" customHeight="1" x14ac:dyDescent="0.3">
      <c r="B399" s="42" t="str">
        <f t="shared" si="185"/>
        <v/>
      </c>
      <c r="C399" s="45" t="str">
        <f t="shared" si="186"/>
        <v/>
      </c>
      <c r="D399" s="67" t="str">
        <f t="shared" si="187"/>
        <v/>
      </c>
      <c r="E399" s="41" t="str">
        <f t="shared" si="197"/>
        <v/>
      </c>
      <c r="F399" s="41" t="str">
        <f t="shared" si="197"/>
        <v/>
      </c>
      <c r="G399" s="41" t="str">
        <f t="shared" si="197"/>
        <v/>
      </c>
      <c r="H399" s="41" t="str">
        <f t="shared" si="197"/>
        <v/>
      </c>
      <c r="I399" s="41" t="str">
        <f t="shared" si="197"/>
        <v/>
      </c>
      <c r="J399" s="41" t="str">
        <f t="shared" si="197"/>
        <v/>
      </c>
      <c r="K399" s="41" t="str">
        <f t="shared" si="197"/>
        <v/>
      </c>
      <c r="L399" s="41" t="str">
        <f t="shared" si="197"/>
        <v/>
      </c>
      <c r="M399" s="41" t="str">
        <f t="shared" si="197"/>
        <v/>
      </c>
      <c r="N399" s="41" t="str">
        <f t="shared" si="197"/>
        <v/>
      </c>
      <c r="O399" s="41" t="str">
        <f t="shared" si="196"/>
        <v/>
      </c>
      <c r="P399" s="41" t="str">
        <f t="shared" si="196"/>
        <v/>
      </c>
      <c r="Q399" s="41" t="str">
        <f t="shared" si="196"/>
        <v/>
      </c>
      <c r="R399" s="41" t="str">
        <f t="shared" si="196"/>
        <v/>
      </c>
      <c r="S399" s="41" t="str">
        <f t="shared" si="196"/>
        <v/>
      </c>
      <c r="T399" s="41" t="str">
        <f t="shared" si="196"/>
        <v/>
      </c>
      <c r="U399" s="41" t="str">
        <f t="shared" si="196"/>
        <v/>
      </c>
      <c r="V399" s="41" t="str">
        <f t="shared" si="196"/>
        <v/>
      </c>
      <c r="W399" s="41" t="str">
        <f t="shared" si="196"/>
        <v/>
      </c>
      <c r="X399" s="41" t="str">
        <f t="shared" si="196"/>
        <v/>
      </c>
      <c r="Y399" s="41" t="str">
        <f t="shared" si="198"/>
        <v/>
      </c>
      <c r="Z399" s="41" t="str">
        <f t="shared" si="198"/>
        <v/>
      </c>
      <c r="AA399" s="41" t="str">
        <f t="shared" si="198"/>
        <v/>
      </c>
      <c r="AB399" s="41" t="str">
        <f t="shared" si="198"/>
        <v/>
      </c>
      <c r="AC399" s="41" t="str">
        <f t="shared" si="198"/>
        <v/>
      </c>
      <c r="AD399" s="41" t="str">
        <f t="shared" si="198"/>
        <v/>
      </c>
      <c r="AE399" s="41" t="str">
        <f t="shared" si="198"/>
        <v/>
      </c>
      <c r="AF399" s="41" t="str">
        <f t="shared" si="198"/>
        <v/>
      </c>
      <c r="AG399" s="41" t="str">
        <f t="shared" si="198"/>
        <v/>
      </c>
      <c r="AH399" s="41" t="str">
        <f t="shared" si="198"/>
        <v/>
      </c>
      <c r="AI399" s="41" t="str">
        <f t="shared" si="198"/>
        <v/>
      </c>
      <c r="AJ399" s="41" t="str">
        <f t="shared" si="198"/>
        <v/>
      </c>
      <c r="AK399" s="41" t="str">
        <f t="shared" si="198"/>
        <v/>
      </c>
      <c r="AL399" s="41" t="str">
        <f t="shared" si="198"/>
        <v/>
      </c>
      <c r="AM399" s="44" t="str">
        <f t="shared" si="198"/>
        <v/>
      </c>
      <c r="AN399" s="41" t="str">
        <f t="shared" si="198"/>
        <v/>
      </c>
      <c r="AO399" s="67" t="str">
        <f t="shared" si="191"/>
        <v/>
      </c>
      <c r="AP399" s="68" t="str">
        <f t="shared" si="192"/>
        <v/>
      </c>
      <c r="AQ399" t="str">
        <f>IFERROR(MATCH(35,$R$285:$R$320,0),"")</f>
        <v/>
      </c>
    </row>
    <row r="400" spans="2:43" ht="18" customHeight="1" x14ac:dyDescent="0.3">
      <c r="B400" s="42" t="str">
        <f t="shared" si="185"/>
        <v/>
      </c>
      <c r="C400" s="45" t="str">
        <f t="shared" si="186"/>
        <v/>
      </c>
      <c r="D400" s="67" t="str">
        <f t="shared" si="187"/>
        <v/>
      </c>
      <c r="E400" s="41" t="str">
        <f t="shared" si="197"/>
        <v/>
      </c>
      <c r="F400" s="41" t="str">
        <f t="shared" si="197"/>
        <v/>
      </c>
      <c r="G400" s="41" t="str">
        <f t="shared" si="197"/>
        <v/>
      </c>
      <c r="H400" s="41" t="str">
        <f t="shared" si="197"/>
        <v/>
      </c>
      <c r="I400" s="41" t="str">
        <f t="shared" si="197"/>
        <v/>
      </c>
      <c r="J400" s="41" t="str">
        <f t="shared" si="197"/>
        <v/>
      </c>
      <c r="K400" s="41" t="str">
        <f t="shared" si="197"/>
        <v/>
      </c>
      <c r="L400" s="41" t="str">
        <f t="shared" si="197"/>
        <v/>
      </c>
      <c r="M400" s="41" t="str">
        <f t="shared" si="197"/>
        <v/>
      </c>
      <c r="N400" s="41" t="str">
        <f t="shared" si="197"/>
        <v/>
      </c>
      <c r="O400" s="41" t="str">
        <f t="shared" si="196"/>
        <v/>
      </c>
      <c r="P400" s="41" t="str">
        <f t="shared" si="196"/>
        <v/>
      </c>
      <c r="Q400" s="41" t="str">
        <f t="shared" si="196"/>
        <v/>
      </c>
      <c r="R400" s="41" t="str">
        <f t="shared" si="196"/>
        <v/>
      </c>
      <c r="S400" s="41" t="str">
        <f t="shared" si="196"/>
        <v/>
      </c>
      <c r="T400" s="41" t="str">
        <f t="shared" si="196"/>
        <v/>
      </c>
      <c r="U400" s="41" t="str">
        <f t="shared" si="196"/>
        <v/>
      </c>
      <c r="V400" s="41" t="str">
        <f t="shared" si="196"/>
        <v/>
      </c>
      <c r="W400" s="41" t="str">
        <f t="shared" si="196"/>
        <v/>
      </c>
      <c r="X400" s="41" t="str">
        <f t="shared" si="196"/>
        <v/>
      </c>
      <c r="Y400" s="41" t="str">
        <f t="shared" si="198"/>
        <v/>
      </c>
      <c r="Z400" s="41" t="str">
        <f t="shared" si="198"/>
        <v/>
      </c>
      <c r="AA400" s="41" t="str">
        <f t="shared" si="198"/>
        <v/>
      </c>
      <c r="AB400" s="41" t="str">
        <f t="shared" si="198"/>
        <v/>
      </c>
      <c r="AC400" s="41" t="str">
        <f t="shared" si="198"/>
        <v/>
      </c>
      <c r="AD400" s="41" t="str">
        <f t="shared" si="198"/>
        <v/>
      </c>
      <c r="AE400" s="41" t="str">
        <f t="shared" si="198"/>
        <v/>
      </c>
      <c r="AF400" s="41" t="str">
        <f t="shared" si="198"/>
        <v/>
      </c>
      <c r="AG400" s="41" t="str">
        <f t="shared" si="198"/>
        <v/>
      </c>
      <c r="AH400" s="41" t="str">
        <f t="shared" si="198"/>
        <v/>
      </c>
      <c r="AI400" s="41" t="str">
        <f t="shared" si="198"/>
        <v/>
      </c>
      <c r="AJ400" s="41" t="str">
        <f t="shared" si="198"/>
        <v/>
      </c>
      <c r="AK400" s="41" t="str">
        <f t="shared" si="198"/>
        <v/>
      </c>
      <c r="AL400" s="41" t="str">
        <f t="shared" si="198"/>
        <v/>
      </c>
      <c r="AM400" s="41" t="str">
        <f t="shared" si="198"/>
        <v/>
      </c>
      <c r="AN400" s="44" t="str">
        <f t="shared" si="198"/>
        <v/>
      </c>
      <c r="AO400" s="67" t="str">
        <f t="shared" si="191"/>
        <v/>
      </c>
      <c r="AP400" s="68" t="str">
        <f t="shared" si="192"/>
        <v/>
      </c>
      <c r="AQ400" t="str">
        <f>IFERROR(MATCH(36,$R$285:$R$320,0),"")</f>
        <v/>
      </c>
    </row>
    <row r="403" spans="2:42" ht="22.05" customHeight="1" thickBot="1" x14ac:dyDescent="0.35">
      <c r="B403" s="1" t="s">
        <v>196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2:42" ht="15" thickBot="1" x14ac:dyDescent="0.35">
      <c r="B404" s="6" t="s">
        <v>123</v>
      </c>
      <c r="C404" s="6" t="s">
        <v>195</v>
      </c>
      <c r="D404" s="6" t="s">
        <v>190</v>
      </c>
      <c r="E404" s="6" t="str">
        <f t="shared" ref="E404:AN404" si="199">E364</f>
        <v>U1θ</v>
      </c>
      <c r="F404" s="6" t="str">
        <f t="shared" si="199"/>
        <v>U2X</v>
      </c>
      <c r="G404" s="6" t="str">
        <f t="shared" si="199"/>
        <v>U2Y</v>
      </c>
      <c r="H404" s="6" t="str">
        <f t="shared" si="199"/>
        <v>U2θ</v>
      </c>
      <c r="I404" s="6" t="str">
        <f t="shared" si="199"/>
        <v>U3X</v>
      </c>
      <c r="J404" s="6" t="str">
        <f t="shared" si="199"/>
        <v>U3θ</v>
      </c>
      <c r="K404" s="6" t="str">
        <f t="shared" si="199"/>
        <v>U4X</v>
      </c>
      <c r="L404" s="6" t="str">
        <f t="shared" si="199"/>
        <v>U4Y</v>
      </c>
      <c r="M404" s="6" t="str">
        <f t="shared" si="199"/>
        <v>U4θ</v>
      </c>
      <c r="N404" s="6" t="str">
        <f t="shared" si="199"/>
        <v>U5θ</v>
      </c>
      <c r="O404" s="6" t="str">
        <f t="shared" si="199"/>
        <v>U6X</v>
      </c>
      <c r="P404" s="6" t="str">
        <f t="shared" si="199"/>
        <v>U6Y</v>
      </c>
      <c r="Q404" s="6" t="str">
        <f t="shared" si="199"/>
        <v>U6θ</v>
      </c>
      <c r="R404" s="6" t="str">
        <f t="shared" si="199"/>
        <v>U7θ</v>
      </c>
      <c r="S404" s="6" t="str">
        <f t="shared" si="199"/>
        <v/>
      </c>
      <c r="T404" s="6" t="str">
        <f t="shared" si="199"/>
        <v/>
      </c>
      <c r="U404" s="6" t="str">
        <f t="shared" si="199"/>
        <v/>
      </c>
      <c r="V404" s="6" t="str">
        <f t="shared" si="199"/>
        <v/>
      </c>
      <c r="W404" s="6" t="str">
        <f t="shared" si="199"/>
        <v/>
      </c>
      <c r="X404" s="6" t="str">
        <f t="shared" si="199"/>
        <v/>
      </c>
      <c r="Y404" s="6" t="str">
        <f t="shared" si="199"/>
        <v/>
      </c>
      <c r="Z404" s="6" t="str">
        <f t="shared" si="199"/>
        <v/>
      </c>
      <c r="AA404" s="6" t="str">
        <f t="shared" si="199"/>
        <v/>
      </c>
      <c r="AB404" s="6" t="str">
        <f t="shared" si="199"/>
        <v/>
      </c>
      <c r="AC404" s="6" t="str">
        <f t="shared" si="199"/>
        <v/>
      </c>
      <c r="AD404" s="6" t="str">
        <f t="shared" si="199"/>
        <v/>
      </c>
      <c r="AE404" s="6" t="str">
        <f t="shared" si="199"/>
        <v/>
      </c>
      <c r="AF404" s="6" t="str">
        <f t="shared" si="199"/>
        <v/>
      </c>
      <c r="AG404" s="6" t="str">
        <f t="shared" si="199"/>
        <v/>
      </c>
      <c r="AH404" s="6" t="str">
        <f t="shared" si="199"/>
        <v/>
      </c>
      <c r="AI404" s="6" t="str">
        <f t="shared" si="199"/>
        <v/>
      </c>
      <c r="AJ404" s="6" t="str">
        <f t="shared" si="199"/>
        <v/>
      </c>
      <c r="AK404" s="6" t="str">
        <f t="shared" si="199"/>
        <v/>
      </c>
      <c r="AL404" s="6" t="str">
        <f t="shared" si="199"/>
        <v/>
      </c>
      <c r="AM404" s="6" t="str">
        <f t="shared" si="199"/>
        <v/>
      </c>
      <c r="AN404" s="6" t="str">
        <f t="shared" si="199"/>
        <v/>
      </c>
      <c r="AO404" s="6" t="s">
        <v>191</v>
      </c>
      <c r="AP404" s="6" t="s">
        <v>194</v>
      </c>
    </row>
    <row r="405" spans="2:42" ht="18" customHeight="1" x14ac:dyDescent="0.3">
      <c r="B405" s="42" t="str">
        <f t="shared" ref="B405:B440" si="200">B365</f>
        <v>U1θ</v>
      </c>
      <c r="C405" s="68" t="str">
        <f t="shared" ref="C405:C440" si="201">AP365</f>
        <v>D1θ</v>
      </c>
      <c r="D405" s="67" t="str">
        <f t="shared" ref="D405:D440" si="202">D365</f>
        <v>=</v>
      </c>
      <c r="E405" s="69">
        <f t="shared" ref="E405:AN412" si="203">IF(OR($AQ365="",E$362=""),"",INDEX($AU$285:$CD$320,$AQ365,E$362))</f>
        <v>2.1237180743353579E-9</v>
      </c>
      <c r="F405" s="70">
        <f t="shared" si="203"/>
        <v>0</v>
      </c>
      <c r="G405" s="70">
        <f t="shared" si="203"/>
        <v>1.429747207524985E-7</v>
      </c>
      <c r="H405" s="70">
        <f t="shared" si="203"/>
        <v>-3.4698543340518652E-10</v>
      </c>
      <c r="I405" s="70">
        <f t="shared" si="203"/>
        <v>0</v>
      </c>
      <c r="J405" s="70">
        <f t="shared" si="203"/>
        <v>-7.3577634071461203E-10</v>
      </c>
      <c r="K405" s="70">
        <f t="shared" si="203"/>
        <v>0</v>
      </c>
      <c r="L405" s="70">
        <f t="shared" si="203"/>
        <v>-9.0299823633156931E-8</v>
      </c>
      <c r="M405" s="70">
        <f t="shared" si="203"/>
        <v>1.4213861127441406E-10</v>
      </c>
      <c r="N405" s="70">
        <f t="shared" si="203"/>
        <v>1.6722189561695735E-10</v>
      </c>
      <c r="O405" s="70">
        <f t="shared" si="203"/>
        <v>0</v>
      </c>
      <c r="P405" s="70">
        <f t="shared" si="203"/>
        <v>1.5677052714089775E-8</v>
      </c>
      <c r="Q405" s="70">
        <f t="shared" si="203"/>
        <v>-2.0902736952119678E-11</v>
      </c>
      <c r="R405" s="70">
        <f t="shared" si="203"/>
        <v>-8.3610947808478531E-11</v>
      </c>
      <c r="S405" s="70" t="str">
        <f t="shared" si="203"/>
        <v/>
      </c>
      <c r="T405" s="70" t="str">
        <f t="shared" si="203"/>
        <v/>
      </c>
      <c r="U405" s="70" t="str">
        <f t="shared" si="203"/>
        <v/>
      </c>
      <c r="V405" s="70" t="str">
        <f t="shared" si="203"/>
        <v/>
      </c>
      <c r="W405" s="70" t="str">
        <f t="shared" si="203"/>
        <v/>
      </c>
      <c r="X405" s="70" t="str">
        <f t="shared" si="203"/>
        <v/>
      </c>
      <c r="Y405" s="70" t="str">
        <f t="shared" si="203"/>
        <v/>
      </c>
      <c r="Z405" s="70" t="str">
        <f t="shared" si="203"/>
        <v/>
      </c>
      <c r="AA405" s="70" t="str">
        <f t="shared" si="203"/>
        <v/>
      </c>
      <c r="AB405" s="70" t="str">
        <f t="shared" si="203"/>
        <v/>
      </c>
      <c r="AC405" s="70" t="str">
        <f t="shared" si="203"/>
        <v/>
      </c>
      <c r="AD405" s="70" t="str">
        <f t="shared" si="203"/>
        <v/>
      </c>
      <c r="AE405" s="70" t="str">
        <f t="shared" si="203"/>
        <v/>
      </c>
      <c r="AF405" s="70" t="str">
        <f t="shared" si="203"/>
        <v/>
      </c>
      <c r="AG405" s="70" t="str">
        <f t="shared" si="203"/>
        <v/>
      </c>
      <c r="AH405" s="70" t="str">
        <f t="shared" si="203"/>
        <v/>
      </c>
      <c r="AI405" s="70" t="str">
        <f t="shared" si="203"/>
        <v/>
      </c>
      <c r="AJ405" s="70" t="str">
        <f t="shared" si="203"/>
        <v/>
      </c>
      <c r="AK405" s="70" t="str">
        <f t="shared" si="203"/>
        <v/>
      </c>
      <c r="AL405" s="70" t="str">
        <f t="shared" si="203"/>
        <v/>
      </c>
      <c r="AM405" s="70" t="str">
        <f t="shared" si="203"/>
        <v/>
      </c>
      <c r="AN405" s="70" t="str">
        <f t="shared" si="203"/>
        <v/>
      </c>
      <c r="AO405" s="67" t="str">
        <f t="shared" ref="AO405:AO440" si="204">AO365</f>
        <v>*</v>
      </c>
      <c r="AP405" s="45">
        <f t="shared" ref="AP405:AP440" si="205">C365</f>
        <v>0</v>
      </c>
    </row>
    <row r="406" spans="2:42" ht="18" customHeight="1" x14ac:dyDescent="0.3">
      <c r="B406" s="42" t="str">
        <f t="shared" si="200"/>
        <v>U2X</v>
      </c>
      <c r="C406" s="68" t="str">
        <f t="shared" si="201"/>
        <v>D2X</v>
      </c>
      <c r="D406" s="67" t="str">
        <f t="shared" si="202"/>
        <v>=</v>
      </c>
      <c r="E406" s="70">
        <f t="shared" si="203"/>
        <v>0</v>
      </c>
      <c r="F406" s="69">
        <f t="shared" si="203"/>
        <v>4.9382716049382708E-7</v>
      </c>
      <c r="G406" s="70">
        <f t="shared" si="203"/>
        <v>0</v>
      </c>
      <c r="H406" s="70">
        <f t="shared" si="203"/>
        <v>0</v>
      </c>
      <c r="I406" s="70">
        <f t="shared" si="203"/>
        <v>3.9506172839506169E-7</v>
      </c>
      <c r="J406" s="70">
        <f t="shared" si="203"/>
        <v>0</v>
      </c>
      <c r="K406" s="70">
        <f t="shared" si="203"/>
        <v>1.9753086419753084E-7</v>
      </c>
      <c r="L406" s="70">
        <f t="shared" si="203"/>
        <v>0</v>
      </c>
      <c r="M406" s="70">
        <f t="shared" si="203"/>
        <v>0</v>
      </c>
      <c r="N406" s="70">
        <f t="shared" si="203"/>
        <v>0</v>
      </c>
      <c r="O406" s="70">
        <f t="shared" si="203"/>
        <v>0</v>
      </c>
      <c r="P406" s="70">
        <f t="shared" si="203"/>
        <v>0</v>
      </c>
      <c r="Q406" s="70">
        <f t="shared" si="203"/>
        <v>0</v>
      </c>
      <c r="R406" s="70">
        <f t="shared" si="203"/>
        <v>0</v>
      </c>
      <c r="S406" s="70" t="str">
        <f t="shared" si="203"/>
        <v/>
      </c>
      <c r="T406" s="70" t="str">
        <f t="shared" si="203"/>
        <v/>
      </c>
      <c r="U406" s="70" t="str">
        <f t="shared" si="203"/>
        <v/>
      </c>
      <c r="V406" s="70" t="str">
        <f t="shared" si="203"/>
        <v/>
      </c>
      <c r="W406" s="70" t="str">
        <f t="shared" si="203"/>
        <v/>
      </c>
      <c r="X406" s="70" t="str">
        <f t="shared" si="203"/>
        <v/>
      </c>
      <c r="Y406" s="70" t="str">
        <f t="shared" si="203"/>
        <v/>
      </c>
      <c r="Z406" s="70" t="str">
        <f t="shared" si="203"/>
        <v/>
      </c>
      <c r="AA406" s="70" t="str">
        <f t="shared" si="203"/>
        <v/>
      </c>
      <c r="AB406" s="70" t="str">
        <f t="shared" si="203"/>
        <v/>
      </c>
      <c r="AC406" s="70" t="str">
        <f t="shared" si="203"/>
        <v/>
      </c>
      <c r="AD406" s="70" t="str">
        <f t="shared" si="203"/>
        <v/>
      </c>
      <c r="AE406" s="70" t="str">
        <f t="shared" si="203"/>
        <v/>
      </c>
      <c r="AF406" s="70" t="str">
        <f t="shared" si="203"/>
        <v/>
      </c>
      <c r="AG406" s="70" t="str">
        <f t="shared" si="203"/>
        <v/>
      </c>
      <c r="AH406" s="70" t="str">
        <f t="shared" si="203"/>
        <v/>
      </c>
      <c r="AI406" s="70" t="str">
        <f t="shared" si="203"/>
        <v/>
      </c>
      <c r="AJ406" s="70" t="str">
        <f t="shared" si="203"/>
        <v/>
      </c>
      <c r="AK406" s="70" t="str">
        <f t="shared" si="203"/>
        <v/>
      </c>
      <c r="AL406" s="70" t="str">
        <f t="shared" si="203"/>
        <v/>
      </c>
      <c r="AM406" s="70" t="str">
        <f t="shared" si="203"/>
        <v/>
      </c>
      <c r="AN406" s="70" t="str">
        <f t="shared" si="203"/>
        <v/>
      </c>
      <c r="AO406" s="67" t="str">
        <f t="shared" si="204"/>
        <v>*</v>
      </c>
      <c r="AP406" s="45">
        <f t="shared" si="205"/>
        <v>0</v>
      </c>
    </row>
    <row r="407" spans="2:42" ht="18" customHeight="1" x14ac:dyDescent="0.3">
      <c r="B407" s="42" t="str">
        <f t="shared" si="200"/>
        <v>U2Y</v>
      </c>
      <c r="C407" s="68" t="str">
        <f t="shared" si="201"/>
        <v>D2Y</v>
      </c>
      <c r="D407" s="67" t="str">
        <f t="shared" si="202"/>
        <v>=</v>
      </c>
      <c r="E407" s="70">
        <f t="shared" si="203"/>
        <v>1.429747207524985E-7</v>
      </c>
      <c r="F407" s="70">
        <f t="shared" si="203"/>
        <v>0</v>
      </c>
      <c r="G407" s="69">
        <f t="shared" si="203"/>
        <v>1.8519824939578023E-5</v>
      </c>
      <c r="H407" s="70">
        <f t="shared" si="203"/>
        <v>-8.1520674113266742E-9</v>
      </c>
      <c r="I407" s="70">
        <f t="shared" si="203"/>
        <v>0</v>
      </c>
      <c r="J407" s="70">
        <f t="shared" si="203"/>
        <v>-1.1036645110719183E-7</v>
      </c>
      <c r="K407" s="70">
        <f t="shared" si="203"/>
        <v>0</v>
      </c>
      <c r="L407" s="70">
        <f t="shared" si="203"/>
        <v>-1.354497354497354E-5</v>
      </c>
      <c r="M407" s="70">
        <f t="shared" si="203"/>
        <v>2.1320791691162102E-8</v>
      </c>
      <c r="N407" s="70">
        <f t="shared" si="203"/>
        <v>2.5083284342543603E-8</v>
      </c>
      <c r="O407" s="70">
        <f t="shared" si="203"/>
        <v>0</v>
      </c>
      <c r="P407" s="70">
        <f t="shared" si="203"/>
        <v>2.3515579071134655E-6</v>
      </c>
      <c r="Q407" s="70">
        <f t="shared" si="203"/>
        <v>-3.1354105428179528E-9</v>
      </c>
      <c r="R407" s="70">
        <f t="shared" si="203"/>
        <v>-1.2541642171271782E-8</v>
      </c>
      <c r="S407" s="70" t="str">
        <f t="shared" si="203"/>
        <v/>
      </c>
      <c r="T407" s="70" t="str">
        <f t="shared" si="203"/>
        <v/>
      </c>
      <c r="U407" s="70" t="str">
        <f t="shared" si="203"/>
        <v/>
      </c>
      <c r="V407" s="70" t="str">
        <f t="shared" si="203"/>
        <v/>
      </c>
      <c r="W407" s="70" t="str">
        <f t="shared" si="203"/>
        <v/>
      </c>
      <c r="X407" s="70" t="str">
        <f t="shared" si="203"/>
        <v/>
      </c>
      <c r="Y407" s="70" t="str">
        <f t="shared" si="203"/>
        <v/>
      </c>
      <c r="Z407" s="70" t="str">
        <f t="shared" si="203"/>
        <v/>
      </c>
      <c r="AA407" s="70" t="str">
        <f t="shared" si="203"/>
        <v/>
      </c>
      <c r="AB407" s="70" t="str">
        <f t="shared" si="203"/>
        <v/>
      </c>
      <c r="AC407" s="70" t="str">
        <f t="shared" si="203"/>
        <v/>
      </c>
      <c r="AD407" s="70" t="str">
        <f t="shared" si="203"/>
        <v/>
      </c>
      <c r="AE407" s="70" t="str">
        <f t="shared" si="203"/>
        <v/>
      </c>
      <c r="AF407" s="70" t="str">
        <f t="shared" si="203"/>
        <v/>
      </c>
      <c r="AG407" s="70" t="str">
        <f t="shared" si="203"/>
        <v/>
      </c>
      <c r="AH407" s="70" t="str">
        <f t="shared" si="203"/>
        <v/>
      </c>
      <c r="AI407" s="70" t="str">
        <f t="shared" si="203"/>
        <v/>
      </c>
      <c r="AJ407" s="70" t="str">
        <f t="shared" si="203"/>
        <v/>
      </c>
      <c r="AK407" s="70" t="str">
        <f t="shared" si="203"/>
        <v/>
      </c>
      <c r="AL407" s="70" t="str">
        <f t="shared" si="203"/>
        <v/>
      </c>
      <c r="AM407" s="70" t="str">
        <f t="shared" si="203"/>
        <v/>
      </c>
      <c r="AN407" s="70" t="str">
        <f t="shared" si="203"/>
        <v/>
      </c>
      <c r="AO407" s="67" t="str">
        <f t="shared" si="204"/>
        <v>*</v>
      </c>
      <c r="AP407" s="45">
        <f t="shared" si="205"/>
        <v>-1200</v>
      </c>
    </row>
    <row r="408" spans="2:42" ht="18" customHeight="1" x14ac:dyDescent="0.3">
      <c r="B408" s="42" t="str">
        <f t="shared" si="200"/>
        <v>U2θ</v>
      </c>
      <c r="C408" s="68" t="str">
        <f t="shared" si="201"/>
        <v>D2θ</v>
      </c>
      <c r="D408" s="67" t="str">
        <f t="shared" si="202"/>
        <v>=</v>
      </c>
      <c r="E408" s="70">
        <f t="shared" si="203"/>
        <v>-3.4698543340518641E-10</v>
      </c>
      <c r="F408" s="70">
        <f t="shared" si="203"/>
        <v>0</v>
      </c>
      <c r="G408" s="70">
        <f t="shared" si="203"/>
        <v>-8.1520674113266709E-9</v>
      </c>
      <c r="H408" s="69">
        <f t="shared" si="203"/>
        <v>5.7168985564047291E-10</v>
      </c>
      <c r="I408" s="70">
        <f t="shared" si="203"/>
        <v>0</v>
      </c>
      <c r="J408" s="70">
        <f t="shared" si="203"/>
        <v>-1.8394408517865311E-10</v>
      </c>
      <c r="K408" s="70">
        <f t="shared" si="203"/>
        <v>0</v>
      </c>
      <c r="L408" s="70">
        <f t="shared" si="203"/>
        <v>-2.2574955908289253E-8</v>
      </c>
      <c r="M408" s="70">
        <f t="shared" si="203"/>
        <v>3.5534652818603424E-11</v>
      </c>
      <c r="N408" s="70">
        <f t="shared" si="203"/>
        <v>4.1805473904239382E-11</v>
      </c>
      <c r="O408" s="70">
        <f t="shared" si="203"/>
        <v>0</v>
      </c>
      <c r="P408" s="70">
        <f t="shared" si="203"/>
        <v>3.9192631785224421E-9</v>
      </c>
      <c r="Q408" s="70">
        <f t="shared" si="203"/>
        <v>-5.2256842380299332E-12</v>
      </c>
      <c r="R408" s="70">
        <f t="shared" si="203"/>
        <v>-2.0902736952119675E-11</v>
      </c>
      <c r="S408" s="70" t="str">
        <f t="shared" si="203"/>
        <v/>
      </c>
      <c r="T408" s="70" t="str">
        <f t="shared" si="203"/>
        <v/>
      </c>
      <c r="U408" s="70" t="str">
        <f t="shared" si="203"/>
        <v/>
      </c>
      <c r="V408" s="70" t="str">
        <f t="shared" si="203"/>
        <v/>
      </c>
      <c r="W408" s="70" t="str">
        <f t="shared" si="203"/>
        <v/>
      </c>
      <c r="X408" s="70" t="str">
        <f t="shared" si="203"/>
        <v/>
      </c>
      <c r="Y408" s="70" t="str">
        <f t="shared" si="203"/>
        <v/>
      </c>
      <c r="Z408" s="70" t="str">
        <f t="shared" si="203"/>
        <v/>
      </c>
      <c r="AA408" s="70" t="str">
        <f t="shared" si="203"/>
        <v/>
      </c>
      <c r="AB408" s="70" t="str">
        <f t="shared" si="203"/>
        <v/>
      </c>
      <c r="AC408" s="70" t="str">
        <f t="shared" si="203"/>
        <v/>
      </c>
      <c r="AD408" s="70" t="str">
        <f t="shared" si="203"/>
        <v/>
      </c>
      <c r="AE408" s="70" t="str">
        <f t="shared" si="203"/>
        <v/>
      </c>
      <c r="AF408" s="70" t="str">
        <f t="shared" si="203"/>
        <v/>
      </c>
      <c r="AG408" s="70" t="str">
        <f t="shared" si="203"/>
        <v/>
      </c>
      <c r="AH408" s="70" t="str">
        <f t="shared" si="203"/>
        <v/>
      </c>
      <c r="AI408" s="70" t="str">
        <f t="shared" si="203"/>
        <v/>
      </c>
      <c r="AJ408" s="70" t="str">
        <f t="shared" si="203"/>
        <v/>
      </c>
      <c r="AK408" s="70" t="str">
        <f t="shared" si="203"/>
        <v/>
      </c>
      <c r="AL408" s="70" t="str">
        <f t="shared" si="203"/>
        <v/>
      </c>
      <c r="AM408" s="70" t="str">
        <f t="shared" si="203"/>
        <v/>
      </c>
      <c r="AN408" s="70" t="str">
        <f t="shared" si="203"/>
        <v/>
      </c>
      <c r="AO408" s="67" t="str">
        <f t="shared" si="204"/>
        <v>*</v>
      </c>
      <c r="AP408" s="45">
        <f t="shared" si="205"/>
        <v>0</v>
      </c>
    </row>
    <row r="409" spans="2:42" ht="18" customHeight="1" x14ac:dyDescent="0.3">
      <c r="B409" s="42" t="str">
        <f t="shared" si="200"/>
        <v>U3X</v>
      </c>
      <c r="C409" s="68" t="str">
        <f t="shared" si="201"/>
        <v>D3X</v>
      </c>
      <c r="D409" s="67" t="str">
        <f t="shared" si="202"/>
        <v>=</v>
      </c>
      <c r="E409" s="70">
        <f t="shared" si="203"/>
        <v>0</v>
      </c>
      <c r="F409" s="70">
        <f t="shared" si="203"/>
        <v>3.9506172839506169E-7</v>
      </c>
      <c r="G409" s="70">
        <f t="shared" si="203"/>
        <v>0</v>
      </c>
      <c r="H409" s="70">
        <f t="shared" si="203"/>
        <v>0</v>
      </c>
      <c r="I409" s="69">
        <f t="shared" si="203"/>
        <v>7.9012345679012337E-7</v>
      </c>
      <c r="J409" s="70">
        <f t="shared" si="203"/>
        <v>0</v>
      </c>
      <c r="K409" s="70">
        <f t="shared" si="203"/>
        <v>3.9506172839506169E-7</v>
      </c>
      <c r="L409" s="70">
        <f t="shared" si="203"/>
        <v>0</v>
      </c>
      <c r="M409" s="70">
        <f t="shared" si="203"/>
        <v>0</v>
      </c>
      <c r="N409" s="70">
        <f t="shared" si="203"/>
        <v>0</v>
      </c>
      <c r="O409" s="70">
        <f t="shared" si="203"/>
        <v>0</v>
      </c>
      <c r="P409" s="70">
        <f t="shared" si="203"/>
        <v>0</v>
      </c>
      <c r="Q409" s="70">
        <f t="shared" si="203"/>
        <v>0</v>
      </c>
      <c r="R409" s="70">
        <f t="shared" si="203"/>
        <v>0</v>
      </c>
      <c r="S409" s="70" t="str">
        <f t="shared" si="203"/>
        <v/>
      </c>
      <c r="T409" s="70" t="str">
        <f t="shared" si="203"/>
        <v/>
      </c>
      <c r="U409" s="70" t="str">
        <f t="shared" si="203"/>
        <v/>
      </c>
      <c r="V409" s="70" t="str">
        <f t="shared" si="203"/>
        <v/>
      </c>
      <c r="W409" s="70" t="str">
        <f t="shared" si="203"/>
        <v/>
      </c>
      <c r="X409" s="70" t="str">
        <f t="shared" si="203"/>
        <v/>
      </c>
      <c r="Y409" s="70" t="str">
        <f t="shared" si="203"/>
        <v/>
      </c>
      <c r="Z409" s="70" t="str">
        <f t="shared" si="203"/>
        <v/>
      </c>
      <c r="AA409" s="70" t="str">
        <f t="shared" si="203"/>
        <v/>
      </c>
      <c r="AB409" s="70" t="str">
        <f t="shared" si="203"/>
        <v/>
      </c>
      <c r="AC409" s="70" t="str">
        <f t="shared" si="203"/>
        <v/>
      </c>
      <c r="AD409" s="70" t="str">
        <f t="shared" si="203"/>
        <v/>
      </c>
      <c r="AE409" s="70" t="str">
        <f t="shared" si="203"/>
        <v/>
      </c>
      <c r="AF409" s="70" t="str">
        <f t="shared" si="203"/>
        <v/>
      </c>
      <c r="AG409" s="70" t="str">
        <f t="shared" si="203"/>
        <v/>
      </c>
      <c r="AH409" s="70" t="str">
        <f t="shared" si="203"/>
        <v/>
      </c>
      <c r="AI409" s="70" t="str">
        <f t="shared" si="203"/>
        <v/>
      </c>
      <c r="AJ409" s="70" t="str">
        <f t="shared" si="203"/>
        <v/>
      </c>
      <c r="AK409" s="70" t="str">
        <f t="shared" si="203"/>
        <v/>
      </c>
      <c r="AL409" s="70" t="str">
        <f t="shared" si="203"/>
        <v/>
      </c>
      <c r="AM409" s="70" t="str">
        <f t="shared" si="203"/>
        <v/>
      </c>
      <c r="AN409" s="70" t="str">
        <f t="shared" si="203"/>
        <v/>
      </c>
      <c r="AO409" s="67" t="str">
        <f t="shared" si="204"/>
        <v>*</v>
      </c>
      <c r="AP409" s="45">
        <f t="shared" si="205"/>
        <v>0</v>
      </c>
    </row>
    <row r="410" spans="2:42" ht="18" customHeight="1" x14ac:dyDescent="0.3">
      <c r="B410" s="42" t="str">
        <f t="shared" si="200"/>
        <v>U3θ</v>
      </c>
      <c r="C410" s="68" t="str">
        <f t="shared" si="201"/>
        <v>D3θ</v>
      </c>
      <c r="D410" s="67" t="str">
        <f t="shared" si="202"/>
        <v>=</v>
      </c>
      <c r="E410" s="70">
        <f t="shared" si="203"/>
        <v>-7.3577634071461224E-10</v>
      </c>
      <c r="F410" s="70">
        <f t="shared" si="203"/>
        <v>0</v>
      </c>
      <c r="G410" s="70">
        <f t="shared" si="203"/>
        <v>-1.1036645110719185E-7</v>
      </c>
      <c r="H410" s="70">
        <f t="shared" si="203"/>
        <v>-1.8394408517865309E-10</v>
      </c>
      <c r="I410" s="70">
        <f t="shared" si="203"/>
        <v>0</v>
      </c>
      <c r="J410" s="69">
        <f t="shared" si="203"/>
        <v>1.4715526814292247E-9</v>
      </c>
      <c r="K410" s="70">
        <f t="shared" si="203"/>
        <v>0</v>
      </c>
      <c r="L410" s="70">
        <f t="shared" si="203"/>
        <v>1.8059964726631394E-7</v>
      </c>
      <c r="M410" s="70">
        <f t="shared" si="203"/>
        <v>-2.8427722254882776E-10</v>
      </c>
      <c r="N410" s="70">
        <f t="shared" si="203"/>
        <v>-3.3444379123391485E-10</v>
      </c>
      <c r="O410" s="70">
        <f t="shared" si="203"/>
        <v>0</v>
      </c>
      <c r="P410" s="70">
        <f t="shared" si="203"/>
        <v>-3.1354105428179537E-8</v>
      </c>
      <c r="Q410" s="70">
        <f t="shared" si="203"/>
        <v>4.1805473904239407E-11</v>
      </c>
      <c r="R410" s="70">
        <f t="shared" si="203"/>
        <v>1.6722189561695724E-10</v>
      </c>
      <c r="S410" s="70" t="str">
        <f t="shared" si="203"/>
        <v/>
      </c>
      <c r="T410" s="70" t="str">
        <f t="shared" si="203"/>
        <v/>
      </c>
      <c r="U410" s="70" t="str">
        <f t="shared" si="203"/>
        <v/>
      </c>
      <c r="V410" s="70" t="str">
        <f t="shared" si="203"/>
        <v/>
      </c>
      <c r="W410" s="70" t="str">
        <f t="shared" si="203"/>
        <v/>
      </c>
      <c r="X410" s="70" t="str">
        <f t="shared" si="203"/>
        <v/>
      </c>
      <c r="Y410" s="70" t="str">
        <f t="shared" si="203"/>
        <v/>
      </c>
      <c r="Z410" s="70" t="str">
        <f t="shared" si="203"/>
        <v/>
      </c>
      <c r="AA410" s="70" t="str">
        <f t="shared" si="203"/>
        <v/>
      </c>
      <c r="AB410" s="70" t="str">
        <f t="shared" si="203"/>
        <v/>
      </c>
      <c r="AC410" s="70" t="str">
        <f t="shared" si="203"/>
        <v/>
      </c>
      <c r="AD410" s="70" t="str">
        <f t="shared" si="203"/>
        <v/>
      </c>
      <c r="AE410" s="70" t="str">
        <f t="shared" si="203"/>
        <v/>
      </c>
      <c r="AF410" s="70" t="str">
        <f t="shared" si="203"/>
        <v/>
      </c>
      <c r="AG410" s="70" t="str">
        <f t="shared" si="203"/>
        <v/>
      </c>
      <c r="AH410" s="70" t="str">
        <f t="shared" si="203"/>
        <v/>
      </c>
      <c r="AI410" s="70" t="str">
        <f t="shared" si="203"/>
        <v/>
      </c>
      <c r="AJ410" s="70" t="str">
        <f t="shared" si="203"/>
        <v/>
      </c>
      <c r="AK410" s="70" t="str">
        <f t="shared" si="203"/>
        <v/>
      </c>
      <c r="AL410" s="70" t="str">
        <f t="shared" si="203"/>
        <v/>
      </c>
      <c r="AM410" s="70" t="str">
        <f t="shared" si="203"/>
        <v/>
      </c>
      <c r="AN410" s="70" t="str">
        <f t="shared" si="203"/>
        <v/>
      </c>
      <c r="AO410" s="67" t="str">
        <f t="shared" si="204"/>
        <v>*</v>
      </c>
      <c r="AP410" s="45">
        <f t="shared" si="205"/>
        <v>0</v>
      </c>
    </row>
    <row r="411" spans="2:42" ht="18" customHeight="1" x14ac:dyDescent="0.3">
      <c r="B411" s="42" t="str">
        <f t="shared" si="200"/>
        <v>U4X</v>
      </c>
      <c r="C411" s="68" t="str">
        <f t="shared" si="201"/>
        <v>D4X</v>
      </c>
      <c r="D411" s="67" t="str">
        <f t="shared" si="202"/>
        <v>=</v>
      </c>
      <c r="E411" s="70">
        <f t="shared" si="203"/>
        <v>0</v>
      </c>
      <c r="F411" s="70">
        <f t="shared" si="203"/>
        <v>1.9753086419753087E-7</v>
      </c>
      <c r="G411" s="70">
        <f t="shared" si="203"/>
        <v>0</v>
      </c>
      <c r="H411" s="70">
        <f t="shared" si="203"/>
        <v>0</v>
      </c>
      <c r="I411" s="70">
        <f t="shared" si="203"/>
        <v>3.9506172839506174E-7</v>
      </c>
      <c r="J411" s="70">
        <f t="shared" si="203"/>
        <v>0</v>
      </c>
      <c r="K411" s="69">
        <f t="shared" si="203"/>
        <v>7.9012345679012348E-7</v>
      </c>
      <c r="L411" s="70">
        <f t="shared" si="203"/>
        <v>0</v>
      </c>
      <c r="M411" s="70">
        <f t="shared" si="203"/>
        <v>0</v>
      </c>
      <c r="N411" s="70">
        <f t="shared" si="203"/>
        <v>0</v>
      </c>
      <c r="O411" s="70">
        <f t="shared" si="203"/>
        <v>0</v>
      </c>
      <c r="P411" s="70">
        <f t="shared" si="203"/>
        <v>0</v>
      </c>
      <c r="Q411" s="70">
        <f t="shared" si="203"/>
        <v>0</v>
      </c>
      <c r="R411" s="70">
        <f t="shared" si="203"/>
        <v>0</v>
      </c>
      <c r="S411" s="70" t="str">
        <f t="shared" si="203"/>
        <v/>
      </c>
      <c r="T411" s="70" t="str">
        <f t="shared" si="203"/>
        <v/>
      </c>
      <c r="U411" s="70" t="str">
        <f t="shared" si="203"/>
        <v/>
      </c>
      <c r="V411" s="70" t="str">
        <f t="shared" si="203"/>
        <v/>
      </c>
      <c r="W411" s="70" t="str">
        <f t="shared" si="203"/>
        <v/>
      </c>
      <c r="X411" s="70" t="str">
        <f t="shared" si="203"/>
        <v/>
      </c>
      <c r="Y411" s="70" t="str">
        <f t="shared" si="203"/>
        <v/>
      </c>
      <c r="Z411" s="70" t="str">
        <f t="shared" si="203"/>
        <v/>
      </c>
      <c r="AA411" s="70" t="str">
        <f t="shared" si="203"/>
        <v/>
      </c>
      <c r="AB411" s="70" t="str">
        <f t="shared" si="203"/>
        <v/>
      </c>
      <c r="AC411" s="70" t="str">
        <f t="shared" si="203"/>
        <v/>
      </c>
      <c r="AD411" s="70" t="str">
        <f t="shared" si="203"/>
        <v/>
      </c>
      <c r="AE411" s="70" t="str">
        <f t="shared" si="203"/>
        <v/>
      </c>
      <c r="AF411" s="70" t="str">
        <f t="shared" si="203"/>
        <v/>
      </c>
      <c r="AG411" s="70" t="str">
        <f t="shared" si="203"/>
        <v/>
      </c>
      <c r="AH411" s="70" t="str">
        <f t="shared" si="203"/>
        <v/>
      </c>
      <c r="AI411" s="70" t="str">
        <f t="shared" si="203"/>
        <v/>
      </c>
      <c r="AJ411" s="70" t="str">
        <f t="shared" si="203"/>
        <v/>
      </c>
      <c r="AK411" s="70" t="str">
        <f t="shared" si="203"/>
        <v/>
      </c>
      <c r="AL411" s="70" t="str">
        <f t="shared" si="203"/>
        <v/>
      </c>
      <c r="AM411" s="70" t="str">
        <f t="shared" si="203"/>
        <v/>
      </c>
      <c r="AN411" s="70" t="str">
        <f t="shared" si="203"/>
        <v/>
      </c>
      <c r="AO411" s="67" t="str">
        <f t="shared" si="204"/>
        <v>*</v>
      </c>
      <c r="AP411" s="45">
        <f t="shared" si="205"/>
        <v>-1500</v>
      </c>
    </row>
    <row r="412" spans="2:42" ht="18" customHeight="1" x14ac:dyDescent="0.3">
      <c r="B412" s="42" t="str">
        <f t="shared" si="200"/>
        <v>U4Y</v>
      </c>
      <c r="C412" s="68" t="str">
        <f t="shared" si="201"/>
        <v>D4Y</v>
      </c>
      <c r="D412" s="67" t="str">
        <f t="shared" si="202"/>
        <v>=</v>
      </c>
      <c r="E412" s="70">
        <f t="shared" si="203"/>
        <v>-9.0299823633156984E-8</v>
      </c>
      <c r="F412" s="70">
        <f t="shared" si="203"/>
        <v>0</v>
      </c>
      <c r="G412" s="70">
        <f t="shared" si="203"/>
        <v>-1.3544973544973547E-5</v>
      </c>
      <c r="H412" s="70">
        <f t="shared" ref="H412:AQ412" si="206">IF(OR($AQ372="",H$362=""),"",INDEX($AU$285:$CD$320,$AQ372,H$362))</f>
        <v>-2.2574955908289246E-8</v>
      </c>
      <c r="I412" s="70">
        <f t="shared" si="206"/>
        <v>0</v>
      </c>
      <c r="J412" s="70">
        <f t="shared" si="206"/>
        <v>1.8059964726631397E-7</v>
      </c>
      <c r="K412" s="70">
        <f t="shared" si="206"/>
        <v>0</v>
      </c>
      <c r="L412" s="69">
        <f t="shared" si="206"/>
        <v>8.4948722973414358E-5</v>
      </c>
      <c r="M412" s="70">
        <f t="shared" si="206"/>
        <v>5.0166568685086734E-9</v>
      </c>
      <c r="N412" s="70">
        <f t="shared" si="206"/>
        <v>-2.0066627474034893E-7</v>
      </c>
      <c r="O412" s="70">
        <f t="shared" si="206"/>
        <v>0</v>
      </c>
      <c r="P412" s="70">
        <f t="shared" si="206"/>
        <v>-1.8812463256907714E-5</v>
      </c>
      <c r="Q412" s="70">
        <f t="shared" si="206"/>
        <v>2.5083284342543643E-8</v>
      </c>
      <c r="R412" s="70">
        <f t="shared" si="206"/>
        <v>1.0033313737017439E-7</v>
      </c>
      <c r="S412" s="70" t="str">
        <f t="shared" si="206"/>
        <v/>
      </c>
      <c r="T412" s="70" t="str">
        <f t="shared" si="206"/>
        <v/>
      </c>
      <c r="U412" s="70" t="str">
        <f t="shared" si="206"/>
        <v/>
      </c>
      <c r="V412" s="70" t="str">
        <f t="shared" si="206"/>
        <v/>
      </c>
      <c r="W412" s="70" t="str">
        <f t="shared" si="206"/>
        <v/>
      </c>
      <c r="X412" s="70" t="str">
        <f t="shared" si="206"/>
        <v/>
      </c>
      <c r="Y412" s="70" t="str">
        <f t="shared" si="206"/>
        <v/>
      </c>
      <c r="Z412" s="70" t="str">
        <f t="shared" si="206"/>
        <v/>
      </c>
      <c r="AA412" s="70" t="str">
        <f t="shared" si="206"/>
        <v/>
      </c>
      <c r="AB412" s="70" t="str">
        <f t="shared" si="206"/>
        <v/>
      </c>
      <c r="AC412" s="70" t="str">
        <f t="shared" si="206"/>
        <v/>
      </c>
      <c r="AD412" s="70" t="str">
        <f t="shared" si="206"/>
        <v/>
      </c>
      <c r="AE412" s="70" t="str">
        <f t="shared" si="206"/>
        <v/>
      </c>
      <c r="AF412" s="70" t="str">
        <f t="shared" si="206"/>
        <v/>
      </c>
      <c r="AG412" s="70" t="str">
        <f t="shared" si="206"/>
        <v/>
      </c>
      <c r="AH412" s="70" t="str">
        <f t="shared" si="206"/>
        <v/>
      </c>
      <c r="AI412" s="70" t="str">
        <f t="shared" si="206"/>
        <v/>
      </c>
      <c r="AJ412" s="70" t="str">
        <f t="shared" si="206"/>
        <v/>
      </c>
      <c r="AK412" s="70" t="str">
        <f t="shared" si="206"/>
        <v/>
      </c>
      <c r="AL412" s="70" t="str">
        <f t="shared" si="206"/>
        <v/>
      </c>
      <c r="AM412" s="70" t="str">
        <f t="shared" si="206"/>
        <v/>
      </c>
      <c r="AN412" s="70" t="str">
        <f t="shared" si="206"/>
        <v/>
      </c>
      <c r="AO412" s="67" t="str">
        <f t="shared" si="204"/>
        <v>*</v>
      </c>
      <c r="AP412" s="45">
        <f t="shared" si="205"/>
        <v>-2000</v>
      </c>
    </row>
    <row r="413" spans="2:42" ht="18" customHeight="1" x14ac:dyDescent="0.3">
      <c r="B413" s="42" t="str">
        <f t="shared" si="200"/>
        <v>U4θ</v>
      </c>
      <c r="C413" s="68" t="str">
        <f t="shared" si="201"/>
        <v>D4θ</v>
      </c>
      <c r="D413" s="67" t="str">
        <f t="shared" si="202"/>
        <v>=</v>
      </c>
      <c r="E413" s="70">
        <f t="shared" ref="E413:AN420" si="207">IF(OR($AQ373="",E$362=""),"",INDEX($AU$285:$CD$320,$AQ373,E$362))</f>
        <v>1.4213861127441372E-10</v>
      </c>
      <c r="F413" s="70">
        <f t="shared" si="207"/>
        <v>0</v>
      </c>
      <c r="G413" s="70">
        <f t="shared" si="207"/>
        <v>2.1320791691162062E-8</v>
      </c>
      <c r="H413" s="70">
        <f t="shared" si="207"/>
        <v>3.5534652818603437E-11</v>
      </c>
      <c r="I413" s="70">
        <f t="shared" si="207"/>
        <v>0</v>
      </c>
      <c r="J413" s="70">
        <f t="shared" si="207"/>
        <v>-2.842772225488275E-10</v>
      </c>
      <c r="K413" s="70">
        <f t="shared" si="207"/>
        <v>0</v>
      </c>
      <c r="L413" s="70">
        <f t="shared" si="207"/>
        <v>5.0166568685087197E-9</v>
      </c>
      <c r="M413" s="69">
        <f t="shared" si="207"/>
        <v>1.0325952054347117E-9</v>
      </c>
      <c r="N413" s="70">
        <f t="shared" si="207"/>
        <v>-3.3444379123391464E-10</v>
      </c>
      <c r="O413" s="70">
        <f t="shared" si="207"/>
        <v>0</v>
      </c>
      <c r="P413" s="70">
        <f t="shared" si="207"/>
        <v>-3.1354105428179497E-8</v>
      </c>
      <c r="Q413" s="70">
        <f t="shared" si="207"/>
        <v>4.1805473904239317E-11</v>
      </c>
      <c r="R413" s="70">
        <f t="shared" si="207"/>
        <v>1.6722189561695737E-10</v>
      </c>
      <c r="S413" s="70" t="str">
        <f t="shared" si="207"/>
        <v/>
      </c>
      <c r="T413" s="70" t="str">
        <f t="shared" si="207"/>
        <v/>
      </c>
      <c r="U413" s="70" t="str">
        <f t="shared" si="207"/>
        <v/>
      </c>
      <c r="V413" s="70" t="str">
        <f t="shared" si="207"/>
        <v/>
      </c>
      <c r="W413" s="70" t="str">
        <f t="shared" si="207"/>
        <v/>
      </c>
      <c r="X413" s="70" t="str">
        <f t="shared" si="207"/>
        <v/>
      </c>
      <c r="Y413" s="70" t="str">
        <f t="shared" si="207"/>
        <v/>
      </c>
      <c r="Z413" s="70" t="str">
        <f t="shared" si="207"/>
        <v/>
      </c>
      <c r="AA413" s="70" t="str">
        <f t="shared" si="207"/>
        <v/>
      </c>
      <c r="AB413" s="70" t="str">
        <f t="shared" si="207"/>
        <v/>
      </c>
      <c r="AC413" s="70" t="str">
        <f t="shared" si="207"/>
        <v/>
      </c>
      <c r="AD413" s="70" t="str">
        <f t="shared" si="207"/>
        <v/>
      </c>
      <c r="AE413" s="70" t="str">
        <f t="shared" si="207"/>
        <v/>
      </c>
      <c r="AF413" s="70" t="str">
        <f t="shared" si="207"/>
        <v/>
      </c>
      <c r="AG413" s="70" t="str">
        <f t="shared" si="207"/>
        <v/>
      </c>
      <c r="AH413" s="70" t="str">
        <f t="shared" si="207"/>
        <v/>
      </c>
      <c r="AI413" s="70" t="str">
        <f t="shared" si="207"/>
        <v/>
      </c>
      <c r="AJ413" s="70" t="str">
        <f t="shared" si="207"/>
        <v/>
      </c>
      <c r="AK413" s="70" t="str">
        <f t="shared" si="207"/>
        <v/>
      </c>
      <c r="AL413" s="70" t="str">
        <f t="shared" si="207"/>
        <v/>
      </c>
      <c r="AM413" s="70" t="str">
        <f t="shared" si="207"/>
        <v/>
      </c>
      <c r="AN413" s="70" t="str">
        <f t="shared" si="207"/>
        <v/>
      </c>
      <c r="AO413" s="67" t="str">
        <f t="shared" si="204"/>
        <v>*</v>
      </c>
      <c r="AP413" s="45">
        <f t="shared" si="205"/>
        <v>0</v>
      </c>
    </row>
    <row r="414" spans="2:42" ht="18" customHeight="1" x14ac:dyDescent="0.3">
      <c r="B414" s="42" t="str">
        <f t="shared" si="200"/>
        <v>U5θ</v>
      </c>
      <c r="C414" s="68" t="str">
        <f t="shared" si="201"/>
        <v>D5θ</v>
      </c>
      <c r="D414" s="67" t="str">
        <f t="shared" si="202"/>
        <v>=</v>
      </c>
      <c r="E414" s="70">
        <f t="shared" si="207"/>
        <v>1.6722189561695737E-10</v>
      </c>
      <c r="F414" s="70">
        <f t="shared" si="207"/>
        <v>0</v>
      </c>
      <c r="G414" s="70">
        <f t="shared" si="207"/>
        <v>2.5083284342543603E-8</v>
      </c>
      <c r="H414" s="70">
        <f t="shared" si="207"/>
        <v>4.1805473904239343E-11</v>
      </c>
      <c r="I414" s="70">
        <f t="shared" si="207"/>
        <v>0</v>
      </c>
      <c r="J414" s="70">
        <f t="shared" si="207"/>
        <v>-3.3444379123391474E-10</v>
      </c>
      <c r="K414" s="70">
        <f t="shared" si="207"/>
        <v>0</v>
      </c>
      <c r="L414" s="70">
        <f t="shared" si="207"/>
        <v>-2.0066627474034882E-7</v>
      </c>
      <c r="M414" s="70">
        <f t="shared" si="207"/>
        <v>-3.3444379123391459E-10</v>
      </c>
      <c r="N414" s="69">
        <f t="shared" si="207"/>
        <v>1.6722189561695735E-9</v>
      </c>
      <c r="O414" s="70">
        <f t="shared" si="207"/>
        <v>0</v>
      </c>
      <c r="P414" s="70">
        <f t="shared" si="207"/>
        <v>1.5677052714089752E-7</v>
      </c>
      <c r="Q414" s="70">
        <f t="shared" si="207"/>
        <v>-2.0902736952119668E-10</v>
      </c>
      <c r="R414" s="70">
        <f t="shared" si="207"/>
        <v>-8.3610947808478673E-10</v>
      </c>
      <c r="S414" s="70" t="str">
        <f t="shared" si="207"/>
        <v/>
      </c>
      <c r="T414" s="70" t="str">
        <f t="shared" si="207"/>
        <v/>
      </c>
      <c r="U414" s="70" t="str">
        <f t="shared" si="207"/>
        <v/>
      </c>
      <c r="V414" s="70" t="str">
        <f t="shared" si="207"/>
        <v/>
      </c>
      <c r="W414" s="70" t="str">
        <f t="shared" si="207"/>
        <v/>
      </c>
      <c r="X414" s="70" t="str">
        <f t="shared" si="207"/>
        <v/>
      </c>
      <c r="Y414" s="70" t="str">
        <f t="shared" si="207"/>
        <v/>
      </c>
      <c r="Z414" s="70" t="str">
        <f t="shared" si="207"/>
        <v/>
      </c>
      <c r="AA414" s="70" t="str">
        <f t="shared" si="207"/>
        <v/>
      </c>
      <c r="AB414" s="70" t="str">
        <f t="shared" si="207"/>
        <v/>
      </c>
      <c r="AC414" s="70" t="str">
        <f t="shared" si="207"/>
        <v/>
      </c>
      <c r="AD414" s="70" t="str">
        <f t="shared" si="207"/>
        <v/>
      </c>
      <c r="AE414" s="70" t="str">
        <f t="shared" si="207"/>
        <v/>
      </c>
      <c r="AF414" s="70" t="str">
        <f t="shared" si="207"/>
        <v/>
      </c>
      <c r="AG414" s="70" t="str">
        <f t="shared" si="207"/>
        <v/>
      </c>
      <c r="AH414" s="70" t="str">
        <f t="shared" si="207"/>
        <v/>
      </c>
      <c r="AI414" s="70" t="str">
        <f t="shared" si="207"/>
        <v/>
      </c>
      <c r="AJ414" s="70" t="str">
        <f t="shared" si="207"/>
        <v/>
      </c>
      <c r="AK414" s="70" t="str">
        <f t="shared" si="207"/>
        <v/>
      </c>
      <c r="AL414" s="70" t="str">
        <f t="shared" si="207"/>
        <v/>
      </c>
      <c r="AM414" s="70" t="str">
        <f t="shared" si="207"/>
        <v/>
      </c>
      <c r="AN414" s="70" t="str">
        <f t="shared" si="207"/>
        <v/>
      </c>
      <c r="AO414" s="67" t="str">
        <f t="shared" si="204"/>
        <v>*</v>
      </c>
      <c r="AP414" s="45">
        <f t="shared" si="205"/>
        <v>0</v>
      </c>
    </row>
    <row r="415" spans="2:42" ht="18" customHeight="1" x14ac:dyDescent="0.3">
      <c r="B415" s="42" t="str">
        <f t="shared" si="200"/>
        <v>U6X</v>
      </c>
      <c r="C415" s="68" t="str">
        <f t="shared" si="201"/>
        <v>D6X</v>
      </c>
      <c r="D415" s="67" t="str">
        <f t="shared" si="202"/>
        <v>=</v>
      </c>
      <c r="E415" s="70">
        <f t="shared" si="207"/>
        <v>0</v>
      </c>
      <c r="F415" s="70">
        <f t="shared" si="207"/>
        <v>0</v>
      </c>
      <c r="G415" s="70">
        <f t="shared" si="207"/>
        <v>0</v>
      </c>
      <c r="H415" s="70">
        <f t="shared" si="207"/>
        <v>0</v>
      </c>
      <c r="I415" s="70">
        <f t="shared" si="207"/>
        <v>0</v>
      </c>
      <c r="J415" s="70">
        <f t="shared" si="207"/>
        <v>0</v>
      </c>
      <c r="K415" s="70">
        <f t="shared" si="207"/>
        <v>0</v>
      </c>
      <c r="L415" s="70">
        <f t="shared" si="207"/>
        <v>0</v>
      </c>
      <c r="M415" s="70">
        <f t="shared" si="207"/>
        <v>0</v>
      </c>
      <c r="N415" s="70">
        <f t="shared" si="207"/>
        <v>0</v>
      </c>
      <c r="O415" s="69">
        <f t="shared" si="207"/>
        <v>3.7037037037037036E-7</v>
      </c>
      <c r="P415" s="70">
        <f t="shared" si="207"/>
        <v>0</v>
      </c>
      <c r="Q415" s="70">
        <f t="shared" si="207"/>
        <v>0</v>
      </c>
      <c r="R415" s="70">
        <f t="shared" si="207"/>
        <v>0</v>
      </c>
      <c r="S415" s="70" t="str">
        <f t="shared" si="207"/>
        <v/>
      </c>
      <c r="T415" s="70" t="str">
        <f t="shared" si="207"/>
        <v/>
      </c>
      <c r="U415" s="70" t="str">
        <f t="shared" si="207"/>
        <v/>
      </c>
      <c r="V415" s="70" t="str">
        <f t="shared" si="207"/>
        <v/>
      </c>
      <c r="W415" s="70" t="str">
        <f t="shared" si="207"/>
        <v/>
      </c>
      <c r="X415" s="70" t="str">
        <f t="shared" si="207"/>
        <v/>
      </c>
      <c r="Y415" s="70" t="str">
        <f t="shared" si="207"/>
        <v/>
      </c>
      <c r="Z415" s="70" t="str">
        <f t="shared" si="207"/>
        <v/>
      </c>
      <c r="AA415" s="70" t="str">
        <f t="shared" si="207"/>
        <v/>
      </c>
      <c r="AB415" s="70" t="str">
        <f t="shared" si="207"/>
        <v/>
      </c>
      <c r="AC415" s="70" t="str">
        <f t="shared" si="207"/>
        <v/>
      </c>
      <c r="AD415" s="70" t="str">
        <f t="shared" si="207"/>
        <v/>
      </c>
      <c r="AE415" s="70" t="str">
        <f t="shared" si="207"/>
        <v/>
      </c>
      <c r="AF415" s="70" t="str">
        <f t="shared" si="207"/>
        <v/>
      </c>
      <c r="AG415" s="70" t="str">
        <f t="shared" si="207"/>
        <v/>
      </c>
      <c r="AH415" s="70" t="str">
        <f t="shared" si="207"/>
        <v/>
      </c>
      <c r="AI415" s="70" t="str">
        <f t="shared" si="207"/>
        <v/>
      </c>
      <c r="AJ415" s="70" t="str">
        <f t="shared" si="207"/>
        <v/>
      </c>
      <c r="AK415" s="70" t="str">
        <f t="shared" si="207"/>
        <v/>
      </c>
      <c r="AL415" s="70" t="str">
        <f t="shared" si="207"/>
        <v/>
      </c>
      <c r="AM415" s="70" t="str">
        <f t="shared" si="207"/>
        <v/>
      </c>
      <c r="AN415" s="70" t="str">
        <f t="shared" si="207"/>
        <v/>
      </c>
      <c r="AO415" s="67" t="str">
        <f t="shared" si="204"/>
        <v>*</v>
      </c>
      <c r="AP415" s="45">
        <f t="shared" si="205"/>
        <v>0</v>
      </c>
    </row>
    <row r="416" spans="2:42" ht="18" customHeight="1" x14ac:dyDescent="0.3">
      <c r="B416" s="42" t="str">
        <f t="shared" si="200"/>
        <v>U6Y</v>
      </c>
      <c r="C416" s="68" t="str">
        <f t="shared" si="201"/>
        <v>D6Y</v>
      </c>
      <c r="D416" s="67" t="str">
        <f t="shared" si="202"/>
        <v>=</v>
      </c>
      <c r="E416" s="70">
        <f t="shared" si="207"/>
        <v>1.5677052714089752E-8</v>
      </c>
      <c r="F416" s="70">
        <f t="shared" si="207"/>
        <v>0</v>
      </c>
      <c r="G416" s="70">
        <f t="shared" si="207"/>
        <v>2.3515579071134626E-6</v>
      </c>
      <c r="H416" s="70">
        <f t="shared" si="207"/>
        <v>3.9192631785224379E-9</v>
      </c>
      <c r="I416" s="70">
        <f t="shared" si="207"/>
        <v>0</v>
      </c>
      <c r="J416" s="70">
        <f t="shared" si="207"/>
        <v>-3.1354105428179504E-8</v>
      </c>
      <c r="K416" s="70">
        <f t="shared" si="207"/>
        <v>0</v>
      </c>
      <c r="L416" s="70">
        <f t="shared" si="207"/>
        <v>-1.88124632569077E-5</v>
      </c>
      <c r="M416" s="70">
        <f t="shared" si="207"/>
        <v>-3.135410542817949E-8</v>
      </c>
      <c r="N416" s="70">
        <f t="shared" si="207"/>
        <v>1.567705271408975E-7</v>
      </c>
      <c r="O416" s="70">
        <f t="shared" si="207"/>
        <v>0</v>
      </c>
      <c r="P416" s="69">
        <f t="shared" si="207"/>
        <v>3.4701809393167417E-5</v>
      </c>
      <c r="Q416" s="70">
        <f t="shared" si="207"/>
        <v>1.4697236919459161E-8</v>
      </c>
      <c r="R416" s="70">
        <f t="shared" si="207"/>
        <v>-2.1555947481873408E-7</v>
      </c>
      <c r="S416" s="70" t="str">
        <f t="shared" si="207"/>
        <v/>
      </c>
      <c r="T416" s="70" t="str">
        <f t="shared" si="207"/>
        <v/>
      </c>
      <c r="U416" s="70" t="str">
        <f t="shared" si="207"/>
        <v/>
      </c>
      <c r="V416" s="70" t="str">
        <f t="shared" si="207"/>
        <v/>
      </c>
      <c r="W416" s="70" t="str">
        <f t="shared" si="207"/>
        <v/>
      </c>
      <c r="X416" s="70" t="str">
        <f t="shared" si="207"/>
        <v/>
      </c>
      <c r="Y416" s="70" t="str">
        <f t="shared" si="207"/>
        <v/>
      </c>
      <c r="Z416" s="70" t="str">
        <f t="shared" si="207"/>
        <v/>
      </c>
      <c r="AA416" s="70" t="str">
        <f t="shared" si="207"/>
        <v/>
      </c>
      <c r="AB416" s="70" t="str">
        <f t="shared" si="207"/>
        <v/>
      </c>
      <c r="AC416" s="70" t="str">
        <f t="shared" si="207"/>
        <v/>
      </c>
      <c r="AD416" s="70" t="str">
        <f t="shared" si="207"/>
        <v/>
      </c>
      <c r="AE416" s="70" t="str">
        <f t="shared" si="207"/>
        <v/>
      </c>
      <c r="AF416" s="70" t="str">
        <f t="shared" si="207"/>
        <v/>
      </c>
      <c r="AG416" s="70" t="str">
        <f t="shared" si="207"/>
        <v/>
      </c>
      <c r="AH416" s="70" t="str">
        <f t="shared" si="207"/>
        <v/>
      </c>
      <c r="AI416" s="70" t="str">
        <f t="shared" si="207"/>
        <v/>
      </c>
      <c r="AJ416" s="70" t="str">
        <f t="shared" si="207"/>
        <v/>
      </c>
      <c r="AK416" s="70" t="str">
        <f t="shared" si="207"/>
        <v/>
      </c>
      <c r="AL416" s="70" t="str">
        <f t="shared" si="207"/>
        <v/>
      </c>
      <c r="AM416" s="70" t="str">
        <f t="shared" si="207"/>
        <v/>
      </c>
      <c r="AN416" s="70" t="str">
        <f t="shared" si="207"/>
        <v/>
      </c>
      <c r="AO416" s="67" t="str">
        <f t="shared" si="204"/>
        <v>*</v>
      </c>
      <c r="AP416" s="45">
        <f t="shared" si="205"/>
        <v>0</v>
      </c>
    </row>
    <row r="417" spans="2:42" ht="18" customHeight="1" x14ac:dyDescent="0.3">
      <c r="B417" s="42" t="str">
        <f t="shared" si="200"/>
        <v>U6θ</v>
      </c>
      <c r="C417" s="68" t="str">
        <f t="shared" si="201"/>
        <v>D6θ</v>
      </c>
      <c r="D417" s="67" t="str">
        <f t="shared" si="202"/>
        <v>=</v>
      </c>
      <c r="E417" s="70">
        <f t="shared" si="207"/>
        <v>-2.0902736952119668E-11</v>
      </c>
      <c r="F417" s="70">
        <f t="shared" si="207"/>
        <v>0</v>
      </c>
      <c r="G417" s="70">
        <f t="shared" si="207"/>
        <v>-3.1354105428179504E-9</v>
      </c>
      <c r="H417" s="70">
        <f t="shared" si="207"/>
        <v>-5.2256842380299179E-12</v>
      </c>
      <c r="I417" s="70">
        <f t="shared" si="207"/>
        <v>0</v>
      </c>
      <c r="J417" s="70">
        <f t="shared" si="207"/>
        <v>4.1805473904239343E-11</v>
      </c>
      <c r="K417" s="70">
        <f t="shared" si="207"/>
        <v>0</v>
      </c>
      <c r="L417" s="70">
        <f t="shared" si="207"/>
        <v>2.5083284342543603E-8</v>
      </c>
      <c r="M417" s="70">
        <f t="shared" si="207"/>
        <v>4.1805473904239323E-11</v>
      </c>
      <c r="N417" s="70">
        <f t="shared" si="207"/>
        <v>-2.0902736952119668E-10</v>
      </c>
      <c r="O417" s="70">
        <f t="shared" si="207"/>
        <v>0</v>
      </c>
      <c r="P417" s="70">
        <f t="shared" si="207"/>
        <v>1.4697236919459143E-8</v>
      </c>
      <c r="Q417" s="69">
        <f t="shared" si="207"/>
        <v>7.1199947743157626E-10</v>
      </c>
      <c r="R417" s="70">
        <f t="shared" si="207"/>
        <v>-4.4418316023254293E-10</v>
      </c>
      <c r="S417" s="70" t="str">
        <f t="shared" si="207"/>
        <v/>
      </c>
      <c r="T417" s="70" t="str">
        <f t="shared" si="207"/>
        <v/>
      </c>
      <c r="U417" s="70" t="str">
        <f t="shared" si="207"/>
        <v/>
      </c>
      <c r="V417" s="70" t="str">
        <f t="shared" si="207"/>
        <v/>
      </c>
      <c r="W417" s="70" t="str">
        <f t="shared" si="207"/>
        <v/>
      </c>
      <c r="X417" s="70" t="str">
        <f t="shared" si="207"/>
        <v/>
      </c>
      <c r="Y417" s="70" t="str">
        <f t="shared" si="207"/>
        <v/>
      </c>
      <c r="Z417" s="70" t="str">
        <f t="shared" si="207"/>
        <v/>
      </c>
      <c r="AA417" s="70" t="str">
        <f t="shared" si="207"/>
        <v/>
      </c>
      <c r="AB417" s="70" t="str">
        <f t="shared" si="207"/>
        <v/>
      </c>
      <c r="AC417" s="70" t="str">
        <f t="shared" si="207"/>
        <v/>
      </c>
      <c r="AD417" s="70" t="str">
        <f t="shared" si="207"/>
        <v/>
      </c>
      <c r="AE417" s="70" t="str">
        <f t="shared" si="207"/>
        <v/>
      </c>
      <c r="AF417" s="70" t="str">
        <f t="shared" si="207"/>
        <v/>
      </c>
      <c r="AG417" s="70" t="str">
        <f t="shared" si="207"/>
        <v/>
      </c>
      <c r="AH417" s="70" t="str">
        <f t="shared" si="207"/>
        <v/>
      </c>
      <c r="AI417" s="70" t="str">
        <f t="shared" si="207"/>
        <v/>
      </c>
      <c r="AJ417" s="70" t="str">
        <f t="shared" si="207"/>
        <v/>
      </c>
      <c r="AK417" s="70" t="str">
        <f t="shared" si="207"/>
        <v/>
      </c>
      <c r="AL417" s="70" t="str">
        <f t="shared" si="207"/>
        <v/>
      </c>
      <c r="AM417" s="70" t="str">
        <f t="shared" si="207"/>
        <v/>
      </c>
      <c r="AN417" s="70" t="str">
        <f t="shared" si="207"/>
        <v/>
      </c>
      <c r="AO417" s="67" t="str">
        <f t="shared" si="204"/>
        <v>*</v>
      </c>
      <c r="AP417" s="45">
        <f t="shared" si="205"/>
        <v>-80000</v>
      </c>
    </row>
    <row r="418" spans="2:42" ht="18" customHeight="1" x14ac:dyDescent="0.3">
      <c r="B418" s="42" t="str">
        <f t="shared" si="200"/>
        <v>U7θ</v>
      </c>
      <c r="C418" s="68" t="str">
        <f t="shared" si="201"/>
        <v>D7θ</v>
      </c>
      <c r="D418" s="67" t="str">
        <f t="shared" si="202"/>
        <v>=</v>
      </c>
      <c r="E418" s="70">
        <f t="shared" si="207"/>
        <v>-8.361094780847866E-11</v>
      </c>
      <c r="F418" s="70">
        <f t="shared" si="207"/>
        <v>0</v>
      </c>
      <c r="G418" s="70">
        <f t="shared" si="207"/>
        <v>-1.2541642171271801E-8</v>
      </c>
      <c r="H418" s="70">
        <f t="shared" si="207"/>
        <v>-2.0902736952119668E-11</v>
      </c>
      <c r="I418" s="70">
        <f t="shared" si="207"/>
        <v>0</v>
      </c>
      <c r="J418" s="70">
        <f t="shared" si="207"/>
        <v>1.6722189561695735E-10</v>
      </c>
      <c r="K418" s="70">
        <f t="shared" si="207"/>
        <v>0</v>
      </c>
      <c r="L418" s="70">
        <f t="shared" si="207"/>
        <v>1.0033313737017441E-7</v>
      </c>
      <c r="M418" s="70">
        <f t="shared" si="207"/>
        <v>1.6722189561695729E-10</v>
      </c>
      <c r="N418" s="70">
        <f t="shared" si="207"/>
        <v>-8.3610947808478673E-10</v>
      </c>
      <c r="O418" s="70">
        <f t="shared" si="207"/>
        <v>0</v>
      </c>
      <c r="P418" s="70">
        <f t="shared" si="207"/>
        <v>-2.1555947481873408E-7</v>
      </c>
      <c r="Q418" s="70">
        <f t="shared" si="207"/>
        <v>-4.4418316023254309E-10</v>
      </c>
      <c r="R418" s="69">
        <f t="shared" si="207"/>
        <v>2.6128421190149584E-9</v>
      </c>
      <c r="S418" s="70" t="str">
        <f t="shared" si="207"/>
        <v/>
      </c>
      <c r="T418" s="70" t="str">
        <f t="shared" si="207"/>
        <v/>
      </c>
      <c r="U418" s="70" t="str">
        <f t="shared" si="207"/>
        <v/>
      </c>
      <c r="V418" s="70" t="str">
        <f t="shared" si="207"/>
        <v/>
      </c>
      <c r="W418" s="70" t="str">
        <f t="shared" si="207"/>
        <v/>
      </c>
      <c r="X418" s="70" t="str">
        <f t="shared" si="207"/>
        <v/>
      </c>
      <c r="Y418" s="70" t="str">
        <f t="shared" si="207"/>
        <v/>
      </c>
      <c r="Z418" s="70" t="str">
        <f t="shared" si="207"/>
        <v/>
      </c>
      <c r="AA418" s="70" t="str">
        <f t="shared" si="207"/>
        <v/>
      </c>
      <c r="AB418" s="70" t="str">
        <f t="shared" si="207"/>
        <v/>
      </c>
      <c r="AC418" s="70" t="str">
        <f t="shared" si="207"/>
        <v/>
      </c>
      <c r="AD418" s="70" t="str">
        <f t="shared" si="207"/>
        <v/>
      </c>
      <c r="AE418" s="70" t="str">
        <f t="shared" si="207"/>
        <v/>
      </c>
      <c r="AF418" s="70" t="str">
        <f t="shared" si="207"/>
        <v/>
      </c>
      <c r="AG418" s="70" t="str">
        <f t="shared" si="207"/>
        <v/>
      </c>
      <c r="AH418" s="70" t="str">
        <f t="shared" si="207"/>
        <v/>
      </c>
      <c r="AI418" s="70" t="str">
        <f t="shared" si="207"/>
        <v/>
      </c>
      <c r="AJ418" s="70" t="str">
        <f t="shared" si="207"/>
        <v/>
      </c>
      <c r="AK418" s="70" t="str">
        <f t="shared" si="207"/>
        <v/>
      </c>
      <c r="AL418" s="70" t="str">
        <f t="shared" si="207"/>
        <v/>
      </c>
      <c r="AM418" s="70" t="str">
        <f t="shared" si="207"/>
        <v/>
      </c>
      <c r="AN418" s="70" t="str">
        <f t="shared" si="207"/>
        <v/>
      </c>
      <c r="AO418" s="67" t="str">
        <f t="shared" si="204"/>
        <v>*</v>
      </c>
      <c r="AP418" s="45">
        <f t="shared" si="205"/>
        <v>0</v>
      </c>
    </row>
    <row r="419" spans="2:42" ht="18" customHeight="1" x14ac:dyDescent="0.3">
      <c r="B419" s="42" t="str">
        <f t="shared" si="200"/>
        <v/>
      </c>
      <c r="C419" s="68" t="str">
        <f t="shared" si="201"/>
        <v/>
      </c>
      <c r="D419" s="67" t="str">
        <f t="shared" si="202"/>
        <v/>
      </c>
      <c r="E419" s="70" t="str">
        <f t="shared" si="207"/>
        <v/>
      </c>
      <c r="F419" s="70" t="str">
        <f t="shared" si="207"/>
        <v/>
      </c>
      <c r="G419" s="70" t="str">
        <f t="shared" si="207"/>
        <v/>
      </c>
      <c r="H419" s="70" t="str">
        <f t="shared" si="207"/>
        <v/>
      </c>
      <c r="I419" s="70" t="str">
        <f t="shared" si="207"/>
        <v/>
      </c>
      <c r="J419" s="70" t="str">
        <f t="shared" si="207"/>
        <v/>
      </c>
      <c r="K419" s="70" t="str">
        <f t="shared" si="207"/>
        <v/>
      </c>
      <c r="L419" s="70" t="str">
        <f t="shared" si="207"/>
        <v/>
      </c>
      <c r="M419" s="70" t="str">
        <f t="shared" si="207"/>
        <v/>
      </c>
      <c r="N419" s="70" t="str">
        <f t="shared" si="207"/>
        <v/>
      </c>
      <c r="O419" s="70" t="str">
        <f t="shared" si="207"/>
        <v/>
      </c>
      <c r="P419" s="70" t="str">
        <f t="shared" si="207"/>
        <v/>
      </c>
      <c r="Q419" s="70" t="str">
        <f t="shared" si="207"/>
        <v/>
      </c>
      <c r="R419" s="70" t="str">
        <f t="shared" si="207"/>
        <v/>
      </c>
      <c r="S419" s="69" t="str">
        <f t="shared" si="207"/>
        <v/>
      </c>
      <c r="T419" s="70" t="str">
        <f t="shared" si="207"/>
        <v/>
      </c>
      <c r="U419" s="70" t="str">
        <f t="shared" si="207"/>
        <v/>
      </c>
      <c r="V419" s="70" t="str">
        <f t="shared" si="207"/>
        <v/>
      </c>
      <c r="W419" s="70" t="str">
        <f t="shared" si="207"/>
        <v/>
      </c>
      <c r="X419" s="70" t="str">
        <f t="shared" si="207"/>
        <v/>
      </c>
      <c r="Y419" s="70" t="str">
        <f t="shared" si="207"/>
        <v/>
      </c>
      <c r="Z419" s="70" t="str">
        <f t="shared" si="207"/>
        <v/>
      </c>
      <c r="AA419" s="70" t="str">
        <f t="shared" si="207"/>
        <v/>
      </c>
      <c r="AB419" s="70" t="str">
        <f t="shared" si="207"/>
        <v/>
      </c>
      <c r="AC419" s="70" t="str">
        <f t="shared" si="207"/>
        <v/>
      </c>
      <c r="AD419" s="70" t="str">
        <f t="shared" si="207"/>
        <v/>
      </c>
      <c r="AE419" s="70" t="str">
        <f t="shared" si="207"/>
        <v/>
      </c>
      <c r="AF419" s="70" t="str">
        <f t="shared" si="207"/>
        <v/>
      </c>
      <c r="AG419" s="70" t="str">
        <f t="shared" si="207"/>
        <v/>
      </c>
      <c r="AH419" s="70" t="str">
        <f t="shared" si="207"/>
        <v/>
      </c>
      <c r="AI419" s="70" t="str">
        <f t="shared" si="207"/>
        <v/>
      </c>
      <c r="AJ419" s="70" t="str">
        <f t="shared" si="207"/>
        <v/>
      </c>
      <c r="AK419" s="70" t="str">
        <f t="shared" si="207"/>
        <v/>
      </c>
      <c r="AL419" s="70" t="str">
        <f t="shared" si="207"/>
        <v/>
      </c>
      <c r="AM419" s="70" t="str">
        <f t="shared" si="207"/>
        <v/>
      </c>
      <c r="AN419" s="70" t="str">
        <f t="shared" si="207"/>
        <v/>
      </c>
      <c r="AO419" s="67" t="str">
        <f t="shared" si="204"/>
        <v/>
      </c>
      <c r="AP419" s="45" t="str">
        <f t="shared" si="205"/>
        <v/>
      </c>
    </row>
    <row r="420" spans="2:42" ht="18" customHeight="1" x14ac:dyDescent="0.3">
      <c r="B420" s="42" t="str">
        <f t="shared" si="200"/>
        <v/>
      </c>
      <c r="C420" s="68" t="str">
        <f t="shared" si="201"/>
        <v/>
      </c>
      <c r="D420" s="67" t="str">
        <f t="shared" si="202"/>
        <v/>
      </c>
      <c r="E420" s="70" t="str">
        <f t="shared" si="207"/>
        <v/>
      </c>
      <c r="F420" s="70" t="str">
        <f t="shared" si="207"/>
        <v/>
      </c>
      <c r="G420" s="70" t="str">
        <f t="shared" si="207"/>
        <v/>
      </c>
      <c r="H420" s="70" t="str">
        <f t="shared" ref="H420:AQ420" si="208">IF(OR($AQ380="",H$362=""),"",INDEX($AU$285:$CD$320,$AQ380,H$362))</f>
        <v/>
      </c>
      <c r="I420" s="70" t="str">
        <f t="shared" si="208"/>
        <v/>
      </c>
      <c r="J420" s="70" t="str">
        <f t="shared" si="208"/>
        <v/>
      </c>
      <c r="K420" s="70" t="str">
        <f t="shared" si="208"/>
        <v/>
      </c>
      <c r="L420" s="70" t="str">
        <f t="shared" si="208"/>
        <v/>
      </c>
      <c r="M420" s="70" t="str">
        <f t="shared" si="208"/>
        <v/>
      </c>
      <c r="N420" s="70" t="str">
        <f t="shared" si="208"/>
        <v/>
      </c>
      <c r="O420" s="70" t="str">
        <f t="shared" si="208"/>
        <v/>
      </c>
      <c r="P420" s="70" t="str">
        <f t="shared" si="208"/>
        <v/>
      </c>
      <c r="Q420" s="70" t="str">
        <f t="shared" si="208"/>
        <v/>
      </c>
      <c r="R420" s="70" t="str">
        <f t="shared" si="208"/>
        <v/>
      </c>
      <c r="S420" s="70" t="str">
        <f t="shared" si="208"/>
        <v/>
      </c>
      <c r="T420" s="69" t="str">
        <f t="shared" si="208"/>
        <v/>
      </c>
      <c r="U420" s="70" t="str">
        <f t="shared" si="208"/>
        <v/>
      </c>
      <c r="V420" s="70" t="str">
        <f t="shared" si="208"/>
        <v/>
      </c>
      <c r="W420" s="70" t="str">
        <f t="shared" si="208"/>
        <v/>
      </c>
      <c r="X420" s="70" t="str">
        <f t="shared" si="208"/>
        <v/>
      </c>
      <c r="Y420" s="70" t="str">
        <f t="shared" si="208"/>
        <v/>
      </c>
      <c r="Z420" s="70" t="str">
        <f t="shared" si="208"/>
        <v/>
      </c>
      <c r="AA420" s="70" t="str">
        <f t="shared" si="208"/>
        <v/>
      </c>
      <c r="AB420" s="70" t="str">
        <f t="shared" si="208"/>
        <v/>
      </c>
      <c r="AC420" s="70" t="str">
        <f t="shared" si="208"/>
        <v/>
      </c>
      <c r="AD420" s="70" t="str">
        <f t="shared" si="208"/>
        <v/>
      </c>
      <c r="AE420" s="70" t="str">
        <f t="shared" si="208"/>
        <v/>
      </c>
      <c r="AF420" s="70" t="str">
        <f t="shared" si="208"/>
        <v/>
      </c>
      <c r="AG420" s="70" t="str">
        <f t="shared" si="208"/>
        <v/>
      </c>
      <c r="AH420" s="70" t="str">
        <f t="shared" si="208"/>
        <v/>
      </c>
      <c r="AI420" s="70" t="str">
        <f t="shared" si="208"/>
        <v/>
      </c>
      <c r="AJ420" s="70" t="str">
        <f t="shared" si="208"/>
        <v/>
      </c>
      <c r="AK420" s="70" t="str">
        <f t="shared" si="208"/>
        <v/>
      </c>
      <c r="AL420" s="70" t="str">
        <f t="shared" si="208"/>
        <v/>
      </c>
      <c r="AM420" s="70" t="str">
        <f t="shared" si="208"/>
        <v/>
      </c>
      <c r="AN420" s="70" t="str">
        <f t="shared" si="208"/>
        <v/>
      </c>
      <c r="AO420" s="67" t="str">
        <f t="shared" si="204"/>
        <v/>
      </c>
      <c r="AP420" s="45" t="str">
        <f t="shared" si="205"/>
        <v/>
      </c>
    </row>
    <row r="421" spans="2:42" ht="18" customHeight="1" x14ac:dyDescent="0.3">
      <c r="B421" s="42" t="str">
        <f t="shared" si="200"/>
        <v/>
      </c>
      <c r="C421" s="68" t="str">
        <f t="shared" si="201"/>
        <v/>
      </c>
      <c r="D421" s="67" t="str">
        <f t="shared" si="202"/>
        <v/>
      </c>
      <c r="E421" s="70" t="str">
        <f t="shared" ref="E421:AN428" si="209">IF(OR($AQ381="",E$362=""),"",INDEX($AU$285:$CD$320,$AQ381,E$362))</f>
        <v/>
      </c>
      <c r="F421" s="70" t="str">
        <f t="shared" si="209"/>
        <v/>
      </c>
      <c r="G421" s="70" t="str">
        <f t="shared" si="209"/>
        <v/>
      </c>
      <c r="H421" s="70" t="str">
        <f t="shared" si="209"/>
        <v/>
      </c>
      <c r="I421" s="70" t="str">
        <f t="shared" si="209"/>
        <v/>
      </c>
      <c r="J421" s="70" t="str">
        <f t="shared" si="209"/>
        <v/>
      </c>
      <c r="K421" s="70" t="str">
        <f t="shared" si="209"/>
        <v/>
      </c>
      <c r="L421" s="70" t="str">
        <f t="shared" si="209"/>
        <v/>
      </c>
      <c r="M421" s="70" t="str">
        <f t="shared" si="209"/>
        <v/>
      </c>
      <c r="N421" s="70" t="str">
        <f t="shared" si="209"/>
        <v/>
      </c>
      <c r="O421" s="70" t="str">
        <f t="shared" si="209"/>
        <v/>
      </c>
      <c r="P421" s="70" t="str">
        <f t="shared" si="209"/>
        <v/>
      </c>
      <c r="Q421" s="70" t="str">
        <f t="shared" si="209"/>
        <v/>
      </c>
      <c r="R421" s="70" t="str">
        <f t="shared" si="209"/>
        <v/>
      </c>
      <c r="S421" s="70" t="str">
        <f t="shared" si="209"/>
        <v/>
      </c>
      <c r="T421" s="70" t="str">
        <f t="shared" si="209"/>
        <v/>
      </c>
      <c r="U421" s="69" t="str">
        <f t="shared" si="209"/>
        <v/>
      </c>
      <c r="V421" s="70" t="str">
        <f t="shared" si="209"/>
        <v/>
      </c>
      <c r="W421" s="70" t="str">
        <f t="shared" si="209"/>
        <v/>
      </c>
      <c r="X421" s="70" t="str">
        <f t="shared" si="209"/>
        <v/>
      </c>
      <c r="Y421" s="70" t="str">
        <f t="shared" si="209"/>
        <v/>
      </c>
      <c r="Z421" s="70" t="str">
        <f t="shared" si="209"/>
        <v/>
      </c>
      <c r="AA421" s="70" t="str">
        <f t="shared" si="209"/>
        <v/>
      </c>
      <c r="AB421" s="70" t="str">
        <f t="shared" si="209"/>
        <v/>
      </c>
      <c r="AC421" s="70" t="str">
        <f t="shared" si="209"/>
        <v/>
      </c>
      <c r="AD421" s="70" t="str">
        <f t="shared" si="209"/>
        <v/>
      </c>
      <c r="AE421" s="70" t="str">
        <f t="shared" si="209"/>
        <v/>
      </c>
      <c r="AF421" s="70" t="str">
        <f t="shared" si="209"/>
        <v/>
      </c>
      <c r="AG421" s="70" t="str">
        <f t="shared" si="209"/>
        <v/>
      </c>
      <c r="AH421" s="70" t="str">
        <f t="shared" si="209"/>
        <v/>
      </c>
      <c r="AI421" s="70" t="str">
        <f t="shared" si="209"/>
        <v/>
      </c>
      <c r="AJ421" s="70" t="str">
        <f t="shared" si="209"/>
        <v/>
      </c>
      <c r="AK421" s="70" t="str">
        <f t="shared" si="209"/>
        <v/>
      </c>
      <c r="AL421" s="70" t="str">
        <f t="shared" si="209"/>
        <v/>
      </c>
      <c r="AM421" s="70" t="str">
        <f t="shared" si="209"/>
        <v/>
      </c>
      <c r="AN421" s="70" t="str">
        <f t="shared" si="209"/>
        <v/>
      </c>
      <c r="AO421" s="67" t="str">
        <f t="shared" si="204"/>
        <v/>
      </c>
      <c r="AP421" s="45" t="str">
        <f t="shared" si="205"/>
        <v/>
      </c>
    </row>
    <row r="422" spans="2:42" ht="18" customHeight="1" x14ac:dyDescent="0.3">
      <c r="B422" s="42" t="str">
        <f t="shared" si="200"/>
        <v/>
      </c>
      <c r="C422" s="68" t="str">
        <f t="shared" si="201"/>
        <v/>
      </c>
      <c r="D422" s="67" t="str">
        <f t="shared" si="202"/>
        <v/>
      </c>
      <c r="E422" s="70" t="str">
        <f t="shared" si="209"/>
        <v/>
      </c>
      <c r="F422" s="70" t="str">
        <f t="shared" si="209"/>
        <v/>
      </c>
      <c r="G422" s="70" t="str">
        <f t="shared" si="209"/>
        <v/>
      </c>
      <c r="H422" s="70" t="str">
        <f t="shared" si="209"/>
        <v/>
      </c>
      <c r="I422" s="70" t="str">
        <f t="shared" si="209"/>
        <v/>
      </c>
      <c r="J422" s="70" t="str">
        <f t="shared" si="209"/>
        <v/>
      </c>
      <c r="K422" s="70" t="str">
        <f t="shared" si="209"/>
        <v/>
      </c>
      <c r="L422" s="70" t="str">
        <f t="shared" si="209"/>
        <v/>
      </c>
      <c r="M422" s="70" t="str">
        <f t="shared" si="209"/>
        <v/>
      </c>
      <c r="N422" s="70" t="str">
        <f t="shared" si="209"/>
        <v/>
      </c>
      <c r="O422" s="70" t="str">
        <f t="shared" si="209"/>
        <v/>
      </c>
      <c r="P422" s="70" t="str">
        <f t="shared" si="209"/>
        <v/>
      </c>
      <c r="Q422" s="70" t="str">
        <f t="shared" si="209"/>
        <v/>
      </c>
      <c r="R422" s="70" t="str">
        <f t="shared" si="209"/>
        <v/>
      </c>
      <c r="S422" s="70" t="str">
        <f t="shared" si="209"/>
        <v/>
      </c>
      <c r="T422" s="70" t="str">
        <f t="shared" si="209"/>
        <v/>
      </c>
      <c r="U422" s="70" t="str">
        <f t="shared" si="209"/>
        <v/>
      </c>
      <c r="V422" s="69" t="str">
        <f t="shared" si="209"/>
        <v/>
      </c>
      <c r="W422" s="70" t="str">
        <f t="shared" si="209"/>
        <v/>
      </c>
      <c r="X422" s="70" t="str">
        <f t="shared" si="209"/>
        <v/>
      </c>
      <c r="Y422" s="70" t="str">
        <f t="shared" si="209"/>
        <v/>
      </c>
      <c r="Z422" s="70" t="str">
        <f t="shared" si="209"/>
        <v/>
      </c>
      <c r="AA422" s="70" t="str">
        <f t="shared" si="209"/>
        <v/>
      </c>
      <c r="AB422" s="70" t="str">
        <f t="shared" si="209"/>
        <v/>
      </c>
      <c r="AC422" s="70" t="str">
        <f t="shared" si="209"/>
        <v/>
      </c>
      <c r="AD422" s="70" t="str">
        <f t="shared" si="209"/>
        <v/>
      </c>
      <c r="AE422" s="70" t="str">
        <f t="shared" si="209"/>
        <v/>
      </c>
      <c r="AF422" s="70" t="str">
        <f t="shared" si="209"/>
        <v/>
      </c>
      <c r="AG422" s="70" t="str">
        <f t="shared" si="209"/>
        <v/>
      </c>
      <c r="AH422" s="70" t="str">
        <f t="shared" si="209"/>
        <v/>
      </c>
      <c r="AI422" s="70" t="str">
        <f t="shared" si="209"/>
        <v/>
      </c>
      <c r="AJ422" s="70" t="str">
        <f t="shared" si="209"/>
        <v/>
      </c>
      <c r="AK422" s="70" t="str">
        <f t="shared" si="209"/>
        <v/>
      </c>
      <c r="AL422" s="70" t="str">
        <f t="shared" si="209"/>
        <v/>
      </c>
      <c r="AM422" s="70" t="str">
        <f t="shared" si="209"/>
        <v/>
      </c>
      <c r="AN422" s="70" t="str">
        <f t="shared" si="209"/>
        <v/>
      </c>
      <c r="AO422" s="67" t="str">
        <f t="shared" si="204"/>
        <v/>
      </c>
      <c r="AP422" s="45" t="str">
        <f t="shared" si="205"/>
        <v/>
      </c>
    </row>
    <row r="423" spans="2:42" ht="18" customHeight="1" x14ac:dyDescent="0.3">
      <c r="B423" s="42" t="str">
        <f t="shared" si="200"/>
        <v/>
      </c>
      <c r="C423" s="68" t="str">
        <f t="shared" si="201"/>
        <v/>
      </c>
      <c r="D423" s="67" t="str">
        <f t="shared" si="202"/>
        <v/>
      </c>
      <c r="E423" s="70" t="str">
        <f t="shared" si="209"/>
        <v/>
      </c>
      <c r="F423" s="70" t="str">
        <f t="shared" si="209"/>
        <v/>
      </c>
      <c r="G423" s="70" t="str">
        <f t="shared" si="209"/>
        <v/>
      </c>
      <c r="H423" s="70" t="str">
        <f t="shared" si="209"/>
        <v/>
      </c>
      <c r="I423" s="70" t="str">
        <f t="shared" si="209"/>
        <v/>
      </c>
      <c r="J423" s="70" t="str">
        <f t="shared" si="209"/>
        <v/>
      </c>
      <c r="K423" s="70" t="str">
        <f t="shared" si="209"/>
        <v/>
      </c>
      <c r="L423" s="70" t="str">
        <f t="shared" si="209"/>
        <v/>
      </c>
      <c r="M423" s="70" t="str">
        <f t="shared" si="209"/>
        <v/>
      </c>
      <c r="N423" s="70" t="str">
        <f t="shared" si="209"/>
        <v/>
      </c>
      <c r="O423" s="70" t="str">
        <f t="shared" si="209"/>
        <v/>
      </c>
      <c r="P423" s="70" t="str">
        <f t="shared" si="209"/>
        <v/>
      </c>
      <c r="Q423" s="70" t="str">
        <f t="shared" si="209"/>
        <v/>
      </c>
      <c r="R423" s="70" t="str">
        <f t="shared" si="209"/>
        <v/>
      </c>
      <c r="S423" s="70" t="str">
        <f t="shared" si="209"/>
        <v/>
      </c>
      <c r="T423" s="70" t="str">
        <f t="shared" si="209"/>
        <v/>
      </c>
      <c r="U423" s="70" t="str">
        <f t="shared" si="209"/>
        <v/>
      </c>
      <c r="V423" s="70" t="str">
        <f t="shared" si="209"/>
        <v/>
      </c>
      <c r="W423" s="69" t="str">
        <f t="shared" si="209"/>
        <v/>
      </c>
      <c r="X423" s="70" t="str">
        <f t="shared" si="209"/>
        <v/>
      </c>
      <c r="Y423" s="70" t="str">
        <f t="shared" si="209"/>
        <v/>
      </c>
      <c r="Z423" s="70" t="str">
        <f t="shared" si="209"/>
        <v/>
      </c>
      <c r="AA423" s="70" t="str">
        <f t="shared" si="209"/>
        <v/>
      </c>
      <c r="AB423" s="70" t="str">
        <f t="shared" si="209"/>
        <v/>
      </c>
      <c r="AC423" s="70" t="str">
        <f t="shared" si="209"/>
        <v/>
      </c>
      <c r="AD423" s="70" t="str">
        <f t="shared" si="209"/>
        <v/>
      </c>
      <c r="AE423" s="70" t="str">
        <f t="shared" si="209"/>
        <v/>
      </c>
      <c r="AF423" s="70" t="str">
        <f t="shared" si="209"/>
        <v/>
      </c>
      <c r="AG423" s="70" t="str">
        <f t="shared" si="209"/>
        <v/>
      </c>
      <c r="AH423" s="70" t="str">
        <f t="shared" si="209"/>
        <v/>
      </c>
      <c r="AI423" s="70" t="str">
        <f t="shared" si="209"/>
        <v/>
      </c>
      <c r="AJ423" s="70" t="str">
        <f t="shared" si="209"/>
        <v/>
      </c>
      <c r="AK423" s="70" t="str">
        <f t="shared" si="209"/>
        <v/>
      </c>
      <c r="AL423" s="70" t="str">
        <f t="shared" si="209"/>
        <v/>
      </c>
      <c r="AM423" s="70" t="str">
        <f t="shared" si="209"/>
        <v/>
      </c>
      <c r="AN423" s="70" t="str">
        <f t="shared" si="209"/>
        <v/>
      </c>
      <c r="AO423" s="67" t="str">
        <f t="shared" si="204"/>
        <v/>
      </c>
      <c r="AP423" s="45" t="str">
        <f t="shared" si="205"/>
        <v/>
      </c>
    </row>
    <row r="424" spans="2:42" ht="18" customHeight="1" x14ac:dyDescent="0.3">
      <c r="B424" s="42" t="str">
        <f t="shared" si="200"/>
        <v/>
      </c>
      <c r="C424" s="68" t="str">
        <f t="shared" si="201"/>
        <v/>
      </c>
      <c r="D424" s="67" t="str">
        <f t="shared" si="202"/>
        <v/>
      </c>
      <c r="E424" s="70" t="str">
        <f t="shared" si="209"/>
        <v/>
      </c>
      <c r="F424" s="70" t="str">
        <f t="shared" si="209"/>
        <v/>
      </c>
      <c r="G424" s="70" t="str">
        <f t="shared" si="209"/>
        <v/>
      </c>
      <c r="H424" s="70" t="str">
        <f t="shared" si="209"/>
        <v/>
      </c>
      <c r="I424" s="70" t="str">
        <f t="shared" si="209"/>
        <v/>
      </c>
      <c r="J424" s="70" t="str">
        <f t="shared" si="209"/>
        <v/>
      </c>
      <c r="K424" s="70" t="str">
        <f t="shared" si="209"/>
        <v/>
      </c>
      <c r="L424" s="70" t="str">
        <f t="shared" si="209"/>
        <v/>
      </c>
      <c r="M424" s="70" t="str">
        <f t="shared" si="209"/>
        <v/>
      </c>
      <c r="N424" s="70" t="str">
        <f t="shared" si="209"/>
        <v/>
      </c>
      <c r="O424" s="70" t="str">
        <f t="shared" si="209"/>
        <v/>
      </c>
      <c r="P424" s="70" t="str">
        <f t="shared" si="209"/>
        <v/>
      </c>
      <c r="Q424" s="70" t="str">
        <f t="shared" si="209"/>
        <v/>
      </c>
      <c r="R424" s="70" t="str">
        <f t="shared" si="209"/>
        <v/>
      </c>
      <c r="S424" s="70" t="str">
        <f t="shared" si="209"/>
        <v/>
      </c>
      <c r="T424" s="70" t="str">
        <f t="shared" si="209"/>
        <v/>
      </c>
      <c r="U424" s="70" t="str">
        <f t="shared" si="209"/>
        <v/>
      </c>
      <c r="V424" s="70" t="str">
        <f t="shared" si="209"/>
        <v/>
      </c>
      <c r="W424" s="70" t="str">
        <f t="shared" si="209"/>
        <v/>
      </c>
      <c r="X424" s="69" t="str">
        <f t="shared" si="209"/>
        <v/>
      </c>
      <c r="Y424" s="70" t="str">
        <f t="shared" si="209"/>
        <v/>
      </c>
      <c r="Z424" s="70" t="str">
        <f t="shared" si="209"/>
        <v/>
      </c>
      <c r="AA424" s="70" t="str">
        <f t="shared" si="209"/>
        <v/>
      </c>
      <c r="AB424" s="70" t="str">
        <f t="shared" si="209"/>
        <v/>
      </c>
      <c r="AC424" s="70" t="str">
        <f t="shared" si="209"/>
        <v/>
      </c>
      <c r="AD424" s="70" t="str">
        <f t="shared" si="209"/>
        <v/>
      </c>
      <c r="AE424" s="70" t="str">
        <f t="shared" si="209"/>
        <v/>
      </c>
      <c r="AF424" s="70" t="str">
        <f t="shared" si="209"/>
        <v/>
      </c>
      <c r="AG424" s="70" t="str">
        <f t="shared" si="209"/>
        <v/>
      </c>
      <c r="AH424" s="70" t="str">
        <f t="shared" si="209"/>
        <v/>
      </c>
      <c r="AI424" s="70" t="str">
        <f t="shared" si="209"/>
        <v/>
      </c>
      <c r="AJ424" s="70" t="str">
        <f t="shared" si="209"/>
        <v/>
      </c>
      <c r="AK424" s="70" t="str">
        <f t="shared" si="209"/>
        <v/>
      </c>
      <c r="AL424" s="70" t="str">
        <f t="shared" si="209"/>
        <v/>
      </c>
      <c r="AM424" s="70" t="str">
        <f t="shared" si="209"/>
        <v/>
      </c>
      <c r="AN424" s="70" t="str">
        <f t="shared" si="209"/>
        <v/>
      </c>
      <c r="AO424" s="67" t="str">
        <f t="shared" si="204"/>
        <v/>
      </c>
      <c r="AP424" s="45" t="str">
        <f t="shared" si="205"/>
        <v/>
      </c>
    </row>
    <row r="425" spans="2:42" ht="18" customHeight="1" x14ac:dyDescent="0.3">
      <c r="B425" s="42" t="str">
        <f t="shared" si="200"/>
        <v/>
      </c>
      <c r="C425" s="68" t="str">
        <f t="shared" si="201"/>
        <v/>
      </c>
      <c r="D425" s="67" t="str">
        <f t="shared" si="202"/>
        <v/>
      </c>
      <c r="E425" s="70" t="str">
        <f t="shared" si="209"/>
        <v/>
      </c>
      <c r="F425" s="70" t="str">
        <f t="shared" si="209"/>
        <v/>
      </c>
      <c r="G425" s="70" t="str">
        <f t="shared" si="209"/>
        <v/>
      </c>
      <c r="H425" s="70" t="str">
        <f t="shared" si="209"/>
        <v/>
      </c>
      <c r="I425" s="70" t="str">
        <f t="shared" si="209"/>
        <v/>
      </c>
      <c r="J425" s="70" t="str">
        <f t="shared" si="209"/>
        <v/>
      </c>
      <c r="K425" s="70" t="str">
        <f t="shared" si="209"/>
        <v/>
      </c>
      <c r="L425" s="70" t="str">
        <f t="shared" si="209"/>
        <v/>
      </c>
      <c r="M425" s="70" t="str">
        <f t="shared" si="209"/>
        <v/>
      </c>
      <c r="N425" s="70" t="str">
        <f t="shared" si="209"/>
        <v/>
      </c>
      <c r="O425" s="70" t="str">
        <f t="shared" si="209"/>
        <v/>
      </c>
      <c r="P425" s="70" t="str">
        <f t="shared" si="209"/>
        <v/>
      </c>
      <c r="Q425" s="70" t="str">
        <f t="shared" si="209"/>
        <v/>
      </c>
      <c r="R425" s="70" t="str">
        <f t="shared" si="209"/>
        <v/>
      </c>
      <c r="S425" s="70" t="str">
        <f t="shared" si="209"/>
        <v/>
      </c>
      <c r="T425" s="70" t="str">
        <f t="shared" si="209"/>
        <v/>
      </c>
      <c r="U425" s="70" t="str">
        <f t="shared" si="209"/>
        <v/>
      </c>
      <c r="V425" s="70" t="str">
        <f t="shared" si="209"/>
        <v/>
      </c>
      <c r="W425" s="70" t="str">
        <f t="shared" si="209"/>
        <v/>
      </c>
      <c r="X425" s="70" t="str">
        <f t="shared" si="209"/>
        <v/>
      </c>
      <c r="Y425" s="69" t="str">
        <f t="shared" si="209"/>
        <v/>
      </c>
      <c r="Z425" s="70" t="str">
        <f t="shared" si="209"/>
        <v/>
      </c>
      <c r="AA425" s="70" t="str">
        <f t="shared" si="209"/>
        <v/>
      </c>
      <c r="AB425" s="70" t="str">
        <f t="shared" si="209"/>
        <v/>
      </c>
      <c r="AC425" s="70" t="str">
        <f t="shared" si="209"/>
        <v/>
      </c>
      <c r="AD425" s="70" t="str">
        <f t="shared" si="209"/>
        <v/>
      </c>
      <c r="AE425" s="70" t="str">
        <f t="shared" si="209"/>
        <v/>
      </c>
      <c r="AF425" s="70" t="str">
        <f t="shared" si="209"/>
        <v/>
      </c>
      <c r="AG425" s="70" t="str">
        <f t="shared" si="209"/>
        <v/>
      </c>
      <c r="AH425" s="70" t="str">
        <f t="shared" si="209"/>
        <v/>
      </c>
      <c r="AI425" s="70" t="str">
        <f t="shared" si="209"/>
        <v/>
      </c>
      <c r="AJ425" s="70" t="str">
        <f t="shared" si="209"/>
        <v/>
      </c>
      <c r="AK425" s="70" t="str">
        <f t="shared" si="209"/>
        <v/>
      </c>
      <c r="AL425" s="70" t="str">
        <f t="shared" si="209"/>
        <v/>
      </c>
      <c r="AM425" s="70" t="str">
        <f t="shared" si="209"/>
        <v/>
      </c>
      <c r="AN425" s="70" t="str">
        <f t="shared" si="209"/>
        <v/>
      </c>
      <c r="AO425" s="67" t="str">
        <f t="shared" si="204"/>
        <v/>
      </c>
      <c r="AP425" s="45" t="str">
        <f t="shared" si="205"/>
        <v/>
      </c>
    </row>
    <row r="426" spans="2:42" ht="18" customHeight="1" x14ac:dyDescent="0.3">
      <c r="B426" s="42" t="str">
        <f t="shared" si="200"/>
        <v/>
      </c>
      <c r="C426" s="68" t="str">
        <f t="shared" si="201"/>
        <v/>
      </c>
      <c r="D426" s="67" t="str">
        <f t="shared" si="202"/>
        <v/>
      </c>
      <c r="E426" s="70" t="str">
        <f t="shared" si="209"/>
        <v/>
      </c>
      <c r="F426" s="70" t="str">
        <f t="shared" si="209"/>
        <v/>
      </c>
      <c r="G426" s="70" t="str">
        <f t="shared" si="209"/>
        <v/>
      </c>
      <c r="H426" s="70" t="str">
        <f t="shared" si="209"/>
        <v/>
      </c>
      <c r="I426" s="70" t="str">
        <f t="shared" si="209"/>
        <v/>
      </c>
      <c r="J426" s="70" t="str">
        <f t="shared" si="209"/>
        <v/>
      </c>
      <c r="K426" s="70" t="str">
        <f t="shared" si="209"/>
        <v/>
      </c>
      <c r="L426" s="70" t="str">
        <f t="shared" si="209"/>
        <v/>
      </c>
      <c r="M426" s="70" t="str">
        <f t="shared" si="209"/>
        <v/>
      </c>
      <c r="N426" s="70" t="str">
        <f t="shared" si="209"/>
        <v/>
      </c>
      <c r="O426" s="70" t="str">
        <f t="shared" si="209"/>
        <v/>
      </c>
      <c r="P426" s="70" t="str">
        <f t="shared" si="209"/>
        <v/>
      </c>
      <c r="Q426" s="70" t="str">
        <f t="shared" si="209"/>
        <v/>
      </c>
      <c r="R426" s="70" t="str">
        <f t="shared" si="209"/>
        <v/>
      </c>
      <c r="S426" s="70" t="str">
        <f t="shared" si="209"/>
        <v/>
      </c>
      <c r="T426" s="70" t="str">
        <f t="shared" si="209"/>
        <v/>
      </c>
      <c r="U426" s="70" t="str">
        <f t="shared" si="209"/>
        <v/>
      </c>
      <c r="V426" s="70" t="str">
        <f t="shared" si="209"/>
        <v/>
      </c>
      <c r="W426" s="70" t="str">
        <f t="shared" si="209"/>
        <v/>
      </c>
      <c r="X426" s="70" t="str">
        <f t="shared" si="209"/>
        <v/>
      </c>
      <c r="Y426" s="70" t="str">
        <f t="shared" si="209"/>
        <v/>
      </c>
      <c r="Z426" s="69" t="str">
        <f t="shared" si="209"/>
        <v/>
      </c>
      <c r="AA426" s="70" t="str">
        <f t="shared" si="209"/>
        <v/>
      </c>
      <c r="AB426" s="70" t="str">
        <f t="shared" si="209"/>
        <v/>
      </c>
      <c r="AC426" s="70" t="str">
        <f t="shared" si="209"/>
        <v/>
      </c>
      <c r="AD426" s="70" t="str">
        <f t="shared" si="209"/>
        <v/>
      </c>
      <c r="AE426" s="70" t="str">
        <f t="shared" si="209"/>
        <v/>
      </c>
      <c r="AF426" s="70" t="str">
        <f t="shared" si="209"/>
        <v/>
      </c>
      <c r="AG426" s="70" t="str">
        <f t="shared" si="209"/>
        <v/>
      </c>
      <c r="AH426" s="70" t="str">
        <f t="shared" si="209"/>
        <v/>
      </c>
      <c r="AI426" s="70" t="str">
        <f t="shared" si="209"/>
        <v/>
      </c>
      <c r="AJ426" s="70" t="str">
        <f t="shared" si="209"/>
        <v/>
      </c>
      <c r="AK426" s="70" t="str">
        <f t="shared" si="209"/>
        <v/>
      </c>
      <c r="AL426" s="70" t="str">
        <f t="shared" si="209"/>
        <v/>
      </c>
      <c r="AM426" s="70" t="str">
        <f t="shared" si="209"/>
        <v/>
      </c>
      <c r="AN426" s="70" t="str">
        <f t="shared" si="209"/>
        <v/>
      </c>
      <c r="AO426" s="67" t="str">
        <f t="shared" si="204"/>
        <v/>
      </c>
      <c r="AP426" s="45" t="str">
        <f t="shared" si="205"/>
        <v/>
      </c>
    </row>
    <row r="427" spans="2:42" ht="18" customHeight="1" x14ac:dyDescent="0.3">
      <c r="B427" s="42" t="str">
        <f t="shared" si="200"/>
        <v/>
      </c>
      <c r="C427" s="68" t="str">
        <f t="shared" si="201"/>
        <v/>
      </c>
      <c r="D427" s="67" t="str">
        <f t="shared" si="202"/>
        <v/>
      </c>
      <c r="E427" s="70" t="str">
        <f t="shared" si="209"/>
        <v/>
      </c>
      <c r="F427" s="70" t="str">
        <f t="shared" si="209"/>
        <v/>
      </c>
      <c r="G427" s="70" t="str">
        <f t="shared" si="209"/>
        <v/>
      </c>
      <c r="H427" s="70" t="str">
        <f t="shared" si="209"/>
        <v/>
      </c>
      <c r="I427" s="70" t="str">
        <f t="shared" si="209"/>
        <v/>
      </c>
      <c r="J427" s="70" t="str">
        <f t="shared" si="209"/>
        <v/>
      </c>
      <c r="K427" s="70" t="str">
        <f t="shared" si="209"/>
        <v/>
      </c>
      <c r="L427" s="70" t="str">
        <f t="shared" si="209"/>
        <v/>
      </c>
      <c r="M427" s="70" t="str">
        <f t="shared" si="209"/>
        <v/>
      </c>
      <c r="N427" s="70" t="str">
        <f t="shared" si="209"/>
        <v/>
      </c>
      <c r="O427" s="70" t="str">
        <f t="shared" si="209"/>
        <v/>
      </c>
      <c r="P427" s="70" t="str">
        <f t="shared" si="209"/>
        <v/>
      </c>
      <c r="Q427" s="70" t="str">
        <f t="shared" si="209"/>
        <v/>
      </c>
      <c r="R427" s="70" t="str">
        <f t="shared" si="209"/>
        <v/>
      </c>
      <c r="S427" s="70" t="str">
        <f t="shared" si="209"/>
        <v/>
      </c>
      <c r="T427" s="70" t="str">
        <f t="shared" si="209"/>
        <v/>
      </c>
      <c r="U427" s="70" t="str">
        <f t="shared" si="209"/>
        <v/>
      </c>
      <c r="V427" s="70" t="str">
        <f t="shared" si="209"/>
        <v/>
      </c>
      <c r="W427" s="70" t="str">
        <f t="shared" si="209"/>
        <v/>
      </c>
      <c r="X427" s="70" t="str">
        <f t="shared" si="209"/>
        <v/>
      </c>
      <c r="Y427" s="70" t="str">
        <f t="shared" si="209"/>
        <v/>
      </c>
      <c r="Z427" s="70" t="str">
        <f t="shared" si="209"/>
        <v/>
      </c>
      <c r="AA427" s="69" t="str">
        <f t="shared" si="209"/>
        <v/>
      </c>
      <c r="AB427" s="70" t="str">
        <f t="shared" si="209"/>
        <v/>
      </c>
      <c r="AC427" s="70" t="str">
        <f t="shared" si="209"/>
        <v/>
      </c>
      <c r="AD427" s="70" t="str">
        <f t="shared" si="209"/>
        <v/>
      </c>
      <c r="AE427" s="70" t="str">
        <f t="shared" si="209"/>
        <v/>
      </c>
      <c r="AF427" s="70" t="str">
        <f t="shared" si="209"/>
        <v/>
      </c>
      <c r="AG427" s="70" t="str">
        <f t="shared" si="209"/>
        <v/>
      </c>
      <c r="AH427" s="70" t="str">
        <f t="shared" si="209"/>
        <v/>
      </c>
      <c r="AI427" s="70" t="str">
        <f t="shared" si="209"/>
        <v/>
      </c>
      <c r="AJ427" s="70" t="str">
        <f t="shared" si="209"/>
        <v/>
      </c>
      <c r="AK427" s="70" t="str">
        <f t="shared" si="209"/>
        <v/>
      </c>
      <c r="AL427" s="70" t="str">
        <f t="shared" si="209"/>
        <v/>
      </c>
      <c r="AM427" s="70" t="str">
        <f t="shared" si="209"/>
        <v/>
      </c>
      <c r="AN427" s="70" t="str">
        <f t="shared" si="209"/>
        <v/>
      </c>
      <c r="AO427" s="67" t="str">
        <f t="shared" si="204"/>
        <v/>
      </c>
      <c r="AP427" s="45" t="str">
        <f t="shared" si="205"/>
        <v/>
      </c>
    </row>
    <row r="428" spans="2:42" ht="18" customHeight="1" x14ac:dyDescent="0.3">
      <c r="B428" s="42" t="str">
        <f t="shared" si="200"/>
        <v/>
      </c>
      <c r="C428" s="68" t="str">
        <f t="shared" si="201"/>
        <v/>
      </c>
      <c r="D428" s="67" t="str">
        <f t="shared" si="202"/>
        <v/>
      </c>
      <c r="E428" s="70" t="str">
        <f t="shared" si="209"/>
        <v/>
      </c>
      <c r="F428" s="70" t="str">
        <f t="shared" si="209"/>
        <v/>
      </c>
      <c r="G428" s="70" t="str">
        <f t="shared" si="209"/>
        <v/>
      </c>
      <c r="H428" s="70" t="str">
        <f t="shared" ref="H428:AQ428" si="210">IF(OR($AQ388="",H$362=""),"",INDEX($AU$285:$CD$320,$AQ388,H$362))</f>
        <v/>
      </c>
      <c r="I428" s="70" t="str">
        <f t="shared" si="210"/>
        <v/>
      </c>
      <c r="J428" s="70" t="str">
        <f t="shared" si="210"/>
        <v/>
      </c>
      <c r="K428" s="70" t="str">
        <f t="shared" si="210"/>
        <v/>
      </c>
      <c r="L428" s="70" t="str">
        <f t="shared" si="210"/>
        <v/>
      </c>
      <c r="M428" s="70" t="str">
        <f t="shared" si="210"/>
        <v/>
      </c>
      <c r="N428" s="70" t="str">
        <f t="shared" si="210"/>
        <v/>
      </c>
      <c r="O428" s="70" t="str">
        <f t="shared" si="210"/>
        <v/>
      </c>
      <c r="P428" s="70" t="str">
        <f t="shared" si="210"/>
        <v/>
      </c>
      <c r="Q428" s="70" t="str">
        <f t="shared" si="210"/>
        <v/>
      </c>
      <c r="R428" s="70" t="str">
        <f t="shared" si="210"/>
        <v/>
      </c>
      <c r="S428" s="70" t="str">
        <f t="shared" si="210"/>
        <v/>
      </c>
      <c r="T428" s="70" t="str">
        <f t="shared" si="210"/>
        <v/>
      </c>
      <c r="U428" s="70" t="str">
        <f t="shared" si="210"/>
        <v/>
      </c>
      <c r="V428" s="70" t="str">
        <f t="shared" si="210"/>
        <v/>
      </c>
      <c r="W428" s="70" t="str">
        <f t="shared" si="210"/>
        <v/>
      </c>
      <c r="X428" s="70" t="str">
        <f t="shared" si="210"/>
        <v/>
      </c>
      <c r="Y428" s="70" t="str">
        <f t="shared" si="210"/>
        <v/>
      </c>
      <c r="Z428" s="70" t="str">
        <f t="shared" si="210"/>
        <v/>
      </c>
      <c r="AA428" s="70" t="str">
        <f t="shared" si="210"/>
        <v/>
      </c>
      <c r="AB428" s="69" t="str">
        <f t="shared" si="210"/>
        <v/>
      </c>
      <c r="AC428" s="70" t="str">
        <f t="shared" si="210"/>
        <v/>
      </c>
      <c r="AD428" s="70" t="str">
        <f t="shared" si="210"/>
        <v/>
      </c>
      <c r="AE428" s="70" t="str">
        <f t="shared" si="210"/>
        <v/>
      </c>
      <c r="AF428" s="70" t="str">
        <f t="shared" si="210"/>
        <v/>
      </c>
      <c r="AG428" s="70" t="str">
        <f t="shared" si="210"/>
        <v/>
      </c>
      <c r="AH428" s="70" t="str">
        <f t="shared" si="210"/>
        <v/>
      </c>
      <c r="AI428" s="70" t="str">
        <f t="shared" si="210"/>
        <v/>
      </c>
      <c r="AJ428" s="70" t="str">
        <f t="shared" si="210"/>
        <v/>
      </c>
      <c r="AK428" s="70" t="str">
        <f t="shared" si="210"/>
        <v/>
      </c>
      <c r="AL428" s="70" t="str">
        <f t="shared" si="210"/>
        <v/>
      </c>
      <c r="AM428" s="70" t="str">
        <f t="shared" si="210"/>
        <v/>
      </c>
      <c r="AN428" s="70" t="str">
        <f t="shared" si="210"/>
        <v/>
      </c>
      <c r="AO428" s="67" t="str">
        <f t="shared" si="204"/>
        <v/>
      </c>
      <c r="AP428" s="45" t="str">
        <f t="shared" si="205"/>
        <v/>
      </c>
    </row>
    <row r="429" spans="2:42" ht="18" customHeight="1" x14ac:dyDescent="0.3">
      <c r="B429" s="42" t="str">
        <f t="shared" si="200"/>
        <v/>
      </c>
      <c r="C429" s="68" t="str">
        <f t="shared" si="201"/>
        <v/>
      </c>
      <c r="D429" s="67" t="str">
        <f t="shared" si="202"/>
        <v/>
      </c>
      <c r="E429" s="70" t="str">
        <f t="shared" ref="E429:AN436" si="211">IF(OR($AQ389="",E$362=""),"",INDEX($AU$285:$CD$320,$AQ389,E$362))</f>
        <v/>
      </c>
      <c r="F429" s="70" t="str">
        <f t="shared" si="211"/>
        <v/>
      </c>
      <c r="G429" s="70" t="str">
        <f t="shared" si="211"/>
        <v/>
      </c>
      <c r="H429" s="70" t="str">
        <f t="shared" si="211"/>
        <v/>
      </c>
      <c r="I429" s="70" t="str">
        <f t="shared" si="211"/>
        <v/>
      </c>
      <c r="J429" s="70" t="str">
        <f t="shared" si="211"/>
        <v/>
      </c>
      <c r="K429" s="70" t="str">
        <f t="shared" si="211"/>
        <v/>
      </c>
      <c r="L429" s="70" t="str">
        <f t="shared" si="211"/>
        <v/>
      </c>
      <c r="M429" s="70" t="str">
        <f t="shared" si="211"/>
        <v/>
      </c>
      <c r="N429" s="70" t="str">
        <f t="shared" si="211"/>
        <v/>
      </c>
      <c r="O429" s="70" t="str">
        <f t="shared" si="211"/>
        <v/>
      </c>
      <c r="P429" s="70" t="str">
        <f t="shared" si="211"/>
        <v/>
      </c>
      <c r="Q429" s="70" t="str">
        <f t="shared" si="211"/>
        <v/>
      </c>
      <c r="R429" s="70" t="str">
        <f t="shared" si="211"/>
        <v/>
      </c>
      <c r="S429" s="70" t="str">
        <f t="shared" si="211"/>
        <v/>
      </c>
      <c r="T429" s="70" t="str">
        <f t="shared" si="211"/>
        <v/>
      </c>
      <c r="U429" s="70" t="str">
        <f t="shared" si="211"/>
        <v/>
      </c>
      <c r="V429" s="70" t="str">
        <f t="shared" si="211"/>
        <v/>
      </c>
      <c r="W429" s="70" t="str">
        <f t="shared" si="211"/>
        <v/>
      </c>
      <c r="X429" s="70" t="str">
        <f t="shared" si="211"/>
        <v/>
      </c>
      <c r="Y429" s="70" t="str">
        <f t="shared" si="211"/>
        <v/>
      </c>
      <c r="Z429" s="70" t="str">
        <f t="shared" si="211"/>
        <v/>
      </c>
      <c r="AA429" s="70" t="str">
        <f t="shared" si="211"/>
        <v/>
      </c>
      <c r="AB429" s="70" t="str">
        <f t="shared" si="211"/>
        <v/>
      </c>
      <c r="AC429" s="69" t="str">
        <f t="shared" si="211"/>
        <v/>
      </c>
      <c r="AD429" s="70" t="str">
        <f t="shared" si="211"/>
        <v/>
      </c>
      <c r="AE429" s="70" t="str">
        <f t="shared" si="211"/>
        <v/>
      </c>
      <c r="AF429" s="70" t="str">
        <f t="shared" si="211"/>
        <v/>
      </c>
      <c r="AG429" s="70" t="str">
        <f t="shared" si="211"/>
        <v/>
      </c>
      <c r="AH429" s="70" t="str">
        <f t="shared" si="211"/>
        <v/>
      </c>
      <c r="AI429" s="70" t="str">
        <f t="shared" si="211"/>
        <v/>
      </c>
      <c r="AJ429" s="70" t="str">
        <f t="shared" si="211"/>
        <v/>
      </c>
      <c r="AK429" s="70" t="str">
        <f t="shared" si="211"/>
        <v/>
      </c>
      <c r="AL429" s="70" t="str">
        <f t="shared" si="211"/>
        <v/>
      </c>
      <c r="AM429" s="70" t="str">
        <f t="shared" si="211"/>
        <v/>
      </c>
      <c r="AN429" s="70" t="str">
        <f t="shared" si="211"/>
        <v/>
      </c>
      <c r="AO429" s="67" t="str">
        <f t="shared" si="204"/>
        <v/>
      </c>
      <c r="AP429" s="45" t="str">
        <f t="shared" si="205"/>
        <v/>
      </c>
    </row>
    <row r="430" spans="2:42" ht="18" customHeight="1" x14ac:dyDescent="0.3">
      <c r="B430" s="42" t="str">
        <f t="shared" si="200"/>
        <v/>
      </c>
      <c r="C430" s="68" t="str">
        <f t="shared" si="201"/>
        <v/>
      </c>
      <c r="D430" s="67" t="str">
        <f t="shared" si="202"/>
        <v/>
      </c>
      <c r="E430" s="70" t="str">
        <f t="shared" si="211"/>
        <v/>
      </c>
      <c r="F430" s="70" t="str">
        <f t="shared" si="211"/>
        <v/>
      </c>
      <c r="G430" s="70" t="str">
        <f t="shared" si="211"/>
        <v/>
      </c>
      <c r="H430" s="70" t="str">
        <f t="shared" si="211"/>
        <v/>
      </c>
      <c r="I430" s="70" t="str">
        <f t="shared" si="211"/>
        <v/>
      </c>
      <c r="J430" s="70" t="str">
        <f t="shared" si="211"/>
        <v/>
      </c>
      <c r="K430" s="70" t="str">
        <f t="shared" si="211"/>
        <v/>
      </c>
      <c r="L430" s="70" t="str">
        <f t="shared" si="211"/>
        <v/>
      </c>
      <c r="M430" s="70" t="str">
        <f t="shared" si="211"/>
        <v/>
      </c>
      <c r="N430" s="70" t="str">
        <f t="shared" si="211"/>
        <v/>
      </c>
      <c r="O430" s="70" t="str">
        <f t="shared" si="211"/>
        <v/>
      </c>
      <c r="P430" s="70" t="str">
        <f t="shared" si="211"/>
        <v/>
      </c>
      <c r="Q430" s="70" t="str">
        <f t="shared" si="211"/>
        <v/>
      </c>
      <c r="R430" s="70" t="str">
        <f t="shared" si="211"/>
        <v/>
      </c>
      <c r="S430" s="70" t="str">
        <f t="shared" si="211"/>
        <v/>
      </c>
      <c r="T430" s="70" t="str">
        <f t="shared" si="211"/>
        <v/>
      </c>
      <c r="U430" s="70" t="str">
        <f t="shared" si="211"/>
        <v/>
      </c>
      <c r="V430" s="70" t="str">
        <f t="shared" si="211"/>
        <v/>
      </c>
      <c r="W430" s="70" t="str">
        <f t="shared" si="211"/>
        <v/>
      </c>
      <c r="X430" s="70" t="str">
        <f t="shared" si="211"/>
        <v/>
      </c>
      <c r="Y430" s="70" t="str">
        <f t="shared" si="211"/>
        <v/>
      </c>
      <c r="Z430" s="70" t="str">
        <f t="shared" si="211"/>
        <v/>
      </c>
      <c r="AA430" s="70" t="str">
        <f t="shared" si="211"/>
        <v/>
      </c>
      <c r="AB430" s="70" t="str">
        <f t="shared" si="211"/>
        <v/>
      </c>
      <c r="AC430" s="70" t="str">
        <f t="shared" si="211"/>
        <v/>
      </c>
      <c r="AD430" s="69" t="str">
        <f t="shared" si="211"/>
        <v/>
      </c>
      <c r="AE430" s="70" t="str">
        <f t="shared" si="211"/>
        <v/>
      </c>
      <c r="AF430" s="70" t="str">
        <f t="shared" si="211"/>
        <v/>
      </c>
      <c r="AG430" s="70" t="str">
        <f t="shared" si="211"/>
        <v/>
      </c>
      <c r="AH430" s="70" t="str">
        <f t="shared" si="211"/>
        <v/>
      </c>
      <c r="AI430" s="70" t="str">
        <f t="shared" si="211"/>
        <v/>
      </c>
      <c r="AJ430" s="70" t="str">
        <f t="shared" si="211"/>
        <v/>
      </c>
      <c r="AK430" s="70" t="str">
        <f t="shared" si="211"/>
        <v/>
      </c>
      <c r="AL430" s="70" t="str">
        <f t="shared" si="211"/>
        <v/>
      </c>
      <c r="AM430" s="70" t="str">
        <f t="shared" si="211"/>
        <v/>
      </c>
      <c r="AN430" s="70" t="str">
        <f t="shared" si="211"/>
        <v/>
      </c>
      <c r="AO430" s="67" t="str">
        <f t="shared" si="204"/>
        <v/>
      </c>
      <c r="AP430" s="45" t="str">
        <f t="shared" si="205"/>
        <v/>
      </c>
    </row>
    <row r="431" spans="2:42" ht="18" customHeight="1" x14ac:dyDescent="0.3">
      <c r="B431" s="42" t="str">
        <f t="shared" si="200"/>
        <v/>
      </c>
      <c r="C431" s="68" t="str">
        <f t="shared" si="201"/>
        <v/>
      </c>
      <c r="D431" s="67" t="str">
        <f t="shared" si="202"/>
        <v/>
      </c>
      <c r="E431" s="70" t="str">
        <f t="shared" si="211"/>
        <v/>
      </c>
      <c r="F431" s="70" t="str">
        <f t="shared" si="211"/>
        <v/>
      </c>
      <c r="G431" s="70" t="str">
        <f t="shared" si="211"/>
        <v/>
      </c>
      <c r="H431" s="70" t="str">
        <f t="shared" si="211"/>
        <v/>
      </c>
      <c r="I431" s="70" t="str">
        <f t="shared" si="211"/>
        <v/>
      </c>
      <c r="J431" s="70" t="str">
        <f t="shared" si="211"/>
        <v/>
      </c>
      <c r="K431" s="70" t="str">
        <f t="shared" si="211"/>
        <v/>
      </c>
      <c r="L431" s="70" t="str">
        <f t="shared" si="211"/>
        <v/>
      </c>
      <c r="M431" s="70" t="str">
        <f t="shared" si="211"/>
        <v/>
      </c>
      <c r="N431" s="70" t="str">
        <f t="shared" si="211"/>
        <v/>
      </c>
      <c r="O431" s="70" t="str">
        <f t="shared" si="211"/>
        <v/>
      </c>
      <c r="P431" s="70" t="str">
        <f t="shared" si="211"/>
        <v/>
      </c>
      <c r="Q431" s="70" t="str">
        <f t="shared" si="211"/>
        <v/>
      </c>
      <c r="R431" s="70" t="str">
        <f t="shared" si="211"/>
        <v/>
      </c>
      <c r="S431" s="70" t="str">
        <f t="shared" si="211"/>
        <v/>
      </c>
      <c r="T431" s="70" t="str">
        <f t="shared" si="211"/>
        <v/>
      </c>
      <c r="U431" s="70" t="str">
        <f t="shared" si="211"/>
        <v/>
      </c>
      <c r="V431" s="70" t="str">
        <f t="shared" si="211"/>
        <v/>
      </c>
      <c r="W431" s="70" t="str">
        <f t="shared" si="211"/>
        <v/>
      </c>
      <c r="X431" s="70" t="str">
        <f t="shared" si="211"/>
        <v/>
      </c>
      <c r="Y431" s="70" t="str">
        <f t="shared" si="211"/>
        <v/>
      </c>
      <c r="Z431" s="70" t="str">
        <f t="shared" si="211"/>
        <v/>
      </c>
      <c r="AA431" s="70" t="str">
        <f t="shared" si="211"/>
        <v/>
      </c>
      <c r="AB431" s="70" t="str">
        <f t="shared" si="211"/>
        <v/>
      </c>
      <c r="AC431" s="70" t="str">
        <f t="shared" si="211"/>
        <v/>
      </c>
      <c r="AD431" s="70" t="str">
        <f t="shared" si="211"/>
        <v/>
      </c>
      <c r="AE431" s="69" t="str">
        <f t="shared" si="211"/>
        <v/>
      </c>
      <c r="AF431" s="70" t="str">
        <f t="shared" si="211"/>
        <v/>
      </c>
      <c r="AG431" s="70" t="str">
        <f t="shared" si="211"/>
        <v/>
      </c>
      <c r="AH431" s="70" t="str">
        <f t="shared" si="211"/>
        <v/>
      </c>
      <c r="AI431" s="70" t="str">
        <f t="shared" si="211"/>
        <v/>
      </c>
      <c r="AJ431" s="70" t="str">
        <f t="shared" si="211"/>
        <v/>
      </c>
      <c r="AK431" s="70" t="str">
        <f t="shared" si="211"/>
        <v/>
      </c>
      <c r="AL431" s="70" t="str">
        <f t="shared" si="211"/>
        <v/>
      </c>
      <c r="AM431" s="70" t="str">
        <f t="shared" si="211"/>
        <v/>
      </c>
      <c r="AN431" s="70" t="str">
        <f t="shared" si="211"/>
        <v/>
      </c>
      <c r="AO431" s="67" t="str">
        <f t="shared" si="204"/>
        <v/>
      </c>
      <c r="AP431" s="45" t="str">
        <f t="shared" si="205"/>
        <v/>
      </c>
    </row>
    <row r="432" spans="2:42" ht="18" customHeight="1" x14ac:dyDescent="0.3">
      <c r="B432" s="42" t="str">
        <f t="shared" si="200"/>
        <v/>
      </c>
      <c r="C432" s="68" t="str">
        <f t="shared" si="201"/>
        <v/>
      </c>
      <c r="D432" s="67" t="str">
        <f t="shared" si="202"/>
        <v/>
      </c>
      <c r="E432" s="70" t="str">
        <f t="shared" si="211"/>
        <v/>
      </c>
      <c r="F432" s="70" t="str">
        <f t="shared" si="211"/>
        <v/>
      </c>
      <c r="G432" s="70" t="str">
        <f t="shared" si="211"/>
        <v/>
      </c>
      <c r="H432" s="70" t="str">
        <f t="shared" si="211"/>
        <v/>
      </c>
      <c r="I432" s="70" t="str">
        <f t="shared" si="211"/>
        <v/>
      </c>
      <c r="J432" s="70" t="str">
        <f t="shared" si="211"/>
        <v/>
      </c>
      <c r="K432" s="70" t="str">
        <f t="shared" si="211"/>
        <v/>
      </c>
      <c r="L432" s="70" t="str">
        <f t="shared" si="211"/>
        <v/>
      </c>
      <c r="M432" s="70" t="str">
        <f t="shared" si="211"/>
        <v/>
      </c>
      <c r="N432" s="70" t="str">
        <f t="shared" si="211"/>
        <v/>
      </c>
      <c r="O432" s="70" t="str">
        <f t="shared" si="211"/>
        <v/>
      </c>
      <c r="P432" s="70" t="str">
        <f t="shared" si="211"/>
        <v/>
      </c>
      <c r="Q432" s="70" t="str">
        <f t="shared" si="211"/>
        <v/>
      </c>
      <c r="R432" s="70" t="str">
        <f t="shared" si="211"/>
        <v/>
      </c>
      <c r="S432" s="70" t="str">
        <f t="shared" si="211"/>
        <v/>
      </c>
      <c r="T432" s="70" t="str">
        <f t="shared" si="211"/>
        <v/>
      </c>
      <c r="U432" s="70" t="str">
        <f t="shared" si="211"/>
        <v/>
      </c>
      <c r="V432" s="70" t="str">
        <f t="shared" si="211"/>
        <v/>
      </c>
      <c r="W432" s="70" t="str">
        <f t="shared" si="211"/>
        <v/>
      </c>
      <c r="X432" s="70" t="str">
        <f t="shared" si="211"/>
        <v/>
      </c>
      <c r="Y432" s="70" t="str">
        <f t="shared" si="211"/>
        <v/>
      </c>
      <c r="Z432" s="70" t="str">
        <f t="shared" si="211"/>
        <v/>
      </c>
      <c r="AA432" s="70" t="str">
        <f t="shared" si="211"/>
        <v/>
      </c>
      <c r="AB432" s="70" t="str">
        <f t="shared" si="211"/>
        <v/>
      </c>
      <c r="AC432" s="70" t="str">
        <f t="shared" si="211"/>
        <v/>
      </c>
      <c r="AD432" s="70" t="str">
        <f t="shared" si="211"/>
        <v/>
      </c>
      <c r="AE432" s="70" t="str">
        <f t="shared" si="211"/>
        <v/>
      </c>
      <c r="AF432" s="69" t="str">
        <f t="shared" si="211"/>
        <v/>
      </c>
      <c r="AG432" s="70" t="str">
        <f t="shared" si="211"/>
        <v/>
      </c>
      <c r="AH432" s="70" t="str">
        <f t="shared" si="211"/>
        <v/>
      </c>
      <c r="AI432" s="70" t="str">
        <f t="shared" si="211"/>
        <v/>
      </c>
      <c r="AJ432" s="70" t="str">
        <f t="shared" si="211"/>
        <v/>
      </c>
      <c r="AK432" s="70" t="str">
        <f t="shared" si="211"/>
        <v/>
      </c>
      <c r="AL432" s="70" t="str">
        <f t="shared" si="211"/>
        <v/>
      </c>
      <c r="AM432" s="70" t="str">
        <f t="shared" si="211"/>
        <v/>
      </c>
      <c r="AN432" s="70" t="str">
        <f t="shared" si="211"/>
        <v/>
      </c>
      <c r="AO432" s="67" t="str">
        <f t="shared" si="204"/>
        <v/>
      </c>
      <c r="AP432" s="45" t="str">
        <f t="shared" si="205"/>
        <v/>
      </c>
    </row>
    <row r="433" spans="2:42" ht="18" customHeight="1" x14ac:dyDescent="0.3">
      <c r="B433" s="42" t="str">
        <f t="shared" si="200"/>
        <v/>
      </c>
      <c r="C433" s="68" t="str">
        <f t="shared" si="201"/>
        <v/>
      </c>
      <c r="D433" s="67" t="str">
        <f t="shared" si="202"/>
        <v/>
      </c>
      <c r="E433" s="70" t="str">
        <f t="shared" si="211"/>
        <v/>
      </c>
      <c r="F433" s="70" t="str">
        <f t="shared" si="211"/>
        <v/>
      </c>
      <c r="G433" s="70" t="str">
        <f t="shared" si="211"/>
        <v/>
      </c>
      <c r="H433" s="70" t="str">
        <f t="shared" si="211"/>
        <v/>
      </c>
      <c r="I433" s="70" t="str">
        <f t="shared" si="211"/>
        <v/>
      </c>
      <c r="J433" s="70" t="str">
        <f t="shared" si="211"/>
        <v/>
      </c>
      <c r="K433" s="70" t="str">
        <f t="shared" si="211"/>
        <v/>
      </c>
      <c r="L433" s="70" t="str">
        <f t="shared" si="211"/>
        <v/>
      </c>
      <c r="M433" s="70" t="str">
        <f t="shared" si="211"/>
        <v/>
      </c>
      <c r="N433" s="70" t="str">
        <f t="shared" si="211"/>
        <v/>
      </c>
      <c r="O433" s="70" t="str">
        <f t="shared" si="211"/>
        <v/>
      </c>
      <c r="P433" s="70" t="str">
        <f t="shared" si="211"/>
        <v/>
      </c>
      <c r="Q433" s="70" t="str">
        <f t="shared" si="211"/>
        <v/>
      </c>
      <c r="R433" s="70" t="str">
        <f t="shared" si="211"/>
        <v/>
      </c>
      <c r="S433" s="70" t="str">
        <f t="shared" si="211"/>
        <v/>
      </c>
      <c r="T433" s="70" t="str">
        <f t="shared" si="211"/>
        <v/>
      </c>
      <c r="U433" s="70" t="str">
        <f t="shared" si="211"/>
        <v/>
      </c>
      <c r="V433" s="70" t="str">
        <f t="shared" si="211"/>
        <v/>
      </c>
      <c r="W433" s="70" t="str">
        <f t="shared" si="211"/>
        <v/>
      </c>
      <c r="X433" s="70" t="str">
        <f t="shared" si="211"/>
        <v/>
      </c>
      <c r="Y433" s="70" t="str">
        <f t="shared" si="211"/>
        <v/>
      </c>
      <c r="Z433" s="70" t="str">
        <f t="shared" si="211"/>
        <v/>
      </c>
      <c r="AA433" s="70" t="str">
        <f t="shared" si="211"/>
        <v/>
      </c>
      <c r="AB433" s="70" t="str">
        <f t="shared" si="211"/>
        <v/>
      </c>
      <c r="AC433" s="70" t="str">
        <f t="shared" si="211"/>
        <v/>
      </c>
      <c r="AD433" s="70" t="str">
        <f t="shared" si="211"/>
        <v/>
      </c>
      <c r="AE433" s="70" t="str">
        <f t="shared" si="211"/>
        <v/>
      </c>
      <c r="AF433" s="70" t="str">
        <f t="shared" si="211"/>
        <v/>
      </c>
      <c r="AG433" s="69" t="str">
        <f t="shared" si="211"/>
        <v/>
      </c>
      <c r="AH433" s="70" t="str">
        <f t="shared" si="211"/>
        <v/>
      </c>
      <c r="AI433" s="70" t="str">
        <f t="shared" si="211"/>
        <v/>
      </c>
      <c r="AJ433" s="70" t="str">
        <f t="shared" si="211"/>
        <v/>
      </c>
      <c r="AK433" s="70" t="str">
        <f t="shared" si="211"/>
        <v/>
      </c>
      <c r="AL433" s="70" t="str">
        <f t="shared" si="211"/>
        <v/>
      </c>
      <c r="AM433" s="70" t="str">
        <f t="shared" si="211"/>
        <v/>
      </c>
      <c r="AN433" s="70" t="str">
        <f t="shared" si="211"/>
        <v/>
      </c>
      <c r="AO433" s="67" t="str">
        <f t="shared" si="204"/>
        <v/>
      </c>
      <c r="AP433" s="45" t="str">
        <f t="shared" si="205"/>
        <v/>
      </c>
    </row>
    <row r="434" spans="2:42" ht="18" customHeight="1" x14ac:dyDescent="0.3">
      <c r="B434" s="42" t="str">
        <f t="shared" si="200"/>
        <v/>
      </c>
      <c r="C434" s="68" t="str">
        <f t="shared" si="201"/>
        <v/>
      </c>
      <c r="D434" s="67" t="str">
        <f t="shared" si="202"/>
        <v/>
      </c>
      <c r="E434" s="70" t="str">
        <f t="shared" si="211"/>
        <v/>
      </c>
      <c r="F434" s="70" t="str">
        <f t="shared" si="211"/>
        <v/>
      </c>
      <c r="G434" s="70" t="str">
        <f t="shared" si="211"/>
        <v/>
      </c>
      <c r="H434" s="70" t="str">
        <f t="shared" si="211"/>
        <v/>
      </c>
      <c r="I434" s="70" t="str">
        <f t="shared" si="211"/>
        <v/>
      </c>
      <c r="J434" s="70" t="str">
        <f t="shared" si="211"/>
        <v/>
      </c>
      <c r="K434" s="70" t="str">
        <f t="shared" si="211"/>
        <v/>
      </c>
      <c r="L434" s="70" t="str">
        <f t="shared" si="211"/>
        <v/>
      </c>
      <c r="M434" s="70" t="str">
        <f t="shared" si="211"/>
        <v/>
      </c>
      <c r="N434" s="70" t="str">
        <f t="shared" si="211"/>
        <v/>
      </c>
      <c r="O434" s="70" t="str">
        <f t="shared" si="211"/>
        <v/>
      </c>
      <c r="P434" s="70" t="str">
        <f t="shared" si="211"/>
        <v/>
      </c>
      <c r="Q434" s="70" t="str">
        <f t="shared" si="211"/>
        <v/>
      </c>
      <c r="R434" s="70" t="str">
        <f t="shared" si="211"/>
        <v/>
      </c>
      <c r="S434" s="70" t="str">
        <f t="shared" si="211"/>
        <v/>
      </c>
      <c r="T434" s="70" t="str">
        <f t="shared" si="211"/>
        <v/>
      </c>
      <c r="U434" s="70" t="str">
        <f t="shared" si="211"/>
        <v/>
      </c>
      <c r="V434" s="70" t="str">
        <f t="shared" si="211"/>
        <v/>
      </c>
      <c r="W434" s="70" t="str">
        <f t="shared" si="211"/>
        <v/>
      </c>
      <c r="X434" s="70" t="str">
        <f t="shared" si="211"/>
        <v/>
      </c>
      <c r="Y434" s="70" t="str">
        <f t="shared" si="211"/>
        <v/>
      </c>
      <c r="Z434" s="70" t="str">
        <f t="shared" si="211"/>
        <v/>
      </c>
      <c r="AA434" s="70" t="str">
        <f t="shared" si="211"/>
        <v/>
      </c>
      <c r="AB434" s="70" t="str">
        <f t="shared" si="211"/>
        <v/>
      </c>
      <c r="AC434" s="70" t="str">
        <f t="shared" si="211"/>
        <v/>
      </c>
      <c r="AD434" s="70" t="str">
        <f t="shared" si="211"/>
        <v/>
      </c>
      <c r="AE434" s="70" t="str">
        <f t="shared" si="211"/>
        <v/>
      </c>
      <c r="AF434" s="70" t="str">
        <f t="shared" si="211"/>
        <v/>
      </c>
      <c r="AG434" s="70" t="str">
        <f t="shared" si="211"/>
        <v/>
      </c>
      <c r="AH434" s="69" t="str">
        <f t="shared" si="211"/>
        <v/>
      </c>
      <c r="AI434" s="70" t="str">
        <f t="shared" si="211"/>
        <v/>
      </c>
      <c r="AJ434" s="70" t="str">
        <f t="shared" si="211"/>
        <v/>
      </c>
      <c r="AK434" s="70" t="str">
        <f t="shared" si="211"/>
        <v/>
      </c>
      <c r="AL434" s="70" t="str">
        <f t="shared" si="211"/>
        <v/>
      </c>
      <c r="AM434" s="70" t="str">
        <f t="shared" si="211"/>
        <v/>
      </c>
      <c r="AN434" s="70" t="str">
        <f t="shared" si="211"/>
        <v/>
      </c>
      <c r="AO434" s="67" t="str">
        <f t="shared" si="204"/>
        <v/>
      </c>
      <c r="AP434" s="45" t="str">
        <f t="shared" si="205"/>
        <v/>
      </c>
    </row>
    <row r="435" spans="2:42" ht="18" customHeight="1" x14ac:dyDescent="0.3">
      <c r="B435" s="42" t="str">
        <f t="shared" si="200"/>
        <v/>
      </c>
      <c r="C435" s="68" t="str">
        <f t="shared" si="201"/>
        <v/>
      </c>
      <c r="D435" s="67" t="str">
        <f t="shared" si="202"/>
        <v/>
      </c>
      <c r="E435" s="70" t="str">
        <f t="shared" si="211"/>
        <v/>
      </c>
      <c r="F435" s="70" t="str">
        <f t="shared" si="211"/>
        <v/>
      </c>
      <c r="G435" s="70" t="str">
        <f t="shared" si="211"/>
        <v/>
      </c>
      <c r="H435" s="70" t="str">
        <f t="shared" si="211"/>
        <v/>
      </c>
      <c r="I435" s="70" t="str">
        <f t="shared" si="211"/>
        <v/>
      </c>
      <c r="J435" s="70" t="str">
        <f t="shared" si="211"/>
        <v/>
      </c>
      <c r="K435" s="70" t="str">
        <f t="shared" si="211"/>
        <v/>
      </c>
      <c r="L435" s="70" t="str">
        <f t="shared" si="211"/>
        <v/>
      </c>
      <c r="M435" s="70" t="str">
        <f t="shared" si="211"/>
        <v/>
      </c>
      <c r="N435" s="70" t="str">
        <f t="shared" si="211"/>
        <v/>
      </c>
      <c r="O435" s="70" t="str">
        <f t="shared" si="211"/>
        <v/>
      </c>
      <c r="P435" s="70" t="str">
        <f t="shared" si="211"/>
        <v/>
      </c>
      <c r="Q435" s="70" t="str">
        <f t="shared" si="211"/>
        <v/>
      </c>
      <c r="R435" s="70" t="str">
        <f t="shared" si="211"/>
        <v/>
      </c>
      <c r="S435" s="70" t="str">
        <f t="shared" si="211"/>
        <v/>
      </c>
      <c r="T435" s="70" t="str">
        <f t="shared" si="211"/>
        <v/>
      </c>
      <c r="U435" s="70" t="str">
        <f t="shared" si="211"/>
        <v/>
      </c>
      <c r="V435" s="70" t="str">
        <f t="shared" si="211"/>
        <v/>
      </c>
      <c r="W435" s="70" t="str">
        <f t="shared" si="211"/>
        <v/>
      </c>
      <c r="X435" s="70" t="str">
        <f t="shared" si="211"/>
        <v/>
      </c>
      <c r="Y435" s="70" t="str">
        <f t="shared" si="211"/>
        <v/>
      </c>
      <c r="Z435" s="70" t="str">
        <f t="shared" si="211"/>
        <v/>
      </c>
      <c r="AA435" s="70" t="str">
        <f t="shared" si="211"/>
        <v/>
      </c>
      <c r="AB435" s="70" t="str">
        <f t="shared" si="211"/>
        <v/>
      </c>
      <c r="AC435" s="70" t="str">
        <f t="shared" si="211"/>
        <v/>
      </c>
      <c r="AD435" s="70" t="str">
        <f t="shared" si="211"/>
        <v/>
      </c>
      <c r="AE435" s="70" t="str">
        <f t="shared" si="211"/>
        <v/>
      </c>
      <c r="AF435" s="70" t="str">
        <f t="shared" si="211"/>
        <v/>
      </c>
      <c r="AG435" s="70" t="str">
        <f t="shared" si="211"/>
        <v/>
      </c>
      <c r="AH435" s="70" t="str">
        <f t="shared" si="211"/>
        <v/>
      </c>
      <c r="AI435" s="69" t="str">
        <f t="shared" si="211"/>
        <v/>
      </c>
      <c r="AJ435" s="70" t="str">
        <f t="shared" si="211"/>
        <v/>
      </c>
      <c r="AK435" s="70" t="str">
        <f t="shared" si="211"/>
        <v/>
      </c>
      <c r="AL435" s="70" t="str">
        <f t="shared" si="211"/>
        <v/>
      </c>
      <c r="AM435" s="70" t="str">
        <f t="shared" si="211"/>
        <v/>
      </c>
      <c r="AN435" s="70" t="str">
        <f t="shared" si="211"/>
        <v/>
      </c>
      <c r="AO435" s="67" t="str">
        <f t="shared" si="204"/>
        <v/>
      </c>
      <c r="AP435" s="45" t="str">
        <f t="shared" si="205"/>
        <v/>
      </c>
    </row>
    <row r="436" spans="2:42" ht="18" customHeight="1" x14ac:dyDescent="0.3">
      <c r="B436" s="42" t="str">
        <f t="shared" si="200"/>
        <v/>
      </c>
      <c r="C436" s="68" t="str">
        <f t="shared" si="201"/>
        <v/>
      </c>
      <c r="D436" s="67" t="str">
        <f t="shared" si="202"/>
        <v/>
      </c>
      <c r="E436" s="70" t="str">
        <f t="shared" si="211"/>
        <v/>
      </c>
      <c r="F436" s="70" t="str">
        <f t="shared" si="211"/>
        <v/>
      </c>
      <c r="G436" s="70" t="str">
        <f t="shared" si="211"/>
        <v/>
      </c>
      <c r="H436" s="70" t="str">
        <f t="shared" ref="H436:AQ436" si="212">IF(OR($AQ396="",H$362=""),"",INDEX($AU$285:$CD$320,$AQ396,H$362))</f>
        <v/>
      </c>
      <c r="I436" s="70" t="str">
        <f t="shared" si="212"/>
        <v/>
      </c>
      <c r="J436" s="70" t="str">
        <f t="shared" si="212"/>
        <v/>
      </c>
      <c r="K436" s="70" t="str">
        <f t="shared" si="212"/>
        <v/>
      </c>
      <c r="L436" s="70" t="str">
        <f t="shared" si="212"/>
        <v/>
      </c>
      <c r="M436" s="70" t="str">
        <f t="shared" si="212"/>
        <v/>
      </c>
      <c r="N436" s="70" t="str">
        <f t="shared" si="212"/>
        <v/>
      </c>
      <c r="O436" s="70" t="str">
        <f t="shared" si="212"/>
        <v/>
      </c>
      <c r="P436" s="70" t="str">
        <f t="shared" si="212"/>
        <v/>
      </c>
      <c r="Q436" s="70" t="str">
        <f t="shared" si="212"/>
        <v/>
      </c>
      <c r="R436" s="70" t="str">
        <f t="shared" si="212"/>
        <v/>
      </c>
      <c r="S436" s="70" t="str">
        <f t="shared" si="212"/>
        <v/>
      </c>
      <c r="T436" s="70" t="str">
        <f t="shared" si="212"/>
        <v/>
      </c>
      <c r="U436" s="70" t="str">
        <f t="shared" si="212"/>
        <v/>
      </c>
      <c r="V436" s="70" t="str">
        <f t="shared" si="212"/>
        <v/>
      </c>
      <c r="W436" s="70" t="str">
        <f t="shared" si="212"/>
        <v/>
      </c>
      <c r="X436" s="70" t="str">
        <f t="shared" si="212"/>
        <v/>
      </c>
      <c r="Y436" s="70" t="str">
        <f t="shared" si="212"/>
        <v/>
      </c>
      <c r="Z436" s="70" t="str">
        <f t="shared" si="212"/>
        <v/>
      </c>
      <c r="AA436" s="70" t="str">
        <f t="shared" si="212"/>
        <v/>
      </c>
      <c r="AB436" s="70" t="str">
        <f t="shared" si="212"/>
        <v/>
      </c>
      <c r="AC436" s="70" t="str">
        <f t="shared" si="212"/>
        <v/>
      </c>
      <c r="AD436" s="70" t="str">
        <f t="shared" si="212"/>
        <v/>
      </c>
      <c r="AE436" s="70" t="str">
        <f t="shared" si="212"/>
        <v/>
      </c>
      <c r="AF436" s="70" t="str">
        <f t="shared" si="212"/>
        <v/>
      </c>
      <c r="AG436" s="70" t="str">
        <f t="shared" si="212"/>
        <v/>
      </c>
      <c r="AH436" s="70" t="str">
        <f t="shared" si="212"/>
        <v/>
      </c>
      <c r="AI436" s="70" t="str">
        <f t="shared" si="212"/>
        <v/>
      </c>
      <c r="AJ436" s="69" t="str">
        <f t="shared" si="212"/>
        <v/>
      </c>
      <c r="AK436" s="70" t="str">
        <f t="shared" si="212"/>
        <v/>
      </c>
      <c r="AL436" s="70" t="str">
        <f t="shared" si="212"/>
        <v/>
      </c>
      <c r="AM436" s="70" t="str">
        <f t="shared" si="212"/>
        <v/>
      </c>
      <c r="AN436" s="70" t="str">
        <f t="shared" si="212"/>
        <v/>
      </c>
      <c r="AO436" s="67" t="str">
        <f t="shared" si="204"/>
        <v/>
      </c>
      <c r="AP436" s="45" t="str">
        <f t="shared" si="205"/>
        <v/>
      </c>
    </row>
    <row r="437" spans="2:42" ht="18" customHeight="1" x14ac:dyDescent="0.3">
      <c r="B437" s="42" t="str">
        <f t="shared" si="200"/>
        <v/>
      </c>
      <c r="C437" s="68" t="str">
        <f t="shared" si="201"/>
        <v/>
      </c>
      <c r="D437" s="67" t="str">
        <f t="shared" si="202"/>
        <v/>
      </c>
      <c r="E437" s="70" t="str">
        <f t="shared" ref="E437:AN440" si="213">IF(OR($AQ397="",E$362=""),"",INDEX($AU$285:$CD$320,$AQ397,E$362))</f>
        <v/>
      </c>
      <c r="F437" s="70" t="str">
        <f t="shared" si="213"/>
        <v/>
      </c>
      <c r="G437" s="70" t="str">
        <f t="shared" si="213"/>
        <v/>
      </c>
      <c r="H437" s="70" t="str">
        <f t="shared" si="213"/>
        <v/>
      </c>
      <c r="I437" s="70" t="str">
        <f t="shared" si="213"/>
        <v/>
      </c>
      <c r="J437" s="70" t="str">
        <f t="shared" si="213"/>
        <v/>
      </c>
      <c r="K437" s="70" t="str">
        <f t="shared" si="213"/>
        <v/>
      </c>
      <c r="L437" s="70" t="str">
        <f t="shared" si="213"/>
        <v/>
      </c>
      <c r="M437" s="70" t="str">
        <f t="shared" si="213"/>
        <v/>
      </c>
      <c r="N437" s="70" t="str">
        <f t="shared" si="213"/>
        <v/>
      </c>
      <c r="O437" s="70" t="str">
        <f t="shared" si="213"/>
        <v/>
      </c>
      <c r="P437" s="70" t="str">
        <f t="shared" si="213"/>
        <v/>
      </c>
      <c r="Q437" s="70" t="str">
        <f t="shared" si="213"/>
        <v/>
      </c>
      <c r="R437" s="70" t="str">
        <f t="shared" si="213"/>
        <v/>
      </c>
      <c r="S437" s="70" t="str">
        <f t="shared" si="213"/>
        <v/>
      </c>
      <c r="T437" s="70" t="str">
        <f t="shared" si="213"/>
        <v/>
      </c>
      <c r="U437" s="70" t="str">
        <f t="shared" si="213"/>
        <v/>
      </c>
      <c r="V437" s="70" t="str">
        <f t="shared" si="213"/>
        <v/>
      </c>
      <c r="W437" s="70" t="str">
        <f t="shared" si="213"/>
        <v/>
      </c>
      <c r="X437" s="70" t="str">
        <f t="shared" si="213"/>
        <v/>
      </c>
      <c r="Y437" s="70" t="str">
        <f t="shared" si="213"/>
        <v/>
      </c>
      <c r="Z437" s="70" t="str">
        <f t="shared" si="213"/>
        <v/>
      </c>
      <c r="AA437" s="70" t="str">
        <f t="shared" si="213"/>
        <v/>
      </c>
      <c r="AB437" s="70" t="str">
        <f t="shared" si="213"/>
        <v/>
      </c>
      <c r="AC437" s="70" t="str">
        <f t="shared" si="213"/>
        <v/>
      </c>
      <c r="AD437" s="70" t="str">
        <f t="shared" si="213"/>
        <v/>
      </c>
      <c r="AE437" s="70" t="str">
        <f t="shared" si="213"/>
        <v/>
      </c>
      <c r="AF437" s="70" t="str">
        <f t="shared" si="213"/>
        <v/>
      </c>
      <c r="AG437" s="70" t="str">
        <f t="shared" si="213"/>
        <v/>
      </c>
      <c r="AH437" s="70" t="str">
        <f t="shared" si="213"/>
        <v/>
      </c>
      <c r="AI437" s="70" t="str">
        <f t="shared" si="213"/>
        <v/>
      </c>
      <c r="AJ437" s="70" t="str">
        <f t="shared" si="213"/>
        <v/>
      </c>
      <c r="AK437" s="69" t="str">
        <f t="shared" si="213"/>
        <v/>
      </c>
      <c r="AL437" s="70" t="str">
        <f t="shared" si="213"/>
        <v/>
      </c>
      <c r="AM437" s="70" t="str">
        <f t="shared" si="213"/>
        <v/>
      </c>
      <c r="AN437" s="70" t="str">
        <f t="shared" si="213"/>
        <v/>
      </c>
      <c r="AO437" s="67" t="str">
        <f t="shared" si="204"/>
        <v/>
      </c>
      <c r="AP437" s="45" t="str">
        <f t="shared" si="205"/>
        <v/>
      </c>
    </row>
    <row r="438" spans="2:42" ht="18" customHeight="1" x14ac:dyDescent="0.3">
      <c r="B438" s="42" t="str">
        <f t="shared" si="200"/>
        <v/>
      </c>
      <c r="C438" s="68" t="str">
        <f t="shared" si="201"/>
        <v/>
      </c>
      <c r="D438" s="67" t="str">
        <f t="shared" si="202"/>
        <v/>
      </c>
      <c r="E438" s="70" t="str">
        <f t="shared" si="213"/>
        <v/>
      </c>
      <c r="F438" s="70" t="str">
        <f t="shared" si="213"/>
        <v/>
      </c>
      <c r="G438" s="70" t="str">
        <f t="shared" si="213"/>
        <v/>
      </c>
      <c r="H438" s="70" t="str">
        <f t="shared" si="213"/>
        <v/>
      </c>
      <c r="I438" s="70" t="str">
        <f t="shared" si="213"/>
        <v/>
      </c>
      <c r="J438" s="70" t="str">
        <f t="shared" si="213"/>
        <v/>
      </c>
      <c r="K438" s="70" t="str">
        <f t="shared" si="213"/>
        <v/>
      </c>
      <c r="L438" s="70" t="str">
        <f t="shared" si="213"/>
        <v/>
      </c>
      <c r="M438" s="70" t="str">
        <f t="shared" si="213"/>
        <v/>
      </c>
      <c r="N438" s="70" t="str">
        <f t="shared" si="213"/>
        <v/>
      </c>
      <c r="O438" s="70" t="str">
        <f t="shared" si="213"/>
        <v/>
      </c>
      <c r="P438" s="70" t="str">
        <f t="shared" si="213"/>
        <v/>
      </c>
      <c r="Q438" s="70" t="str">
        <f t="shared" si="213"/>
        <v/>
      </c>
      <c r="R438" s="70" t="str">
        <f t="shared" si="213"/>
        <v/>
      </c>
      <c r="S438" s="70" t="str">
        <f t="shared" si="213"/>
        <v/>
      </c>
      <c r="T438" s="70" t="str">
        <f t="shared" si="213"/>
        <v/>
      </c>
      <c r="U438" s="70" t="str">
        <f t="shared" si="213"/>
        <v/>
      </c>
      <c r="V438" s="70" t="str">
        <f t="shared" si="213"/>
        <v/>
      </c>
      <c r="W438" s="70" t="str">
        <f t="shared" si="213"/>
        <v/>
      </c>
      <c r="X438" s="70" t="str">
        <f t="shared" si="213"/>
        <v/>
      </c>
      <c r="Y438" s="70" t="str">
        <f t="shared" si="213"/>
        <v/>
      </c>
      <c r="Z438" s="70" t="str">
        <f t="shared" si="213"/>
        <v/>
      </c>
      <c r="AA438" s="70" t="str">
        <f t="shared" si="213"/>
        <v/>
      </c>
      <c r="AB438" s="70" t="str">
        <f t="shared" si="213"/>
        <v/>
      </c>
      <c r="AC438" s="70" t="str">
        <f t="shared" si="213"/>
        <v/>
      </c>
      <c r="AD438" s="70" t="str">
        <f t="shared" si="213"/>
        <v/>
      </c>
      <c r="AE438" s="70" t="str">
        <f t="shared" si="213"/>
        <v/>
      </c>
      <c r="AF438" s="70" t="str">
        <f t="shared" si="213"/>
        <v/>
      </c>
      <c r="AG438" s="70" t="str">
        <f t="shared" si="213"/>
        <v/>
      </c>
      <c r="AH438" s="70" t="str">
        <f t="shared" si="213"/>
        <v/>
      </c>
      <c r="AI438" s="70" t="str">
        <f t="shared" si="213"/>
        <v/>
      </c>
      <c r="AJ438" s="70" t="str">
        <f t="shared" si="213"/>
        <v/>
      </c>
      <c r="AK438" s="70" t="str">
        <f t="shared" si="213"/>
        <v/>
      </c>
      <c r="AL438" s="69" t="str">
        <f t="shared" si="213"/>
        <v/>
      </c>
      <c r="AM438" s="70" t="str">
        <f t="shared" si="213"/>
        <v/>
      </c>
      <c r="AN438" s="70" t="str">
        <f t="shared" si="213"/>
        <v/>
      </c>
      <c r="AO438" s="67" t="str">
        <f t="shared" si="204"/>
        <v/>
      </c>
      <c r="AP438" s="45" t="str">
        <f t="shared" si="205"/>
        <v/>
      </c>
    </row>
    <row r="439" spans="2:42" ht="18" customHeight="1" x14ac:dyDescent="0.3">
      <c r="B439" s="42" t="str">
        <f t="shared" si="200"/>
        <v/>
      </c>
      <c r="C439" s="68" t="str">
        <f t="shared" si="201"/>
        <v/>
      </c>
      <c r="D439" s="67" t="str">
        <f t="shared" si="202"/>
        <v/>
      </c>
      <c r="E439" s="70" t="str">
        <f t="shared" si="213"/>
        <v/>
      </c>
      <c r="F439" s="70" t="str">
        <f t="shared" si="213"/>
        <v/>
      </c>
      <c r="G439" s="70" t="str">
        <f t="shared" si="213"/>
        <v/>
      </c>
      <c r="H439" s="70" t="str">
        <f t="shared" si="213"/>
        <v/>
      </c>
      <c r="I439" s="70" t="str">
        <f t="shared" si="213"/>
        <v/>
      </c>
      <c r="J439" s="70" t="str">
        <f t="shared" si="213"/>
        <v/>
      </c>
      <c r="K439" s="70" t="str">
        <f t="shared" si="213"/>
        <v/>
      </c>
      <c r="L439" s="70" t="str">
        <f t="shared" si="213"/>
        <v/>
      </c>
      <c r="M439" s="70" t="str">
        <f t="shared" si="213"/>
        <v/>
      </c>
      <c r="N439" s="70" t="str">
        <f t="shared" si="213"/>
        <v/>
      </c>
      <c r="O439" s="70" t="str">
        <f t="shared" si="213"/>
        <v/>
      </c>
      <c r="P439" s="70" t="str">
        <f t="shared" si="213"/>
        <v/>
      </c>
      <c r="Q439" s="70" t="str">
        <f t="shared" si="213"/>
        <v/>
      </c>
      <c r="R439" s="70" t="str">
        <f t="shared" si="213"/>
        <v/>
      </c>
      <c r="S439" s="70" t="str">
        <f t="shared" si="213"/>
        <v/>
      </c>
      <c r="T439" s="70" t="str">
        <f t="shared" si="213"/>
        <v/>
      </c>
      <c r="U439" s="70" t="str">
        <f t="shared" si="213"/>
        <v/>
      </c>
      <c r="V439" s="70" t="str">
        <f t="shared" si="213"/>
        <v/>
      </c>
      <c r="W439" s="70" t="str">
        <f t="shared" si="213"/>
        <v/>
      </c>
      <c r="X439" s="70" t="str">
        <f t="shared" si="213"/>
        <v/>
      </c>
      <c r="Y439" s="70" t="str">
        <f t="shared" si="213"/>
        <v/>
      </c>
      <c r="Z439" s="70" t="str">
        <f t="shared" si="213"/>
        <v/>
      </c>
      <c r="AA439" s="70" t="str">
        <f t="shared" si="213"/>
        <v/>
      </c>
      <c r="AB439" s="70" t="str">
        <f t="shared" si="213"/>
        <v/>
      </c>
      <c r="AC439" s="70" t="str">
        <f t="shared" si="213"/>
        <v/>
      </c>
      <c r="AD439" s="70" t="str">
        <f t="shared" si="213"/>
        <v/>
      </c>
      <c r="AE439" s="70" t="str">
        <f t="shared" si="213"/>
        <v/>
      </c>
      <c r="AF439" s="70" t="str">
        <f t="shared" si="213"/>
        <v/>
      </c>
      <c r="AG439" s="70" t="str">
        <f t="shared" si="213"/>
        <v/>
      </c>
      <c r="AH439" s="70" t="str">
        <f t="shared" si="213"/>
        <v/>
      </c>
      <c r="AI439" s="70" t="str">
        <f t="shared" si="213"/>
        <v/>
      </c>
      <c r="AJ439" s="70" t="str">
        <f t="shared" si="213"/>
        <v/>
      </c>
      <c r="AK439" s="70" t="str">
        <f t="shared" si="213"/>
        <v/>
      </c>
      <c r="AL439" s="70" t="str">
        <f t="shared" si="213"/>
        <v/>
      </c>
      <c r="AM439" s="69" t="str">
        <f t="shared" si="213"/>
        <v/>
      </c>
      <c r="AN439" s="70" t="str">
        <f t="shared" si="213"/>
        <v/>
      </c>
      <c r="AO439" s="67" t="str">
        <f t="shared" si="204"/>
        <v/>
      </c>
      <c r="AP439" s="45" t="str">
        <f t="shared" si="205"/>
        <v/>
      </c>
    </row>
    <row r="440" spans="2:42" ht="18" customHeight="1" x14ac:dyDescent="0.3">
      <c r="B440" s="42" t="str">
        <f t="shared" si="200"/>
        <v/>
      </c>
      <c r="C440" s="68" t="str">
        <f t="shared" si="201"/>
        <v/>
      </c>
      <c r="D440" s="67" t="str">
        <f t="shared" si="202"/>
        <v/>
      </c>
      <c r="E440" s="70" t="str">
        <f t="shared" si="213"/>
        <v/>
      </c>
      <c r="F440" s="70" t="str">
        <f t="shared" si="213"/>
        <v/>
      </c>
      <c r="G440" s="70" t="str">
        <f t="shared" si="213"/>
        <v/>
      </c>
      <c r="H440" s="70" t="str">
        <f t="shared" si="213"/>
        <v/>
      </c>
      <c r="I440" s="70" t="str">
        <f t="shared" si="213"/>
        <v/>
      </c>
      <c r="J440" s="70" t="str">
        <f t="shared" si="213"/>
        <v/>
      </c>
      <c r="K440" s="70" t="str">
        <f t="shared" si="213"/>
        <v/>
      </c>
      <c r="L440" s="70" t="str">
        <f t="shared" si="213"/>
        <v/>
      </c>
      <c r="M440" s="70" t="str">
        <f t="shared" si="213"/>
        <v/>
      </c>
      <c r="N440" s="70" t="str">
        <f t="shared" si="213"/>
        <v/>
      </c>
      <c r="O440" s="70" t="str">
        <f t="shared" si="213"/>
        <v/>
      </c>
      <c r="P440" s="70" t="str">
        <f t="shared" si="213"/>
        <v/>
      </c>
      <c r="Q440" s="70" t="str">
        <f t="shared" si="213"/>
        <v/>
      </c>
      <c r="R440" s="70" t="str">
        <f t="shared" si="213"/>
        <v/>
      </c>
      <c r="S440" s="70" t="str">
        <f t="shared" si="213"/>
        <v/>
      </c>
      <c r="T440" s="70" t="str">
        <f t="shared" si="213"/>
        <v/>
      </c>
      <c r="U440" s="70" t="str">
        <f t="shared" si="213"/>
        <v/>
      </c>
      <c r="V440" s="70" t="str">
        <f t="shared" si="213"/>
        <v/>
      </c>
      <c r="W440" s="70" t="str">
        <f t="shared" si="213"/>
        <v/>
      </c>
      <c r="X440" s="70" t="str">
        <f t="shared" si="213"/>
        <v/>
      </c>
      <c r="Y440" s="70" t="str">
        <f t="shared" si="213"/>
        <v/>
      </c>
      <c r="Z440" s="70" t="str">
        <f t="shared" si="213"/>
        <v/>
      </c>
      <c r="AA440" s="70" t="str">
        <f t="shared" si="213"/>
        <v/>
      </c>
      <c r="AB440" s="70" t="str">
        <f t="shared" si="213"/>
        <v/>
      </c>
      <c r="AC440" s="70" t="str">
        <f t="shared" si="213"/>
        <v/>
      </c>
      <c r="AD440" s="70" t="str">
        <f t="shared" si="213"/>
        <v/>
      </c>
      <c r="AE440" s="70" t="str">
        <f t="shared" si="213"/>
        <v/>
      </c>
      <c r="AF440" s="70" t="str">
        <f t="shared" si="213"/>
        <v/>
      </c>
      <c r="AG440" s="70" t="str">
        <f t="shared" si="213"/>
        <v/>
      </c>
      <c r="AH440" s="70" t="str">
        <f t="shared" si="213"/>
        <v/>
      </c>
      <c r="AI440" s="70" t="str">
        <f t="shared" si="213"/>
        <v/>
      </c>
      <c r="AJ440" s="70" t="str">
        <f t="shared" si="213"/>
        <v/>
      </c>
      <c r="AK440" s="70" t="str">
        <f t="shared" si="213"/>
        <v/>
      </c>
      <c r="AL440" s="70" t="str">
        <f t="shared" si="213"/>
        <v/>
      </c>
      <c r="AM440" s="70" t="str">
        <f t="shared" si="213"/>
        <v/>
      </c>
      <c r="AN440" s="69" t="str">
        <f t="shared" si="213"/>
        <v/>
      </c>
      <c r="AO440" s="67" t="str">
        <f t="shared" si="204"/>
        <v/>
      </c>
      <c r="AP440" s="45" t="str">
        <f t="shared" si="205"/>
        <v/>
      </c>
    </row>
    <row r="443" spans="2:42" ht="22.05" customHeight="1" thickBot="1" x14ac:dyDescent="0.35">
      <c r="B443" s="71" t="s">
        <v>197</v>
      </c>
      <c r="C443" s="71"/>
      <c r="D443" s="71"/>
      <c r="E443" s="71"/>
      <c r="F443" s="71"/>
      <c r="G443" s="71"/>
      <c r="H443" s="71"/>
    </row>
    <row r="444" spans="2:42" ht="42" thickBot="1" x14ac:dyDescent="0.35">
      <c r="B444" s="36" t="s">
        <v>123</v>
      </c>
      <c r="C444" s="36" t="s">
        <v>198</v>
      </c>
      <c r="D444" s="36" t="s">
        <v>190</v>
      </c>
      <c r="E444" s="36" t="s">
        <v>199</v>
      </c>
      <c r="F444" s="36" t="s">
        <v>200</v>
      </c>
      <c r="G444" s="36" t="s">
        <v>201</v>
      </c>
    </row>
    <row r="445" spans="2:42" ht="18" customHeight="1" x14ac:dyDescent="0.3">
      <c r="B445" s="9" t="str">
        <f t="shared" ref="B445:B480" si="214">B365</f>
        <v>U1θ</v>
      </c>
      <c r="C445" s="7" t="str">
        <f t="shared" ref="C445:C480" si="215">AP365</f>
        <v>D1θ</v>
      </c>
      <c r="D445" s="35" t="str">
        <f t="shared" ref="D445:D480" si="216">D365</f>
        <v>=</v>
      </c>
      <c r="E445" s="63">
        <f t="shared" ref="E445:E480" si="217">IF($AQ365="","",INDEX($CE$285:$CE$320,$AQ365))</f>
        <v>1.0702201319485239E-5</v>
      </c>
      <c r="F445" s="72" t="str">
        <f t="shared" ref="F445:F480" si="218">IF($AQ365="","",IF(RIGHT(C445,1)="θ","rad","cm"))</f>
        <v>rad</v>
      </c>
      <c r="G445" s="73" t="str">
        <f t="shared" ref="G445:G480" si="219">IF($AQ365="","",IF(RIGHT(C445,1)="θ","Giro nodal θ","Desplazamiento lineal"))</f>
        <v>Giro nodal θ</v>
      </c>
    </row>
    <row r="446" spans="2:42" ht="18" customHeight="1" x14ac:dyDescent="0.3">
      <c r="B446" s="9" t="str">
        <f t="shared" si="214"/>
        <v>U2X</v>
      </c>
      <c r="C446" s="7" t="str">
        <f t="shared" si="215"/>
        <v>D2X</v>
      </c>
      <c r="D446" s="35" t="str">
        <f t="shared" si="216"/>
        <v>=</v>
      </c>
      <c r="E446" s="63">
        <f t="shared" si="217"/>
        <v>-2.9629629629629624E-4</v>
      </c>
      <c r="F446" s="72" t="str">
        <f t="shared" si="218"/>
        <v>cm</v>
      </c>
      <c r="G446" s="73" t="str">
        <f t="shared" si="219"/>
        <v>Desplazamiento lineal</v>
      </c>
    </row>
    <row r="447" spans="2:42" ht="18" customHeight="1" x14ac:dyDescent="0.3">
      <c r="B447" s="9" t="str">
        <f t="shared" si="214"/>
        <v>U2Y</v>
      </c>
      <c r="C447" s="7" t="str">
        <f t="shared" si="215"/>
        <v>D2Y</v>
      </c>
      <c r="D447" s="35" t="str">
        <f t="shared" si="216"/>
        <v>=</v>
      </c>
      <c r="E447" s="63">
        <f t="shared" si="217"/>
        <v>5.1169900058788895E-3</v>
      </c>
      <c r="F447" s="72" t="str">
        <f t="shared" si="218"/>
        <v>cm</v>
      </c>
      <c r="G447" s="73" t="str">
        <f t="shared" si="219"/>
        <v>Desplazamiento lineal</v>
      </c>
    </row>
    <row r="448" spans="2:42" ht="18" customHeight="1" x14ac:dyDescent="0.3">
      <c r="B448" s="9" t="str">
        <f t="shared" si="214"/>
        <v>U2θ</v>
      </c>
      <c r="C448" s="7" t="str">
        <f t="shared" si="215"/>
        <v>D2θ</v>
      </c>
      <c r="D448" s="35" t="str">
        <f t="shared" si="216"/>
        <v>=</v>
      </c>
      <c r="E448" s="63">
        <f t="shared" si="217"/>
        <v>5.5350447449212905E-5</v>
      </c>
      <c r="F448" s="72" t="str">
        <f t="shared" si="218"/>
        <v>rad</v>
      </c>
      <c r="G448" s="73" t="str">
        <f t="shared" si="219"/>
        <v>Giro nodal θ</v>
      </c>
    </row>
    <row r="449" spans="2:7" ht="18" customHeight="1" x14ac:dyDescent="0.3">
      <c r="B449" s="9" t="str">
        <f t="shared" si="214"/>
        <v>U3X</v>
      </c>
      <c r="C449" s="7" t="str">
        <f t="shared" si="215"/>
        <v>D3X</v>
      </c>
      <c r="D449" s="35" t="str">
        <f t="shared" si="216"/>
        <v>=</v>
      </c>
      <c r="E449" s="63">
        <f t="shared" si="217"/>
        <v>-5.9259259259259248E-4</v>
      </c>
      <c r="F449" s="72" t="str">
        <f t="shared" si="218"/>
        <v>cm</v>
      </c>
      <c r="G449" s="73" t="str">
        <f t="shared" si="219"/>
        <v>Desplazamiento lineal</v>
      </c>
    </row>
    <row r="450" spans="2:7" ht="18" customHeight="1" x14ac:dyDescent="0.3">
      <c r="B450" s="9" t="str">
        <f t="shared" si="214"/>
        <v>U3θ</v>
      </c>
      <c r="C450" s="7" t="str">
        <f t="shared" si="215"/>
        <v>D3θ</v>
      </c>
      <c r="D450" s="35" t="str">
        <f t="shared" si="216"/>
        <v>=</v>
      </c>
      <c r="E450" s="63">
        <f t="shared" si="217"/>
        <v>-2.3210399111633681E-4</v>
      </c>
      <c r="F450" s="72" t="str">
        <f t="shared" si="218"/>
        <v>rad</v>
      </c>
      <c r="G450" s="73" t="str">
        <f t="shared" si="219"/>
        <v>Giro nodal θ</v>
      </c>
    </row>
    <row r="451" spans="2:7" ht="18" customHeight="1" x14ac:dyDescent="0.3">
      <c r="B451" s="9" t="str">
        <f t="shared" si="214"/>
        <v>U4X</v>
      </c>
      <c r="C451" s="7" t="str">
        <f t="shared" si="215"/>
        <v>D4X</v>
      </c>
      <c r="D451" s="35" t="str">
        <f t="shared" si="216"/>
        <v>=</v>
      </c>
      <c r="E451" s="63">
        <f t="shared" si="217"/>
        <v>-1.1851851851851852E-3</v>
      </c>
      <c r="F451" s="72" t="str">
        <f t="shared" si="218"/>
        <v>cm</v>
      </c>
      <c r="G451" s="73" t="str">
        <f t="shared" si="219"/>
        <v>Desplazamiento lineal</v>
      </c>
    </row>
    <row r="452" spans="2:7" ht="18" customHeight="1" x14ac:dyDescent="0.3">
      <c r="B452" s="9" t="str">
        <f t="shared" si="214"/>
        <v>U4Y</v>
      </c>
      <c r="C452" s="7" t="str">
        <f t="shared" si="215"/>
        <v>D4Y</v>
      </c>
      <c r="D452" s="35" t="str">
        <f t="shared" si="216"/>
        <v>=</v>
      </c>
      <c r="E452" s="63">
        <f t="shared" si="217"/>
        <v>-0.15565014044026396</v>
      </c>
      <c r="F452" s="72" t="str">
        <f t="shared" si="218"/>
        <v>cm</v>
      </c>
      <c r="G452" s="73" t="str">
        <f t="shared" si="219"/>
        <v>Desplazamiento lineal</v>
      </c>
    </row>
    <row r="453" spans="2:7" ht="18" customHeight="1" x14ac:dyDescent="0.3">
      <c r="B453" s="9" t="str">
        <f t="shared" si="214"/>
        <v>U4θ</v>
      </c>
      <c r="C453" s="7" t="str">
        <f t="shared" si="215"/>
        <v>D4θ</v>
      </c>
      <c r="D453" s="35" t="str">
        <f t="shared" si="216"/>
        <v>=</v>
      </c>
      <c r="E453" s="63">
        <f t="shared" si="217"/>
        <v>-3.8962701678751057E-5</v>
      </c>
      <c r="F453" s="72" t="str">
        <f t="shared" si="218"/>
        <v>rad</v>
      </c>
      <c r="G453" s="73" t="str">
        <f t="shared" si="219"/>
        <v>Giro nodal θ</v>
      </c>
    </row>
    <row r="454" spans="2:7" ht="18" customHeight="1" x14ac:dyDescent="0.3">
      <c r="B454" s="9" t="str">
        <f t="shared" si="214"/>
        <v>U5θ</v>
      </c>
      <c r="C454" s="7" t="str">
        <f t="shared" si="215"/>
        <v>D5θ</v>
      </c>
      <c r="D454" s="35" t="str">
        <f t="shared" si="216"/>
        <v>=</v>
      </c>
      <c r="E454" s="63">
        <f t="shared" si="217"/>
        <v>3.8795479783134107E-4</v>
      </c>
      <c r="F454" s="72" t="str">
        <f t="shared" si="218"/>
        <v>rad</v>
      </c>
      <c r="G454" s="73" t="str">
        <f t="shared" si="219"/>
        <v>Giro nodal θ</v>
      </c>
    </row>
    <row r="455" spans="2:7" ht="18" customHeight="1" x14ac:dyDescent="0.3">
      <c r="B455" s="9" t="str">
        <f t="shared" si="214"/>
        <v>U6X</v>
      </c>
      <c r="C455" s="7" t="str">
        <f t="shared" si="215"/>
        <v>D6X</v>
      </c>
      <c r="D455" s="35" t="str">
        <f t="shared" si="216"/>
        <v>=</v>
      </c>
      <c r="E455" s="63">
        <f t="shared" si="217"/>
        <v>0</v>
      </c>
      <c r="F455" s="72" t="str">
        <f t="shared" si="218"/>
        <v>cm</v>
      </c>
      <c r="G455" s="73" t="str">
        <f t="shared" si="219"/>
        <v>Desplazamiento lineal</v>
      </c>
    </row>
    <row r="456" spans="2:7" ht="18" customHeight="1" x14ac:dyDescent="0.3">
      <c r="B456" s="9" t="str">
        <f t="shared" si="214"/>
        <v>U6Y</v>
      </c>
      <c r="C456" s="7" t="str">
        <f t="shared" si="215"/>
        <v>D6Y</v>
      </c>
      <c r="D456" s="35" t="str">
        <f t="shared" si="216"/>
        <v>=</v>
      </c>
      <c r="E456" s="63">
        <f t="shared" si="217"/>
        <v>3.3627278071722513E-2</v>
      </c>
      <c r="F456" s="72" t="str">
        <f t="shared" si="218"/>
        <v>cm</v>
      </c>
      <c r="G456" s="73" t="str">
        <f t="shared" si="219"/>
        <v>Desplazamiento lineal</v>
      </c>
    </row>
    <row r="457" spans="2:7" ht="18" customHeight="1" x14ac:dyDescent="0.3">
      <c r="B457" s="9" t="str">
        <f t="shared" si="214"/>
        <v>U6θ</v>
      </c>
      <c r="C457" s="7" t="str">
        <f t="shared" si="215"/>
        <v>D6θ</v>
      </c>
      <c r="D457" s="35" t="str">
        <f t="shared" si="216"/>
        <v>=</v>
      </c>
      <c r="E457" s="63">
        <f t="shared" si="217"/>
        <v>-1.0336403422823176E-4</v>
      </c>
      <c r="F457" s="72" t="str">
        <f t="shared" si="218"/>
        <v>rad</v>
      </c>
      <c r="G457" s="73" t="str">
        <f t="shared" si="219"/>
        <v>Giro nodal θ</v>
      </c>
    </row>
    <row r="458" spans="2:7" ht="18" customHeight="1" x14ac:dyDescent="0.3">
      <c r="B458" s="9" t="str">
        <f t="shared" si="214"/>
        <v>U7θ</v>
      </c>
      <c r="C458" s="7" t="str">
        <f t="shared" si="215"/>
        <v>D7θ</v>
      </c>
      <c r="D458" s="35" t="str">
        <f t="shared" si="216"/>
        <v>=</v>
      </c>
      <c r="E458" s="63">
        <f t="shared" si="217"/>
        <v>-1.5008165131621923E-4</v>
      </c>
      <c r="F458" s="72" t="str">
        <f t="shared" si="218"/>
        <v>rad</v>
      </c>
      <c r="G458" s="73" t="str">
        <f t="shared" si="219"/>
        <v>Giro nodal θ</v>
      </c>
    </row>
    <row r="459" spans="2:7" ht="18" customHeight="1" x14ac:dyDescent="0.3">
      <c r="B459" s="9" t="str">
        <f t="shared" si="214"/>
        <v/>
      </c>
      <c r="C459" s="7" t="str">
        <f t="shared" si="215"/>
        <v/>
      </c>
      <c r="D459" s="35" t="str">
        <f t="shared" si="216"/>
        <v/>
      </c>
      <c r="E459" s="63" t="str">
        <f t="shared" si="217"/>
        <v/>
      </c>
      <c r="F459" s="72" t="str">
        <f t="shared" si="218"/>
        <v/>
      </c>
      <c r="G459" s="73" t="str">
        <f t="shared" si="219"/>
        <v/>
      </c>
    </row>
    <row r="460" spans="2:7" ht="18" customHeight="1" x14ac:dyDescent="0.3">
      <c r="B460" s="9" t="str">
        <f t="shared" si="214"/>
        <v/>
      </c>
      <c r="C460" s="7" t="str">
        <f t="shared" si="215"/>
        <v/>
      </c>
      <c r="D460" s="35" t="str">
        <f t="shared" si="216"/>
        <v/>
      </c>
      <c r="E460" s="63" t="str">
        <f t="shared" si="217"/>
        <v/>
      </c>
      <c r="F460" s="72" t="str">
        <f t="shared" si="218"/>
        <v/>
      </c>
      <c r="G460" s="73" t="str">
        <f t="shared" si="219"/>
        <v/>
      </c>
    </row>
    <row r="461" spans="2:7" ht="18" customHeight="1" x14ac:dyDescent="0.3">
      <c r="B461" s="9" t="str">
        <f t="shared" si="214"/>
        <v/>
      </c>
      <c r="C461" s="7" t="str">
        <f t="shared" si="215"/>
        <v/>
      </c>
      <c r="D461" s="35" t="str">
        <f t="shared" si="216"/>
        <v/>
      </c>
      <c r="E461" s="63" t="str">
        <f t="shared" si="217"/>
        <v/>
      </c>
      <c r="F461" s="72" t="str">
        <f t="shared" si="218"/>
        <v/>
      </c>
      <c r="G461" s="73" t="str">
        <f t="shared" si="219"/>
        <v/>
      </c>
    </row>
    <row r="462" spans="2:7" ht="18" customHeight="1" x14ac:dyDescent="0.3">
      <c r="B462" s="9" t="str">
        <f t="shared" si="214"/>
        <v/>
      </c>
      <c r="C462" s="7" t="str">
        <f t="shared" si="215"/>
        <v/>
      </c>
      <c r="D462" s="35" t="str">
        <f t="shared" si="216"/>
        <v/>
      </c>
      <c r="E462" s="63" t="str">
        <f t="shared" si="217"/>
        <v/>
      </c>
      <c r="F462" s="72" t="str">
        <f t="shared" si="218"/>
        <v/>
      </c>
      <c r="G462" s="73" t="str">
        <f t="shared" si="219"/>
        <v/>
      </c>
    </row>
    <row r="463" spans="2:7" ht="18" customHeight="1" x14ac:dyDescent="0.3">
      <c r="B463" s="9" t="str">
        <f t="shared" si="214"/>
        <v/>
      </c>
      <c r="C463" s="7" t="str">
        <f t="shared" si="215"/>
        <v/>
      </c>
      <c r="D463" s="35" t="str">
        <f t="shared" si="216"/>
        <v/>
      </c>
      <c r="E463" s="63" t="str">
        <f t="shared" si="217"/>
        <v/>
      </c>
      <c r="F463" s="72" t="str">
        <f t="shared" si="218"/>
        <v/>
      </c>
      <c r="G463" s="73" t="str">
        <f t="shared" si="219"/>
        <v/>
      </c>
    </row>
    <row r="464" spans="2:7" ht="18" customHeight="1" x14ac:dyDescent="0.3">
      <c r="B464" s="9" t="str">
        <f t="shared" si="214"/>
        <v/>
      </c>
      <c r="C464" s="7" t="str">
        <f t="shared" si="215"/>
        <v/>
      </c>
      <c r="D464" s="35" t="str">
        <f t="shared" si="216"/>
        <v/>
      </c>
      <c r="E464" s="63" t="str">
        <f t="shared" si="217"/>
        <v/>
      </c>
      <c r="F464" s="72" t="str">
        <f t="shared" si="218"/>
        <v/>
      </c>
      <c r="G464" s="73" t="str">
        <f t="shared" si="219"/>
        <v/>
      </c>
    </row>
    <row r="465" spans="2:7" ht="18" customHeight="1" x14ac:dyDescent="0.3">
      <c r="B465" s="9" t="str">
        <f t="shared" si="214"/>
        <v/>
      </c>
      <c r="C465" s="7" t="str">
        <f t="shared" si="215"/>
        <v/>
      </c>
      <c r="D465" s="35" t="str">
        <f t="shared" si="216"/>
        <v/>
      </c>
      <c r="E465" s="63" t="str">
        <f t="shared" si="217"/>
        <v/>
      </c>
      <c r="F465" s="72" t="str">
        <f t="shared" si="218"/>
        <v/>
      </c>
      <c r="G465" s="73" t="str">
        <f t="shared" si="219"/>
        <v/>
      </c>
    </row>
    <row r="466" spans="2:7" ht="18" customHeight="1" x14ac:dyDescent="0.3">
      <c r="B466" s="9" t="str">
        <f t="shared" si="214"/>
        <v/>
      </c>
      <c r="C466" s="7" t="str">
        <f t="shared" si="215"/>
        <v/>
      </c>
      <c r="D466" s="35" t="str">
        <f t="shared" si="216"/>
        <v/>
      </c>
      <c r="E466" s="63" t="str">
        <f t="shared" si="217"/>
        <v/>
      </c>
      <c r="F466" s="72" t="str">
        <f t="shared" si="218"/>
        <v/>
      </c>
      <c r="G466" s="73" t="str">
        <f t="shared" si="219"/>
        <v/>
      </c>
    </row>
    <row r="467" spans="2:7" ht="18" customHeight="1" x14ac:dyDescent="0.3">
      <c r="B467" s="9" t="str">
        <f t="shared" si="214"/>
        <v/>
      </c>
      <c r="C467" s="7" t="str">
        <f t="shared" si="215"/>
        <v/>
      </c>
      <c r="D467" s="35" t="str">
        <f t="shared" si="216"/>
        <v/>
      </c>
      <c r="E467" s="63" t="str">
        <f t="shared" si="217"/>
        <v/>
      </c>
      <c r="F467" s="72" t="str">
        <f t="shared" si="218"/>
        <v/>
      </c>
      <c r="G467" s="73" t="str">
        <f t="shared" si="219"/>
        <v/>
      </c>
    </row>
    <row r="468" spans="2:7" ht="18" customHeight="1" x14ac:dyDescent="0.3">
      <c r="B468" s="9" t="str">
        <f t="shared" si="214"/>
        <v/>
      </c>
      <c r="C468" s="7" t="str">
        <f t="shared" si="215"/>
        <v/>
      </c>
      <c r="D468" s="35" t="str">
        <f t="shared" si="216"/>
        <v/>
      </c>
      <c r="E468" s="63" t="str">
        <f t="shared" si="217"/>
        <v/>
      </c>
      <c r="F468" s="72" t="str">
        <f t="shared" si="218"/>
        <v/>
      </c>
      <c r="G468" s="73" t="str">
        <f t="shared" si="219"/>
        <v/>
      </c>
    </row>
    <row r="469" spans="2:7" ht="18" customHeight="1" x14ac:dyDescent="0.3">
      <c r="B469" s="9" t="str">
        <f t="shared" si="214"/>
        <v/>
      </c>
      <c r="C469" s="7" t="str">
        <f t="shared" si="215"/>
        <v/>
      </c>
      <c r="D469" s="35" t="str">
        <f t="shared" si="216"/>
        <v/>
      </c>
      <c r="E469" s="63" t="str">
        <f t="shared" si="217"/>
        <v/>
      </c>
      <c r="F469" s="72" t="str">
        <f t="shared" si="218"/>
        <v/>
      </c>
      <c r="G469" s="73" t="str">
        <f t="shared" si="219"/>
        <v/>
      </c>
    </row>
    <row r="470" spans="2:7" ht="18" customHeight="1" x14ac:dyDescent="0.3">
      <c r="B470" s="9" t="str">
        <f t="shared" si="214"/>
        <v/>
      </c>
      <c r="C470" s="7" t="str">
        <f t="shared" si="215"/>
        <v/>
      </c>
      <c r="D470" s="35" t="str">
        <f t="shared" si="216"/>
        <v/>
      </c>
      <c r="E470" s="63" t="str">
        <f t="shared" si="217"/>
        <v/>
      </c>
      <c r="F470" s="72" t="str">
        <f t="shared" si="218"/>
        <v/>
      </c>
      <c r="G470" s="73" t="str">
        <f t="shared" si="219"/>
        <v/>
      </c>
    </row>
    <row r="471" spans="2:7" ht="18" customHeight="1" x14ac:dyDescent="0.3">
      <c r="B471" s="9" t="str">
        <f t="shared" si="214"/>
        <v/>
      </c>
      <c r="C471" s="7" t="str">
        <f t="shared" si="215"/>
        <v/>
      </c>
      <c r="D471" s="35" t="str">
        <f t="shared" si="216"/>
        <v/>
      </c>
      <c r="E471" s="63" t="str">
        <f t="shared" si="217"/>
        <v/>
      </c>
      <c r="F471" s="72" t="str">
        <f t="shared" si="218"/>
        <v/>
      </c>
      <c r="G471" s="73" t="str">
        <f t="shared" si="219"/>
        <v/>
      </c>
    </row>
    <row r="472" spans="2:7" ht="18" customHeight="1" x14ac:dyDescent="0.3">
      <c r="B472" s="9" t="str">
        <f t="shared" si="214"/>
        <v/>
      </c>
      <c r="C472" s="7" t="str">
        <f t="shared" si="215"/>
        <v/>
      </c>
      <c r="D472" s="35" t="str">
        <f t="shared" si="216"/>
        <v/>
      </c>
      <c r="E472" s="63" t="str">
        <f t="shared" si="217"/>
        <v/>
      </c>
      <c r="F472" s="72" t="str">
        <f t="shared" si="218"/>
        <v/>
      </c>
      <c r="G472" s="73" t="str">
        <f t="shared" si="219"/>
        <v/>
      </c>
    </row>
    <row r="473" spans="2:7" ht="18" customHeight="1" x14ac:dyDescent="0.3">
      <c r="B473" s="9" t="str">
        <f t="shared" si="214"/>
        <v/>
      </c>
      <c r="C473" s="7" t="str">
        <f t="shared" si="215"/>
        <v/>
      </c>
      <c r="D473" s="35" t="str">
        <f t="shared" si="216"/>
        <v/>
      </c>
      <c r="E473" s="63" t="str">
        <f t="shared" si="217"/>
        <v/>
      </c>
      <c r="F473" s="72" t="str">
        <f t="shared" si="218"/>
        <v/>
      </c>
      <c r="G473" s="73" t="str">
        <f t="shared" si="219"/>
        <v/>
      </c>
    </row>
    <row r="474" spans="2:7" ht="18" customHeight="1" x14ac:dyDescent="0.3">
      <c r="B474" s="9" t="str">
        <f t="shared" si="214"/>
        <v/>
      </c>
      <c r="C474" s="7" t="str">
        <f t="shared" si="215"/>
        <v/>
      </c>
      <c r="D474" s="35" t="str">
        <f t="shared" si="216"/>
        <v/>
      </c>
      <c r="E474" s="63" t="str">
        <f t="shared" si="217"/>
        <v/>
      </c>
      <c r="F474" s="72" t="str">
        <f t="shared" si="218"/>
        <v/>
      </c>
      <c r="G474" s="73" t="str">
        <f t="shared" si="219"/>
        <v/>
      </c>
    </row>
    <row r="475" spans="2:7" ht="18" customHeight="1" x14ac:dyDescent="0.3">
      <c r="B475" s="9" t="str">
        <f t="shared" si="214"/>
        <v/>
      </c>
      <c r="C475" s="7" t="str">
        <f t="shared" si="215"/>
        <v/>
      </c>
      <c r="D475" s="35" t="str">
        <f t="shared" si="216"/>
        <v/>
      </c>
      <c r="E475" s="63" t="str">
        <f t="shared" si="217"/>
        <v/>
      </c>
      <c r="F475" s="72" t="str">
        <f t="shared" si="218"/>
        <v/>
      </c>
      <c r="G475" s="73" t="str">
        <f t="shared" si="219"/>
        <v/>
      </c>
    </row>
    <row r="476" spans="2:7" ht="18" customHeight="1" x14ac:dyDescent="0.3">
      <c r="B476" s="9" t="str">
        <f t="shared" si="214"/>
        <v/>
      </c>
      <c r="C476" s="7" t="str">
        <f t="shared" si="215"/>
        <v/>
      </c>
      <c r="D476" s="35" t="str">
        <f t="shared" si="216"/>
        <v/>
      </c>
      <c r="E476" s="63" t="str">
        <f t="shared" si="217"/>
        <v/>
      </c>
      <c r="F476" s="72" t="str">
        <f t="shared" si="218"/>
        <v/>
      </c>
      <c r="G476" s="73" t="str">
        <f t="shared" si="219"/>
        <v/>
      </c>
    </row>
    <row r="477" spans="2:7" ht="18" customHeight="1" x14ac:dyDescent="0.3">
      <c r="B477" s="9" t="str">
        <f t="shared" si="214"/>
        <v/>
      </c>
      <c r="C477" s="7" t="str">
        <f t="shared" si="215"/>
        <v/>
      </c>
      <c r="D477" s="35" t="str">
        <f t="shared" si="216"/>
        <v/>
      </c>
      <c r="E477" s="63" t="str">
        <f t="shared" si="217"/>
        <v/>
      </c>
      <c r="F477" s="72" t="str">
        <f t="shared" si="218"/>
        <v/>
      </c>
      <c r="G477" s="73" t="str">
        <f t="shared" si="219"/>
        <v/>
      </c>
    </row>
    <row r="478" spans="2:7" ht="18" customHeight="1" x14ac:dyDescent="0.3">
      <c r="B478" s="9" t="str">
        <f t="shared" si="214"/>
        <v/>
      </c>
      <c r="C478" s="7" t="str">
        <f t="shared" si="215"/>
        <v/>
      </c>
      <c r="D478" s="35" t="str">
        <f t="shared" si="216"/>
        <v/>
      </c>
      <c r="E478" s="63" t="str">
        <f t="shared" si="217"/>
        <v/>
      </c>
      <c r="F478" s="72" t="str">
        <f t="shared" si="218"/>
        <v/>
      </c>
      <c r="G478" s="73" t="str">
        <f t="shared" si="219"/>
        <v/>
      </c>
    </row>
    <row r="479" spans="2:7" ht="18" customHeight="1" x14ac:dyDescent="0.3">
      <c r="B479" s="9" t="str">
        <f t="shared" si="214"/>
        <v/>
      </c>
      <c r="C479" s="7" t="str">
        <f t="shared" si="215"/>
        <v/>
      </c>
      <c r="D479" s="35" t="str">
        <f t="shared" si="216"/>
        <v/>
      </c>
      <c r="E479" s="63" t="str">
        <f t="shared" si="217"/>
        <v/>
      </c>
      <c r="F479" s="72" t="str">
        <f t="shared" si="218"/>
        <v/>
      </c>
      <c r="G479" s="73" t="str">
        <f t="shared" si="219"/>
        <v/>
      </c>
    </row>
    <row r="480" spans="2:7" ht="18" customHeight="1" x14ac:dyDescent="0.3">
      <c r="B480" s="9" t="str">
        <f t="shared" si="214"/>
        <v/>
      </c>
      <c r="C480" s="7" t="str">
        <f t="shared" si="215"/>
        <v/>
      </c>
      <c r="D480" s="35" t="str">
        <f t="shared" si="216"/>
        <v/>
      </c>
      <c r="E480" s="63" t="str">
        <f t="shared" si="217"/>
        <v/>
      </c>
      <c r="F480" s="72" t="str">
        <f t="shared" si="218"/>
        <v/>
      </c>
      <c r="G480" s="73" t="str">
        <f t="shared" si="219"/>
        <v/>
      </c>
    </row>
    <row r="483" spans="2:43" ht="22.05" customHeight="1" thickBot="1" x14ac:dyDescent="0.35">
      <c r="B483" s="1" t="s">
        <v>202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2:43" ht="15" thickBot="1" x14ac:dyDescent="0.35">
      <c r="B484" s="6" t="s">
        <v>123</v>
      </c>
      <c r="C484" s="6" t="s">
        <v>203</v>
      </c>
      <c r="D484" s="6" t="s">
        <v>190</v>
      </c>
      <c r="E484" s="6" t="str">
        <f t="shared" ref="E484:AN484" si="220">E364</f>
        <v>U1θ</v>
      </c>
      <c r="F484" s="6" t="str">
        <f t="shared" si="220"/>
        <v>U2X</v>
      </c>
      <c r="G484" s="6" t="str">
        <f t="shared" si="220"/>
        <v>U2Y</v>
      </c>
      <c r="H484" s="6" t="str">
        <f t="shared" si="220"/>
        <v>U2θ</v>
      </c>
      <c r="I484" s="6" t="str">
        <f t="shared" si="220"/>
        <v>U3X</v>
      </c>
      <c r="J484" s="6" t="str">
        <f t="shared" si="220"/>
        <v>U3θ</v>
      </c>
      <c r="K484" s="6" t="str">
        <f t="shared" si="220"/>
        <v>U4X</v>
      </c>
      <c r="L484" s="6" t="str">
        <f t="shared" si="220"/>
        <v>U4Y</v>
      </c>
      <c r="M484" s="6" t="str">
        <f t="shared" si="220"/>
        <v>U4θ</v>
      </c>
      <c r="N484" s="6" t="str">
        <f t="shared" si="220"/>
        <v>U5θ</v>
      </c>
      <c r="O484" s="6" t="str">
        <f t="shared" si="220"/>
        <v>U6X</v>
      </c>
      <c r="P484" s="6" t="str">
        <f t="shared" si="220"/>
        <v>U6Y</v>
      </c>
      <c r="Q484" s="6" t="str">
        <f t="shared" si="220"/>
        <v>U6θ</v>
      </c>
      <c r="R484" s="6" t="str">
        <f t="shared" si="220"/>
        <v>U7θ</v>
      </c>
      <c r="S484" s="6" t="str">
        <f t="shared" si="220"/>
        <v/>
      </c>
      <c r="T484" s="6" t="str">
        <f t="shared" si="220"/>
        <v/>
      </c>
      <c r="U484" s="6" t="str">
        <f t="shared" si="220"/>
        <v/>
      </c>
      <c r="V484" s="6" t="str">
        <f t="shared" si="220"/>
        <v/>
      </c>
      <c r="W484" s="6" t="str">
        <f t="shared" si="220"/>
        <v/>
      </c>
      <c r="X484" s="6" t="str">
        <f t="shared" si="220"/>
        <v/>
      </c>
      <c r="Y484" s="6" t="str">
        <f t="shared" si="220"/>
        <v/>
      </c>
      <c r="Z484" s="6" t="str">
        <f t="shared" si="220"/>
        <v/>
      </c>
      <c r="AA484" s="6" t="str">
        <f t="shared" si="220"/>
        <v/>
      </c>
      <c r="AB484" s="6" t="str">
        <f t="shared" si="220"/>
        <v/>
      </c>
      <c r="AC484" s="6" t="str">
        <f t="shared" si="220"/>
        <v/>
      </c>
      <c r="AD484" s="6" t="str">
        <f t="shared" si="220"/>
        <v/>
      </c>
      <c r="AE484" s="6" t="str">
        <f t="shared" si="220"/>
        <v/>
      </c>
      <c r="AF484" s="6" t="str">
        <f t="shared" si="220"/>
        <v/>
      </c>
      <c r="AG484" s="6" t="str">
        <f t="shared" si="220"/>
        <v/>
      </c>
      <c r="AH484" s="6" t="str">
        <f t="shared" si="220"/>
        <v/>
      </c>
      <c r="AI484" s="6" t="str">
        <f t="shared" si="220"/>
        <v/>
      </c>
      <c r="AJ484" s="6" t="str">
        <f t="shared" si="220"/>
        <v/>
      </c>
      <c r="AK484" s="6" t="str">
        <f t="shared" si="220"/>
        <v/>
      </c>
      <c r="AL484" s="6" t="str">
        <f t="shared" si="220"/>
        <v/>
      </c>
      <c r="AM484" s="6" t="str">
        <f t="shared" si="220"/>
        <v/>
      </c>
      <c r="AN484" s="6" t="str">
        <f t="shared" si="220"/>
        <v/>
      </c>
      <c r="AO484" s="6" t="s">
        <v>191</v>
      </c>
      <c r="AP484" s="6" t="s">
        <v>195</v>
      </c>
    </row>
    <row r="485" spans="2:43" ht="18" customHeight="1" x14ac:dyDescent="0.3">
      <c r="B485" s="42" t="str">
        <f t="shared" ref="B485:B520" si="221">IF($AQ485="","",INDEX($C$285:$C$320,$AQ485))</f>
        <v>U1X</v>
      </c>
      <c r="C485" s="65" t="str">
        <f t="shared" ref="C485:C520" si="222">IF($AQ485="","",INDEX($G$285:$G$320,$AQ485))</f>
        <v>R_U1X</v>
      </c>
      <c r="D485" s="67" t="str">
        <f t="shared" ref="D485:D520" si="223">IF($AQ485="","","=")</f>
        <v>=</v>
      </c>
      <c r="E485" s="41">
        <f t="shared" ref="E485:T500" si="224">IF(OR($AQ485="",E$362=""),"",INDEX($C$245:$AL$280,$AQ485,E$362))</f>
        <v>0</v>
      </c>
      <c r="F485" s="41">
        <f t="shared" si="224"/>
        <v>-1687500</v>
      </c>
      <c r="G485" s="41">
        <f t="shared" si="224"/>
        <v>0</v>
      </c>
      <c r="H485" s="41">
        <f t="shared" si="224"/>
        <v>0</v>
      </c>
      <c r="I485" s="41">
        <f t="shared" si="224"/>
        <v>0</v>
      </c>
      <c r="J485" s="41">
        <f t="shared" si="224"/>
        <v>0</v>
      </c>
      <c r="K485" s="41">
        <f t="shared" si="224"/>
        <v>0</v>
      </c>
      <c r="L485" s="41">
        <f t="shared" si="224"/>
        <v>0</v>
      </c>
      <c r="M485" s="41">
        <f t="shared" si="224"/>
        <v>0</v>
      </c>
      <c r="N485" s="41">
        <f t="shared" si="224"/>
        <v>0</v>
      </c>
      <c r="O485" s="41">
        <f t="shared" si="224"/>
        <v>0</v>
      </c>
      <c r="P485" s="41">
        <f t="shared" si="224"/>
        <v>0</v>
      </c>
      <c r="Q485" s="41">
        <f t="shared" si="224"/>
        <v>0</v>
      </c>
      <c r="R485" s="41">
        <f t="shared" si="224"/>
        <v>0</v>
      </c>
      <c r="S485" s="41" t="str">
        <f t="shared" si="224"/>
        <v/>
      </c>
      <c r="T485" s="41" t="str">
        <f t="shared" si="224"/>
        <v/>
      </c>
      <c r="U485" s="41" t="str">
        <f t="shared" ref="U485:AJ500" si="225">IF(OR($AQ485="",U$362=""),"",INDEX($C$245:$AL$280,$AQ485,U$362))</f>
        <v/>
      </c>
      <c r="V485" s="41" t="str">
        <f t="shared" si="225"/>
        <v/>
      </c>
      <c r="W485" s="41" t="str">
        <f t="shared" si="225"/>
        <v/>
      </c>
      <c r="X485" s="41" t="str">
        <f t="shared" si="225"/>
        <v/>
      </c>
      <c r="Y485" s="41" t="str">
        <f t="shared" si="225"/>
        <v/>
      </c>
      <c r="Z485" s="41" t="str">
        <f t="shared" si="225"/>
        <v/>
      </c>
      <c r="AA485" s="41" t="str">
        <f t="shared" si="225"/>
        <v/>
      </c>
      <c r="AB485" s="41" t="str">
        <f t="shared" si="225"/>
        <v/>
      </c>
      <c r="AC485" s="41" t="str">
        <f t="shared" si="225"/>
        <v/>
      </c>
      <c r="AD485" s="41" t="str">
        <f t="shared" si="225"/>
        <v/>
      </c>
      <c r="AE485" s="41" t="str">
        <f t="shared" si="225"/>
        <v/>
      </c>
      <c r="AF485" s="41" t="str">
        <f t="shared" si="225"/>
        <v/>
      </c>
      <c r="AG485" s="41" t="str">
        <f t="shared" si="225"/>
        <v/>
      </c>
      <c r="AH485" s="41" t="str">
        <f t="shared" si="225"/>
        <v/>
      </c>
      <c r="AI485" s="41" t="str">
        <f t="shared" si="225"/>
        <v/>
      </c>
      <c r="AJ485" s="41" t="str">
        <f t="shared" si="225"/>
        <v/>
      </c>
      <c r="AK485" s="41" t="str">
        <f t="shared" ref="AI485:AP500" si="226">IF(OR($AQ485="",AK$362=""),"",INDEX($C$245:$AL$280,$AQ485,AK$362))</f>
        <v/>
      </c>
      <c r="AL485" s="41" t="str">
        <f t="shared" si="226"/>
        <v/>
      </c>
      <c r="AM485" s="41" t="str">
        <f t="shared" si="226"/>
        <v/>
      </c>
      <c r="AN485" s="41" t="str">
        <f t="shared" si="226"/>
        <v/>
      </c>
      <c r="AO485" s="67" t="str">
        <f t="shared" ref="AO485:AO520" si="227">IF($AQ485="","","*")</f>
        <v>*</v>
      </c>
      <c r="AP485" s="74">
        <f t="shared" ref="AP485:AP520" si="228">E445</f>
        <v>1.0702201319485239E-5</v>
      </c>
      <c r="AQ485">
        <f>IFERROR(MATCH(1,$S$285:$S$320,0),"")</f>
        <v>1</v>
      </c>
    </row>
    <row r="486" spans="2:43" ht="18" customHeight="1" x14ac:dyDescent="0.3">
      <c r="B486" s="42" t="str">
        <f t="shared" si="221"/>
        <v>U1Y</v>
      </c>
      <c r="C486" s="65" t="str">
        <f t="shared" si="222"/>
        <v>R_U1Y</v>
      </c>
      <c r="D486" s="67" t="str">
        <f t="shared" si="223"/>
        <v>=</v>
      </c>
      <c r="E486" s="41">
        <f t="shared" si="224"/>
        <v>8542968.75</v>
      </c>
      <c r="F486" s="41">
        <f t="shared" si="224"/>
        <v>0</v>
      </c>
      <c r="G486" s="41">
        <f t="shared" si="224"/>
        <v>-85429.6875</v>
      </c>
      <c r="H486" s="41">
        <f t="shared" si="224"/>
        <v>8542968.75</v>
      </c>
      <c r="I486" s="41">
        <f t="shared" si="224"/>
        <v>0</v>
      </c>
      <c r="J486" s="41">
        <f t="shared" si="224"/>
        <v>0</v>
      </c>
      <c r="K486" s="41">
        <f t="shared" si="224"/>
        <v>0</v>
      </c>
      <c r="L486" s="41">
        <f t="shared" si="224"/>
        <v>0</v>
      </c>
      <c r="M486" s="41">
        <f t="shared" si="224"/>
        <v>0</v>
      </c>
      <c r="N486" s="41">
        <f t="shared" si="224"/>
        <v>0</v>
      </c>
      <c r="O486" s="41">
        <f t="shared" si="224"/>
        <v>0</v>
      </c>
      <c r="P486" s="41">
        <f t="shared" si="224"/>
        <v>0</v>
      </c>
      <c r="Q486" s="41">
        <f t="shared" si="224"/>
        <v>0</v>
      </c>
      <c r="R486" s="41">
        <f t="shared" si="224"/>
        <v>0</v>
      </c>
      <c r="S486" s="41" t="str">
        <f t="shared" si="224"/>
        <v/>
      </c>
      <c r="T486" s="41" t="str">
        <f t="shared" si="224"/>
        <v/>
      </c>
      <c r="U486" s="41" t="str">
        <f t="shared" si="225"/>
        <v/>
      </c>
      <c r="V486" s="41" t="str">
        <f t="shared" si="225"/>
        <v/>
      </c>
      <c r="W486" s="41" t="str">
        <f t="shared" si="225"/>
        <v/>
      </c>
      <c r="X486" s="41" t="str">
        <f t="shared" si="225"/>
        <v/>
      </c>
      <c r="Y486" s="41" t="str">
        <f t="shared" si="225"/>
        <v/>
      </c>
      <c r="Z486" s="41" t="str">
        <f t="shared" si="225"/>
        <v/>
      </c>
      <c r="AA486" s="41" t="str">
        <f t="shared" si="225"/>
        <v/>
      </c>
      <c r="AB486" s="41" t="str">
        <f t="shared" si="225"/>
        <v/>
      </c>
      <c r="AC486" s="41" t="str">
        <f t="shared" si="225"/>
        <v/>
      </c>
      <c r="AD486" s="41" t="str">
        <f t="shared" si="225"/>
        <v/>
      </c>
      <c r="AE486" s="41" t="str">
        <f t="shared" si="225"/>
        <v/>
      </c>
      <c r="AF486" s="41" t="str">
        <f t="shared" si="225"/>
        <v/>
      </c>
      <c r="AG486" s="41" t="str">
        <f t="shared" si="225"/>
        <v/>
      </c>
      <c r="AH486" s="41" t="str">
        <f t="shared" si="225"/>
        <v/>
      </c>
      <c r="AI486" s="41" t="str">
        <f t="shared" si="226"/>
        <v/>
      </c>
      <c r="AJ486" s="41" t="str">
        <f t="shared" si="226"/>
        <v/>
      </c>
      <c r="AK486" s="41" t="str">
        <f t="shared" si="226"/>
        <v/>
      </c>
      <c r="AL486" s="41" t="str">
        <f t="shared" si="226"/>
        <v/>
      </c>
      <c r="AM486" s="41" t="str">
        <f t="shared" si="226"/>
        <v/>
      </c>
      <c r="AN486" s="41" t="str">
        <f t="shared" si="226"/>
        <v/>
      </c>
      <c r="AO486" s="67" t="str">
        <f t="shared" si="227"/>
        <v>*</v>
      </c>
      <c r="AP486" s="74">
        <f t="shared" si="228"/>
        <v>-2.9629629629629624E-4</v>
      </c>
      <c r="AQ486">
        <f>IFERROR(MATCH(2,$S$285:$S$320,0),"")</f>
        <v>2</v>
      </c>
    </row>
    <row r="487" spans="2:43" ht="18" customHeight="1" x14ac:dyDescent="0.3">
      <c r="B487" s="42" t="str">
        <f t="shared" si="221"/>
        <v>U3Y</v>
      </c>
      <c r="C487" s="65" t="str">
        <f t="shared" si="222"/>
        <v>R_U3Y</v>
      </c>
      <c r="D487" s="67" t="str">
        <f t="shared" si="223"/>
        <v>=</v>
      </c>
      <c r="E487" s="41">
        <f t="shared" si="224"/>
        <v>0</v>
      </c>
      <c r="F487" s="41">
        <f t="shared" si="224"/>
        <v>0</v>
      </c>
      <c r="G487" s="41">
        <f t="shared" si="224"/>
        <v>-85429.6875</v>
      </c>
      <c r="H487" s="41">
        <f t="shared" si="224"/>
        <v>-8542968.75</v>
      </c>
      <c r="I487" s="41">
        <f t="shared" si="224"/>
        <v>0</v>
      </c>
      <c r="J487" s="41">
        <f t="shared" si="224"/>
        <v>-6407226.5625</v>
      </c>
      <c r="K487" s="41">
        <f t="shared" si="224"/>
        <v>0</v>
      </c>
      <c r="L487" s="41">
        <f t="shared" si="224"/>
        <v>-10678.7109375</v>
      </c>
      <c r="M487" s="41">
        <f t="shared" si="224"/>
        <v>2135742.1875</v>
      </c>
      <c r="N487" s="41">
        <f t="shared" si="224"/>
        <v>0</v>
      </c>
      <c r="O487" s="41">
        <f t="shared" si="224"/>
        <v>0</v>
      </c>
      <c r="P487" s="41">
        <f t="shared" si="224"/>
        <v>0</v>
      </c>
      <c r="Q487" s="41">
        <f t="shared" si="224"/>
        <v>0</v>
      </c>
      <c r="R487" s="41">
        <f t="shared" si="224"/>
        <v>0</v>
      </c>
      <c r="S487" s="41" t="str">
        <f t="shared" si="224"/>
        <v/>
      </c>
      <c r="T487" s="41" t="str">
        <f t="shared" si="224"/>
        <v/>
      </c>
      <c r="U487" s="41" t="str">
        <f t="shared" si="225"/>
        <v/>
      </c>
      <c r="V487" s="41" t="str">
        <f t="shared" si="225"/>
        <v/>
      </c>
      <c r="W487" s="41" t="str">
        <f t="shared" si="225"/>
        <v/>
      </c>
      <c r="X487" s="41" t="str">
        <f t="shared" si="225"/>
        <v/>
      </c>
      <c r="Y487" s="41" t="str">
        <f t="shared" si="225"/>
        <v/>
      </c>
      <c r="Z487" s="41" t="str">
        <f t="shared" si="225"/>
        <v/>
      </c>
      <c r="AA487" s="41" t="str">
        <f t="shared" si="225"/>
        <v/>
      </c>
      <c r="AB487" s="41" t="str">
        <f t="shared" si="225"/>
        <v/>
      </c>
      <c r="AC487" s="41" t="str">
        <f t="shared" si="225"/>
        <v/>
      </c>
      <c r="AD487" s="41" t="str">
        <f t="shared" si="225"/>
        <v/>
      </c>
      <c r="AE487" s="41" t="str">
        <f t="shared" si="225"/>
        <v/>
      </c>
      <c r="AF487" s="41" t="str">
        <f t="shared" si="225"/>
        <v/>
      </c>
      <c r="AG487" s="41" t="str">
        <f t="shared" si="225"/>
        <v/>
      </c>
      <c r="AH487" s="41" t="str">
        <f t="shared" si="225"/>
        <v/>
      </c>
      <c r="AI487" s="41" t="str">
        <f t="shared" si="226"/>
        <v/>
      </c>
      <c r="AJ487" s="41" t="str">
        <f t="shared" si="226"/>
        <v/>
      </c>
      <c r="AK487" s="41" t="str">
        <f t="shared" si="226"/>
        <v/>
      </c>
      <c r="AL487" s="41" t="str">
        <f t="shared" si="226"/>
        <v/>
      </c>
      <c r="AM487" s="41" t="str">
        <f t="shared" si="226"/>
        <v/>
      </c>
      <c r="AN487" s="41" t="str">
        <f t="shared" si="226"/>
        <v/>
      </c>
      <c r="AO487" s="67" t="str">
        <f t="shared" si="227"/>
        <v>*</v>
      </c>
      <c r="AP487" s="74">
        <f t="shared" si="228"/>
        <v>5.1169900058788895E-3</v>
      </c>
      <c r="AQ487">
        <f>IFERROR(MATCH(3,$S$285:$S$320,0),"")</f>
        <v>8</v>
      </c>
    </row>
    <row r="488" spans="2:43" ht="18" customHeight="1" x14ac:dyDescent="0.3">
      <c r="B488" s="42" t="str">
        <f t="shared" si="221"/>
        <v>U5X</v>
      </c>
      <c r="C488" s="65" t="str">
        <f t="shared" si="222"/>
        <v>R_U5X</v>
      </c>
      <c r="D488" s="67" t="str">
        <f t="shared" si="223"/>
        <v>=</v>
      </c>
      <c r="E488" s="41">
        <f t="shared" si="224"/>
        <v>0</v>
      </c>
      <c r="F488" s="41">
        <f t="shared" si="224"/>
        <v>0</v>
      </c>
      <c r="G488" s="41">
        <f t="shared" si="224"/>
        <v>0</v>
      </c>
      <c r="H488" s="41">
        <f t="shared" si="224"/>
        <v>0</v>
      </c>
      <c r="I488" s="41">
        <f t="shared" si="224"/>
        <v>0</v>
      </c>
      <c r="J488" s="41">
        <f t="shared" si="224"/>
        <v>0</v>
      </c>
      <c r="K488" s="41">
        <f t="shared" si="224"/>
        <v>-843750</v>
      </c>
      <c r="L488" s="41">
        <f t="shared" si="224"/>
        <v>0</v>
      </c>
      <c r="M488" s="41">
        <f t="shared" si="224"/>
        <v>0</v>
      </c>
      <c r="N488" s="41">
        <f t="shared" si="224"/>
        <v>0</v>
      </c>
      <c r="O488" s="41">
        <f t="shared" si="224"/>
        <v>-1350000</v>
      </c>
      <c r="P488" s="41">
        <f t="shared" si="224"/>
        <v>0</v>
      </c>
      <c r="Q488" s="41">
        <f t="shared" si="224"/>
        <v>0</v>
      </c>
      <c r="R488" s="41">
        <f t="shared" si="224"/>
        <v>0</v>
      </c>
      <c r="S488" s="41" t="str">
        <f t="shared" si="224"/>
        <v/>
      </c>
      <c r="T488" s="41" t="str">
        <f t="shared" si="224"/>
        <v/>
      </c>
      <c r="U488" s="41" t="str">
        <f t="shared" si="225"/>
        <v/>
      </c>
      <c r="V488" s="41" t="str">
        <f t="shared" si="225"/>
        <v/>
      </c>
      <c r="W488" s="41" t="str">
        <f t="shared" si="225"/>
        <v/>
      </c>
      <c r="X488" s="41" t="str">
        <f t="shared" si="225"/>
        <v/>
      </c>
      <c r="Y488" s="41" t="str">
        <f t="shared" si="225"/>
        <v/>
      </c>
      <c r="Z488" s="41" t="str">
        <f t="shared" si="225"/>
        <v/>
      </c>
      <c r="AA488" s="41" t="str">
        <f t="shared" si="225"/>
        <v/>
      </c>
      <c r="AB488" s="41" t="str">
        <f t="shared" si="225"/>
        <v/>
      </c>
      <c r="AC488" s="41" t="str">
        <f t="shared" si="225"/>
        <v/>
      </c>
      <c r="AD488" s="41" t="str">
        <f t="shared" si="225"/>
        <v/>
      </c>
      <c r="AE488" s="41" t="str">
        <f t="shared" si="225"/>
        <v/>
      </c>
      <c r="AF488" s="41" t="str">
        <f t="shared" si="225"/>
        <v/>
      </c>
      <c r="AG488" s="41" t="str">
        <f t="shared" si="225"/>
        <v/>
      </c>
      <c r="AH488" s="41" t="str">
        <f t="shared" si="225"/>
        <v/>
      </c>
      <c r="AI488" s="41" t="str">
        <f t="shared" si="226"/>
        <v/>
      </c>
      <c r="AJ488" s="41" t="str">
        <f t="shared" si="226"/>
        <v/>
      </c>
      <c r="AK488" s="41" t="str">
        <f t="shared" si="226"/>
        <v/>
      </c>
      <c r="AL488" s="41" t="str">
        <f t="shared" si="226"/>
        <v/>
      </c>
      <c r="AM488" s="41" t="str">
        <f t="shared" si="226"/>
        <v/>
      </c>
      <c r="AN488" s="41" t="str">
        <f t="shared" si="226"/>
        <v/>
      </c>
      <c r="AO488" s="67" t="str">
        <f t="shared" si="227"/>
        <v>*</v>
      </c>
      <c r="AP488" s="74">
        <f t="shared" si="228"/>
        <v>5.5350447449212905E-5</v>
      </c>
      <c r="AQ488">
        <f>IFERROR(MATCH(4,$S$285:$S$320,0),"")</f>
        <v>13</v>
      </c>
    </row>
    <row r="489" spans="2:43" ht="18" customHeight="1" x14ac:dyDescent="0.3">
      <c r="B489" s="42" t="str">
        <f t="shared" si="221"/>
        <v>U5Y</v>
      </c>
      <c r="C489" s="65" t="str">
        <f t="shared" si="222"/>
        <v>R_U5Y</v>
      </c>
      <c r="D489" s="67" t="str">
        <f t="shared" si="223"/>
        <v>=</v>
      </c>
      <c r="E489" s="41">
        <f t="shared" si="224"/>
        <v>0</v>
      </c>
      <c r="F489" s="41">
        <f t="shared" si="224"/>
        <v>0</v>
      </c>
      <c r="G489" s="41">
        <f t="shared" si="224"/>
        <v>0</v>
      </c>
      <c r="H489" s="41">
        <f t="shared" si="224"/>
        <v>0</v>
      </c>
      <c r="I489" s="41">
        <f t="shared" si="224"/>
        <v>0</v>
      </c>
      <c r="J489" s="41">
        <f t="shared" si="224"/>
        <v>0</v>
      </c>
      <c r="K489" s="41">
        <f t="shared" si="224"/>
        <v>0</v>
      </c>
      <c r="L489" s="41">
        <f t="shared" si="224"/>
        <v>-10678.7109375</v>
      </c>
      <c r="M489" s="41">
        <f t="shared" si="224"/>
        <v>-2135742.1875</v>
      </c>
      <c r="N489" s="41">
        <f t="shared" si="224"/>
        <v>3331757.8125</v>
      </c>
      <c r="O489" s="41">
        <f t="shared" si="224"/>
        <v>0</v>
      </c>
      <c r="P489" s="41">
        <f t="shared" si="224"/>
        <v>-43740</v>
      </c>
      <c r="Q489" s="41">
        <f t="shared" si="224"/>
        <v>5467500</v>
      </c>
      <c r="R489" s="41">
        <f t="shared" si="224"/>
        <v>0</v>
      </c>
      <c r="S489" s="41" t="str">
        <f t="shared" si="224"/>
        <v/>
      </c>
      <c r="T489" s="41" t="str">
        <f t="shared" si="224"/>
        <v/>
      </c>
      <c r="U489" s="41" t="str">
        <f t="shared" si="225"/>
        <v/>
      </c>
      <c r="V489" s="41" t="str">
        <f t="shared" si="225"/>
        <v/>
      </c>
      <c r="W489" s="41" t="str">
        <f t="shared" si="225"/>
        <v/>
      </c>
      <c r="X489" s="41" t="str">
        <f t="shared" si="225"/>
        <v/>
      </c>
      <c r="Y489" s="41" t="str">
        <f t="shared" si="225"/>
        <v/>
      </c>
      <c r="Z489" s="41" t="str">
        <f t="shared" si="225"/>
        <v/>
      </c>
      <c r="AA489" s="41" t="str">
        <f t="shared" si="225"/>
        <v/>
      </c>
      <c r="AB489" s="41" t="str">
        <f t="shared" si="225"/>
        <v/>
      </c>
      <c r="AC489" s="41" t="str">
        <f t="shared" si="225"/>
        <v/>
      </c>
      <c r="AD489" s="41" t="str">
        <f t="shared" si="225"/>
        <v/>
      </c>
      <c r="AE489" s="41" t="str">
        <f t="shared" si="225"/>
        <v/>
      </c>
      <c r="AF489" s="41" t="str">
        <f t="shared" si="225"/>
        <v/>
      </c>
      <c r="AG489" s="41" t="str">
        <f t="shared" si="225"/>
        <v/>
      </c>
      <c r="AH489" s="41" t="str">
        <f t="shared" si="225"/>
        <v/>
      </c>
      <c r="AI489" s="41" t="str">
        <f t="shared" si="226"/>
        <v/>
      </c>
      <c r="AJ489" s="41" t="str">
        <f t="shared" si="226"/>
        <v/>
      </c>
      <c r="AK489" s="41" t="str">
        <f t="shared" si="226"/>
        <v/>
      </c>
      <c r="AL489" s="41" t="str">
        <f t="shared" si="226"/>
        <v/>
      </c>
      <c r="AM489" s="41" t="str">
        <f t="shared" si="226"/>
        <v/>
      </c>
      <c r="AN489" s="41" t="str">
        <f t="shared" si="226"/>
        <v/>
      </c>
      <c r="AO489" s="67" t="str">
        <f t="shared" si="227"/>
        <v>*</v>
      </c>
      <c r="AP489" s="74">
        <f t="shared" si="228"/>
        <v>-5.9259259259259248E-4</v>
      </c>
      <c r="AQ489">
        <f>IFERROR(MATCH(5,$S$285:$S$320,0),"")</f>
        <v>14</v>
      </c>
    </row>
    <row r="490" spans="2:43" ht="18" customHeight="1" x14ac:dyDescent="0.3">
      <c r="B490" s="42" t="str">
        <f t="shared" si="221"/>
        <v>U7X</v>
      </c>
      <c r="C490" s="65" t="str">
        <f t="shared" si="222"/>
        <v>R_U7X</v>
      </c>
      <c r="D490" s="67" t="str">
        <f t="shared" si="223"/>
        <v>=</v>
      </c>
      <c r="E490" s="41">
        <f t="shared" si="224"/>
        <v>0</v>
      </c>
      <c r="F490" s="41">
        <f t="shared" si="224"/>
        <v>0</v>
      </c>
      <c r="G490" s="41">
        <f t="shared" si="224"/>
        <v>0</v>
      </c>
      <c r="H490" s="41">
        <f t="shared" si="224"/>
        <v>0</v>
      </c>
      <c r="I490" s="41">
        <f t="shared" si="224"/>
        <v>0</v>
      </c>
      <c r="J490" s="41">
        <f t="shared" si="224"/>
        <v>0</v>
      </c>
      <c r="K490" s="41">
        <f t="shared" si="224"/>
        <v>0</v>
      </c>
      <c r="L490" s="41">
        <f t="shared" si="224"/>
        <v>0</v>
      </c>
      <c r="M490" s="41">
        <f t="shared" si="224"/>
        <v>0</v>
      </c>
      <c r="N490" s="41">
        <f t="shared" si="224"/>
        <v>0</v>
      </c>
      <c r="O490" s="41">
        <f t="shared" si="224"/>
        <v>-1350000</v>
      </c>
      <c r="P490" s="41">
        <f t="shared" si="224"/>
        <v>0</v>
      </c>
      <c r="Q490" s="41">
        <f t="shared" si="224"/>
        <v>0</v>
      </c>
      <c r="R490" s="41">
        <f t="shared" si="224"/>
        <v>0</v>
      </c>
      <c r="S490" s="41" t="str">
        <f t="shared" si="224"/>
        <v/>
      </c>
      <c r="T490" s="41" t="str">
        <f t="shared" si="224"/>
        <v/>
      </c>
      <c r="U490" s="41" t="str">
        <f t="shared" si="225"/>
        <v/>
      </c>
      <c r="V490" s="41" t="str">
        <f t="shared" si="225"/>
        <v/>
      </c>
      <c r="W490" s="41" t="str">
        <f t="shared" si="225"/>
        <v/>
      </c>
      <c r="X490" s="41" t="str">
        <f t="shared" si="225"/>
        <v/>
      </c>
      <c r="Y490" s="41" t="str">
        <f t="shared" si="225"/>
        <v/>
      </c>
      <c r="Z490" s="41" t="str">
        <f t="shared" si="225"/>
        <v/>
      </c>
      <c r="AA490" s="41" t="str">
        <f t="shared" si="225"/>
        <v/>
      </c>
      <c r="AB490" s="41" t="str">
        <f t="shared" si="225"/>
        <v/>
      </c>
      <c r="AC490" s="41" t="str">
        <f t="shared" si="225"/>
        <v/>
      </c>
      <c r="AD490" s="41" t="str">
        <f t="shared" si="225"/>
        <v/>
      </c>
      <c r="AE490" s="41" t="str">
        <f t="shared" si="225"/>
        <v/>
      </c>
      <c r="AF490" s="41" t="str">
        <f t="shared" si="225"/>
        <v/>
      </c>
      <c r="AG490" s="41" t="str">
        <f t="shared" si="225"/>
        <v/>
      </c>
      <c r="AH490" s="41" t="str">
        <f t="shared" si="225"/>
        <v/>
      </c>
      <c r="AI490" s="41" t="str">
        <f t="shared" si="226"/>
        <v/>
      </c>
      <c r="AJ490" s="41" t="str">
        <f t="shared" si="226"/>
        <v/>
      </c>
      <c r="AK490" s="41" t="str">
        <f t="shared" si="226"/>
        <v/>
      </c>
      <c r="AL490" s="41" t="str">
        <f t="shared" si="226"/>
        <v/>
      </c>
      <c r="AM490" s="41" t="str">
        <f t="shared" si="226"/>
        <v/>
      </c>
      <c r="AN490" s="41" t="str">
        <f t="shared" si="226"/>
        <v/>
      </c>
      <c r="AO490" s="67" t="str">
        <f t="shared" si="227"/>
        <v>*</v>
      </c>
      <c r="AP490" s="74">
        <f t="shared" si="228"/>
        <v>-2.3210399111633681E-4</v>
      </c>
      <c r="AQ490">
        <f>IFERROR(MATCH(6,$S$285:$S$320,0),"")</f>
        <v>19</v>
      </c>
    </row>
    <row r="491" spans="2:43" ht="18" customHeight="1" x14ac:dyDescent="0.3">
      <c r="B491" s="42" t="str">
        <f t="shared" si="221"/>
        <v>U7Y</v>
      </c>
      <c r="C491" s="65" t="str">
        <f t="shared" si="222"/>
        <v>R_U7Y</v>
      </c>
      <c r="D491" s="67" t="str">
        <f t="shared" si="223"/>
        <v>=</v>
      </c>
      <c r="E491" s="41">
        <f t="shared" si="224"/>
        <v>0</v>
      </c>
      <c r="F491" s="41">
        <f t="shared" si="224"/>
        <v>0</v>
      </c>
      <c r="G491" s="41">
        <f t="shared" si="224"/>
        <v>0</v>
      </c>
      <c r="H491" s="41">
        <f t="shared" si="224"/>
        <v>0</v>
      </c>
      <c r="I491" s="41">
        <f t="shared" si="224"/>
        <v>0</v>
      </c>
      <c r="J491" s="41">
        <f t="shared" si="224"/>
        <v>0</v>
      </c>
      <c r="K491" s="41">
        <f t="shared" si="224"/>
        <v>0</v>
      </c>
      <c r="L491" s="41">
        <f t="shared" si="224"/>
        <v>0</v>
      </c>
      <c r="M491" s="41">
        <f t="shared" si="224"/>
        <v>0</v>
      </c>
      <c r="N491" s="41">
        <f t="shared" si="224"/>
        <v>0</v>
      </c>
      <c r="O491" s="41">
        <f t="shared" si="224"/>
        <v>0</v>
      </c>
      <c r="P491" s="41">
        <f t="shared" si="224"/>
        <v>-43740</v>
      </c>
      <c r="Q491" s="41">
        <f t="shared" si="224"/>
        <v>-5467500</v>
      </c>
      <c r="R491" s="41">
        <f t="shared" si="224"/>
        <v>-5467500</v>
      </c>
      <c r="S491" s="41" t="str">
        <f t="shared" si="224"/>
        <v/>
      </c>
      <c r="T491" s="41" t="str">
        <f t="shared" si="224"/>
        <v/>
      </c>
      <c r="U491" s="41" t="str">
        <f t="shared" si="225"/>
        <v/>
      </c>
      <c r="V491" s="41" t="str">
        <f t="shared" si="225"/>
        <v/>
      </c>
      <c r="W491" s="41" t="str">
        <f t="shared" si="225"/>
        <v/>
      </c>
      <c r="X491" s="41" t="str">
        <f t="shared" si="225"/>
        <v/>
      </c>
      <c r="Y491" s="41" t="str">
        <f t="shared" si="225"/>
        <v/>
      </c>
      <c r="Z491" s="41" t="str">
        <f t="shared" si="225"/>
        <v/>
      </c>
      <c r="AA491" s="41" t="str">
        <f t="shared" si="225"/>
        <v/>
      </c>
      <c r="AB491" s="41" t="str">
        <f t="shared" si="225"/>
        <v/>
      </c>
      <c r="AC491" s="41" t="str">
        <f t="shared" si="225"/>
        <v/>
      </c>
      <c r="AD491" s="41" t="str">
        <f t="shared" si="225"/>
        <v/>
      </c>
      <c r="AE491" s="41" t="str">
        <f t="shared" si="225"/>
        <v/>
      </c>
      <c r="AF491" s="41" t="str">
        <f t="shared" si="225"/>
        <v/>
      </c>
      <c r="AG491" s="41" t="str">
        <f t="shared" si="225"/>
        <v/>
      </c>
      <c r="AH491" s="41" t="str">
        <f t="shared" si="225"/>
        <v/>
      </c>
      <c r="AI491" s="41" t="str">
        <f t="shared" si="226"/>
        <v/>
      </c>
      <c r="AJ491" s="41" t="str">
        <f t="shared" si="226"/>
        <v/>
      </c>
      <c r="AK491" s="41" t="str">
        <f t="shared" si="226"/>
        <v/>
      </c>
      <c r="AL491" s="41" t="str">
        <f t="shared" si="226"/>
        <v/>
      </c>
      <c r="AM491" s="41" t="str">
        <f t="shared" si="226"/>
        <v/>
      </c>
      <c r="AN491" s="41" t="str">
        <f t="shared" si="226"/>
        <v/>
      </c>
      <c r="AO491" s="67" t="str">
        <f t="shared" si="227"/>
        <v>*</v>
      </c>
      <c r="AP491" s="74">
        <f t="shared" si="228"/>
        <v>-1.1851851851851852E-3</v>
      </c>
      <c r="AQ491">
        <f>IFERROR(MATCH(7,$S$285:$S$320,0),"")</f>
        <v>20</v>
      </c>
    </row>
    <row r="492" spans="2:43" ht="18" customHeight="1" x14ac:dyDescent="0.3">
      <c r="B492" s="42" t="str">
        <f t="shared" si="221"/>
        <v/>
      </c>
      <c r="C492" s="65" t="str">
        <f t="shared" si="222"/>
        <v/>
      </c>
      <c r="D492" s="67" t="str">
        <f t="shared" si="223"/>
        <v/>
      </c>
      <c r="E492" s="41" t="str">
        <f t="shared" si="224"/>
        <v/>
      </c>
      <c r="F492" s="41" t="str">
        <f t="shared" si="224"/>
        <v/>
      </c>
      <c r="G492" s="41" t="str">
        <f t="shared" si="224"/>
        <v/>
      </c>
      <c r="H492" s="41" t="str">
        <f t="shared" si="224"/>
        <v/>
      </c>
      <c r="I492" s="41" t="str">
        <f t="shared" si="224"/>
        <v/>
      </c>
      <c r="J492" s="41" t="str">
        <f t="shared" si="224"/>
        <v/>
      </c>
      <c r="K492" s="41" t="str">
        <f t="shared" si="224"/>
        <v/>
      </c>
      <c r="L492" s="41" t="str">
        <f t="shared" si="224"/>
        <v/>
      </c>
      <c r="M492" s="41" t="str">
        <f t="shared" si="224"/>
        <v/>
      </c>
      <c r="N492" s="41" t="str">
        <f t="shared" si="224"/>
        <v/>
      </c>
      <c r="O492" s="41" t="str">
        <f t="shared" si="224"/>
        <v/>
      </c>
      <c r="P492" s="41" t="str">
        <f t="shared" si="224"/>
        <v/>
      </c>
      <c r="Q492" s="41" t="str">
        <f t="shared" si="224"/>
        <v/>
      </c>
      <c r="R492" s="41" t="str">
        <f t="shared" si="224"/>
        <v/>
      </c>
      <c r="S492" s="41" t="str">
        <f t="shared" si="224"/>
        <v/>
      </c>
      <c r="T492" s="41" t="str">
        <f t="shared" si="224"/>
        <v/>
      </c>
      <c r="U492" s="41" t="str">
        <f t="shared" si="225"/>
        <v/>
      </c>
      <c r="V492" s="41" t="str">
        <f t="shared" si="225"/>
        <v/>
      </c>
      <c r="W492" s="41" t="str">
        <f t="shared" si="225"/>
        <v/>
      </c>
      <c r="X492" s="41" t="str">
        <f t="shared" si="225"/>
        <v/>
      </c>
      <c r="Y492" s="41" t="str">
        <f t="shared" si="225"/>
        <v/>
      </c>
      <c r="Z492" s="41" t="str">
        <f t="shared" si="225"/>
        <v/>
      </c>
      <c r="AA492" s="41" t="str">
        <f t="shared" si="225"/>
        <v/>
      </c>
      <c r="AB492" s="41" t="str">
        <f t="shared" si="225"/>
        <v/>
      </c>
      <c r="AC492" s="41" t="str">
        <f t="shared" si="225"/>
        <v/>
      </c>
      <c r="AD492" s="41" t="str">
        <f t="shared" si="225"/>
        <v/>
      </c>
      <c r="AE492" s="41" t="str">
        <f t="shared" si="225"/>
        <v/>
      </c>
      <c r="AF492" s="41" t="str">
        <f t="shared" si="225"/>
        <v/>
      </c>
      <c r="AG492" s="41" t="str">
        <f t="shared" si="225"/>
        <v/>
      </c>
      <c r="AH492" s="41" t="str">
        <f t="shared" si="225"/>
        <v/>
      </c>
      <c r="AI492" s="41" t="str">
        <f t="shared" si="226"/>
        <v/>
      </c>
      <c r="AJ492" s="41" t="str">
        <f t="shared" si="226"/>
        <v/>
      </c>
      <c r="AK492" s="41" t="str">
        <f t="shared" si="226"/>
        <v/>
      </c>
      <c r="AL492" s="41" t="str">
        <f t="shared" si="226"/>
        <v/>
      </c>
      <c r="AM492" s="41" t="str">
        <f t="shared" si="226"/>
        <v/>
      </c>
      <c r="AN492" s="41" t="str">
        <f t="shared" si="226"/>
        <v/>
      </c>
      <c r="AO492" s="67" t="str">
        <f t="shared" si="227"/>
        <v/>
      </c>
      <c r="AP492" s="74">
        <f t="shared" si="228"/>
        <v>-0.15565014044026396</v>
      </c>
      <c r="AQ492" t="str">
        <f>IFERROR(MATCH(8,$S$285:$S$320,0),"")</f>
        <v/>
      </c>
    </row>
    <row r="493" spans="2:43" ht="18" customHeight="1" x14ac:dyDescent="0.3">
      <c r="B493" s="42" t="str">
        <f t="shared" si="221"/>
        <v/>
      </c>
      <c r="C493" s="65" t="str">
        <f t="shared" si="222"/>
        <v/>
      </c>
      <c r="D493" s="67" t="str">
        <f t="shared" si="223"/>
        <v/>
      </c>
      <c r="E493" s="41" t="str">
        <f t="shared" si="224"/>
        <v/>
      </c>
      <c r="F493" s="41" t="str">
        <f t="shared" si="224"/>
        <v/>
      </c>
      <c r="G493" s="41" t="str">
        <f t="shared" si="224"/>
        <v/>
      </c>
      <c r="H493" s="41" t="str">
        <f t="shared" si="224"/>
        <v/>
      </c>
      <c r="I493" s="41" t="str">
        <f t="shared" si="224"/>
        <v/>
      </c>
      <c r="J493" s="41" t="str">
        <f t="shared" si="224"/>
        <v/>
      </c>
      <c r="K493" s="41" t="str">
        <f t="shared" si="224"/>
        <v/>
      </c>
      <c r="L493" s="41" t="str">
        <f t="shared" si="224"/>
        <v/>
      </c>
      <c r="M493" s="41" t="str">
        <f t="shared" si="224"/>
        <v/>
      </c>
      <c r="N493" s="41" t="str">
        <f t="shared" si="224"/>
        <v/>
      </c>
      <c r="O493" s="41" t="str">
        <f t="shared" si="224"/>
        <v/>
      </c>
      <c r="P493" s="41" t="str">
        <f t="shared" si="224"/>
        <v/>
      </c>
      <c r="Q493" s="41" t="str">
        <f t="shared" si="224"/>
        <v/>
      </c>
      <c r="R493" s="41" t="str">
        <f t="shared" si="224"/>
        <v/>
      </c>
      <c r="S493" s="41" t="str">
        <f t="shared" si="224"/>
        <v/>
      </c>
      <c r="T493" s="41" t="str">
        <f t="shared" si="224"/>
        <v/>
      </c>
      <c r="U493" s="41" t="str">
        <f t="shared" si="225"/>
        <v/>
      </c>
      <c r="V493" s="41" t="str">
        <f t="shared" si="225"/>
        <v/>
      </c>
      <c r="W493" s="41" t="str">
        <f t="shared" si="225"/>
        <v/>
      </c>
      <c r="X493" s="41" t="str">
        <f t="shared" si="225"/>
        <v/>
      </c>
      <c r="Y493" s="41" t="str">
        <f t="shared" si="225"/>
        <v/>
      </c>
      <c r="Z493" s="41" t="str">
        <f t="shared" si="225"/>
        <v/>
      </c>
      <c r="AA493" s="41" t="str">
        <f t="shared" si="225"/>
        <v/>
      </c>
      <c r="AB493" s="41" t="str">
        <f t="shared" si="225"/>
        <v/>
      </c>
      <c r="AC493" s="41" t="str">
        <f t="shared" si="225"/>
        <v/>
      </c>
      <c r="AD493" s="41" t="str">
        <f t="shared" si="225"/>
        <v/>
      </c>
      <c r="AE493" s="41" t="str">
        <f t="shared" si="225"/>
        <v/>
      </c>
      <c r="AF493" s="41" t="str">
        <f t="shared" si="225"/>
        <v/>
      </c>
      <c r="AG493" s="41" t="str">
        <f t="shared" si="225"/>
        <v/>
      </c>
      <c r="AH493" s="41" t="str">
        <f t="shared" si="225"/>
        <v/>
      </c>
      <c r="AI493" s="41" t="str">
        <f t="shared" si="226"/>
        <v/>
      </c>
      <c r="AJ493" s="41" t="str">
        <f t="shared" si="226"/>
        <v/>
      </c>
      <c r="AK493" s="41" t="str">
        <f t="shared" si="226"/>
        <v/>
      </c>
      <c r="AL493" s="41" t="str">
        <f t="shared" si="226"/>
        <v/>
      </c>
      <c r="AM493" s="41" t="str">
        <f t="shared" si="226"/>
        <v/>
      </c>
      <c r="AN493" s="41" t="str">
        <f t="shared" si="226"/>
        <v/>
      </c>
      <c r="AO493" s="67" t="str">
        <f t="shared" si="227"/>
        <v/>
      </c>
      <c r="AP493" s="74">
        <f t="shared" si="228"/>
        <v>-3.8962701678751057E-5</v>
      </c>
      <c r="AQ493" t="str">
        <f>IFERROR(MATCH(9,$S$285:$S$320,0),"")</f>
        <v/>
      </c>
    </row>
    <row r="494" spans="2:43" ht="18" customHeight="1" x14ac:dyDescent="0.3">
      <c r="B494" s="42" t="str">
        <f t="shared" si="221"/>
        <v/>
      </c>
      <c r="C494" s="65" t="str">
        <f t="shared" si="222"/>
        <v/>
      </c>
      <c r="D494" s="67" t="str">
        <f t="shared" si="223"/>
        <v/>
      </c>
      <c r="E494" s="41" t="str">
        <f t="shared" si="224"/>
        <v/>
      </c>
      <c r="F494" s="41" t="str">
        <f t="shared" si="224"/>
        <v/>
      </c>
      <c r="G494" s="41" t="str">
        <f t="shared" si="224"/>
        <v/>
      </c>
      <c r="H494" s="41" t="str">
        <f t="shared" si="224"/>
        <v/>
      </c>
      <c r="I494" s="41" t="str">
        <f t="shared" si="224"/>
        <v/>
      </c>
      <c r="J494" s="41" t="str">
        <f t="shared" si="224"/>
        <v/>
      </c>
      <c r="K494" s="41" t="str">
        <f t="shared" si="224"/>
        <v/>
      </c>
      <c r="L494" s="41" t="str">
        <f t="shared" si="224"/>
        <v/>
      </c>
      <c r="M494" s="41" t="str">
        <f t="shared" si="224"/>
        <v/>
      </c>
      <c r="N494" s="41" t="str">
        <f t="shared" si="224"/>
        <v/>
      </c>
      <c r="O494" s="41" t="str">
        <f t="shared" si="224"/>
        <v/>
      </c>
      <c r="P494" s="41" t="str">
        <f t="shared" si="224"/>
        <v/>
      </c>
      <c r="Q494" s="41" t="str">
        <f t="shared" si="224"/>
        <v/>
      </c>
      <c r="R494" s="41" t="str">
        <f t="shared" si="224"/>
        <v/>
      </c>
      <c r="S494" s="41" t="str">
        <f t="shared" si="224"/>
        <v/>
      </c>
      <c r="T494" s="41" t="str">
        <f t="shared" si="224"/>
        <v/>
      </c>
      <c r="U494" s="41" t="str">
        <f t="shared" si="225"/>
        <v/>
      </c>
      <c r="V494" s="41" t="str">
        <f t="shared" si="225"/>
        <v/>
      </c>
      <c r="W494" s="41" t="str">
        <f t="shared" si="225"/>
        <v/>
      </c>
      <c r="X494" s="41" t="str">
        <f t="shared" si="225"/>
        <v/>
      </c>
      <c r="Y494" s="41" t="str">
        <f t="shared" si="225"/>
        <v/>
      </c>
      <c r="Z494" s="41" t="str">
        <f t="shared" si="225"/>
        <v/>
      </c>
      <c r="AA494" s="41" t="str">
        <f t="shared" si="225"/>
        <v/>
      </c>
      <c r="AB494" s="41" t="str">
        <f t="shared" si="225"/>
        <v/>
      </c>
      <c r="AC494" s="41" t="str">
        <f t="shared" si="225"/>
        <v/>
      </c>
      <c r="AD494" s="41" t="str">
        <f t="shared" si="225"/>
        <v/>
      </c>
      <c r="AE494" s="41" t="str">
        <f t="shared" si="225"/>
        <v/>
      </c>
      <c r="AF494" s="41" t="str">
        <f t="shared" si="225"/>
        <v/>
      </c>
      <c r="AG494" s="41" t="str">
        <f t="shared" si="225"/>
        <v/>
      </c>
      <c r="AH494" s="41" t="str">
        <f t="shared" si="225"/>
        <v/>
      </c>
      <c r="AI494" s="41" t="str">
        <f t="shared" si="226"/>
        <v/>
      </c>
      <c r="AJ494" s="41" t="str">
        <f t="shared" si="226"/>
        <v/>
      </c>
      <c r="AK494" s="41" t="str">
        <f t="shared" si="226"/>
        <v/>
      </c>
      <c r="AL494" s="41" t="str">
        <f t="shared" si="226"/>
        <v/>
      </c>
      <c r="AM494" s="41" t="str">
        <f t="shared" si="226"/>
        <v/>
      </c>
      <c r="AN494" s="41" t="str">
        <f t="shared" si="226"/>
        <v/>
      </c>
      <c r="AO494" s="67" t="str">
        <f t="shared" si="227"/>
        <v/>
      </c>
      <c r="AP494" s="74">
        <f t="shared" si="228"/>
        <v>3.8795479783134107E-4</v>
      </c>
      <c r="AQ494" t="str">
        <f>IFERROR(MATCH(10,$S$285:$S$320,0),"")</f>
        <v/>
      </c>
    </row>
    <row r="495" spans="2:43" ht="18" customHeight="1" x14ac:dyDescent="0.3">
      <c r="B495" s="42" t="str">
        <f t="shared" si="221"/>
        <v/>
      </c>
      <c r="C495" s="65" t="str">
        <f t="shared" si="222"/>
        <v/>
      </c>
      <c r="D495" s="67" t="str">
        <f t="shared" si="223"/>
        <v/>
      </c>
      <c r="E495" s="41" t="str">
        <f t="shared" si="224"/>
        <v/>
      </c>
      <c r="F495" s="41" t="str">
        <f t="shared" si="224"/>
        <v/>
      </c>
      <c r="G495" s="41" t="str">
        <f t="shared" si="224"/>
        <v/>
      </c>
      <c r="H495" s="41" t="str">
        <f t="shared" si="224"/>
        <v/>
      </c>
      <c r="I495" s="41" t="str">
        <f t="shared" si="224"/>
        <v/>
      </c>
      <c r="J495" s="41" t="str">
        <f t="shared" si="224"/>
        <v/>
      </c>
      <c r="K495" s="41" t="str">
        <f t="shared" si="224"/>
        <v/>
      </c>
      <c r="L495" s="41" t="str">
        <f t="shared" si="224"/>
        <v/>
      </c>
      <c r="M495" s="41" t="str">
        <f t="shared" si="224"/>
        <v/>
      </c>
      <c r="N495" s="41" t="str">
        <f t="shared" si="224"/>
        <v/>
      </c>
      <c r="O495" s="41" t="str">
        <f t="shared" si="224"/>
        <v/>
      </c>
      <c r="P495" s="41" t="str">
        <f t="shared" si="224"/>
        <v/>
      </c>
      <c r="Q495" s="41" t="str">
        <f t="shared" si="224"/>
        <v/>
      </c>
      <c r="R495" s="41" t="str">
        <f t="shared" si="224"/>
        <v/>
      </c>
      <c r="S495" s="41" t="str">
        <f t="shared" si="224"/>
        <v/>
      </c>
      <c r="T495" s="41" t="str">
        <f t="shared" si="224"/>
        <v/>
      </c>
      <c r="U495" s="41" t="str">
        <f t="shared" si="225"/>
        <v/>
      </c>
      <c r="V495" s="41" t="str">
        <f t="shared" si="225"/>
        <v/>
      </c>
      <c r="W495" s="41" t="str">
        <f t="shared" si="225"/>
        <v/>
      </c>
      <c r="X495" s="41" t="str">
        <f t="shared" si="225"/>
        <v/>
      </c>
      <c r="Y495" s="41" t="str">
        <f t="shared" si="225"/>
        <v/>
      </c>
      <c r="Z495" s="41" t="str">
        <f t="shared" si="225"/>
        <v/>
      </c>
      <c r="AA495" s="41" t="str">
        <f t="shared" si="225"/>
        <v/>
      </c>
      <c r="AB495" s="41" t="str">
        <f t="shared" si="225"/>
        <v/>
      </c>
      <c r="AC495" s="41" t="str">
        <f t="shared" si="225"/>
        <v/>
      </c>
      <c r="AD495" s="41" t="str">
        <f t="shared" si="225"/>
        <v/>
      </c>
      <c r="AE495" s="41" t="str">
        <f t="shared" si="225"/>
        <v/>
      </c>
      <c r="AF495" s="41" t="str">
        <f t="shared" si="225"/>
        <v/>
      </c>
      <c r="AG495" s="41" t="str">
        <f t="shared" si="225"/>
        <v/>
      </c>
      <c r="AH495" s="41" t="str">
        <f t="shared" si="225"/>
        <v/>
      </c>
      <c r="AI495" s="41" t="str">
        <f t="shared" si="226"/>
        <v/>
      </c>
      <c r="AJ495" s="41" t="str">
        <f t="shared" si="226"/>
        <v/>
      </c>
      <c r="AK495" s="41" t="str">
        <f t="shared" si="226"/>
        <v/>
      </c>
      <c r="AL495" s="41" t="str">
        <f t="shared" si="226"/>
        <v/>
      </c>
      <c r="AM495" s="41" t="str">
        <f t="shared" si="226"/>
        <v/>
      </c>
      <c r="AN495" s="41" t="str">
        <f t="shared" si="226"/>
        <v/>
      </c>
      <c r="AO495" s="67" t="str">
        <f t="shared" si="227"/>
        <v/>
      </c>
      <c r="AP495" s="74">
        <f t="shared" si="228"/>
        <v>0</v>
      </c>
      <c r="AQ495" t="str">
        <f>IFERROR(MATCH(11,$S$285:$S$320,0),"")</f>
        <v/>
      </c>
    </row>
    <row r="496" spans="2:43" ht="18" customHeight="1" x14ac:dyDescent="0.3">
      <c r="B496" s="42" t="str">
        <f t="shared" si="221"/>
        <v/>
      </c>
      <c r="C496" s="65" t="str">
        <f t="shared" si="222"/>
        <v/>
      </c>
      <c r="D496" s="67" t="str">
        <f t="shared" si="223"/>
        <v/>
      </c>
      <c r="E496" s="41" t="str">
        <f t="shared" si="224"/>
        <v/>
      </c>
      <c r="F496" s="41" t="str">
        <f t="shared" si="224"/>
        <v/>
      </c>
      <c r="G496" s="41" t="str">
        <f t="shared" si="224"/>
        <v/>
      </c>
      <c r="H496" s="41" t="str">
        <f t="shared" si="224"/>
        <v/>
      </c>
      <c r="I496" s="41" t="str">
        <f t="shared" si="224"/>
        <v/>
      </c>
      <c r="J496" s="41" t="str">
        <f t="shared" si="224"/>
        <v/>
      </c>
      <c r="K496" s="41" t="str">
        <f t="shared" si="224"/>
        <v/>
      </c>
      <c r="L496" s="41" t="str">
        <f t="shared" si="224"/>
        <v/>
      </c>
      <c r="M496" s="41" t="str">
        <f t="shared" si="224"/>
        <v/>
      </c>
      <c r="N496" s="41" t="str">
        <f t="shared" si="224"/>
        <v/>
      </c>
      <c r="O496" s="41" t="str">
        <f t="shared" si="224"/>
        <v/>
      </c>
      <c r="P496" s="41" t="str">
        <f t="shared" si="224"/>
        <v/>
      </c>
      <c r="Q496" s="41" t="str">
        <f t="shared" si="224"/>
        <v/>
      </c>
      <c r="R496" s="41" t="str">
        <f t="shared" si="224"/>
        <v/>
      </c>
      <c r="S496" s="41" t="str">
        <f t="shared" si="224"/>
        <v/>
      </c>
      <c r="T496" s="41" t="str">
        <f t="shared" si="224"/>
        <v/>
      </c>
      <c r="U496" s="41" t="str">
        <f t="shared" si="225"/>
        <v/>
      </c>
      <c r="V496" s="41" t="str">
        <f t="shared" si="225"/>
        <v/>
      </c>
      <c r="W496" s="41" t="str">
        <f t="shared" si="225"/>
        <v/>
      </c>
      <c r="X496" s="41" t="str">
        <f t="shared" si="225"/>
        <v/>
      </c>
      <c r="Y496" s="41" t="str">
        <f t="shared" si="225"/>
        <v/>
      </c>
      <c r="Z496" s="41" t="str">
        <f t="shared" si="225"/>
        <v/>
      </c>
      <c r="AA496" s="41" t="str">
        <f t="shared" si="225"/>
        <v/>
      </c>
      <c r="AB496" s="41" t="str">
        <f t="shared" si="225"/>
        <v/>
      </c>
      <c r="AC496" s="41" t="str">
        <f t="shared" si="225"/>
        <v/>
      </c>
      <c r="AD496" s="41" t="str">
        <f t="shared" si="225"/>
        <v/>
      </c>
      <c r="AE496" s="41" t="str">
        <f t="shared" si="225"/>
        <v/>
      </c>
      <c r="AF496" s="41" t="str">
        <f t="shared" si="225"/>
        <v/>
      </c>
      <c r="AG496" s="41" t="str">
        <f t="shared" si="225"/>
        <v/>
      </c>
      <c r="AH496" s="41" t="str">
        <f t="shared" si="225"/>
        <v/>
      </c>
      <c r="AI496" s="41" t="str">
        <f t="shared" si="226"/>
        <v/>
      </c>
      <c r="AJ496" s="41" t="str">
        <f t="shared" si="226"/>
        <v/>
      </c>
      <c r="AK496" s="41" t="str">
        <f t="shared" si="226"/>
        <v/>
      </c>
      <c r="AL496" s="41" t="str">
        <f t="shared" si="226"/>
        <v/>
      </c>
      <c r="AM496" s="41" t="str">
        <f t="shared" si="226"/>
        <v/>
      </c>
      <c r="AN496" s="41" t="str">
        <f t="shared" si="226"/>
        <v/>
      </c>
      <c r="AO496" s="67" t="str">
        <f t="shared" si="227"/>
        <v/>
      </c>
      <c r="AP496" s="74">
        <f t="shared" si="228"/>
        <v>3.3627278071722513E-2</v>
      </c>
      <c r="AQ496" t="str">
        <f>IFERROR(MATCH(12,$S$285:$S$320,0),"")</f>
        <v/>
      </c>
    </row>
    <row r="497" spans="2:43" ht="18" customHeight="1" x14ac:dyDescent="0.3">
      <c r="B497" s="42" t="str">
        <f t="shared" si="221"/>
        <v/>
      </c>
      <c r="C497" s="65" t="str">
        <f t="shared" si="222"/>
        <v/>
      </c>
      <c r="D497" s="67" t="str">
        <f t="shared" si="223"/>
        <v/>
      </c>
      <c r="E497" s="41" t="str">
        <f t="shared" si="224"/>
        <v/>
      </c>
      <c r="F497" s="41" t="str">
        <f t="shared" si="224"/>
        <v/>
      </c>
      <c r="G497" s="41" t="str">
        <f t="shared" si="224"/>
        <v/>
      </c>
      <c r="H497" s="41" t="str">
        <f t="shared" si="224"/>
        <v/>
      </c>
      <c r="I497" s="41" t="str">
        <f t="shared" si="224"/>
        <v/>
      </c>
      <c r="J497" s="41" t="str">
        <f t="shared" si="224"/>
        <v/>
      </c>
      <c r="K497" s="41" t="str">
        <f t="shared" si="224"/>
        <v/>
      </c>
      <c r="L497" s="41" t="str">
        <f t="shared" si="224"/>
        <v/>
      </c>
      <c r="M497" s="41" t="str">
        <f t="shared" si="224"/>
        <v/>
      </c>
      <c r="N497" s="41" t="str">
        <f t="shared" si="224"/>
        <v/>
      </c>
      <c r="O497" s="41" t="str">
        <f t="shared" si="224"/>
        <v/>
      </c>
      <c r="P497" s="41" t="str">
        <f t="shared" si="224"/>
        <v/>
      </c>
      <c r="Q497" s="41" t="str">
        <f t="shared" si="224"/>
        <v/>
      </c>
      <c r="R497" s="41" t="str">
        <f t="shared" si="224"/>
        <v/>
      </c>
      <c r="S497" s="41" t="str">
        <f t="shared" si="224"/>
        <v/>
      </c>
      <c r="T497" s="41" t="str">
        <f t="shared" si="224"/>
        <v/>
      </c>
      <c r="U497" s="41" t="str">
        <f t="shared" si="225"/>
        <v/>
      </c>
      <c r="V497" s="41" t="str">
        <f t="shared" si="225"/>
        <v/>
      </c>
      <c r="W497" s="41" t="str">
        <f t="shared" si="225"/>
        <v/>
      </c>
      <c r="X497" s="41" t="str">
        <f t="shared" si="225"/>
        <v/>
      </c>
      <c r="Y497" s="41" t="str">
        <f t="shared" si="225"/>
        <v/>
      </c>
      <c r="Z497" s="41" t="str">
        <f t="shared" si="225"/>
        <v/>
      </c>
      <c r="AA497" s="41" t="str">
        <f t="shared" si="225"/>
        <v/>
      </c>
      <c r="AB497" s="41" t="str">
        <f t="shared" si="225"/>
        <v/>
      </c>
      <c r="AC497" s="41" t="str">
        <f t="shared" si="225"/>
        <v/>
      </c>
      <c r="AD497" s="41" t="str">
        <f t="shared" si="225"/>
        <v/>
      </c>
      <c r="AE497" s="41" t="str">
        <f t="shared" si="225"/>
        <v/>
      </c>
      <c r="AF497" s="41" t="str">
        <f t="shared" si="225"/>
        <v/>
      </c>
      <c r="AG497" s="41" t="str">
        <f t="shared" si="225"/>
        <v/>
      </c>
      <c r="AH497" s="41" t="str">
        <f t="shared" si="225"/>
        <v/>
      </c>
      <c r="AI497" s="41" t="str">
        <f t="shared" si="226"/>
        <v/>
      </c>
      <c r="AJ497" s="41" t="str">
        <f t="shared" si="226"/>
        <v/>
      </c>
      <c r="AK497" s="41" t="str">
        <f t="shared" si="226"/>
        <v/>
      </c>
      <c r="AL497" s="41" t="str">
        <f t="shared" si="226"/>
        <v/>
      </c>
      <c r="AM497" s="41" t="str">
        <f t="shared" si="226"/>
        <v/>
      </c>
      <c r="AN497" s="41" t="str">
        <f t="shared" si="226"/>
        <v/>
      </c>
      <c r="AO497" s="67" t="str">
        <f t="shared" si="227"/>
        <v/>
      </c>
      <c r="AP497" s="74">
        <f t="shared" si="228"/>
        <v>-1.0336403422823176E-4</v>
      </c>
      <c r="AQ497" t="str">
        <f>IFERROR(MATCH(13,$S$285:$S$320,0),"")</f>
        <v/>
      </c>
    </row>
    <row r="498" spans="2:43" ht="18" customHeight="1" x14ac:dyDescent="0.3">
      <c r="B498" s="42" t="str">
        <f t="shared" si="221"/>
        <v/>
      </c>
      <c r="C498" s="65" t="str">
        <f t="shared" si="222"/>
        <v/>
      </c>
      <c r="D498" s="67" t="str">
        <f t="shared" si="223"/>
        <v/>
      </c>
      <c r="E498" s="41" t="str">
        <f t="shared" si="224"/>
        <v/>
      </c>
      <c r="F498" s="41" t="str">
        <f t="shared" si="224"/>
        <v/>
      </c>
      <c r="G498" s="41" t="str">
        <f t="shared" si="224"/>
        <v/>
      </c>
      <c r="H498" s="41" t="str">
        <f t="shared" si="224"/>
        <v/>
      </c>
      <c r="I498" s="41" t="str">
        <f t="shared" si="224"/>
        <v/>
      </c>
      <c r="J498" s="41" t="str">
        <f t="shared" si="224"/>
        <v/>
      </c>
      <c r="K498" s="41" t="str">
        <f t="shared" si="224"/>
        <v/>
      </c>
      <c r="L498" s="41" t="str">
        <f t="shared" si="224"/>
        <v/>
      </c>
      <c r="M498" s="41" t="str">
        <f t="shared" si="224"/>
        <v/>
      </c>
      <c r="N498" s="41" t="str">
        <f t="shared" si="224"/>
        <v/>
      </c>
      <c r="O498" s="41" t="str">
        <f t="shared" si="224"/>
        <v/>
      </c>
      <c r="P498" s="41" t="str">
        <f t="shared" si="224"/>
        <v/>
      </c>
      <c r="Q498" s="41" t="str">
        <f t="shared" si="224"/>
        <v/>
      </c>
      <c r="R498" s="41" t="str">
        <f t="shared" si="224"/>
        <v/>
      </c>
      <c r="S498" s="41" t="str">
        <f t="shared" si="224"/>
        <v/>
      </c>
      <c r="T498" s="41" t="str">
        <f t="shared" si="224"/>
        <v/>
      </c>
      <c r="U498" s="41" t="str">
        <f t="shared" si="225"/>
        <v/>
      </c>
      <c r="V498" s="41" t="str">
        <f t="shared" si="225"/>
        <v/>
      </c>
      <c r="W498" s="41" t="str">
        <f t="shared" si="225"/>
        <v/>
      </c>
      <c r="X498" s="41" t="str">
        <f t="shared" si="225"/>
        <v/>
      </c>
      <c r="Y498" s="41" t="str">
        <f t="shared" si="225"/>
        <v/>
      </c>
      <c r="Z498" s="41" t="str">
        <f t="shared" si="225"/>
        <v/>
      </c>
      <c r="AA498" s="41" t="str">
        <f t="shared" si="225"/>
        <v/>
      </c>
      <c r="AB498" s="41" t="str">
        <f t="shared" si="225"/>
        <v/>
      </c>
      <c r="AC498" s="41" t="str">
        <f t="shared" si="225"/>
        <v/>
      </c>
      <c r="AD498" s="41" t="str">
        <f t="shared" si="225"/>
        <v/>
      </c>
      <c r="AE498" s="41" t="str">
        <f t="shared" si="225"/>
        <v/>
      </c>
      <c r="AF498" s="41" t="str">
        <f t="shared" si="225"/>
        <v/>
      </c>
      <c r="AG498" s="41" t="str">
        <f t="shared" si="225"/>
        <v/>
      </c>
      <c r="AH498" s="41" t="str">
        <f t="shared" si="225"/>
        <v/>
      </c>
      <c r="AI498" s="41" t="str">
        <f t="shared" si="226"/>
        <v/>
      </c>
      <c r="AJ498" s="41" t="str">
        <f t="shared" si="226"/>
        <v/>
      </c>
      <c r="AK498" s="41" t="str">
        <f t="shared" si="226"/>
        <v/>
      </c>
      <c r="AL498" s="41" t="str">
        <f t="shared" si="226"/>
        <v/>
      </c>
      <c r="AM498" s="41" t="str">
        <f t="shared" si="226"/>
        <v/>
      </c>
      <c r="AN498" s="41" t="str">
        <f t="shared" si="226"/>
        <v/>
      </c>
      <c r="AO498" s="67" t="str">
        <f t="shared" si="227"/>
        <v/>
      </c>
      <c r="AP498" s="74">
        <f t="shared" si="228"/>
        <v>-1.5008165131621923E-4</v>
      </c>
      <c r="AQ498" t="str">
        <f>IFERROR(MATCH(14,$S$285:$S$320,0),"")</f>
        <v/>
      </c>
    </row>
    <row r="499" spans="2:43" ht="18" customHeight="1" x14ac:dyDescent="0.3">
      <c r="B499" s="42" t="str">
        <f t="shared" si="221"/>
        <v/>
      </c>
      <c r="C499" s="65" t="str">
        <f t="shared" si="222"/>
        <v/>
      </c>
      <c r="D499" s="67" t="str">
        <f t="shared" si="223"/>
        <v/>
      </c>
      <c r="E499" s="41" t="str">
        <f t="shared" si="224"/>
        <v/>
      </c>
      <c r="F499" s="41" t="str">
        <f t="shared" si="224"/>
        <v/>
      </c>
      <c r="G499" s="41" t="str">
        <f t="shared" si="224"/>
        <v/>
      </c>
      <c r="H499" s="41" t="str">
        <f t="shared" si="224"/>
        <v/>
      </c>
      <c r="I499" s="41" t="str">
        <f t="shared" si="224"/>
        <v/>
      </c>
      <c r="J499" s="41" t="str">
        <f t="shared" si="224"/>
        <v/>
      </c>
      <c r="K499" s="41" t="str">
        <f t="shared" si="224"/>
        <v/>
      </c>
      <c r="L499" s="41" t="str">
        <f t="shared" si="224"/>
        <v/>
      </c>
      <c r="M499" s="41" t="str">
        <f t="shared" si="224"/>
        <v/>
      </c>
      <c r="N499" s="41" t="str">
        <f t="shared" si="224"/>
        <v/>
      </c>
      <c r="O499" s="41" t="str">
        <f t="shared" si="224"/>
        <v/>
      </c>
      <c r="P499" s="41" t="str">
        <f t="shared" si="224"/>
        <v/>
      </c>
      <c r="Q499" s="41" t="str">
        <f t="shared" si="224"/>
        <v/>
      </c>
      <c r="R499" s="41" t="str">
        <f t="shared" si="224"/>
        <v/>
      </c>
      <c r="S499" s="41" t="str">
        <f t="shared" si="224"/>
        <v/>
      </c>
      <c r="T499" s="41" t="str">
        <f t="shared" si="224"/>
        <v/>
      </c>
      <c r="U499" s="41" t="str">
        <f t="shared" si="225"/>
        <v/>
      </c>
      <c r="V499" s="41" t="str">
        <f t="shared" si="225"/>
        <v/>
      </c>
      <c r="W499" s="41" t="str">
        <f t="shared" si="225"/>
        <v/>
      </c>
      <c r="X499" s="41" t="str">
        <f t="shared" si="225"/>
        <v/>
      </c>
      <c r="Y499" s="41" t="str">
        <f t="shared" si="225"/>
        <v/>
      </c>
      <c r="Z499" s="41" t="str">
        <f t="shared" si="225"/>
        <v/>
      </c>
      <c r="AA499" s="41" t="str">
        <f t="shared" si="225"/>
        <v/>
      </c>
      <c r="AB499" s="41" t="str">
        <f t="shared" si="225"/>
        <v/>
      </c>
      <c r="AC499" s="41" t="str">
        <f t="shared" si="225"/>
        <v/>
      </c>
      <c r="AD499" s="41" t="str">
        <f t="shared" si="225"/>
        <v/>
      </c>
      <c r="AE499" s="41" t="str">
        <f t="shared" si="225"/>
        <v/>
      </c>
      <c r="AF499" s="41" t="str">
        <f t="shared" si="225"/>
        <v/>
      </c>
      <c r="AG499" s="41" t="str">
        <f t="shared" si="225"/>
        <v/>
      </c>
      <c r="AH499" s="41" t="str">
        <f t="shared" si="225"/>
        <v/>
      </c>
      <c r="AI499" s="41" t="str">
        <f t="shared" si="226"/>
        <v/>
      </c>
      <c r="AJ499" s="41" t="str">
        <f t="shared" si="226"/>
        <v/>
      </c>
      <c r="AK499" s="41" t="str">
        <f t="shared" si="226"/>
        <v/>
      </c>
      <c r="AL499" s="41" t="str">
        <f t="shared" si="226"/>
        <v/>
      </c>
      <c r="AM499" s="41" t="str">
        <f t="shared" si="226"/>
        <v/>
      </c>
      <c r="AN499" s="41" t="str">
        <f t="shared" si="226"/>
        <v/>
      </c>
      <c r="AO499" s="67" t="str">
        <f t="shared" si="227"/>
        <v/>
      </c>
      <c r="AP499" s="74" t="str">
        <f t="shared" si="228"/>
        <v/>
      </c>
      <c r="AQ499" t="str">
        <f>IFERROR(MATCH(15,$S$285:$S$320,0),"")</f>
        <v/>
      </c>
    </row>
    <row r="500" spans="2:43" ht="18" customHeight="1" x14ac:dyDescent="0.3">
      <c r="B500" s="42" t="str">
        <f t="shared" si="221"/>
        <v/>
      </c>
      <c r="C500" s="65" t="str">
        <f t="shared" si="222"/>
        <v/>
      </c>
      <c r="D500" s="67" t="str">
        <f t="shared" si="223"/>
        <v/>
      </c>
      <c r="E500" s="41" t="str">
        <f t="shared" si="224"/>
        <v/>
      </c>
      <c r="F500" s="41" t="str">
        <f t="shared" si="224"/>
        <v/>
      </c>
      <c r="G500" s="41" t="str">
        <f t="shared" si="224"/>
        <v/>
      </c>
      <c r="H500" s="41" t="str">
        <f t="shared" si="224"/>
        <v/>
      </c>
      <c r="I500" s="41" t="str">
        <f t="shared" si="224"/>
        <v/>
      </c>
      <c r="J500" s="41" t="str">
        <f t="shared" si="224"/>
        <v/>
      </c>
      <c r="K500" s="41" t="str">
        <f t="shared" si="224"/>
        <v/>
      </c>
      <c r="L500" s="41" t="str">
        <f t="shared" si="224"/>
        <v/>
      </c>
      <c r="M500" s="41" t="str">
        <f t="shared" si="224"/>
        <v/>
      </c>
      <c r="N500" s="41" t="str">
        <f t="shared" si="224"/>
        <v/>
      </c>
      <c r="O500" s="41" t="str">
        <f t="shared" si="224"/>
        <v/>
      </c>
      <c r="P500" s="41" t="str">
        <f t="shared" si="224"/>
        <v/>
      </c>
      <c r="Q500" s="41" t="str">
        <f t="shared" si="224"/>
        <v/>
      </c>
      <c r="R500" s="41" t="str">
        <f t="shared" si="224"/>
        <v/>
      </c>
      <c r="S500" s="41" t="str">
        <f t="shared" si="224"/>
        <v/>
      </c>
      <c r="T500" s="41" t="str">
        <f t="shared" ref="O500:AD515" si="229">IF(OR($AQ500="",T$362=""),"",INDEX($C$245:$AL$280,$AQ500,T$362))</f>
        <v/>
      </c>
      <c r="U500" s="41" t="str">
        <f t="shared" si="229"/>
        <v/>
      </c>
      <c r="V500" s="41" t="str">
        <f t="shared" si="229"/>
        <v/>
      </c>
      <c r="W500" s="41" t="str">
        <f t="shared" si="229"/>
        <v/>
      </c>
      <c r="X500" s="41" t="str">
        <f t="shared" si="229"/>
        <v/>
      </c>
      <c r="Y500" s="41" t="str">
        <f t="shared" si="225"/>
        <v/>
      </c>
      <c r="Z500" s="41" t="str">
        <f t="shared" si="225"/>
        <v/>
      </c>
      <c r="AA500" s="41" t="str">
        <f t="shared" si="225"/>
        <v/>
      </c>
      <c r="AB500" s="41" t="str">
        <f t="shared" si="225"/>
        <v/>
      </c>
      <c r="AC500" s="41" t="str">
        <f t="shared" si="225"/>
        <v/>
      </c>
      <c r="AD500" s="41" t="str">
        <f t="shared" si="225"/>
        <v/>
      </c>
      <c r="AE500" s="41" t="str">
        <f t="shared" si="225"/>
        <v/>
      </c>
      <c r="AF500" s="41" t="str">
        <f t="shared" si="225"/>
        <v/>
      </c>
      <c r="AG500" s="41" t="str">
        <f t="shared" si="225"/>
        <v/>
      </c>
      <c r="AH500" s="41" t="str">
        <f t="shared" si="225"/>
        <v/>
      </c>
      <c r="AI500" s="41" t="str">
        <f t="shared" si="226"/>
        <v/>
      </c>
      <c r="AJ500" s="41" t="str">
        <f t="shared" si="226"/>
        <v/>
      </c>
      <c r="AK500" s="41" t="str">
        <f t="shared" si="226"/>
        <v/>
      </c>
      <c r="AL500" s="41" t="str">
        <f t="shared" si="226"/>
        <v/>
      </c>
      <c r="AM500" s="41" t="str">
        <f t="shared" si="226"/>
        <v/>
      </c>
      <c r="AN500" s="41" t="str">
        <f t="shared" si="226"/>
        <v/>
      </c>
      <c r="AO500" s="67" t="str">
        <f t="shared" si="227"/>
        <v/>
      </c>
      <c r="AP500" s="74" t="str">
        <f t="shared" si="228"/>
        <v/>
      </c>
      <c r="AQ500" t="str">
        <f>IFERROR(MATCH(16,$S$285:$S$320,0),"")</f>
        <v/>
      </c>
    </row>
    <row r="501" spans="2:43" ht="18" customHeight="1" x14ac:dyDescent="0.3">
      <c r="B501" s="42" t="str">
        <f t="shared" si="221"/>
        <v/>
      </c>
      <c r="C501" s="65" t="str">
        <f t="shared" si="222"/>
        <v/>
      </c>
      <c r="D501" s="67" t="str">
        <f t="shared" si="223"/>
        <v/>
      </c>
      <c r="E501" s="41" t="str">
        <f t="shared" ref="E501:T516" si="230">IF(OR($AQ501="",E$362=""),"",INDEX($C$245:$AL$280,$AQ501,E$362))</f>
        <v/>
      </c>
      <c r="F501" s="41" t="str">
        <f t="shared" si="230"/>
        <v/>
      </c>
      <c r="G501" s="41" t="str">
        <f t="shared" si="230"/>
        <v/>
      </c>
      <c r="H501" s="41" t="str">
        <f t="shared" si="230"/>
        <v/>
      </c>
      <c r="I501" s="41" t="str">
        <f t="shared" si="230"/>
        <v/>
      </c>
      <c r="J501" s="41" t="str">
        <f t="shared" si="230"/>
        <v/>
      </c>
      <c r="K501" s="41" t="str">
        <f t="shared" si="230"/>
        <v/>
      </c>
      <c r="L501" s="41" t="str">
        <f t="shared" si="230"/>
        <v/>
      </c>
      <c r="M501" s="41" t="str">
        <f t="shared" si="230"/>
        <v/>
      </c>
      <c r="N501" s="41" t="str">
        <f t="shared" si="230"/>
        <v/>
      </c>
      <c r="O501" s="41" t="str">
        <f t="shared" si="229"/>
        <v/>
      </c>
      <c r="P501" s="41" t="str">
        <f t="shared" si="229"/>
        <v/>
      </c>
      <c r="Q501" s="41" t="str">
        <f t="shared" si="229"/>
        <v/>
      </c>
      <c r="R501" s="41" t="str">
        <f t="shared" si="229"/>
        <v/>
      </c>
      <c r="S501" s="41" t="str">
        <f t="shared" si="229"/>
        <v/>
      </c>
      <c r="T501" s="41" t="str">
        <f t="shared" si="229"/>
        <v/>
      </c>
      <c r="U501" s="41" t="str">
        <f t="shared" si="229"/>
        <v/>
      </c>
      <c r="V501" s="41" t="str">
        <f t="shared" si="229"/>
        <v/>
      </c>
      <c r="W501" s="41" t="str">
        <f t="shared" si="229"/>
        <v/>
      </c>
      <c r="X501" s="41" t="str">
        <f t="shared" si="229"/>
        <v/>
      </c>
      <c r="Y501" s="41" t="str">
        <f t="shared" si="229"/>
        <v/>
      </c>
      <c r="Z501" s="41" t="str">
        <f t="shared" si="229"/>
        <v/>
      </c>
      <c r="AA501" s="41" t="str">
        <f t="shared" si="229"/>
        <v/>
      </c>
      <c r="AB501" s="41" t="str">
        <f t="shared" si="229"/>
        <v/>
      </c>
      <c r="AC501" s="41" t="str">
        <f t="shared" si="229"/>
        <v/>
      </c>
      <c r="AD501" s="41" t="str">
        <f t="shared" si="229"/>
        <v/>
      </c>
      <c r="AE501" s="41" t="str">
        <f t="shared" ref="Y501:AN516" si="231">IF(OR($AQ501="",AE$362=""),"",INDEX($C$245:$AL$280,$AQ501,AE$362))</f>
        <v/>
      </c>
      <c r="AF501" s="41" t="str">
        <f t="shared" si="231"/>
        <v/>
      </c>
      <c r="AG501" s="41" t="str">
        <f t="shared" si="231"/>
        <v/>
      </c>
      <c r="AH501" s="41" t="str">
        <f t="shared" si="231"/>
        <v/>
      </c>
      <c r="AI501" s="41" t="str">
        <f t="shared" si="231"/>
        <v/>
      </c>
      <c r="AJ501" s="41" t="str">
        <f t="shared" si="231"/>
        <v/>
      </c>
      <c r="AK501" s="41" t="str">
        <f t="shared" si="231"/>
        <v/>
      </c>
      <c r="AL501" s="41" t="str">
        <f t="shared" si="231"/>
        <v/>
      </c>
      <c r="AM501" s="41" t="str">
        <f t="shared" si="231"/>
        <v/>
      </c>
      <c r="AN501" s="41" t="str">
        <f t="shared" si="231"/>
        <v/>
      </c>
      <c r="AO501" s="67" t="str">
        <f t="shared" si="227"/>
        <v/>
      </c>
      <c r="AP501" s="74" t="str">
        <f t="shared" si="228"/>
        <v/>
      </c>
      <c r="AQ501" t="str">
        <f>IFERROR(MATCH(17,$S$285:$S$320,0),"")</f>
        <v/>
      </c>
    </row>
    <row r="502" spans="2:43" ht="18" customHeight="1" x14ac:dyDescent="0.3">
      <c r="B502" s="42" t="str">
        <f t="shared" si="221"/>
        <v/>
      </c>
      <c r="C502" s="65" t="str">
        <f t="shared" si="222"/>
        <v/>
      </c>
      <c r="D502" s="67" t="str">
        <f t="shared" si="223"/>
        <v/>
      </c>
      <c r="E502" s="41" t="str">
        <f t="shared" si="230"/>
        <v/>
      </c>
      <c r="F502" s="41" t="str">
        <f t="shared" si="230"/>
        <v/>
      </c>
      <c r="G502" s="41" t="str">
        <f t="shared" si="230"/>
        <v/>
      </c>
      <c r="H502" s="41" t="str">
        <f t="shared" si="230"/>
        <v/>
      </c>
      <c r="I502" s="41" t="str">
        <f t="shared" si="230"/>
        <v/>
      </c>
      <c r="J502" s="41" t="str">
        <f t="shared" si="230"/>
        <v/>
      </c>
      <c r="K502" s="41" t="str">
        <f t="shared" si="230"/>
        <v/>
      </c>
      <c r="L502" s="41" t="str">
        <f t="shared" si="230"/>
        <v/>
      </c>
      <c r="M502" s="41" t="str">
        <f t="shared" si="230"/>
        <v/>
      </c>
      <c r="N502" s="41" t="str">
        <f t="shared" si="230"/>
        <v/>
      </c>
      <c r="O502" s="41" t="str">
        <f t="shared" si="229"/>
        <v/>
      </c>
      <c r="P502" s="41" t="str">
        <f t="shared" si="229"/>
        <v/>
      </c>
      <c r="Q502" s="41" t="str">
        <f t="shared" si="229"/>
        <v/>
      </c>
      <c r="R502" s="41" t="str">
        <f t="shared" si="229"/>
        <v/>
      </c>
      <c r="S502" s="41" t="str">
        <f t="shared" si="229"/>
        <v/>
      </c>
      <c r="T502" s="41" t="str">
        <f t="shared" si="229"/>
        <v/>
      </c>
      <c r="U502" s="41" t="str">
        <f t="shared" si="229"/>
        <v/>
      </c>
      <c r="V502" s="41" t="str">
        <f t="shared" si="229"/>
        <v/>
      </c>
      <c r="W502" s="41" t="str">
        <f t="shared" si="229"/>
        <v/>
      </c>
      <c r="X502" s="41" t="str">
        <f t="shared" si="229"/>
        <v/>
      </c>
      <c r="Y502" s="41" t="str">
        <f t="shared" si="231"/>
        <v/>
      </c>
      <c r="Z502" s="41" t="str">
        <f t="shared" si="231"/>
        <v/>
      </c>
      <c r="AA502" s="41" t="str">
        <f t="shared" si="231"/>
        <v/>
      </c>
      <c r="AB502" s="41" t="str">
        <f t="shared" si="231"/>
        <v/>
      </c>
      <c r="AC502" s="41" t="str">
        <f t="shared" si="231"/>
        <v/>
      </c>
      <c r="AD502" s="41" t="str">
        <f t="shared" si="231"/>
        <v/>
      </c>
      <c r="AE502" s="41" t="str">
        <f t="shared" si="231"/>
        <v/>
      </c>
      <c r="AF502" s="41" t="str">
        <f t="shared" si="231"/>
        <v/>
      </c>
      <c r="AG502" s="41" t="str">
        <f t="shared" si="231"/>
        <v/>
      </c>
      <c r="AH502" s="41" t="str">
        <f t="shared" si="231"/>
        <v/>
      </c>
      <c r="AI502" s="41" t="str">
        <f t="shared" si="231"/>
        <v/>
      </c>
      <c r="AJ502" s="41" t="str">
        <f t="shared" si="231"/>
        <v/>
      </c>
      <c r="AK502" s="41" t="str">
        <f t="shared" si="231"/>
        <v/>
      </c>
      <c r="AL502" s="41" t="str">
        <f t="shared" si="231"/>
        <v/>
      </c>
      <c r="AM502" s="41" t="str">
        <f t="shared" si="231"/>
        <v/>
      </c>
      <c r="AN502" s="41" t="str">
        <f t="shared" si="231"/>
        <v/>
      </c>
      <c r="AO502" s="67" t="str">
        <f t="shared" si="227"/>
        <v/>
      </c>
      <c r="AP502" s="74" t="str">
        <f t="shared" si="228"/>
        <v/>
      </c>
      <c r="AQ502" t="str">
        <f>IFERROR(MATCH(18,$S$285:$S$320,0),"")</f>
        <v/>
      </c>
    </row>
    <row r="503" spans="2:43" ht="18" customHeight="1" x14ac:dyDescent="0.3">
      <c r="B503" s="42" t="str">
        <f t="shared" si="221"/>
        <v/>
      </c>
      <c r="C503" s="65" t="str">
        <f t="shared" si="222"/>
        <v/>
      </c>
      <c r="D503" s="67" t="str">
        <f t="shared" si="223"/>
        <v/>
      </c>
      <c r="E503" s="41" t="str">
        <f t="shared" si="230"/>
        <v/>
      </c>
      <c r="F503" s="41" t="str">
        <f t="shared" si="230"/>
        <v/>
      </c>
      <c r="G503" s="41" t="str">
        <f t="shared" si="230"/>
        <v/>
      </c>
      <c r="H503" s="41" t="str">
        <f t="shared" si="230"/>
        <v/>
      </c>
      <c r="I503" s="41" t="str">
        <f t="shared" si="230"/>
        <v/>
      </c>
      <c r="J503" s="41" t="str">
        <f t="shared" si="230"/>
        <v/>
      </c>
      <c r="K503" s="41" t="str">
        <f t="shared" si="230"/>
        <v/>
      </c>
      <c r="L503" s="41" t="str">
        <f t="shared" si="230"/>
        <v/>
      </c>
      <c r="M503" s="41" t="str">
        <f t="shared" si="230"/>
        <v/>
      </c>
      <c r="N503" s="41" t="str">
        <f t="shared" si="230"/>
        <v/>
      </c>
      <c r="O503" s="41" t="str">
        <f t="shared" si="229"/>
        <v/>
      </c>
      <c r="P503" s="41" t="str">
        <f t="shared" si="229"/>
        <v/>
      </c>
      <c r="Q503" s="41" t="str">
        <f t="shared" si="229"/>
        <v/>
      </c>
      <c r="R503" s="41" t="str">
        <f t="shared" si="229"/>
        <v/>
      </c>
      <c r="S503" s="41" t="str">
        <f t="shared" si="229"/>
        <v/>
      </c>
      <c r="T503" s="41" t="str">
        <f t="shared" si="229"/>
        <v/>
      </c>
      <c r="U503" s="41" t="str">
        <f t="shared" si="229"/>
        <v/>
      </c>
      <c r="V503" s="41" t="str">
        <f t="shared" si="229"/>
        <v/>
      </c>
      <c r="W503" s="41" t="str">
        <f t="shared" si="229"/>
        <v/>
      </c>
      <c r="X503" s="41" t="str">
        <f t="shared" si="229"/>
        <v/>
      </c>
      <c r="Y503" s="41" t="str">
        <f t="shared" si="231"/>
        <v/>
      </c>
      <c r="Z503" s="41" t="str">
        <f t="shared" si="231"/>
        <v/>
      </c>
      <c r="AA503" s="41" t="str">
        <f t="shared" si="231"/>
        <v/>
      </c>
      <c r="AB503" s="41" t="str">
        <f t="shared" si="231"/>
        <v/>
      </c>
      <c r="AC503" s="41" t="str">
        <f t="shared" si="231"/>
        <v/>
      </c>
      <c r="AD503" s="41" t="str">
        <f t="shared" si="231"/>
        <v/>
      </c>
      <c r="AE503" s="41" t="str">
        <f t="shared" si="231"/>
        <v/>
      </c>
      <c r="AF503" s="41" t="str">
        <f t="shared" si="231"/>
        <v/>
      </c>
      <c r="AG503" s="41" t="str">
        <f t="shared" si="231"/>
        <v/>
      </c>
      <c r="AH503" s="41" t="str">
        <f t="shared" si="231"/>
        <v/>
      </c>
      <c r="AI503" s="41" t="str">
        <f t="shared" si="231"/>
        <v/>
      </c>
      <c r="AJ503" s="41" t="str">
        <f t="shared" si="231"/>
        <v/>
      </c>
      <c r="AK503" s="41" t="str">
        <f t="shared" si="231"/>
        <v/>
      </c>
      <c r="AL503" s="41" t="str">
        <f t="shared" si="231"/>
        <v/>
      </c>
      <c r="AM503" s="41" t="str">
        <f t="shared" si="231"/>
        <v/>
      </c>
      <c r="AN503" s="41" t="str">
        <f t="shared" si="231"/>
        <v/>
      </c>
      <c r="AO503" s="67" t="str">
        <f t="shared" si="227"/>
        <v/>
      </c>
      <c r="AP503" s="74" t="str">
        <f t="shared" si="228"/>
        <v/>
      </c>
      <c r="AQ503" t="str">
        <f>IFERROR(MATCH(19,$S$285:$S$320,0),"")</f>
        <v/>
      </c>
    </row>
    <row r="504" spans="2:43" ht="18" customHeight="1" x14ac:dyDescent="0.3">
      <c r="B504" s="42" t="str">
        <f t="shared" si="221"/>
        <v/>
      </c>
      <c r="C504" s="65" t="str">
        <f t="shared" si="222"/>
        <v/>
      </c>
      <c r="D504" s="67" t="str">
        <f t="shared" si="223"/>
        <v/>
      </c>
      <c r="E504" s="41" t="str">
        <f t="shared" si="230"/>
        <v/>
      </c>
      <c r="F504" s="41" t="str">
        <f t="shared" si="230"/>
        <v/>
      </c>
      <c r="G504" s="41" t="str">
        <f t="shared" si="230"/>
        <v/>
      </c>
      <c r="H504" s="41" t="str">
        <f t="shared" si="230"/>
        <v/>
      </c>
      <c r="I504" s="41" t="str">
        <f t="shared" si="230"/>
        <v/>
      </c>
      <c r="J504" s="41" t="str">
        <f t="shared" si="230"/>
        <v/>
      </c>
      <c r="K504" s="41" t="str">
        <f t="shared" si="230"/>
        <v/>
      </c>
      <c r="L504" s="41" t="str">
        <f t="shared" si="230"/>
        <v/>
      </c>
      <c r="M504" s="41" t="str">
        <f t="shared" si="230"/>
        <v/>
      </c>
      <c r="N504" s="41" t="str">
        <f t="shared" si="230"/>
        <v/>
      </c>
      <c r="O504" s="41" t="str">
        <f t="shared" si="229"/>
        <v/>
      </c>
      <c r="P504" s="41" t="str">
        <f t="shared" si="229"/>
        <v/>
      </c>
      <c r="Q504" s="41" t="str">
        <f t="shared" si="229"/>
        <v/>
      </c>
      <c r="R504" s="41" t="str">
        <f t="shared" si="229"/>
        <v/>
      </c>
      <c r="S504" s="41" t="str">
        <f t="shared" si="229"/>
        <v/>
      </c>
      <c r="T504" s="41" t="str">
        <f t="shared" si="229"/>
        <v/>
      </c>
      <c r="U504" s="41" t="str">
        <f t="shared" si="229"/>
        <v/>
      </c>
      <c r="V504" s="41" t="str">
        <f t="shared" si="229"/>
        <v/>
      </c>
      <c r="W504" s="41" t="str">
        <f t="shared" si="229"/>
        <v/>
      </c>
      <c r="X504" s="41" t="str">
        <f t="shared" si="229"/>
        <v/>
      </c>
      <c r="Y504" s="41" t="str">
        <f t="shared" si="231"/>
        <v/>
      </c>
      <c r="Z504" s="41" t="str">
        <f t="shared" si="231"/>
        <v/>
      </c>
      <c r="AA504" s="41" t="str">
        <f t="shared" si="231"/>
        <v/>
      </c>
      <c r="AB504" s="41" t="str">
        <f t="shared" si="231"/>
        <v/>
      </c>
      <c r="AC504" s="41" t="str">
        <f t="shared" si="231"/>
        <v/>
      </c>
      <c r="AD504" s="41" t="str">
        <f t="shared" si="231"/>
        <v/>
      </c>
      <c r="AE504" s="41" t="str">
        <f t="shared" si="231"/>
        <v/>
      </c>
      <c r="AF504" s="41" t="str">
        <f t="shared" si="231"/>
        <v/>
      </c>
      <c r="AG504" s="41" t="str">
        <f t="shared" si="231"/>
        <v/>
      </c>
      <c r="AH504" s="41" t="str">
        <f t="shared" si="231"/>
        <v/>
      </c>
      <c r="AI504" s="41" t="str">
        <f t="shared" si="231"/>
        <v/>
      </c>
      <c r="AJ504" s="41" t="str">
        <f t="shared" si="231"/>
        <v/>
      </c>
      <c r="AK504" s="41" t="str">
        <f t="shared" si="231"/>
        <v/>
      </c>
      <c r="AL504" s="41" t="str">
        <f t="shared" si="231"/>
        <v/>
      </c>
      <c r="AM504" s="41" t="str">
        <f t="shared" si="231"/>
        <v/>
      </c>
      <c r="AN504" s="41" t="str">
        <f t="shared" si="231"/>
        <v/>
      </c>
      <c r="AO504" s="67" t="str">
        <f t="shared" si="227"/>
        <v/>
      </c>
      <c r="AP504" s="74" t="str">
        <f t="shared" si="228"/>
        <v/>
      </c>
      <c r="AQ504" t="str">
        <f>IFERROR(MATCH(20,$S$285:$S$320,0),"")</f>
        <v/>
      </c>
    </row>
    <row r="505" spans="2:43" ht="18" customHeight="1" x14ac:dyDescent="0.3">
      <c r="B505" s="42" t="str">
        <f t="shared" si="221"/>
        <v/>
      </c>
      <c r="C505" s="65" t="str">
        <f t="shared" si="222"/>
        <v/>
      </c>
      <c r="D505" s="67" t="str">
        <f t="shared" si="223"/>
        <v/>
      </c>
      <c r="E505" s="41" t="str">
        <f t="shared" si="230"/>
        <v/>
      </c>
      <c r="F505" s="41" t="str">
        <f t="shared" si="230"/>
        <v/>
      </c>
      <c r="G505" s="41" t="str">
        <f t="shared" si="230"/>
        <v/>
      </c>
      <c r="H505" s="41" t="str">
        <f t="shared" si="230"/>
        <v/>
      </c>
      <c r="I505" s="41" t="str">
        <f t="shared" si="230"/>
        <v/>
      </c>
      <c r="J505" s="41" t="str">
        <f t="shared" si="230"/>
        <v/>
      </c>
      <c r="K505" s="41" t="str">
        <f t="shared" si="230"/>
        <v/>
      </c>
      <c r="L505" s="41" t="str">
        <f t="shared" si="230"/>
        <v/>
      </c>
      <c r="M505" s="41" t="str">
        <f t="shared" si="230"/>
        <v/>
      </c>
      <c r="N505" s="41" t="str">
        <f t="shared" si="230"/>
        <v/>
      </c>
      <c r="O505" s="41" t="str">
        <f t="shared" si="229"/>
        <v/>
      </c>
      <c r="P505" s="41" t="str">
        <f t="shared" si="229"/>
        <v/>
      </c>
      <c r="Q505" s="41" t="str">
        <f t="shared" si="229"/>
        <v/>
      </c>
      <c r="R505" s="41" t="str">
        <f t="shared" si="229"/>
        <v/>
      </c>
      <c r="S505" s="41" t="str">
        <f t="shared" si="229"/>
        <v/>
      </c>
      <c r="T505" s="41" t="str">
        <f t="shared" si="229"/>
        <v/>
      </c>
      <c r="U505" s="41" t="str">
        <f t="shared" si="229"/>
        <v/>
      </c>
      <c r="V505" s="41" t="str">
        <f t="shared" si="229"/>
        <v/>
      </c>
      <c r="W505" s="41" t="str">
        <f t="shared" si="229"/>
        <v/>
      </c>
      <c r="X505" s="41" t="str">
        <f t="shared" si="229"/>
        <v/>
      </c>
      <c r="Y505" s="41" t="str">
        <f t="shared" si="231"/>
        <v/>
      </c>
      <c r="Z505" s="41" t="str">
        <f t="shared" si="231"/>
        <v/>
      </c>
      <c r="AA505" s="41" t="str">
        <f t="shared" si="231"/>
        <v/>
      </c>
      <c r="AB505" s="41" t="str">
        <f t="shared" si="231"/>
        <v/>
      </c>
      <c r="AC505" s="41" t="str">
        <f t="shared" si="231"/>
        <v/>
      </c>
      <c r="AD505" s="41" t="str">
        <f t="shared" si="231"/>
        <v/>
      </c>
      <c r="AE505" s="41" t="str">
        <f t="shared" si="231"/>
        <v/>
      </c>
      <c r="AF505" s="41" t="str">
        <f t="shared" si="231"/>
        <v/>
      </c>
      <c r="AG505" s="41" t="str">
        <f t="shared" si="231"/>
        <v/>
      </c>
      <c r="AH505" s="41" t="str">
        <f t="shared" si="231"/>
        <v/>
      </c>
      <c r="AI505" s="41" t="str">
        <f t="shared" si="231"/>
        <v/>
      </c>
      <c r="AJ505" s="41" t="str">
        <f t="shared" si="231"/>
        <v/>
      </c>
      <c r="AK505" s="41" t="str">
        <f t="shared" si="231"/>
        <v/>
      </c>
      <c r="AL505" s="41" t="str">
        <f t="shared" si="231"/>
        <v/>
      </c>
      <c r="AM505" s="41" t="str">
        <f t="shared" si="231"/>
        <v/>
      </c>
      <c r="AN505" s="41" t="str">
        <f t="shared" si="231"/>
        <v/>
      </c>
      <c r="AO505" s="67" t="str">
        <f t="shared" si="227"/>
        <v/>
      </c>
      <c r="AP505" s="74" t="str">
        <f t="shared" si="228"/>
        <v/>
      </c>
      <c r="AQ505" t="str">
        <f>IFERROR(MATCH(21,$S$285:$S$320,0),"")</f>
        <v/>
      </c>
    </row>
    <row r="506" spans="2:43" ht="18" customHeight="1" x14ac:dyDescent="0.3">
      <c r="B506" s="42" t="str">
        <f t="shared" si="221"/>
        <v/>
      </c>
      <c r="C506" s="65" t="str">
        <f t="shared" si="222"/>
        <v/>
      </c>
      <c r="D506" s="67" t="str">
        <f t="shared" si="223"/>
        <v/>
      </c>
      <c r="E506" s="41" t="str">
        <f t="shared" si="230"/>
        <v/>
      </c>
      <c r="F506" s="41" t="str">
        <f t="shared" si="230"/>
        <v/>
      </c>
      <c r="G506" s="41" t="str">
        <f t="shared" si="230"/>
        <v/>
      </c>
      <c r="H506" s="41" t="str">
        <f t="shared" si="230"/>
        <v/>
      </c>
      <c r="I506" s="41" t="str">
        <f t="shared" si="230"/>
        <v/>
      </c>
      <c r="J506" s="41" t="str">
        <f t="shared" si="230"/>
        <v/>
      </c>
      <c r="K506" s="41" t="str">
        <f t="shared" si="230"/>
        <v/>
      </c>
      <c r="L506" s="41" t="str">
        <f t="shared" si="230"/>
        <v/>
      </c>
      <c r="M506" s="41" t="str">
        <f t="shared" si="230"/>
        <v/>
      </c>
      <c r="N506" s="41" t="str">
        <f t="shared" si="230"/>
        <v/>
      </c>
      <c r="O506" s="41" t="str">
        <f t="shared" si="229"/>
        <v/>
      </c>
      <c r="P506" s="41" t="str">
        <f t="shared" si="229"/>
        <v/>
      </c>
      <c r="Q506" s="41" t="str">
        <f t="shared" si="229"/>
        <v/>
      </c>
      <c r="R506" s="41" t="str">
        <f t="shared" si="229"/>
        <v/>
      </c>
      <c r="S506" s="41" t="str">
        <f t="shared" si="229"/>
        <v/>
      </c>
      <c r="T506" s="41" t="str">
        <f t="shared" si="229"/>
        <v/>
      </c>
      <c r="U506" s="41" t="str">
        <f t="shared" si="229"/>
        <v/>
      </c>
      <c r="V506" s="41" t="str">
        <f t="shared" si="229"/>
        <v/>
      </c>
      <c r="W506" s="41" t="str">
        <f t="shared" si="229"/>
        <v/>
      </c>
      <c r="X506" s="41" t="str">
        <f t="shared" si="229"/>
        <v/>
      </c>
      <c r="Y506" s="41" t="str">
        <f t="shared" si="231"/>
        <v/>
      </c>
      <c r="Z506" s="41" t="str">
        <f t="shared" si="231"/>
        <v/>
      </c>
      <c r="AA506" s="41" t="str">
        <f t="shared" si="231"/>
        <v/>
      </c>
      <c r="AB506" s="41" t="str">
        <f t="shared" si="231"/>
        <v/>
      </c>
      <c r="AC506" s="41" t="str">
        <f t="shared" si="231"/>
        <v/>
      </c>
      <c r="AD506" s="41" t="str">
        <f t="shared" si="231"/>
        <v/>
      </c>
      <c r="AE506" s="41" t="str">
        <f t="shared" si="231"/>
        <v/>
      </c>
      <c r="AF506" s="41" t="str">
        <f t="shared" si="231"/>
        <v/>
      </c>
      <c r="AG506" s="41" t="str">
        <f t="shared" si="231"/>
        <v/>
      </c>
      <c r="AH506" s="41" t="str">
        <f t="shared" si="231"/>
        <v/>
      </c>
      <c r="AI506" s="41" t="str">
        <f t="shared" si="231"/>
        <v/>
      </c>
      <c r="AJ506" s="41" t="str">
        <f t="shared" si="231"/>
        <v/>
      </c>
      <c r="AK506" s="41" t="str">
        <f t="shared" si="231"/>
        <v/>
      </c>
      <c r="AL506" s="41" t="str">
        <f t="shared" si="231"/>
        <v/>
      </c>
      <c r="AM506" s="41" t="str">
        <f t="shared" si="231"/>
        <v/>
      </c>
      <c r="AN506" s="41" t="str">
        <f t="shared" si="231"/>
        <v/>
      </c>
      <c r="AO506" s="67" t="str">
        <f t="shared" si="227"/>
        <v/>
      </c>
      <c r="AP506" s="74" t="str">
        <f t="shared" si="228"/>
        <v/>
      </c>
      <c r="AQ506" t="str">
        <f>IFERROR(MATCH(22,$S$285:$S$320,0),"")</f>
        <v/>
      </c>
    </row>
    <row r="507" spans="2:43" ht="18" customHeight="1" x14ac:dyDescent="0.3">
      <c r="B507" s="42" t="str">
        <f t="shared" si="221"/>
        <v/>
      </c>
      <c r="C507" s="65" t="str">
        <f t="shared" si="222"/>
        <v/>
      </c>
      <c r="D507" s="67" t="str">
        <f t="shared" si="223"/>
        <v/>
      </c>
      <c r="E507" s="41" t="str">
        <f t="shared" si="230"/>
        <v/>
      </c>
      <c r="F507" s="41" t="str">
        <f t="shared" si="230"/>
        <v/>
      </c>
      <c r="G507" s="41" t="str">
        <f t="shared" si="230"/>
        <v/>
      </c>
      <c r="H507" s="41" t="str">
        <f t="shared" si="230"/>
        <v/>
      </c>
      <c r="I507" s="41" t="str">
        <f t="shared" si="230"/>
        <v/>
      </c>
      <c r="J507" s="41" t="str">
        <f t="shared" si="230"/>
        <v/>
      </c>
      <c r="K507" s="41" t="str">
        <f t="shared" si="230"/>
        <v/>
      </c>
      <c r="L507" s="41" t="str">
        <f t="shared" si="230"/>
        <v/>
      </c>
      <c r="M507" s="41" t="str">
        <f t="shared" si="230"/>
        <v/>
      </c>
      <c r="N507" s="41" t="str">
        <f t="shared" si="230"/>
        <v/>
      </c>
      <c r="O507" s="41" t="str">
        <f t="shared" si="229"/>
        <v/>
      </c>
      <c r="P507" s="41" t="str">
        <f t="shared" si="229"/>
        <v/>
      </c>
      <c r="Q507" s="41" t="str">
        <f t="shared" si="229"/>
        <v/>
      </c>
      <c r="R507" s="41" t="str">
        <f t="shared" si="229"/>
        <v/>
      </c>
      <c r="S507" s="41" t="str">
        <f t="shared" si="229"/>
        <v/>
      </c>
      <c r="T507" s="41" t="str">
        <f t="shared" si="229"/>
        <v/>
      </c>
      <c r="U507" s="41" t="str">
        <f t="shared" si="229"/>
        <v/>
      </c>
      <c r="V507" s="41" t="str">
        <f t="shared" si="229"/>
        <v/>
      </c>
      <c r="W507" s="41" t="str">
        <f t="shared" si="229"/>
        <v/>
      </c>
      <c r="X507" s="41" t="str">
        <f t="shared" si="229"/>
        <v/>
      </c>
      <c r="Y507" s="41" t="str">
        <f t="shared" si="231"/>
        <v/>
      </c>
      <c r="Z507" s="41" t="str">
        <f t="shared" si="231"/>
        <v/>
      </c>
      <c r="AA507" s="41" t="str">
        <f t="shared" si="231"/>
        <v/>
      </c>
      <c r="AB507" s="41" t="str">
        <f t="shared" si="231"/>
        <v/>
      </c>
      <c r="AC507" s="41" t="str">
        <f t="shared" si="231"/>
        <v/>
      </c>
      <c r="AD507" s="41" t="str">
        <f t="shared" si="231"/>
        <v/>
      </c>
      <c r="AE507" s="41" t="str">
        <f t="shared" si="231"/>
        <v/>
      </c>
      <c r="AF507" s="41" t="str">
        <f t="shared" si="231"/>
        <v/>
      </c>
      <c r="AG507" s="41" t="str">
        <f t="shared" si="231"/>
        <v/>
      </c>
      <c r="AH507" s="41" t="str">
        <f t="shared" si="231"/>
        <v/>
      </c>
      <c r="AI507" s="41" t="str">
        <f t="shared" si="231"/>
        <v/>
      </c>
      <c r="AJ507" s="41" t="str">
        <f t="shared" si="231"/>
        <v/>
      </c>
      <c r="AK507" s="41" t="str">
        <f t="shared" si="231"/>
        <v/>
      </c>
      <c r="AL507" s="41" t="str">
        <f t="shared" si="231"/>
        <v/>
      </c>
      <c r="AM507" s="41" t="str">
        <f t="shared" si="231"/>
        <v/>
      </c>
      <c r="AN507" s="41" t="str">
        <f t="shared" si="231"/>
        <v/>
      </c>
      <c r="AO507" s="67" t="str">
        <f t="shared" si="227"/>
        <v/>
      </c>
      <c r="AP507" s="74" t="str">
        <f t="shared" si="228"/>
        <v/>
      </c>
      <c r="AQ507" t="str">
        <f>IFERROR(MATCH(23,$S$285:$S$320,0),"")</f>
        <v/>
      </c>
    </row>
    <row r="508" spans="2:43" ht="18" customHeight="1" x14ac:dyDescent="0.3">
      <c r="B508" s="42" t="str">
        <f t="shared" si="221"/>
        <v/>
      </c>
      <c r="C508" s="65" t="str">
        <f t="shared" si="222"/>
        <v/>
      </c>
      <c r="D508" s="67" t="str">
        <f t="shared" si="223"/>
        <v/>
      </c>
      <c r="E508" s="41" t="str">
        <f t="shared" si="230"/>
        <v/>
      </c>
      <c r="F508" s="41" t="str">
        <f t="shared" si="230"/>
        <v/>
      </c>
      <c r="G508" s="41" t="str">
        <f t="shared" si="230"/>
        <v/>
      </c>
      <c r="H508" s="41" t="str">
        <f t="shared" si="230"/>
        <v/>
      </c>
      <c r="I508" s="41" t="str">
        <f t="shared" si="230"/>
        <v/>
      </c>
      <c r="J508" s="41" t="str">
        <f t="shared" si="230"/>
        <v/>
      </c>
      <c r="K508" s="41" t="str">
        <f t="shared" si="230"/>
        <v/>
      </c>
      <c r="L508" s="41" t="str">
        <f t="shared" si="230"/>
        <v/>
      </c>
      <c r="M508" s="41" t="str">
        <f t="shared" si="230"/>
        <v/>
      </c>
      <c r="N508" s="41" t="str">
        <f t="shared" si="230"/>
        <v/>
      </c>
      <c r="O508" s="41" t="str">
        <f t="shared" si="229"/>
        <v/>
      </c>
      <c r="P508" s="41" t="str">
        <f t="shared" si="229"/>
        <v/>
      </c>
      <c r="Q508" s="41" t="str">
        <f t="shared" si="229"/>
        <v/>
      </c>
      <c r="R508" s="41" t="str">
        <f t="shared" si="229"/>
        <v/>
      </c>
      <c r="S508" s="41" t="str">
        <f t="shared" si="229"/>
        <v/>
      </c>
      <c r="T508" s="41" t="str">
        <f t="shared" si="229"/>
        <v/>
      </c>
      <c r="U508" s="41" t="str">
        <f t="shared" si="229"/>
        <v/>
      </c>
      <c r="V508" s="41" t="str">
        <f t="shared" si="229"/>
        <v/>
      </c>
      <c r="W508" s="41" t="str">
        <f t="shared" si="229"/>
        <v/>
      </c>
      <c r="X508" s="41" t="str">
        <f t="shared" si="229"/>
        <v/>
      </c>
      <c r="Y508" s="41" t="str">
        <f t="shared" si="231"/>
        <v/>
      </c>
      <c r="Z508" s="41" t="str">
        <f t="shared" si="231"/>
        <v/>
      </c>
      <c r="AA508" s="41" t="str">
        <f t="shared" si="231"/>
        <v/>
      </c>
      <c r="AB508" s="41" t="str">
        <f t="shared" si="231"/>
        <v/>
      </c>
      <c r="AC508" s="41" t="str">
        <f t="shared" si="231"/>
        <v/>
      </c>
      <c r="AD508" s="41" t="str">
        <f t="shared" si="231"/>
        <v/>
      </c>
      <c r="AE508" s="41" t="str">
        <f t="shared" si="231"/>
        <v/>
      </c>
      <c r="AF508" s="41" t="str">
        <f t="shared" si="231"/>
        <v/>
      </c>
      <c r="AG508" s="41" t="str">
        <f t="shared" si="231"/>
        <v/>
      </c>
      <c r="AH508" s="41" t="str">
        <f t="shared" si="231"/>
        <v/>
      </c>
      <c r="AI508" s="41" t="str">
        <f t="shared" si="231"/>
        <v/>
      </c>
      <c r="AJ508" s="41" t="str">
        <f t="shared" si="231"/>
        <v/>
      </c>
      <c r="AK508" s="41" t="str">
        <f t="shared" si="231"/>
        <v/>
      </c>
      <c r="AL508" s="41" t="str">
        <f t="shared" si="231"/>
        <v/>
      </c>
      <c r="AM508" s="41" t="str">
        <f t="shared" si="231"/>
        <v/>
      </c>
      <c r="AN508" s="41" t="str">
        <f t="shared" si="231"/>
        <v/>
      </c>
      <c r="AO508" s="67" t="str">
        <f t="shared" si="227"/>
        <v/>
      </c>
      <c r="AP508" s="74" t="str">
        <f t="shared" si="228"/>
        <v/>
      </c>
      <c r="AQ508" t="str">
        <f>IFERROR(MATCH(24,$S$285:$S$320,0),"")</f>
        <v/>
      </c>
    </row>
    <row r="509" spans="2:43" ht="18" customHeight="1" x14ac:dyDescent="0.3">
      <c r="B509" s="42" t="str">
        <f t="shared" si="221"/>
        <v/>
      </c>
      <c r="C509" s="65" t="str">
        <f t="shared" si="222"/>
        <v/>
      </c>
      <c r="D509" s="67" t="str">
        <f t="shared" si="223"/>
        <v/>
      </c>
      <c r="E509" s="41" t="str">
        <f t="shared" si="230"/>
        <v/>
      </c>
      <c r="F509" s="41" t="str">
        <f t="shared" si="230"/>
        <v/>
      </c>
      <c r="G509" s="41" t="str">
        <f t="shared" si="230"/>
        <v/>
      </c>
      <c r="H509" s="41" t="str">
        <f t="shared" si="230"/>
        <v/>
      </c>
      <c r="I509" s="41" t="str">
        <f t="shared" si="230"/>
        <v/>
      </c>
      <c r="J509" s="41" t="str">
        <f t="shared" si="230"/>
        <v/>
      </c>
      <c r="K509" s="41" t="str">
        <f t="shared" si="230"/>
        <v/>
      </c>
      <c r="L509" s="41" t="str">
        <f t="shared" si="230"/>
        <v/>
      </c>
      <c r="M509" s="41" t="str">
        <f t="shared" si="230"/>
        <v/>
      </c>
      <c r="N509" s="41" t="str">
        <f t="shared" si="230"/>
        <v/>
      </c>
      <c r="O509" s="41" t="str">
        <f t="shared" si="229"/>
        <v/>
      </c>
      <c r="P509" s="41" t="str">
        <f t="shared" si="229"/>
        <v/>
      </c>
      <c r="Q509" s="41" t="str">
        <f t="shared" si="229"/>
        <v/>
      </c>
      <c r="R509" s="41" t="str">
        <f t="shared" si="229"/>
        <v/>
      </c>
      <c r="S509" s="41" t="str">
        <f t="shared" si="229"/>
        <v/>
      </c>
      <c r="T509" s="41" t="str">
        <f t="shared" si="229"/>
        <v/>
      </c>
      <c r="U509" s="41" t="str">
        <f t="shared" si="229"/>
        <v/>
      </c>
      <c r="V509" s="41" t="str">
        <f t="shared" si="229"/>
        <v/>
      </c>
      <c r="W509" s="41" t="str">
        <f t="shared" si="229"/>
        <v/>
      </c>
      <c r="X509" s="41" t="str">
        <f t="shared" si="229"/>
        <v/>
      </c>
      <c r="Y509" s="41" t="str">
        <f t="shared" si="231"/>
        <v/>
      </c>
      <c r="Z509" s="41" t="str">
        <f t="shared" si="231"/>
        <v/>
      </c>
      <c r="AA509" s="41" t="str">
        <f t="shared" si="231"/>
        <v/>
      </c>
      <c r="AB509" s="41" t="str">
        <f t="shared" si="231"/>
        <v/>
      </c>
      <c r="AC509" s="41" t="str">
        <f t="shared" si="231"/>
        <v/>
      </c>
      <c r="AD509" s="41" t="str">
        <f t="shared" si="231"/>
        <v/>
      </c>
      <c r="AE509" s="41" t="str">
        <f t="shared" si="231"/>
        <v/>
      </c>
      <c r="AF509" s="41" t="str">
        <f t="shared" si="231"/>
        <v/>
      </c>
      <c r="AG509" s="41" t="str">
        <f t="shared" si="231"/>
        <v/>
      </c>
      <c r="AH509" s="41" t="str">
        <f t="shared" si="231"/>
        <v/>
      </c>
      <c r="AI509" s="41" t="str">
        <f t="shared" si="231"/>
        <v/>
      </c>
      <c r="AJ509" s="41" t="str">
        <f t="shared" si="231"/>
        <v/>
      </c>
      <c r="AK509" s="41" t="str">
        <f t="shared" si="231"/>
        <v/>
      </c>
      <c r="AL509" s="41" t="str">
        <f t="shared" si="231"/>
        <v/>
      </c>
      <c r="AM509" s="41" t="str">
        <f t="shared" si="231"/>
        <v/>
      </c>
      <c r="AN509" s="41" t="str">
        <f t="shared" si="231"/>
        <v/>
      </c>
      <c r="AO509" s="67" t="str">
        <f t="shared" si="227"/>
        <v/>
      </c>
      <c r="AP509" s="74" t="str">
        <f t="shared" si="228"/>
        <v/>
      </c>
      <c r="AQ509" t="str">
        <f>IFERROR(MATCH(25,$S$285:$S$320,0),"")</f>
        <v/>
      </c>
    </row>
    <row r="510" spans="2:43" ht="18" customHeight="1" x14ac:dyDescent="0.3">
      <c r="B510" s="42" t="str">
        <f t="shared" si="221"/>
        <v/>
      </c>
      <c r="C510" s="65" t="str">
        <f t="shared" si="222"/>
        <v/>
      </c>
      <c r="D510" s="67" t="str">
        <f t="shared" si="223"/>
        <v/>
      </c>
      <c r="E510" s="41" t="str">
        <f t="shared" si="230"/>
        <v/>
      </c>
      <c r="F510" s="41" t="str">
        <f t="shared" si="230"/>
        <v/>
      </c>
      <c r="G510" s="41" t="str">
        <f t="shared" si="230"/>
        <v/>
      </c>
      <c r="H510" s="41" t="str">
        <f t="shared" si="230"/>
        <v/>
      </c>
      <c r="I510" s="41" t="str">
        <f t="shared" si="230"/>
        <v/>
      </c>
      <c r="J510" s="41" t="str">
        <f t="shared" si="230"/>
        <v/>
      </c>
      <c r="K510" s="41" t="str">
        <f t="shared" si="230"/>
        <v/>
      </c>
      <c r="L510" s="41" t="str">
        <f t="shared" si="230"/>
        <v/>
      </c>
      <c r="M510" s="41" t="str">
        <f t="shared" si="230"/>
        <v/>
      </c>
      <c r="N510" s="41" t="str">
        <f t="shared" si="230"/>
        <v/>
      </c>
      <c r="O510" s="41" t="str">
        <f t="shared" si="229"/>
        <v/>
      </c>
      <c r="P510" s="41" t="str">
        <f t="shared" si="229"/>
        <v/>
      </c>
      <c r="Q510" s="41" t="str">
        <f t="shared" si="229"/>
        <v/>
      </c>
      <c r="R510" s="41" t="str">
        <f t="shared" si="229"/>
        <v/>
      </c>
      <c r="S510" s="41" t="str">
        <f t="shared" si="229"/>
        <v/>
      </c>
      <c r="T510" s="41" t="str">
        <f t="shared" si="229"/>
        <v/>
      </c>
      <c r="U510" s="41" t="str">
        <f t="shared" si="229"/>
        <v/>
      </c>
      <c r="V510" s="41" t="str">
        <f t="shared" si="229"/>
        <v/>
      </c>
      <c r="W510" s="41" t="str">
        <f t="shared" si="229"/>
        <v/>
      </c>
      <c r="X510" s="41" t="str">
        <f t="shared" si="229"/>
        <v/>
      </c>
      <c r="Y510" s="41" t="str">
        <f t="shared" si="231"/>
        <v/>
      </c>
      <c r="Z510" s="41" t="str">
        <f t="shared" si="231"/>
        <v/>
      </c>
      <c r="AA510" s="41" t="str">
        <f t="shared" si="231"/>
        <v/>
      </c>
      <c r="AB510" s="41" t="str">
        <f t="shared" si="231"/>
        <v/>
      </c>
      <c r="AC510" s="41" t="str">
        <f t="shared" si="231"/>
        <v/>
      </c>
      <c r="AD510" s="41" t="str">
        <f t="shared" si="231"/>
        <v/>
      </c>
      <c r="AE510" s="41" t="str">
        <f t="shared" si="231"/>
        <v/>
      </c>
      <c r="AF510" s="41" t="str">
        <f t="shared" si="231"/>
        <v/>
      </c>
      <c r="AG510" s="41" t="str">
        <f t="shared" si="231"/>
        <v/>
      </c>
      <c r="AH510" s="41" t="str">
        <f t="shared" si="231"/>
        <v/>
      </c>
      <c r="AI510" s="41" t="str">
        <f t="shared" si="231"/>
        <v/>
      </c>
      <c r="AJ510" s="41" t="str">
        <f t="shared" si="231"/>
        <v/>
      </c>
      <c r="AK510" s="41" t="str">
        <f t="shared" si="231"/>
        <v/>
      </c>
      <c r="AL510" s="41" t="str">
        <f t="shared" si="231"/>
        <v/>
      </c>
      <c r="AM510" s="41" t="str">
        <f t="shared" si="231"/>
        <v/>
      </c>
      <c r="AN510" s="41" t="str">
        <f t="shared" si="231"/>
        <v/>
      </c>
      <c r="AO510" s="67" t="str">
        <f t="shared" si="227"/>
        <v/>
      </c>
      <c r="AP510" s="74" t="str">
        <f t="shared" si="228"/>
        <v/>
      </c>
      <c r="AQ510" t="str">
        <f>IFERROR(MATCH(26,$S$285:$S$320,0),"")</f>
        <v/>
      </c>
    </row>
    <row r="511" spans="2:43" ht="18" customHeight="1" x14ac:dyDescent="0.3">
      <c r="B511" s="42" t="str">
        <f t="shared" si="221"/>
        <v/>
      </c>
      <c r="C511" s="65" t="str">
        <f t="shared" si="222"/>
        <v/>
      </c>
      <c r="D511" s="67" t="str">
        <f t="shared" si="223"/>
        <v/>
      </c>
      <c r="E511" s="41" t="str">
        <f t="shared" si="230"/>
        <v/>
      </c>
      <c r="F511" s="41" t="str">
        <f t="shared" si="230"/>
        <v/>
      </c>
      <c r="G511" s="41" t="str">
        <f t="shared" si="230"/>
        <v/>
      </c>
      <c r="H511" s="41" t="str">
        <f t="shared" si="230"/>
        <v/>
      </c>
      <c r="I511" s="41" t="str">
        <f t="shared" si="230"/>
        <v/>
      </c>
      <c r="J511" s="41" t="str">
        <f t="shared" si="230"/>
        <v/>
      </c>
      <c r="K511" s="41" t="str">
        <f t="shared" si="230"/>
        <v/>
      </c>
      <c r="L511" s="41" t="str">
        <f t="shared" si="230"/>
        <v/>
      </c>
      <c r="M511" s="41" t="str">
        <f t="shared" si="230"/>
        <v/>
      </c>
      <c r="N511" s="41" t="str">
        <f t="shared" si="230"/>
        <v/>
      </c>
      <c r="O511" s="41" t="str">
        <f t="shared" si="229"/>
        <v/>
      </c>
      <c r="P511" s="41" t="str">
        <f t="shared" si="229"/>
        <v/>
      </c>
      <c r="Q511" s="41" t="str">
        <f t="shared" si="229"/>
        <v/>
      </c>
      <c r="R511" s="41" t="str">
        <f t="shared" si="229"/>
        <v/>
      </c>
      <c r="S511" s="41" t="str">
        <f t="shared" si="229"/>
        <v/>
      </c>
      <c r="T511" s="41" t="str">
        <f t="shared" si="229"/>
        <v/>
      </c>
      <c r="U511" s="41" t="str">
        <f t="shared" si="229"/>
        <v/>
      </c>
      <c r="V511" s="41" t="str">
        <f t="shared" si="229"/>
        <v/>
      </c>
      <c r="W511" s="41" t="str">
        <f t="shared" si="229"/>
        <v/>
      </c>
      <c r="X511" s="41" t="str">
        <f t="shared" si="229"/>
        <v/>
      </c>
      <c r="Y511" s="41" t="str">
        <f t="shared" si="231"/>
        <v/>
      </c>
      <c r="Z511" s="41" t="str">
        <f t="shared" si="231"/>
        <v/>
      </c>
      <c r="AA511" s="41" t="str">
        <f t="shared" si="231"/>
        <v/>
      </c>
      <c r="AB511" s="41" t="str">
        <f t="shared" si="231"/>
        <v/>
      </c>
      <c r="AC511" s="41" t="str">
        <f t="shared" si="231"/>
        <v/>
      </c>
      <c r="AD511" s="41" t="str">
        <f t="shared" si="231"/>
        <v/>
      </c>
      <c r="AE511" s="41" t="str">
        <f t="shared" si="231"/>
        <v/>
      </c>
      <c r="AF511" s="41" t="str">
        <f t="shared" si="231"/>
        <v/>
      </c>
      <c r="AG511" s="41" t="str">
        <f t="shared" si="231"/>
        <v/>
      </c>
      <c r="AH511" s="41" t="str">
        <f t="shared" si="231"/>
        <v/>
      </c>
      <c r="AI511" s="41" t="str">
        <f t="shared" si="231"/>
        <v/>
      </c>
      <c r="AJ511" s="41" t="str">
        <f t="shared" si="231"/>
        <v/>
      </c>
      <c r="AK511" s="41" t="str">
        <f t="shared" si="231"/>
        <v/>
      </c>
      <c r="AL511" s="41" t="str">
        <f t="shared" si="231"/>
        <v/>
      </c>
      <c r="AM511" s="41" t="str">
        <f t="shared" si="231"/>
        <v/>
      </c>
      <c r="AN511" s="41" t="str">
        <f t="shared" si="231"/>
        <v/>
      </c>
      <c r="AO511" s="67" t="str">
        <f t="shared" si="227"/>
        <v/>
      </c>
      <c r="AP511" s="74" t="str">
        <f t="shared" si="228"/>
        <v/>
      </c>
      <c r="AQ511" t="str">
        <f>IFERROR(MATCH(27,$S$285:$S$320,0),"")</f>
        <v/>
      </c>
    </row>
    <row r="512" spans="2:43" ht="18" customHeight="1" x14ac:dyDescent="0.3">
      <c r="B512" s="42" t="str">
        <f t="shared" si="221"/>
        <v/>
      </c>
      <c r="C512" s="65" t="str">
        <f t="shared" si="222"/>
        <v/>
      </c>
      <c r="D512" s="67" t="str">
        <f t="shared" si="223"/>
        <v/>
      </c>
      <c r="E512" s="41" t="str">
        <f t="shared" si="230"/>
        <v/>
      </c>
      <c r="F512" s="41" t="str">
        <f t="shared" si="230"/>
        <v/>
      </c>
      <c r="G512" s="41" t="str">
        <f t="shared" si="230"/>
        <v/>
      </c>
      <c r="H512" s="41" t="str">
        <f t="shared" si="230"/>
        <v/>
      </c>
      <c r="I512" s="41" t="str">
        <f t="shared" si="230"/>
        <v/>
      </c>
      <c r="J512" s="41" t="str">
        <f t="shared" si="230"/>
        <v/>
      </c>
      <c r="K512" s="41" t="str">
        <f t="shared" si="230"/>
        <v/>
      </c>
      <c r="L512" s="41" t="str">
        <f t="shared" si="230"/>
        <v/>
      </c>
      <c r="M512" s="41" t="str">
        <f t="shared" si="230"/>
        <v/>
      </c>
      <c r="N512" s="41" t="str">
        <f t="shared" si="230"/>
        <v/>
      </c>
      <c r="O512" s="41" t="str">
        <f t="shared" si="229"/>
        <v/>
      </c>
      <c r="P512" s="41" t="str">
        <f t="shared" si="229"/>
        <v/>
      </c>
      <c r="Q512" s="41" t="str">
        <f t="shared" si="229"/>
        <v/>
      </c>
      <c r="R512" s="41" t="str">
        <f t="shared" si="229"/>
        <v/>
      </c>
      <c r="S512" s="41" t="str">
        <f t="shared" si="229"/>
        <v/>
      </c>
      <c r="T512" s="41" t="str">
        <f t="shared" si="229"/>
        <v/>
      </c>
      <c r="U512" s="41" t="str">
        <f t="shared" si="229"/>
        <v/>
      </c>
      <c r="V512" s="41" t="str">
        <f t="shared" si="229"/>
        <v/>
      </c>
      <c r="W512" s="41" t="str">
        <f t="shared" si="229"/>
        <v/>
      </c>
      <c r="X512" s="41" t="str">
        <f t="shared" si="229"/>
        <v/>
      </c>
      <c r="Y512" s="41" t="str">
        <f t="shared" si="231"/>
        <v/>
      </c>
      <c r="Z512" s="41" t="str">
        <f t="shared" si="231"/>
        <v/>
      </c>
      <c r="AA512" s="41" t="str">
        <f t="shared" si="231"/>
        <v/>
      </c>
      <c r="AB512" s="41" t="str">
        <f t="shared" si="231"/>
        <v/>
      </c>
      <c r="AC512" s="41" t="str">
        <f t="shared" si="231"/>
        <v/>
      </c>
      <c r="AD512" s="41" t="str">
        <f t="shared" si="231"/>
        <v/>
      </c>
      <c r="AE512" s="41" t="str">
        <f t="shared" si="231"/>
        <v/>
      </c>
      <c r="AF512" s="41" t="str">
        <f t="shared" si="231"/>
        <v/>
      </c>
      <c r="AG512" s="41" t="str">
        <f t="shared" si="231"/>
        <v/>
      </c>
      <c r="AH512" s="41" t="str">
        <f t="shared" si="231"/>
        <v/>
      </c>
      <c r="AI512" s="41" t="str">
        <f t="shared" si="231"/>
        <v/>
      </c>
      <c r="AJ512" s="41" t="str">
        <f t="shared" si="231"/>
        <v/>
      </c>
      <c r="AK512" s="41" t="str">
        <f t="shared" si="231"/>
        <v/>
      </c>
      <c r="AL512" s="41" t="str">
        <f t="shared" si="231"/>
        <v/>
      </c>
      <c r="AM512" s="41" t="str">
        <f t="shared" si="231"/>
        <v/>
      </c>
      <c r="AN512" s="41" t="str">
        <f t="shared" si="231"/>
        <v/>
      </c>
      <c r="AO512" s="67" t="str">
        <f t="shared" si="227"/>
        <v/>
      </c>
      <c r="AP512" s="74" t="str">
        <f t="shared" si="228"/>
        <v/>
      </c>
      <c r="AQ512" t="str">
        <f>IFERROR(MATCH(28,$S$285:$S$320,0),"")</f>
        <v/>
      </c>
    </row>
    <row r="513" spans="2:43" ht="18" customHeight="1" x14ac:dyDescent="0.3">
      <c r="B513" s="42" t="str">
        <f t="shared" si="221"/>
        <v/>
      </c>
      <c r="C513" s="65" t="str">
        <f t="shared" si="222"/>
        <v/>
      </c>
      <c r="D513" s="67" t="str">
        <f t="shared" si="223"/>
        <v/>
      </c>
      <c r="E513" s="41" t="str">
        <f t="shared" si="230"/>
        <v/>
      </c>
      <c r="F513" s="41" t="str">
        <f t="shared" si="230"/>
        <v/>
      </c>
      <c r="G513" s="41" t="str">
        <f t="shared" si="230"/>
        <v/>
      </c>
      <c r="H513" s="41" t="str">
        <f t="shared" si="230"/>
        <v/>
      </c>
      <c r="I513" s="41" t="str">
        <f t="shared" si="230"/>
        <v/>
      </c>
      <c r="J513" s="41" t="str">
        <f t="shared" si="230"/>
        <v/>
      </c>
      <c r="K513" s="41" t="str">
        <f t="shared" si="230"/>
        <v/>
      </c>
      <c r="L513" s="41" t="str">
        <f t="shared" si="230"/>
        <v/>
      </c>
      <c r="M513" s="41" t="str">
        <f t="shared" si="230"/>
        <v/>
      </c>
      <c r="N513" s="41" t="str">
        <f t="shared" si="230"/>
        <v/>
      </c>
      <c r="O513" s="41" t="str">
        <f t="shared" si="229"/>
        <v/>
      </c>
      <c r="P513" s="41" t="str">
        <f t="shared" si="229"/>
        <v/>
      </c>
      <c r="Q513" s="41" t="str">
        <f t="shared" si="229"/>
        <v/>
      </c>
      <c r="R513" s="41" t="str">
        <f t="shared" si="229"/>
        <v/>
      </c>
      <c r="S513" s="41" t="str">
        <f t="shared" si="229"/>
        <v/>
      </c>
      <c r="T513" s="41" t="str">
        <f t="shared" si="229"/>
        <v/>
      </c>
      <c r="U513" s="41" t="str">
        <f t="shared" si="229"/>
        <v/>
      </c>
      <c r="V513" s="41" t="str">
        <f t="shared" si="229"/>
        <v/>
      </c>
      <c r="W513" s="41" t="str">
        <f t="shared" si="229"/>
        <v/>
      </c>
      <c r="X513" s="41" t="str">
        <f t="shared" si="229"/>
        <v/>
      </c>
      <c r="Y513" s="41" t="str">
        <f t="shared" si="231"/>
        <v/>
      </c>
      <c r="Z513" s="41" t="str">
        <f t="shared" si="231"/>
        <v/>
      </c>
      <c r="AA513" s="41" t="str">
        <f t="shared" si="231"/>
        <v/>
      </c>
      <c r="AB513" s="41" t="str">
        <f t="shared" si="231"/>
        <v/>
      </c>
      <c r="AC513" s="41" t="str">
        <f t="shared" si="231"/>
        <v/>
      </c>
      <c r="AD513" s="41" t="str">
        <f t="shared" si="231"/>
        <v/>
      </c>
      <c r="AE513" s="41" t="str">
        <f t="shared" si="231"/>
        <v/>
      </c>
      <c r="AF513" s="41" t="str">
        <f t="shared" si="231"/>
        <v/>
      </c>
      <c r="AG513" s="41" t="str">
        <f t="shared" si="231"/>
        <v/>
      </c>
      <c r="AH513" s="41" t="str">
        <f t="shared" si="231"/>
        <v/>
      </c>
      <c r="AI513" s="41" t="str">
        <f t="shared" si="231"/>
        <v/>
      </c>
      <c r="AJ513" s="41" t="str">
        <f t="shared" si="231"/>
        <v/>
      </c>
      <c r="AK513" s="41" t="str">
        <f t="shared" si="231"/>
        <v/>
      </c>
      <c r="AL513" s="41" t="str">
        <f t="shared" si="231"/>
        <v/>
      </c>
      <c r="AM513" s="41" t="str">
        <f t="shared" si="231"/>
        <v/>
      </c>
      <c r="AN513" s="41" t="str">
        <f t="shared" si="231"/>
        <v/>
      </c>
      <c r="AO513" s="67" t="str">
        <f t="shared" si="227"/>
        <v/>
      </c>
      <c r="AP513" s="74" t="str">
        <f t="shared" si="228"/>
        <v/>
      </c>
      <c r="AQ513" t="str">
        <f>IFERROR(MATCH(29,$S$285:$S$320,0),"")</f>
        <v/>
      </c>
    </row>
    <row r="514" spans="2:43" ht="18" customHeight="1" x14ac:dyDescent="0.3">
      <c r="B514" s="42" t="str">
        <f t="shared" si="221"/>
        <v/>
      </c>
      <c r="C514" s="65" t="str">
        <f t="shared" si="222"/>
        <v/>
      </c>
      <c r="D514" s="67" t="str">
        <f t="shared" si="223"/>
        <v/>
      </c>
      <c r="E514" s="41" t="str">
        <f t="shared" si="230"/>
        <v/>
      </c>
      <c r="F514" s="41" t="str">
        <f t="shared" si="230"/>
        <v/>
      </c>
      <c r="G514" s="41" t="str">
        <f t="shared" si="230"/>
        <v/>
      </c>
      <c r="H514" s="41" t="str">
        <f t="shared" si="230"/>
        <v/>
      </c>
      <c r="I514" s="41" t="str">
        <f t="shared" si="230"/>
        <v/>
      </c>
      <c r="J514" s="41" t="str">
        <f t="shared" si="230"/>
        <v/>
      </c>
      <c r="K514" s="41" t="str">
        <f t="shared" si="230"/>
        <v/>
      </c>
      <c r="L514" s="41" t="str">
        <f t="shared" si="230"/>
        <v/>
      </c>
      <c r="M514" s="41" t="str">
        <f t="shared" si="230"/>
        <v/>
      </c>
      <c r="N514" s="41" t="str">
        <f t="shared" si="230"/>
        <v/>
      </c>
      <c r="O514" s="41" t="str">
        <f t="shared" si="229"/>
        <v/>
      </c>
      <c r="P514" s="41" t="str">
        <f t="shared" si="229"/>
        <v/>
      </c>
      <c r="Q514" s="41" t="str">
        <f t="shared" si="229"/>
        <v/>
      </c>
      <c r="R514" s="41" t="str">
        <f t="shared" si="229"/>
        <v/>
      </c>
      <c r="S514" s="41" t="str">
        <f t="shared" si="229"/>
        <v/>
      </c>
      <c r="T514" s="41" t="str">
        <f t="shared" si="229"/>
        <v/>
      </c>
      <c r="U514" s="41" t="str">
        <f t="shared" si="229"/>
        <v/>
      </c>
      <c r="V514" s="41" t="str">
        <f t="shared" si="229"/>
        <v/>
      </c>
      <c r="W514" s="41" t="str">
        <f t="shared" si="229"/>
        <v/>
      </c>
      <c r="X514" s="41" t="str">
        <f t="shared" si="229"/>
        <v/>
      </c>
      <c r="Y514" s="41" t="str">
        <f t="shared" si="231"/>
        <v/>
      </c>
      <c r="Z514" s="41" t="str">
        <f t="shared" si="231"/>
        <v/>
      </c>
      <c r="AA514" s="41" t="str">
        <f t="shared" si="231"/>
        <v/>
      </c>
      <c r="AB514" s="41" t="str">
        <f t="shared" si="231"/>
        <v/>
      </c>
      <c r="AC514" s="41" t="str">
        <f t="shared" si="231"/>
        <v/>
      </c>
      <c r="AD514" s="41" t="str">
        <f t="shared" si="231"/>
        <v/>
      </c>
      <c r="AE514" s="41" t="str">
        <f t="shared" si="231"/>
        <v/>
      </c>
      <c r="AF514" s="41" t="str">
        <f t="shared" si="231"/>
        <v/>
      </c>
      <c r="AG514" s="41" t="str">
        <f t="shared" si="231"/>
        <v/>
      </c>
      <c r="AH514" s="41" t="str">
        <f t="shared" si="231"/>
        <v/>
      </c>
      <c r="AI514" s="41" t="str">
        <f t="shared" si="231"/>
        <v/>
      </c>
      <c r="AJ514" s="41" t="str">
        <f t="shared" si="231"/>
        <v/>
      </c>
      <c r="AK514" s="41" t="str">
        <f t="shared" si="231"/>
        <v/>
      </c>
      <c r="AL514" s="41" t="str">
        <f t="shared" si="231"/>
        <v/>
      </c>
      <c r="AM514" s="41" t="str">
        <f t="shared" si="231"/>
        <v/>
      </c>
      <c r="AN514" s="41" t="str">
        <f t="shared" si="231"/>
        <v/>
      </c>
      <c r="AO514" s="67" t="str">
        <f t="shared" si="227"/>
        <v/>
      </c>
      <c r="AP514" s="74" t="str">
        <f t="shared" si="228"/>
        <v/>
      </c>
      <c r="AQ514" t="str">
        <f>IFERROR(MATCH(30,$S$285:$S$320,0),"")</f>
        <v/>
      </c>
    </row>
    <row r="515" spans="2:43" ht="18" customHeight="1" x14ac:dyDescent="0.3">
      <c r="B515" s="42" t="str">
        <f t="shared" si="221"/>
        <v/>
      </c>
      <c r="C515" s="65" t="str">
        <f t="shared" si="222"/>
        <v/>
      </c>
      <c r="D515" s="67" t="str">
        <f t="shared" si="223"/>
        <v/>
      </c>
      <c r="E515" s="41" t="str">
        <f t="shared" si="230"/>
        <v/>
      </c>
      <c r="F515" s="41" t="str">
        <f t="shared" si="230"/>
        <v/>
      </c>
      <c r="G515" s="41" t="str">
        <f t="shared" si="230"/>
        <v/>
      </c>
      <c r="H515" s="41" t="str">
        <f t="shared" si="230"/>
        <v/>
      </c>
      <c r="I515" s="41" t="str">
        <f t="shared" si="230"/>
        <v/>
      </c>
      <c r="J515" s="41" t="str">
        <f t="shared" si="230"/>
        <v/>
      </c>
      <c r="K515" s="41" t="str">
        <f t="shared" si="230"/>
        <v/>
      </c>
      <c r="L515" s="41" t="str">
        <f t="shared" si="230"/>
        <v/>
      </c>
      <c r="M515" s="41" t="str">
        <f t="shared" si="230"/>
        <v/>
      </c>
      <c r="N515" s="41" t="str">
        <f t="shared" si="230"/>
        <v/>
      </c>
      <c r="O515" s="41" t="str">
        <f t="shared" si="229"/>
        <v/>
      </c>
      <c r="P515" s="41" t="str">
        <f t="shared" si="229"/>
        <v/>
      </c>
      <c r="Q515" s="41" t="str">
        <f t="shared" si="229"/>
        <v/>
      </c>
      <c r="R515" s="41" t="str">
        <f t="shared" si="229"/>
        <v/>
      </c>
      <c r="S515" s="41" t="str">
        <f t="shared" si="229"/>
        <v/>
      </c>
      <c r="T515" s="41" t="str">
        <f t="shared" si="229"/>
        <v/>
      </c>
      <c r="U515" s="41" t="str">
        <f t="shared" si="229"/>
        <v/>
      </c>
      <c r="V515" s="41" t="str">
        <f t="shared" si="229"/>
        <v/>
      </c>
      <c r="W515" s="41" t="str">
        <f t="shared" si="229"/>
        <v/>
      </c>
      <c r="X515" s="41" t="str">
        <f t="shared" si="229"/>
        <v/>
      </c>
      <c r="Y515" s="41" t="str">
        <f t="shared" si="231"/>
        <v/>
      </c>
      <c r="Z515" s="41" t="str">
        <f t="shared" si="231"/>
        <v/>
      </c>
      <c r="AA515" s="41" t="str">
        <f t="shared" si="231"/>
        <v/>
      </c>
      <c r="AB515" s="41" t="str">
        <f t="shared" si="231"/>
        <v/>
      </c>
      <c r="AC515" s="41" t="str">
        <f t="shared" si="231"/>
        <v/>
      </c>
      <c r="AD515" s="41" t="str">
        <f t="shared" si="231"/>
        <v/>
      </c>
      <c r="AE515" s="41" t="str">
        <f t="shared" si="231"/>
        <v/>
      </c>
      <c r="AF515" s="41" t="str">
        <f t="shared" si="231"/>
        <v/>
      </c>
      <c r="AG515" s="41" t="str">
        <f t="shared" si="231"/>
        <v/>
      </c>
      <c r="AH515" s="41" t="str">
        <f t="shared" si="231"/>
        <v/>
      </c>
      <c r="AI515" s="41" t="str">
        <f t="shared" si="231"/>
        <v/>
      </c>
      <c r="AJ515" s="41" t="str">
        <f t="shared" si="231"/>
        <v/>
      </c>
      <c r="AK515" s="41" t="str">
        <f t="shared" si="231"/>
        <v/>
      </c>
      <c r="AL515" s="41" t="str">
        <f t="shared" si="231"/>
        <v/>
      </c>
      <c r="AM515" s="41" t="str">
        <f t="shared" si="231"/>
        <v/>
      </c>
      <c r="AN515" s="41" t="str">
        <f t="shared" si="231"/>
        <v/>
      </c>
      <c r="AO515" s="67" t="str">
        <f t="shared" si="227"/>
        <v/>
      </c>
      <c r="AP515" s="74" t="str">
        <f t="shared" si="228"/>
        <v/>
      </c>
      <c r="AQ515" t="str">
        <f>IFERROR(MATCH(31,$S$285:$S$320,0),"")</f>
        <v/>
      </c>
    </row>
    <row r="516" spans="2:43" ht="18" customHeight="1" x14ac:dyDescent="0.3">
      <c r="B516" s="42" t="str">
        <f t="shared" si="221"/>
        <v/>
      </c>
      <c r="C516" s="65" t="str">
        <f t="shared" si="222"/>
        <v/>
      </c>
      <c r="D516" s="67" t="str">
        <f t="shared" si="223"/>
        <v/>
      </c>
      <c r="E516" s="41" t="str">
        <f t="shared" si="230"/>
        <v/>
      </c>
      <c r="F516" s="41" t="str">
        <f t="shared" si="230"/>
        <v/>
      </c>
      <c r="G516" s="41" t="str">
        <f t="shared" si="230"/>
        <v/>
      </c>
      <c r="H516" s="41" t="str">
        <f t="shared" si="230"/>
        <v/>
      </c>
      <c r="I516" s="41" t="str">
        <f t="shared" si="230"/>
        <v/>
      </c>
      <c r="J516" s="41" t="str">
        <f t="shared" si="230"/>
        <v/>
      </c>
      <c r="K516" s="41" t="str">
        <f t="shared" si="230"/>
        <v/>
      </c>
      <c r="L516" s="41" t="str">
        <f t="shared" si="230"/>
        <v/>
      </c>
      <c r="M516" s="41" t="str">
        <f t="shared" si="230"/>
        <v/>
      </c>
      <c r="N516" s="41" t="str">
        <f t="shared" si="230"/>
        <v/>
      </c>
      <c r="O516" s="41" t="str">
        <f t="shared" si="230"/>
        <v/>
      </c>
      <c r="P516" s="41" t="str">
        <f t="shared" si="230"/>
        <v/>
      </c>
      <c r="Q516" s="41" t="str">
        <f t="shared" si="230"/>
        <v/>
      </c>
      <c r="R516" s="41" t="str">
        <f t="shared" si="230"/>
        <v/>
      </c>
      <c r="S516" s="41" t="str">
        <f t="shared" si="230"/>
        <v/>
      </c>
      <c r="T516" s="41" t="str">
        <f t="shared" si="230"/>
        <v/>
      </c>
      <c r="U516" s="41" t="str">
        <f t="shared" ref="O516:AD521" si="232">IF(OR($AQ516="",U$362=""),"",INDEX($C$245:$AL$280,$AQ516,U$362))</f>
        <v/>
      </c>
      <c r="V516" s="41" t="str">
        <f t="shared" si="232"/>
        <v/>
      </c>
      <c r="W516" s="41" t="str">
        <f t="shared" si="232"/>
        <v/>
      </c>
      <c r="X516" s="41" t="str">
        <f t="shared" si="232"/>
        <v/>
      </c>
      <c r="Y516" s="41" t="str">
        <f t="shared" si="231"/>
        <v/>
      </c>
      <c r="Z516" s="41" t="str">
        <f t="shared" si="231"/>
        <v/>
      </c>
      <c r="AA516" s="41" t="str">
        <f t="shared" si="231"/>
        <v/>
      </c>
      <c r="AB516" s="41" t="str">
        <f t="shared" si="231"/>
        <v/>
      </c>
      <c r="AC516" s="41" t="str">
        <f t="shared" si="231"/>
        <v/>
      </c>
      <c r="AD516" s="41" t="str">
        <f t="shared" si="231"/>
        <v/>
      </c>
      <c r="AE516" s="41" t="str">
        <f t="shared" si="231"/>
        <v/>
      </c>
      <c r="AF516" s="41" t="str">
        <f t="shared" si="231"/>
        <v/>
      </c>
      <c r="AG516" s="41" t="str">
        <f t="shared" si="231"/>
        <v/>
      </c>
      <c r="AH516" s="41" t="str">
        <f t="shared" si="231"/>
        <v/>
      </c>
      <c r="AI516" s="41" t="str">
        <f t="shared" si="231"/>
        <v/>
      </c>
      <c r="AJ516" s="41" t="str">
        <f t="shared" si="231"/>
        <v/>
      </c>
      <c r="AK516" s="41" t="str">
        <f t="shared" si="231"/>
        <v/>
      </c>
      <c r="AL516" s="41" t="str">
        <f t="shared" si="231"/>
        <v/>
      </c>
      <c r="AM516" s="41" t="str">
        <f t="shared" si="231"/>
        <v/>
      </c>
      <c r="AN516" s="41" t="str">
        <f t="shared" si="231"/>
        <v/>
      </c>
      <c r="AO516" s="67" t="str">
        <f t="shared" si="227"/>
        <v/>
      </c>
      <c r="AP516" s="74" t="str">
        <f t="shared" si="228"/>
        <v/>
      </c>
      <c r="AQ516" t="str">
        <f>IFERROR(MATCH(32,$S$285:$S$320,0),"")</f>
        <v/>
      </c>
    </row>
    <row r="517" spans="2:43" ht="18" customHeight="1" x14ac:dyDescent="0.3">
      <c r="B517" s="42" t="str">
        <f t="shared" si="221"/>
        <v/>
      </c>
      <c r="C517" s="65" t="str">
        <f t="shared" si="222"/>
        <v/>
      </c>
      <c r="D517" s="67" t="str">
        <f t="shared" si="223"/>
        <v/>
      </c>
      <c r="E517" s="41" t="str">
        <f t="shared" ref="E517:N522" si="233">IF(OR($AQ517="",E$362=""),"",INDEX($C$245:$AL$280,$AQ517,E$362))</f>
        <v/>
      </c>
      <c r="F517" s="41" t="str">
        <f t="shared" si="233"/>
        <v/>
      </c>
      <c r="G517" s="41" t="str">
        <f t="shared" si="233"/>
        <v/>
      </c>
      <c r="H517" s="41" t="str">
        <f t="shared" si="233"/>
        <v/>
      </c>
      <c r="I517" s="41" t="str">
        <f t="shared" si="233"/>
        <v/>
      </c>
      <c r="J517" s="41" t="str">
        <f t="shared" si="233"/>
        <v/>
      </c>
      <c r="K517" s="41" t="str">
        <f t="shared" si="233"/>
        <v/>
      </c>
      <c r="L517" s="41" t="str">
        <f t="shared" si="233"/>
        <v/>
      </c>
      <c r="M517" s="41" t="str">
        <f t="shared" si="233"/>
        <v/>
      </c>
      <c r="N517" s="41" t="str">
        <f t="shared" si="233"/>
        <v/>
      </c>
      <c r="O517" s="41" t="str">
        <f t="shared" si="232"/>
        <v/>
      </c>
      <c r="P517" s="41" t="str">
        <f t="shared" si="232"/>
        <v/>
      </c>
      <c r="Q517" s="41" t="str">
        <f t="shared" si="232"/>
        <v/>
      </c>
      <c r="R517" s="41" t="str">
        <f t="shared" si="232"/>
        <v/>
      </c>
      <c r="S517" s="41" t="str">
        <f t="shared" si="232"/>
        <v/>
      </c>
      <c r="T517" s="41" t="str">
        <f t="shared" si="232"/>
        <v/>
      </c>
      <c r="U517" s="41" t="str">
        <f t="shared" si="232"/>
        <v/>
      </c>
      <c r="V517" s="41" t="str">
        <f t="shared" si="232"/>
        <v/>
      </c>
      <c r="W517" s="41" t="str">
        <f t="shared" si="232"/>
        <v/>
      </c>
      <c r="X517" s="41" t="str">
        <f t="shared" si="232"/>
        <v/>
      </c>
      <c r="Y517" s="41" t="str">
        <f t="shared" si="232"/>
        <v/>
      </c>
      <c r="Z517" s="41" t="str">
        <f t="shared" si="232"/>
        <v/>
      </c>
      <c r="AA517" s="41" t="str">
        <f t="shared" si="232"/>
        <v/>
      </c>
      <c r="AB517" s="41" t="str">
        <f t="shared" si="232"/>
        <v/>
      </c>
      <c r="AC517" s="41" t="str">
        <f t="shared" si="232"/>
        <v/>
      </c>
      <c r="AD517" s="41" t="str">
        <f t="shared" si="232"/>
        <v/>
      </c>
      <c r="AE517" s="41" t="str">
        <f t="shared" ref="Y517:AN522" si="234">IF(OR($AQ517="",AE$362=""),"",INDEX($C$245:$AL$280,$AQ517,AE$362))</f>
        <v/>
      </c>
      <c r="AF517" s="41" t="str">
        <f t="shared" si="234"/>
        <v/>
      </c>
      <c r="AG517" s="41" t="str">
        <f t="shared" si="234"/>
        <v/>
      </c>
      <c r="AH517" s="41" t="str">
        <f t="shared" si="234"/>
        <v/>
      </c>
      <c r="AI517" s="41" t="str">
        <f t="shared" si="234"/>
        <v/>
      </c>
      <c r="AJ517" s="41" t="str">
        <f t="shared" si="234"/>
        <v/>
      </c>
      <c r="AK517" s="41" t="str">
        <f t="shared" si="234"/>
        <v/>
      </c>
      <c r="AL517" s="41" t="str">
        <f t="shared" si="234"/>
        <v/>
      </c>
      <c r="AM517" s="41" t="str">
        <f t="shared" si="234"/>
        <v/>
      </c>
      <c r="AN517" s="41" t="str">
        <f t="shared" si="234"/>
        <v/>
      </c>
      <c r="AO517" s="67" t="str">
        <f t="shared" si="227"/>
        <v/>
      </c>
      <c r="AP517" s="74" t="str">
        <f t="shared" si="228"/>
        <v/>
      </c>
      <c r="AQ517" t="str">
        <f>IFERROR(MATCH(33,$S$285:$S$320,0),"")</f>
        <v/>
      </c>
    </row>
    <row r="518" spans="2:43" ht="18" customHeight="1" x14ac:dyDescent="0.3">
      <c r="B518" s="42" t="str">
        <f t="shared" si="221"/>
        <v/>
      </c>
      <c r="C518" s="65" t="str">
        <f t="shared" si="222"/>
        <v/>
      </c>
      <c r="D518" s="67" t="str">
        <f t="shared" si="223"/>
        <v/>
      </c>
      <c r="E518" s="41" t="str">
        <f t="shared" si="233"/>
        <v/>
      </c>
      <c r="F518" s="41" t="str">
        <f t="shared" si="233"/>
        <v/>
      </c>
      <c r="G518" s="41" t="str">
        <f t="shared" si="233"/>
        <v/>
      </c>
      <c r="H518" s="41" t="str">
        <f t="shared" si="233"/>
        <v/>
      </c>
      <c r="I518" s="41" t="str">
        <f t="shared" si="233"/>
        <v/>
      </c>
      <c r="J518" s="41" t="str">
        <f t="shared" si="233"/>
        <v/>
      </c>
      <c r="K518" s="41" t="str">
        <f t="shared" si="233"/>
        <v/>
      </c>
      <c r="L518" s="41" t="str">
        <f t="shared" si="233"/>
        <v/>
      </c>
      <c r="M518" s="41" t="str">
        <f t="shared" si="233"/>
        <v/>
      </c>
      <c r="N518" s="41" t="str">
        <f t="shared" si="233"/>
        <v/>
      </c>
      <c r="O518" s="41" t="str">
        <f t="shared" si="232"/>
        <v/>
      </c>
      <c r="P518" s="41" t="str">
        <f t="shared" si="232"/>
        <v/>
      </c>
      <c r="Q518" s="41" t="str">
        <f t="shared" si="232"/>
        <v/>
      </c>
      <c r="R518" s="41" t="str">
        <f t="shared" si="232"/>
        <v/>
      </c>
      <c r="S518" s="41" t="str">
        <f t="shared" si="232"/>
        <v/>
      </c>
      <c r="T518" s="41" t="str">
        <f t="shared" si="232"/>
        <v/>
      </c>
      <c r="U518" s="41" t="str">
        <f t="shared" si="232"/>
        <v/>
      </c>
      <c r="V518" s="41" t="str">
        <f t="shared" si="232"/>
        <v/>
      </c>
      <c r="W518" s="41" t="str">
        <f t="shared" si="232"/>
        <v/>
      </c>
      <c r="X518" s="41" t="str">
        <f t="shared" si="232"/>
        <v/>
      </c>
      <c r="Y518" s="41" t="str">
        <f t="shared" si="234"/>
        <v/>
      </c>
      <c r="Z518" s="41" t="str">
        <f t="shared" si="234"/>
        <v/>
      </c>
      <c r="AA518" s="41" t="str">
        <f t="shared" si="234"/>
        <v/>
      </c>
      <c r="AB518" s="41" t="str">
        <f t="shared" si="234"/>
        <v/>
      </c>
      <c r="AC518" s="41" t="str">
        <f t="shared" si="234"/>
        <v/>
      </c>
      <c r="AD518" s="41" t="str">
        <f t="shared" si="234"/>
        <v/>
      </c>
      <c r="AE518" s="41" t="str">
        <f t="shared" si="234"/>
        <v/>
      </c>
      <c r="AF518" s="41" t="str">
        <f t="shared" si="234"/>
        <v/>
      </c>
      <c r="AG518" s="41" t="str">
        <f t="shared" si="234"/>
        <v/>
      </c>
      <c r="AH518" s="41" t="str">
        <f t="shared" si="234"/>
        <v/>
      </c>
      <c r="AI518" s="41" t="str">
        <f t="shared" si="234"/>
        <v/>
      </c>
      <c r="AJ518" s="41" t="str">
        <f t="shared" si="234"/>
        <v/>
      </c>
      <c r="AK518" s="41" t="str">
        <f t="shared" si="234"/>
        <v/>
      </c>
      <c r="AL518" s="41" t="str">
        <f t="shared" si="234"/>
        <v/>
      </c>
      <c r="AM518" s="41" t="str">
        <f t="shared" si="234"/>
        <v/>
      </c>
      <c r="AN518" s="41" t="str">
        <f t="shared" si="234"/>
        <v/>
      </c>
      <c r="AO518" s="67" t="str">
        <f t="shared" si="227"/>
        <v/>
      </c>
      <c r="AP518" s="74" t="str">
        <f t="shared" si="228"/>
        <v/>
      </c>
      <c r="AQ518" t="str">
        <f>IFERROR(MATCH(34,$S$285:$S$320,0),"")</f>
        <v/>
      </c>
    </row>
    <row r="519" spans="2:43" ht="18" customHeight="1" x14ac:dyDescent="0.3">
      <c r="B519" s="42" t="str">
        <f t="shared" si="221"/>
        <v/>
      </c>
      <c r="C519" s="65" t="str">
        <f t="shared" si="222"/>
        <v/>
      </c>
      <c r="D519" s="67" t="str">
        <f t="shared" si="223"/>
        <v/>
      </c>
      <c r="E519" s="41" t="str">
        <f t="shared" si="233"/>
        <v/>
      </c>
      <c r="F519" s="41" t="str">
        <f t="shared" si="233"/>
        <v/>
      </c>
      <c r="G519" s="41" t="str">
        <f t="shared" si="233"/>
        <v/>
      </c>
      <c r="H519" s="41" t="str">
        <f t="shared" si="233"/>
        <v/>
      </c>
      <c r="I519" s="41" t="str">
        <f t="shared" si="233"/>
        <v/>
      </c>
      <c r="J519" s="41" t="str">
        <f t="shared" si="233"/>
        <v/>
      </c>
      <c r="K519" s="41" t="str">
        <f t="shared" si="233"/>
        <v/>
      </c>
      <c r="L519" s="41" t="str">
        <f t="shared" si="233"/>
        <v/>
      </c>
      <c r="M519" s="41" t="str">
        <f t="shared" si="233"/>
        <v/>
      </c>
      <c r="N519" s="41" t="str">
        <f t="shared" si="233"/>
        <v/>
      </c>
      <c r="O519" s="41" t="str">
        <f t="shared" si="232"/>
        <v/>
      </c>
      <c r="P519" s="41" t="str">
        <f t="shared" si="232"/>
        <v/>
      </c>
      <c r="Q519" s="41" t="str">
        <f t="shared" si="232"/>
        <v/>
      </c>
      <c r="R519" s="41" t="str">
        <f t="shared" si="232"/>
        <v/>
      </c>
      <c r="S519" s="41" t="str">
        <f t="shared" si="232"/>
        <v/>
      </c>
      <c r="T519" s="41" t="str">
        <f t="shared" si="232"/>
        <v/>
      </c>
      <c r="U519" s="41" t="str">
        <f t="shared" si="232"/>
        <v/>
      </c>
      <c r="V519" s="41" t="str">
        <f t="shared" si="232"/>
        <v/>
      </c>
      <c r="W519" s="41" t="str">
        <f t="shared" si="232"/>
        <v/>
      </c>
      <c r="X519" s="41" t="str">
        <f t="shared" si="232"/>
        <v/>
      </c>
      <c r="Y519" s="41" t="str">
        <f t="shared" si="234"/>
        <v/>
      </c>
      <c r="Z519" s="41" t="str">
        <f t="shared" si="234"/>
        <v/>
      </c>
      <c r="AA519" s="41" t="str">
        <f t="shared" si="234"/>
        <v/>
      </c>
      <c r="AB519" s="41" t="str">
        <f t="shared" si="234"/>
        <v/>
      </c>
      <c r="AC519" s="41" t="str">
        <f t="shared" si="234"/>
        <v/>
      </c>
      <c r="AD519" s="41" t="str">
        <f t="shared" si="234"/>
        <v/>
      </c>
      <c r="AE519" s="41" t="str">
        <f t="shared" si="234"/>
        <v/>
      </c>
      <c r="AF519" s="41" t="str">
        <f t="shared" si="234"/>
        <v/>
      </c>
      <c r="AG519" s="41" t="str">
        <f t="shared" si="234"/>
        <v/>
      </c>
      <c r="AH519" s="41" t="str">
        <f t="shared" si="234"/>
        <v/>
      </c>
      <c r="AI519" s="41" t="str">
        <f t="shared" si="234"/>
        <v/>
      </c>
      <c r="AJ519" s="41" t="str">
        <f t="shared" si="234"/>
        <v/>
      </c>
      <c r="AK519" s="41" t="str">
        <f t="shared" si="234"/>
        <v/>
      </c>
      <c r="AL519" s="41" t="str">
        <f t="shared" si="234"/>
        <v/>
      </c>
      <c r="AM519" s="41" t="str">
        <f t="shared" si="234"/>
        <v/>
      </c>
      <c r="AN519" s="41" t="str">
        <f t="shared" si="234"/>
        <v/>
      </c>
      <c r="AO519" s="67" t="str">
        <f t="shared" si="227"/>
        <v/>
      </c>
      <c r="AP519" s="74" t="str">
        <f t="shared" si="228"/>
        <v/>
      </c>
      <c r="AQ519" t="str">
        <f>IFERROR(MATCH(35,$S$285:$S$320,0),"")</f>
        <v/>
      </c>
    </row>
    <row r="520" spans="2:43" ht="18" customHeight="1" x14ac:dyDescent="0.3">
      <c r="B520" s="42" t="str">
        <f t="shared" si="221"/>
        <v/>
      </c>
      <c r="C520" s="65" t="str">
        <f t="shared" si="222"/>
        <v/>
      </c>
      <c r="D520" s="67" t="str">
        <f t="shared" si="223"/>
        <v/>
      </c>
      <c r="E520" s="41" t="str">
        <f t="shared" si="233"/>
        <v/>
      </c>
      <c r="F520" s="41" t="str">
        <f t="shared" si="233"/>
        <v/>
      </c>
      <c r="G520" s="41" t="str">
        <f t="shared" si="233"/>
        <v/>
      </c>
      <c r="H520" s="41" t="str">
        <f t="shared" si="233"/>
        <v/>
      </c>
      <c r="I520" s="41" t="str">
        <f t="shared" si="233"/>
        <v/>
      </c>
      <c r="J520" s="41" t="str">
        <f t="shared" si="233"/>
        <v/>
      </c>
      <c r="K520" s="41" t="str">
        <f t="shared" si="233"/>
        <v/>
      </c>
      <c r="L520" s="41" t="str">
        <f t="shared" si="233"/>
        <v/>
      </c>
      <c r="M520" s="41" t="str">
        <f t="shared" si="233"/>
        <v/>
      </c>
      <c r="N520" s="41" t="str">
        <f t="shared" si="233"/>
        <v/>
      </c>
      <c r="O520" s="41" t="str">
        <f t="shared" si="232"/>
        <v/>
      </c>
      <c r="P520" s="41" t="str">
        <f t="shared" si="232"/>
        <v/>
      </c>
      <c r="Q520" s="41" t="str">
        <f t="shared" si="232"/>
        <v/>
      </c>
      <c r="R520" s="41" t="str">
        <f t="shared" si="232"/>
        <v/>
      </c>
      <c r="S520" s="41" t="str">
        <f t="shared" si="232"/>
        <v/>
      </c>
      <c r="T520" s="41" t="str">
        <f t="shared" si="232"/>
        <v/>
      </c>
      <c r="U520" s="41" t="str">
        <f t="shared" si="232"/>
        <v/>
      </c>
      <c r="V520" s="41" t="str">
        <f t="shared" si="232"/>
        <v/>
      </c>
      <c r="W520" s="41" t="str">
        <f t="shared" si="232"/>
        <v/>
      </c>
      <c r="X520" s="41" t="str">
        <f t="shared" si="232"/>
        <v/>
      </c>
      <c r="Y520" s="41" t="str">
        <f t="shared" si="234"/>
        <v/>
      </c>
      <c r="Z520" s="41" t="str">
        <f t="shared" si="234"/>
        <v/>
      </c>
      <c r="AA520" s="41" t="str">
        <f t="shared" si="234"/>
        <v/>
      </c>
      <c r="AB520" s="41" t="str">
        <f t="shared" si="234"/>
        <v/>
      </c>
      <c r="AC520" s="41" t="str">
        <f t="shared" si="234"/>
        <v/>
      </c>
      <c r="AD520" s="41" t="str">
        <f t="shared" si="234"/>
        <v/>
      </c>
      <c r="AE520" s="41" t="str">
        <f t="shared" si="234"/>
        <v/>
      </c>
      <c r="AF520" s="41" t="str">
        <f t="shared" si="234"/>
        <v/>
      </c>
      <c r="AG520" s="41" t="str">
        <f t="shared" si="234"/>
        <v/>
      </c>
      <c r="AH520" s="41" t="str">
        <f t="shared" si="234"/>
        <v/>
      </c>
      <c r="AI520" s="41" t="str">
        <f t="shared" si="234"/>
        <v/>
      </c>
      <c r="AJ520" s="41" t="str">
        <f t="shared" si="234"/>
        <v/>
      </c>
      <c r="AK520" s="41" t="str">
        <f t="shared" si="234"/>
        <v/>
      </c>
      <c r="AL520" s="41" t="str">
        <f t="shared" si="234"/>
        <v/>
      </c>
      <c r="AM520" s="41" t="str">
        <f t="shared" si="234"/>
        <v/>
      </c>
      <c r="AN520" s="41" t="str">
        <f t="shared" si="234"/>
        <v/>
      </c>
      <c r="AO520" s="67" t="str">
        <f t="shared" si="227"/>
        <v/>
      </c>
      <c r="AP520" s="74" t="str">
        <f t="shared" si="228"/>
        <v/>
      </c>
      <c r="AQ520" t="str">
        <f>IFERROR(MATCH(36,$S$285:$S$320,0),"")</f>
        <v/>
      </c>
    </row>
    <row r="523" spans="2:43" ht="22.05" customHeight="1" thickBot="1" x14ac:dyDescent="0.35">
      <c r="B523" s="61" t="s">
        <v>204</v>
      </c>
      <c r="C523" s="61"/>
      <c r="D523" s="61"/>
      <c r="E523" s="61"/>
      <c r="F523" s="61"/>
      <c r="G523" s="61"/>
      <c r="H523" s="61"/>
      <c r="I523" s="61"/>
    </row>
    <row r="524" spans="2:43" ht="42" thickBot="1" x14ac:dyDescent="0.35">
      <c r="B524" s="36" t="s">
        <v>123</v>
      </c>
      <c r="C524" s="36" t="s">
        <v>205</v>
      </c>
      <c r="D524" s="36" t="s">
        <v>190</v>
      </c>
      <c r="E524" s="36" t="s">
        <v>206</v>
      </c>
      <c r="F524" s="36" t="s">
        <v>207</v>
      </c>
      <c r="G524" s="36" t="s">
        <v>208</v>
      </c>
      <c r="H524" s="36" t="s">
        <v>200</v>
      </c>
      <c r="I524" s="36" t="s">
        <v>209</v>
      </c>
    </row>
    <row r="525" spans="2:43" ht="18" customHeight="1" x14ac:dyDescent="0.3">
      <c r="B525" s="9" t="str">
        <f t="shared" ref="B525:D540" si="235">B485</f>
        <v>U1X</v>
      </c>
      <c r="C525" s="7" t="str">
        <f t="shared" si="235"/>
        <v>R_U1X</v>
      </c>
      <c r="D525" s="35" t="str">
        <f t="shared" si="235"/>
        <v>=</v>
      </c>
      <c r="E525" s="75">
        <f t="shared" ref="E525:E560" si="236">IF($AQ485="","",INDEX($CF$285:$CF$320,$AQ485))</f>
        <v>499.99999999999989</v>
      </c>
      <c r="F525" s="76">
        <f t="shared" ref="F525:F560" si="237">IF($AQ485="","",INDEX($F$285:$F$320,$AQ485))</f>
        <v>0</v>
      </c>
      <c r="G525" s="77">
        <f t="shared" ref="G525:G560" si="238">IF($AQ485="","",E525-F525)</f>
        <v>499.99999999999989</v>
      </c>
      <c r="H525" s="72" t="str">
        <f t="shared" ref="H525:H560" si="239">IF($AQ485="","",IF(RIGHT(B525,1)="θ","kgf·cm","kgf"))</f>
        <v>kgf</v>
      </c>
      <c r="I525" s="73" t="str">
        <f t="shared" ref="I525:I560" si="240">IF($AQ485="","",IF(RIGHT(B525,1)="θ","Momento de reacción en apoyo","Fuerza de reacción en apoyo"))</f>
        <v>Fuerza de reacción en apoyo</v>
      </c>
    </row>
    <row r="526" spans="2:43" ht="18" customHeight="1" x14ac:dyDescent="0.3">
      <c r="B526" s="9" t="str">
        <f t="shared" si="235"/>
        <v>U1Y</v>
      </c>
      <c r="C526" s="7" t="str">
        <f t="shared" si="235"/>
        <v>R_U1Y</v>
      </c>
      <c r="D526" s="35" t="str">
        <f t="shared" si="235"/>
        <v>=</v>
      </c>
      <c r="E526" s="75">
        <f t="shared" si="236"/>
        <v>127.14285714285751</v>
      </c>
      <c r="F526" s="76">
        <f t="shared" si="237"/>
        <v>0</v>
      </c>
      <c r="G526" s="77">
        <f t="shared" si="238"/>
        <v>127.14285714285751</v>
      </c>
      <c r="H526" s="72" t="str">
        <f t="shared" si="239"/>
        <v>kgf</v>
      </c>
      <c r="I526" s="73" t="str">
        <f t="shared" si="240"/>
        <v>Fuerza de reacción en apoyo</v>
      </c>
    </row>
    <row r="527" spans="2:43" ht="18" customHeight="1" x14ac:dyDescent="0.3">
      <c r="B527" s="9" t="str">
        <f t="shared" si="235"/>
        <v>U3Y</v>
      </c>
      <c r="C527" s="7" t="str">
        <f t="shared" si="235"/>
        <v>R_U3Y</v>
      </c>
      <c r="D527" s="35" t="str">
        <f t="shared" si="235"/>
        <v>=</v>
      </c>
      <c r="E527" s="75">
        <f t="shared" si="236"/>
        <v>2156.0714285714298</v>
      </c>
      <c r="F527" s="76">
        <f t="shared" si="237"/>
        <v>0</v>
      </c>
      <c r="G527" s="77">
        <f t="shared" si="238"/>
        <v>2156.0714285714298</v>
      </c>
      <c r="H527" s="72" t="str">
        <f t="shared" si="239"/>
        <v>kgf</v>
      </c>
      <c r="I527" s="73" t="str">
        <f t="shared" si="240"/>
        <v>Fuerza de reacción en apoyo</v>
      </c>
    </row>
    <row r="528" spans="2:43" ht="18" customHeight="1" x14ac:dyDescent="0.3">
      <c r="B528" s="9" t="str">
        <f t="shared" si="235"/>
        <v>U5X</v>
      </c>
      <c r="C528" s="7" t="str">
        <f t="shared" si="235"/>
        <v>R_U5X</v>
      </c>
      <c r="D528" s="35" t="str">
        <f t="shared" si="235"/>
        <v>=</v>
      </c>
      <c r="E528" s="75">
        <f t="shared" si="236"/>
        <v>1000</v>
      </c>
      <c r="F528" s="76">
        <f t="shared" si="237"/>
        <v>0</v>
      </c>
      <c r="G528" s="77">
        <f t="shared" si="238"/>
        <v>1000</v>
      </c>
      <c r="H528" s="72" t="str">
        <f t="shared" si="239"/>
        <v>kgf</v>
      </c>
      <c r="I528" s="73" t="str">
        <f t="shared" si="240"/>
        <v>Fuerza de reacción en apoyo</v>
      </c>
    </row>
    <row r="529" spans="2:9" ht="18" customHeight="1" x14ac:dyDescent="0.3">
      <c r="B529" s="9" t="str">
        <f t="shared" si="235"/>
        <v>U5Y</v>
      </c>
      <c r="C529" s="7" t="str">
        <f t="shared" si="235"/>
        <v>R_U5Y</v>
      </c>
      <c r="D529" s="35" t="str">
        <f t="shared" si="235"/>
        <v>=</v>
      </c>
      <c r="E529" s="75">
        <f t="shared" si="236"/>
        <v>1001.9285714285727</v>
      </c>
      <c r="F529" s="76">
        <f t="shared" si="237"/>
        <v>0</v>
      </c>
      <c r="G529" s="77">
        <f t="shared" si="238"/>
        <v>1001.9285714285727</v>
      </c>
      <c r="H529" s="72" t="str">
        <f t="shared" si="239"/>
        <v>kgf</v>
      </c>
      <c r="I529" s="73" t="str">
        <f t="shared" si="240"/>
        <v>Fuerza de reacción en apoyo</v>
      </c>
    </row>
    <row r="530" spans="2:9" ht="18" customHeight="1" x14ac:dyDescent="0.3">
      <c r="B530" s="9" t="str">
        <f t="shared" si="235"/>
        <v>U7X</v>
      </c>
      <c r="C530" s="7" t="str">
        <f t="shared" si="235"/>
        <v>R_U7X</v>
      </c>
      <c r="D530" s="35" t="str">
        <f t="shared" si="235"/>
        <v>=</v>
      </c>
      <c r="E530" s="75">
        <f t="shared" si="236"/>
        <v>0</v>
      </c>
      <c r="F530" s="76">
        <f t="shared" si="237"/>
        <v>0</v>
      </c>
      <c r="G530" s="77">
        <f t="shared" si="238"/>
        <v>0</v>
      </c>
      <c r="H530" s="72" t="str">
        <f t="shared" si="239"/>
        <v>kgf</v>
      </c>
      <c r="I530" s="73" t="str">
        <f t="shared" si="240"/>
        <v>Fuerza de reacción en apoyo</v>
      </c>
    </row>
    <row r="531" spans="2:9" ht="18" customHeight="1" x14ac:dyDescent="0.3">
      <c r="B531" s="9" t="str">
        <f t="shared" si="235"/>
        <v>U7Y</v>
      </c>
      <c r="C531" s="7" t="str">
        <f t="shared" si="235"/>
        <v>R_U7Y</v>
      </c>
      <c r="D531" s="35" t="str">
        <f t="shared" si="235"/>
        <v>=</v>
      </c>
      <c r="E531" s="75">
        <f t="shared" si="236"/>
        <v>-85.142857142856883</v>
      </c>
      <c r="F531" s="76">
        <f t="shared" si="237"/>
        <v>0</v>
      </c>
      <c r="G531" s="77">
        <f t="shared" si="238"/>
        <v>-85.142857142856883</v>
      </c>
      <c r="H531" s="72" t="str">
        <f t="shared" si="239"/>
        <v>kgf</v>
      </c>
      <c r="I531" s="73" t="str">
        <f t="shared" si="240"/>
        <v>Fuerza de reacción en apoyo</v>
      </c>
    </row>
    <row r="532" spans="2:9" ht="18" customHeight="1" x14ac:dyDescent="0.3">
      <c r="B532" s="9" t="str">
        <f t="shared" si="235"/>
        <v/>
      </c>
      <c r="C532" s="7" t="str">
        <f t="shared" si="235"/>
        <v/>
      </c>
      <c r="D532" s="35" t="str">
        <f t="shared" si="235"/>
        <v/>
      </c>
      <c r="E532" s="75" t="str">
        <f t="shared" si="236"/>
        <v/>
      </c>
      <c r="F532" s="76" t="str">
        <f t="shared" si="237"/>
        <v/>
      </c>
      <c r="G532" s="77" t="str">
        <f t="shared" si="238"/>
        <v/>
      </c>
      <c r="H532" s="72" t="str">
        <f t="shared" si="239"/>
        <v/>
      </c>
      <c r="I532" s="73" t="str">
        <f t="shared" si="240"/>
        <v/>
      </c>
    </row>
    <row r="533" spans="2:9" ht="18" customHeight="1" x14ac:dyDescent="0.3">
      <c r="B533" s="9" t="str">
        <f t="shared" si="235"/>
        <v/>
      </c>
      <c r="C533" s="7" t="str">
        <f t="shared" si="235"/>
        <v/>
      </c>
      <c r="D533" s="35" t="str">
        <f t="shared" si="235"/>
        <v/>
      </c>
      <c r="E533" s="75" t="str">
        <f t="shared" si="236"/>
        <v/>
      </c>
      <c r="F533" s="76" t="str">
        <f t="shared" si="237"/>
        <v/>
      </c>
      <c r="G533" s="77" t="str">
        <f t="shared" si="238"/>
        <v/>
      </c>
      <c r="H533" s="72" t="str">
        <f t="shared" si="239"/>
        <v/>
      </c>
      <c r="I533" s="73" t="str">
        <f t="shared" si="240"/>
        <v/>
      </c>
    </row>
    <row r="534" spans="2:9" ht="18" customHeight="1" x14ac:dyDescent="0.3">
      <c r="B534" s="9" t="str">
        <f t="shared" si="235"/>
        <v/>
      </c>
      <c r="C534" s="7" t="str">
        <f t="shared" si="235"/>
        <v/>
      </c>
      <c r="D534" s="35" t="str">
        <f t="shared" si="235"/>
        <v/>
      </c>
      <c r="E534" s="75" t="str">
        <f t="shared" si="236"/>
        <v/>
      </c>
      <c r="F534" s="76" t="str">
        <f t="shared" si="237"/>
        <v/>
      </c>
      <c r="G534" s="77" t="str">
        <f t="shared" si="238"/>
        <v/>
      </c>
      <c r="H534" s="72" t="str">
        <f t="shared" si="239"/>
        <v/>
      </c>
      <c r="I534" s="73" t="str">
        <f t="shared" si="240"/>
        <v/>
      </c>
    </row>
    <row r="535" spans="2:9" ht="18" customHeight="1" x14ac:dyDescent="0.3">
      <c r="B535" s="9" t="str">
        <f t="shared" si="235"/>
        <v/>
      </c>
      <c r="C535" s="7" t="str">
        <f t="shared" si="235"/>
        <v/>
      </c>
      <c r="D535" s="35" t="str">
        <f t="shared" si="235"/>
        <v/>
      </c>
      <c r="E535" s="75" t="str">
        <f t="shared" si="236"/>
        <v/>
      </c>
      <c r="F535" s="76" t="str">
        <f t="shared" si="237"/>
        <v/>
      </c>
      <c r="G535" s="77" t="str">
        <f t="shared" si="238"/>
        <v/>
      </c>
      <c r="H535" s="72" t="str">
        <f t="shared" si="239"/>
        <v/>
      </c>
      <c r="I535" s="73" t="str">
        <f t="shared" si="240"/>
        <v/>
      </c>
    </row>
    <row r="536" spans="2:9" ht="18" customHeight="1" x14ac:dyDescent="0.3">
      <c r="B536" s="9" t="str">
        <f t="shared" si="235"/>
        <v/>
      </c>
      <c r="C536" s="7" t="str">
        <f t="shared" si="235"/>
        <v/>
      </c>
      <c r="D536" s="35" t="str">
        <f t="shared" si="235"/>
        <v/>
      </c>
      <c r="E536" s="75" t="str">
        <f t="shared" si="236"/>
        <v/>
      </c>
      <c r="F536" s="76" t="str">
        <f t="shared" si="237"/>
        <v/>
      </c>
      <c r="G536" s="77" t="str">
        <f t="shared" si="238"/>
        <v/>
      </c>
      <c r="H536" s="72" t="str">
        <f t="shared" si="239"/>
        <v/>
      </c>
      <c r="I536" s="73" t="str">
        <f t="shared" si="240"/>
        <v/>
      </c>
    </row>
    <row r="537" spans="2:9" ht="18" customHeight="1" x14ac:dyDescent="0.3">
      <c r="B537" s="9" t="str">
        <f t="shared" si="235"/>
        <v/>
      </c>
      <c r="C537" s="7" t="str">
        <f t="shared" si="235"/>
        <v/>
      </c>
      <c r="D537" s="35" t="str">
        <f t="shared" si="235"/>
        <v/>
      </c>
      <c r="E537" s="75" t="str">
        <f t="shared" si="236"/>
        <v/>
      </c>
      <c r="F537" s="76" t="str">
        <f t="shared" si="237"/>
        <v/>
      </c>
      <c r="G537" s="77" t="str">
        <f t="shared" si="238"/>
        <v/>
      </c>
      <c r="H537" s="72" t="str">
        <f t="shared" si="239"/>
        <v/>
      </c>
      <c r="I537" s="73" t="str">
        <f t="shared" si="240"/>
        <v/>
      </c>
    </row>
    <row r="538" spans="2:9" ht="18" customHeight="1" x14ac:dyDescent="0.3">
      <c r="B538" s="9" t="str">
        <f t="shared" si="235"/>
        <v/>
      </c>
      <c r="C538" s="7" t="str">
        <f t="shared" si="235"/>
        <v/>
      </c>
      <c r="D538" s="35" t="str">
        <f t="shared" si="235"/>
        <v/>
      </c>
      <c r="E538" s="75" t="str">
        <f t="shared" si="236"/>
        <v/>
      </c>
      <c r="F538" s="76" t="str">
        <f t="shared" si="237"/>
        <v/>
      </c>
      <c r="G538" s="77" t="str">
        <f t="shared" si="238"/>
        <v/>
      </c>
      <c r="H538" s="72" t="str">
        <f t="shared" si="239"/>
        <v/>
      </c>
      <c r="I538" s="73" t="str">
        <f t="shared" si="240"/>
        <v/>
      </c>
    </row>
    <row r="539" spans="2:9" ht="18" customHeight="1" x14ac:dyDescent="0.3">
      <c r="B539" s="9" t="str">
        <f t="shared" si="235"/>
        <v/>
      </c>
      <c r="C539" s="7" t="str">
        <f t="shared" si="235"/>
        <v/>
      </c>
      <c r="D539" s="35" t="str">
        <f t="shared" si="235"/>
        <v/>
      </c>
      <c r="E539" s="75" t="str">
        <f t="shared" si="236"/>
        <v/>
      </c>
      <c r="F539" s="76" t="str">
        <f t="shared" si="237"/>
        <v/>
      </c>
      <c r="G539" s="77" t="str">
        <f t="shared" si="238"/>
        <v/>
      </c>
      <c r="H539" s="72" t="str">
        <f t="shared" si="239"/>
        <v/>
      </c>
      <c r="I539" s="73" t="str">
        <f t="shared" si="240"/>
        <v/>
      </c>
    </row>
    <row r="540" spans="2:9" ht="18" customHeight="1" x14ac:dyDescent="0.3">
      <c r="B540" s="9" t="str">
        <f t="shared" si="235"/>
        <v/>
      </c>
      <c r="C540" s="7" t="str">
        <f t="shared" si="235"/>
        <v/>
      </c>
      <c r="D540" s="35" t="str">
        <f t="shared" si="235"/>
        <v/>
      </c>
      <c r="E540" s="75" t="str">
        <f t="shared" si="236"/>
        <v/>
      </c>
      <c r="F540" s="76" t="str">
        <f t="shared" si="237"/>
        <v/>
      </c>
      <c r="G540" s="77" t="str">
        <f t="shared" si="238"/>
        <v/>
      </c>
      <c r="H540" s="72" t="str">
        <f t="shared" si="239"/>
        <v/>
      </c>
      <c r="I540" s="73" t="str">
        <f t="shared" si="240"/>
        <v/>
      </c>
    </row>
    <row r="541" spans="2:9" ht="18" customHeight="1" x14ac:dyDescent="0.3">
      <c r="B541" s="9" t="str">
        <f t="shared" ref="B541:D556" si="241">B501</f>
        <v/>
      </c>
      <c r="C541" s="7" t="str">
        <f t="shared" si="241"/>
        <v/>
      </c>
      <c r="D541" s="35" t="str">
        <f t="shared" si="241"/>
        <v/>
      </c>
      <c r="E541" s="75" t="str">
        <f t="shared" si="236"/>
        <v/>
      </c>
      <c r="F541" s="76" t="str">
        <f t="shared" si="237"/>
        <v/>
      </c>
      <c r="G541" s="77" t="str">
        <f t="shared" si="238"/>
        <v/>
      </c>
      <c r="H541" s="72" t="str">
        <f t="shared" si="239"/>
        <v/>
      </c>
      <c r="I541" s="73" t="str">
        <f t="shared" si="240"/>
        <v/>
      </c>
    </row>
    <row r="542" spans="2:9" ht="18" customHeight="1" x14ac:dyDescent="0.3">
      <c r="B542" s="9" t="str">
        <f t="shared" si="241"/>
        <v/>
      </c>
      <c r="C542" s="7" t="str">
        <f t="shared" si="241"/>
        <v/>
      </c>
      <c r="D542" s="35" t="str">
        <f t="shared" si="241"/>
        <v/>
      </c>
      <c r="E542" s="75" t="str">
        <f t="shared" si="236"/>
        <v/>
      </c>
      <c r="F542" s="76" t="str">
        <f t="shared" si="237"/>
        <v/>
      </c>
      <c r="G542" s="77" t="str">
        <f t="shared" si="238"/>
        <v/>
      </c>
      <c r="H542" s="72" t="str">
        <f t="shared" si="239"/>
        <v/>
      </c>
      <c r="I542" s="73" t="str">
        <f t="shared" si="240"/>
        <v/>
      </c>
    </row>
    <row r="543" spans="2:9" ht="18" customHeight="1" x14ac:dyDescent="0.3">
      <c r="B543" s="9" t="str">
        <f t="shared" si="241"/>
        <v/>
      </c>
      <c r="C543" s="7" t="str">
        <f t="shared" si="241"/>
        <v/>
      </c>
      <c r="D543" s="35" t="str">
        <f t="shared" si="241"/>
        <v/>
      </c>
      <c r="E543" s="75" t="str">
        <f t="shared" si="236"/>
        <v/>
      </c>
      <c r="F543" s="76" t="str">
        <f t="shared" si="237"/>
        <v/>
      </c>
      <c r="G543" s="77" t="str">
        <f t="shared" si="238"/>
        <v/>
      </c>
      <c r="H543" s="72" t="str">
        <f t="shared" si="239"/>
        <v/>
      </c>
      <c r="I543" s="73" t="str">
        <f t="shared" si="240"/>
        <v/>
      </c>
    </row>
    <row r="544" spans="2:9" ht="18" customHeight="1" x14ac:dyDescent="0.3">
      <c r="B544" s="9" t="str">
        <f t="shared" si="241"/>
        <v/>
      </c>
      <c r="C544" s="7" t="str">
        <f t="shared" si="241"/>
        <v/>
      </c>
      <c r="D544" s="35" t="str">
        <f t="shared" si="241"/>
        <v/>
      </c>
      <c r="E544" s="75" t="str">
        <f t="shared" si="236"/>
        <v/>
      </c>
      <c r="F544" s="76" t="str">
        <f t="shared" si="237"/>
        <v/>
      </c>
      <c r="G544" s="77" t="str">
        <f t="shared" si="238"/>
        <v/>
      </c>
      <c r="H544" s="72" t="str">
        <f t="shared" si="239"/>
        <v/>
      </c>
      <c r="I544" s="73" t="str">
        <f t="shared" si="240"/>
        <v/>
      </c>
    </row>
    <row r="545" spans="2:9" ht="18" customHeight="1" x14ac:dyDescent="0.3">
      <c r="B545" s="9" t="str">
        <f t="shared" si="241"/>
        <v/>
      </c>
      <c r="C545" s="7" t="str">
        <f t="shared" si="241"/>
        <v/>
      </c>
      <c r="D545" s="35" t="str">
        <f t="shared" si="241"/>
        <v/>
      </c>
      <c r="E545" s="75" t="str">
        <f t="shared" si="236"/>
        <v/>
      </c>
      <c r="F545" s="76" t="str">
        <f t="shared" si="237"/>
        <v/>
      </c>
      <c r="G545" s="77" t="str">
        <f t="shared" si="238"/>
        <v/>
      </c>
      <c r="H545" s="72" t="str">
        <f t="shared" si="239"/>
        <v/>
      </c>
      <c r="I545" s="73" t="str">
        <f t="shared" si="240"/>
        <v/>
      </c>
    </row>
    <row r="546" spans="2:9" ht="18" customHeight="1" x14ac:dyDescent="0.3">
      <c r="B546" s="9" t="str">
        <f t="shared" si="241"/>
        <v/>
      </c>
      <c r="C546" s="7" t="str">
        <f t="shared" si="241"/>
        <v/>
      </c>
      <c r="D546" s="35" t="str">
        <f t="shared" si="241"/>
        <v/>
      </c>
      <c r="E546" s="75" t="str">
        <f t="shared" si="236"/>
        <v/>
      </c>
      <c r="F546" s="76" t="str">
        <f t="shared" si="237"/>
        <v/>
      </c>
      <c r="G546" s="77" t="str">
        <f t="shared" si="238"/>
        <v/>
      </c>
      <c r="H546" s="72" t="str">
        <f t="shared" si="239"/>
        <v/>
      </c>
      <c r="I546" s="73" t="str">
        <f t="shared" si="240"/>
        <v/>
      </c>
    </row>
    <row r="547" spans="2:9" ht="18" customHeight="1" x14ac:dyDescent="0.3">
      <c r="B547" s="9" t="str">
        <f t="shared" si="241"/>
        <v/>
      </c>
      <c r="C547" s="7" t="str">
        <f t="shared" si="241"/>
        <v/>
      </c>
      <c r="D547" s="35" t="str">
        <f t="shared" si="241"/>
        <v/>
      </c>
      <c r="E547" s="75" t="str">
        <f t="shared" si="236"/>
        <v/>
      </c>
      <c r="F547" s="76" t="str">
        <f t="shared" si="237"/>
        <v/>
      </c>
      <c r="G547" s="77" t="str">
        <f t="shared" si="238"/>
        <v/>
      </c>
      <c r="H547" s="72" t="str">
        <f t="shared" si="239"/>
        <v/>
      </c>
      <c r="I547" s="73" t="str">
        <f t="shared" si="240"/>
        <v/>
      </c>
    </row>
    <row r="548" spans="2:9" ht="18" customHeight="1" x14ac:dyDescent="0.3">
      <c r="B548" s="9" t="str">
        <f t="shared" si="241"/>
        <v/>
      </c>
      <c r="C548" s="7" t="str">
        <f t="shared" si="241"/>
        <v/>
      </c>
      <c r="D548" s="35" t="str">
        <f t="shared" si="241"/>
        <v/>
      </c>
      <c r="E548" s="75" t="str">
        <f t="shared" si="236"/>
        <v/>
      </c>
      <c r="F548" s="76" t="str">
        <f t="shared" si="237"/>
        <v/>
      </c>
      <c r="G548" s="77" t="str">
        <f t="shared" si="238"/>
        <v/>
      </c>
      <c r="H548" s="72" t="str">
        <f t="shared" si="239"/>
        <v/>
      </c>
      <c r="I548" s="73" t="str">
        <f t="shared" si="240"/>
        <v/>
      </c>
    </row>
    <row r="549" spans="2:9" ht="18" customHeight="1" x14ac:dyDescent="0.3">
      <c r="B549" s="9" t="str">
        <f t="shared" si="241"/>
        <v/>
      </c>
      <c r="C549" s="7" t="str">
        <f t="shared" si="241"/>
        <v/>
      </c>
      <c r="D549" s="35" t="str">
        <f t="shared" si="241"/>
        <v/>
      </c>
      <c r="E549" s="75" t="str">
        <f t="shared" si="236"/>
        <v/>
      </c>
      <c r="F549" s="76" t="str">
        <f t="shared" si="237"/>
        <v/>
      </c>
      <c r="G549" s="77" t="str">
        <f t="shared" si="238"/>
        <v/>
      </c>
      <c r="H549" s="72" t="str">
        <f t="shared" si="239"/>
        <v/>
      </c>
      <c r="I549" s="73" t="str">
        <f t="shared" si="240"/>
        <v/>
      </c>
    </row>
    <row r="550" spans="2:9" ht="18" customHeight="1" x14ac:dyDescent="0.3">
      <c r="B550" s="9" t="str">
        <f t="shared" si="241"/>
        <v/>
      </c>
      <c r="C550" s="7" t="str">
        <f t="shared" si="241"/>
        <v/>
      </c>
      <c r="D550" s="35" t="str">
        <f t="shared" si="241"/>
        <v/>
      </c>
      <c r="E550" s="75" t="str">
        <f t="shared" si="236"/>
        <v/>
      </c>
      <c r="F550" s="76" t="str">
        <f t="shared" si="237"/>
        <v/>
      </c>
      <c r="G550" s="77" t="str">
        <f t="shared" si="238"/>
        <v/>
      </c>
      <c r="H550" s="72" t="str">
        <f t="shared" si="239"/>
        <v/>
      </c>
      <c r="I550" s="73" t="str">
        <f t="shared" si="240"/>
        <v/>
      </c>
    </row>
    <row r="551" spans="2:9" ht="18" customHeight="1" x14ac:dyDescent="0.3">
      <c r="B551" s="9" t="str">
        <f t="shared" si="241"/>
        <v/>
      </c>
      <c r="C551" s="7" t="str">
        <f t="shared" si="241"/>
        <v/>
      </c>
      <c r="D551" s="35" t="str">
        <f t="shared" si="241"/>
        <v/>
      </c>
      <c r="E551" s="75" t="str">
        <f t="shared" si="236"/>
        <v/>
      </c>
      <c r="F551" s="76" t="str">
        <f t="shared" si="237"/>
        <v/>
      </c>
      <c r="G551" s="77" t="str">
        <f t="shared" si="238"/>
        <v/>
      </c>
      <c r="H551" s="72" t="str">
        <f t="shared" si="239"/>
        <v/>
      </c>
      <c r="I551" s="73" t="str">
        <f t="shared" si="240"/>
        <v/>
      </c>
    </row>
    <row r="552" spans="2:9" ht="18" customHeight="1" x14ac:dyDescent="0.3">
      <c r="B552" s="9" t="str">
        <f t="shared" si="241"/>
        <v/>
      </c>
      <c r="C552" s="7" t="str">
        <f t="shared" si="241"/>
        <v/>
      </c>
      <c r="D552" s="35" t="str">
        <f t="shared" si="241"/>
        <v/>
      </c>
      <c r="E552" s="75" t="str">
        <f t="shared" si="236"/>
        <v/>
      </c>
      <c r="F552" s="76" t="str">
        <f t="shared" si="237"/>
        <v/>
      </c>
      <c r="G552" s="77" t="str">
        <f t="shared" si="238"/>
        <v/>
      </c>
      <c r="H552" s="72" t="str">
        <f t="shared" si="239"/>
        <v/>
      </c>
      <c r="I552" s="73" t="str">
        <f t="shared" si="240"/>
        <v/>
      </c>
    </row>
    <row r="553" spans="2:9" ht="18" customHeight="1" x14ac:dyDescent="0.3">
      <c r="B553" s="9" t="str">
        <f t="shared" si="241"/>
        <v/>
      </c>
      <c r="C553" s="7" t="str">
        <f t="shared" si="241"/>
        <v/>
      </c>
      <c r="D553" s="35" t="str">
        <f t="shared" si="241"/>
        <v/>
      </c>
      <c r="E553" s="75" t="str">
        <f t="shared" si="236"/>
        <v/>
      </c>
      <c r="F553" s="76" t="str">
        <f t="shared" si="237"/>
        <v/>
      </c>
      <c r="G553" s="77" t="str">
        <f t="shared" si="238"/>
        <v/>
      </c>
      <c r="H553" s="72" t="str">
        <f t="shared" si="239"/>
        <v/>
      </c>
      <c r="I553" s="73" t="str">
        <f t="shared" si="240"/>
        <v/>
      </c>
    </row>
    <row r="554" spans="2:9" ht="18" customHeight="1" x14ac:dyDescent="0.3">
      <c r="B554" s="9" t="str">
        <f t="shared" si="241"/>
        <v/>
      </c>
      <c r="C554" s="7" t="str">
        <f t="shared" si="241"/>
        <v/>
      </c>
      <c r="D554" s="35" t="str">
        <f t="shared" si="241"/>
        <v/>
      </c>
      <c r="E554" s="75" t="str">
        <f t="shared" si="236"/>
        <v/>
      </c>
      <c r="F554" s="76" t="str">
        <f t="shared" si="237"/>
        <v/>
      </c>
      <c r="G554" s="77" t="str">
        <f t="shared" si="238"/>
        <v/>
      </c>
      <c r="H554" s="72" t="str">
        <f t="shared" si="239"/>
        <v/>
      </c>
      <c r="I554" s="73" t="str">
        <f t="shared" si="240"/>
        <v/>
      </c>
    </row>
    <row r="555" spans="2:9" ht="18" customHeight="1" x14ac:dyDescent="0.3">
      <c r="B555" s="9" t="str">
        <f t="shared" si="241"/>
        <v/>
      </c>
      <c r="C555" s="7" t="str">
        <f t="shared" si="241"/>
        <v/>
      </c>
      <c r="D555" s="35" t="str">
        <f t="shared" si="241"/>
        <v/>
      </c>
      <c r="E555" s="75" t="str">
        <f t="shared" si="236"/>
        <v/>
      </c>
      <c r="F555" s="76" t="str">
        <f t="shared" si="237"/>
        <v/>
      </c>
      <c r="G555" s="77" t="str">
        <f t="shared" si="238"/>
        <v/>
      </c>
      <c r="H555" s="72" t="str">
        <f t="shared" si="239"/>
        <v/>
      </c>
      <c r="I555" s="73" t="str">
        <f t="shared" si="240"/>
        <v/>
      </c>
    </row>
    <row r="556" spans="2:9" ht="18" customHeight="1" x14ac:dyDescent="0.3">
      <c r="B556" s="9" t="str">
        <f t="shared" si="241"/>
        <v/>
      </c>
      <c r="C556" s="7" t="str">
        <f t="shared" si="241"/>
        <v/>
      </c>
      <c r="D556" s="35" t="str">
        <f t="shared" si="241"/>
        <v/>
      </c>
      <c r="E556" s="75" t="str">
        <f t="shared" si="236"/>
        <v/>
      </c>
      <c r="F556" s="76" t="str">
        <f t="shared" si="237"/>
        <v/>
      </c>
      <c r="G556" s="77" t="str">
        <f t="shared" si="238"/>
        <v/>
      </c>
      <c r="H556" s="72" t="str">
        <f t="shared" si="239"/>
        <v/>
      </c>
      <c r="I556" s="73" t="str">
        <f t="shared" si="240"/>
        <v/>
      </c>
    </row>
    <row r="557" spans="2:9" ht="18" customHeight="1" x14ac:dyDescent="0.3">
      <c r="B557" s="9" t="str">
        <f t="shared" ref="B557:D560" si="242">B517</f>
        <v/>
      </c>
      <c r="C557" s="7" t="str">
        <f t="shared" si="242"/>
        <v/>
      </c>
      <c r="D557" s="35" t="str">
        <f t="shared" si="242"/>
        <v/>
      </c>
      <c r="E557" s="75" t="str">
        <f t="shared" si="236"/>
        <v/>
      </c>
      <c r="F557" s="76" t="str">
        <f t="shared" si="237"/>
        <v/>
      </c>
      <c r="G557" s="77" t="str">
        <f t="shared" si="238"/>
        <v/>
      </c>
      <c r="H557" s="72" t="str">
        <f t="shared" si="239"/>
        <v/>
      </c>
      <c r="I557" s="73" t="str">
        <f t="shared" si="240"/>
        <v/>
      </c>
    </row>
    <row r="558" spans="2:9" ht="18" customHeight="1" x14ac:dyDescent="0.3">
      <c r="B558" s="9" t="str">
        <f t="shared" si="242"/>
        <v/>
      </c>
      <c r="C558" s="7" t="str">
        <f t="shared" si="242"/>
        <v/>
      </c>
      <c r="D558" s="35" t="str">
        <f t="shared" si="242"/>
        <v/>
      </c>
      <c r="E558" s="75" t="str">
        <f t="shared" si="236"/>
        <v/>
      </c>
      <c r="F558" s="76" t="str">
        <f t="shared" si="237"/>
        <v/>
      </c>
      <c r="G558" s="77" t="str">
        <f t="shared" si="238"/>
        <v/>
      </c>
      <c r="H558" s="72" t="str">
        <f t="shared" si="239"/>
        <v/>
      </c>
      <c r="I558" s="73" t="str">
        <f t="shared" si="240"/>
        <v/>
      </c>
    </row>
    <row r="559" spans="2:9" ht="18" customHeight="1" x14ac:dyDescent="0.3">
      <c r="B559" s="9" t="str">
        <f t="shared" si="242"/>
        <v/>
      </c>
      <c r="C559" s="7" t="str">
        <f t="shared" si="242"/>
        <v/>
      </c>
      <c r="D559" s="35" t="str">
        <f t="shared" si="242"/>
        <v/>
      </c>
      <c r="E559" s="75" t="str">
        <f t="shared" si="236"/>
        <v/>
      </c>
      <c r="F559" s="76" t="str">
        <f t="shared" si="237"/>
        <v/>
      </c>
      <c r="G559" s="77" t="str">
        <f t="shared" si="238"/>
        <v/>
      </c>
      <c r="H559" s="72" t="str">
        <f t="shared" si="239"/>
        <v/>
      </c>
      <c r="I559" s="73" t="str">
        <f t="shared" si="240"/>
        <v/>
      </c>
    </row>
    <row r="560" spans="2:9" ht="18" customHeight="1" x14ac:dyDescent="0.3">
      <c r="B560" s="9" t="str">
        <f t="shared" si="242"/>
        <v/>
      </c>
      <c r="C560" s="7" t="str">
        <f t="shared" si="242"/>
        <v/>
      </c>
      <c r="D560" s="35" t="str">
        <f t="shared" si="242"/>
        <v/>
      </c>
      <c r="E560" s="75" t="str">
        <f t="shared" si="236"/>
        <v/>
      </c>
      <c r="F560" s="76" t="str">
        <f t="shared" si="237"/>
        <v/>
      </c>
      <c r="G560" s="77" t="str">
        <f t="shared" si="238"/>
        <v/>
      </c>
      <c r="H560" s="72" t="str">
        <f t="shared" si="239"/>
        <v/>
      </c>
      <c r="I560" s="73" t="str">
        <f t="shared" si="240"/>
        <v/>
      </c>
    </row>
  </sheetData>
  <mergeCells count="41">
    <mergeCell ref="B363:AP363"/>
    <mergeCell ref="B403:AP403"/>
    <mergeCell ref="B443:H443"/>
    <mergeCell ref="B483:AP483"/>
    <mergeCell ref="B523:I523"/>
    <mergeCell ref="K34:W34"/>
    <mergeCell ref="B40:Q40"/>
    <mergeCell ref="B243:AM243"/>
    <mergeCell ref="B283:H283"/>
    <mergeCell ref="J283:O283"/>
    <mergeCell ref="B323:AP323"/>
    <mergeCell ref="W12:W13"/>
    <mergeCell ref="X12:X13"/>
    <mergeCell ref="Y12:Y13"/>
    <mergeCell ref="Z12:Z13"/>
    <mergeCell ref="B26:B27"/>
    <mergeCell ref="C26:E26"/>
    <mergeCell ref="F26:H26"/>
    <mergeCell ref="K26:W26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B1:I1"/>
    <mergeCell ref="K1:W1"/>
    <mergeCell ref="K10:Q10"/>
    <mergeCell ref="B12:B13"/>
    <mergeCell ref="C12:D12"/>
    <mergeCell ref="E12:F12"/>
    <mergeCell ref="G12:G13"/>
    <mergeCell ref="H12:H13"/>
    <mergeCell ref="I12:I13"/>
    <mergeCell ref="J12:J13"/>
  </mergeCells>
  <dataValidations count="7">
    <dataValidation type="list" allowBlank="1" sqref="U28:U32" xr:uid="{A6DDED89-CA90-4FE3-ADEA-E9DD06C4FBF0}">
      <formula1>"+Y (ARRIBA),-Y (ABAJO)"</formula1>
    </dataValidation>
    <dataValidation type="list" allowBlank="1" sqref="T28:T32" xr:uid="{88BF3F8A-68E6-4BE1-AFA4-565DA190773A}">
      <formula1>"+X (DER),-X (IZQ)"</formula1>
    </dataValidation>
    <dataValidation type="list" allowBlank="1" sqref="N28:N32" xr:uid="{D1EF6DF6-CEEE-4F2D-A774-1FD0EB7987A4}">
      <formula1>"PENDIENTE_dx_dy,ANGULO_GRADOS"</formula1>
    </dataValidation>
    <dataValidation type="list" allowBlank="1" sqref="L3:L9" xr:uid="{FF576C8D-3CDD-4035-A8CE-F4901D8FEEDF}">
      <formula1>"NINGUNO,RECTANGULO,TRIANGULO,TRAPECIO,CIRCULO,SEMICIRCULO,HUECO_RECT,HUECO_CIRC"</formula1>
    </dataValidation>
    <dataValidation type="list" sqref="G5" xr:uid="{BB92DCF5-BEF1-4E0B-8194-19564A868F53}">
      <formula1>"CONSTANTE,PERSONALIZADO_POR_BARRA"</formula1>
    </dataValidation>
    <dataValidation type="list" allowBlank="1" sqref="C42:C53" xr:uid="{E574C548-81C9-45F5-BBAB-2686F5565649}">
      <formula1>"FIJO,LIBRE,RODILLO,EMPOTRADO,RODILLO_V"</formula1>
    </dataValidation>
    <dataValidation type="list" sqref="C3" xr:uid="{FCDFB500-3FC2-46E8-B392-49AE831CDE08}">
      <formula1>"RECTANGULAR,CIRCULAR,TUBULAR_CIRCULAR,TRAPEZOIDAL,TRIANGULAR,CAJON_HUECO,STEINER_COMPUESTA,DIRECTO_A_I"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3601-588B-4701-9E4B-AF3A50FB2701}">
  <dimension ref="B2:B3"/>
  <sheetViews>
    <sheetView workbookViewId="0"/>
  </sheetViews>
  <sheetFormatPr baseColWidth="10" defaultRowHeight="14.4" x14ac:dyDescent="0.3"/>
  <sheetData>
    <row r="2" spans="2:2" ht="21" x14ac:dyDescent="0.4">
      <c r="B2" s="78" t="s">
        <v>210</v>
      </c>
    </row>
    <row r="3" spans="2:2" x14ac:dyDescent="0.3">
      <c r="B3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7666-1880-4BF2-B1FA-54F0E68E22CC}">
  <dimension ref="A1:AS665"/>
  <sheetViews>
    <sheetView workbookViewId="0">
      <pane ySplit="1" topLeftCell="A545" activePane="bottomLeft" state="frozen"/>
      <selection pane="bottomLeft" activeCell="J37" sqref="J37"/>
    </sheetView>
  </sheetViews>
  <sheetFormatPr baseColWidth="10" defaultColWidth="8.88671875" defaultRowHeight="14.4" x14ac:dyDescent="0.3"/>
  <cols>
    <col min="1" max="1" width="11" customWidth="1"/>
    <col min="2" max="34" width="13" customWidth="1"/>
    <col min="35" max="35" width="10" customWidth="1"/>
    <col min="36" max="36" width="4" customWidth="1"/>
    <col min="37" max="59" width="15" customWidth="1"/>
  </cols>
  <sheetData>
    <row r="1" spans="2:45" x14ac:dyDescent="0.3">
      <c r="B1" s="79" t="s">
        <v>50</v>
      </c>
      <c r="C1" s="79">
        <v>150000</v>
      </c>
      <c r="D1" s="79" t="s">
        <v>212</v>
      </c>
      <c r="AK1" s="80" t="s">
        <v>213</v>
      </c>
      <c r="AL1" s="81"/>
      <c r="AM1" s="81"/>
      <c r="AN1" s="81"/>
      <c r="AO1" s="81"/>
      <c r="AP1" s="81"/>
      <c r="AQ1" s="81"/>
      <c r="AR1" s="81"/>
    </row>
    <row r="2" spans="2:45" ht="26.4" x14ac:dyDescent="0.3">
      <c r="B2" s="79" t="s">
        <v>214</v>
      </c>
      <c r="C2" s="79">
        <v>5</v>
      </c>
      <c r="D2" s="79" t="s">
        <v>24</v>
      </c>
      <c r="AK2" s="82" t="s">
        <v>215</v>
      </c>
      <c r="AL2" s="82" t="s">
        <v>216</v>
      </c>
      <c r="AM2" s="82" t="s">
        <v>217</v>
      </c>
      <c r="AN2" s="82" t="s">
        <v>218</v>
      </c>
      <c r="AO2" s="82" t="s">
        <v>219</v>
      </c>
      <c r="AP2" s="82" t="s">
        <v>220</v>
      </c>
      <c r="AQ2" s="82" t="s">
        <v>221</v>
      </c>
      <c r="AR2" s="82" t="s">
        <v>222</v>
      </c>
    </row>
    <row r="3" spans="2:45" ht="26.4" x14ac:dyDescent="0.3">
      <c r="B3" s="79" t="s">
        <v>223</v>
      </c>
      <c r="C3" s="79">
        <v>10</v>
      </c>
      <c r="D3" s="79" t="s">
        <v>24</v>
      </c>
      <c r="AK3" s="83" t="s">
        <v>224</v>
      </c>
      <c r="AL3" s="83"/>
      <c r="AM3" s="83"/>
      <c r="AN3" s="83" t="str">
        <f t="shared" ref="AN3:AN12" si="0">IF(AM3="","", RADIANS(AM3))</f>
        <v/>
      </c>
      <c r="AO3" s="83" t="str">
        <f t="shared" ref="AO3:AO12" si="1">IF(AL3="","", ROUND(AL3*COS(AN3), 4))</f>
        <v/>
      </c>
      <c r="AP3" s="83" t="str">
        <f t="shared" ref="AP3:AP12" si="2">IF(AL3="","", -ROUND(AL3*SIN(AN3), 4))</f>
        <v/>
      </c>
      <c r="AQ3" s="83"/>
      <c r="AR3" s="83" t="str">
        <f t="shared" ref="AR3:AR12" si="3">IF(AQ3="","", AQ3/100)</f>
        <v/>
      </c>
    </row>
    <row r="4" spans="2:45" ht="26.4" x14ac:dyDescent="0.3">
      <c r="B4" s="79" t="s">
        <v>49</v>
      </c>
      <c r="C4" s="79">
        <f>C2*C3</f>
        <v>50</v>
      </c>
      <c r="D4" s="79" t="s">
        <v>225</v>
      </c>
      <c r="F4" s="84" t="s">
        <v>226</v>
      </c>
      <c r="G4" s="85">
        <f>COUNT(I9:I18)</f>
        <v>0</v>
      </c>
      <c r="AK4" s="83" t="s">
        <v>227</v>
      </c>
      <c r="AL4" s="83"/>
      <c r="AM4" s="83"/>
      <c r="AN4" s="83" t="str">
        <f t="shared" si="0"/>
        <v/>
      </c>
      <c r="AO4" s="83" t="str">
        <f t="shared" si="1"/>
        <v/>
      </c>
      <c r="AP4" s="83" t="str">
        <f t="shared" si="2"/>
        <v/>
      </c>
      <c r="AQ4" s="83"/>
      <c r="AR4" s="83" t="str">
        <f t="shared" si="3"/>
        <v/>
      </c>
    </row>
    <row r="5" spans="2:45" ht="26.4" x14ac:dyDescent="0.3">
      <c r="B5" s="79" t="s">
        <v>51</v>
      </c>
      <c r="C5" s="79">
        <f>(C2*(C3*C3*C3))/12</f>
        <v>416.66666666666669</v>
      </c>
      <c r="D5" s="79" t="s">
        <v>228</v>
      </c>
      <c r="F5" s="84" t="s">
        <v>229</v>
      </c>
      <c r="G5" s="85">
        <f>IF(G4&gt;0, G4+1, 0)</f>
        <v>0</v>
      </c>
      <c r="AK5" s="83" t="s">
        <v>230</v>
      </c>
      <c r="AL5" s="83"/>
      <c r="AM5" s="83"/>
      <c r="AN5" s="83" t="str">
        <f t="shared" si="0"/>
        <v/>
      </c>
      <c r="AO5" s="83" t="str">
        <f t="shared" si="1"/>
        <v/>
      </c>
      <c r="AP5" s="83" t="str">
        <f t="shared" si="2"/>
        <v/>
      </c>
      <c r="AQ5" s="83"/>
      <c r="AR5" s="83" t="str">
        <f t="shared" si="3"/>
        <v/>
      </c>
    </row>
    <row r="6" spans="2:45" ht="26.4" x14ac:dyDescent="0.3">
      <c r="AK6" s="83" t="s">
        <v>231</v>
      </c>
      <c r="AL6" s="83"/>
      <c r="AM6" s="83"/>
      <c r="AN6" s="83" t="str">
        <f t="shared" si="0"/>
        <v/>
      </c>
      <c r="AO6" s="83" t="str">
        <f t="shared" si="1"/>
        <v/>
      </c>
      <c r="AP6" s="83" t="str">
        <f t="shared" si="2"/>
        <v/>
      </c>
      <c r="AQ6" s="83"/>
      <c r="AR6" s="83" t="str">
        <f t="shared" si="3"/>
        <v/>
      </c>
    </row>
    <row r="7" spans="2:45" ht="26.4" x14ac:dyDescent="0.3">
      <c r="B7" s="86" t="s">
        <v>91</v>
      </c>
      <c r="C7" s="86" t="s">
        <v>232</v>
      </c>
      <c r="D7" s="87"/>
      <c r="E7" s="86" t="s">
        <v>233</v>
      </c>
      <c r="F7" s="87"/>
      <c r="G7" s="86" t="s">
        <v>234</v>
      </c>
      <c r="H7" s="86" t="s">
        <v>235</v>
      </c>
      <c r="I7" s="86" t="s">
        <v>46</v>
      </c>
      <c r="J7" s="86" t="s">
        <v>236</v>
      </c>
      <c r="K7" s="86" t="s">
        <v>237</v>
      </c>
      <c r="L7" s="86" t="s">
        <v>50</v>
      </c>
      <c r="M7" s="86" t="s">
        <v>49</v>
      </c>
      <c r="N7" s="86" t="s">
        <v>51</v>
      </c>
      <c r="O7" s="86" t="s">
        <v>56</v>
      </c>
      <c r="P7" s="86" t="s">
        <v>238</v>
      </c>
      <c r="Q7" s="86" t="s">
        <v>239</v>
      </c>
      <c r="R7" s="86" t="s">
        <v>54</v>
      </c>
      <c r="S7" s="86" t="s">
        <v>55</v>
      </c>
      <c r="AK7" s="83" t="s">
        <v>240</v>
      </c>
      <c r="AL7" s="83"/>
      <c r="AM7" s="83"/>
      <c r="AN7" s="83" t="str">
        <f t="shared" si="0"/>
        <v/>
      </c>
      <c r="AO7" s="83" t="str">
        <f t="shared" si="1"/>
        <v/>
      </c>
      <c r="AP7" s="83" t="str">
        <f t="shared" si="2"/>
        <v/>
      </c>
      <c r="AQ7" s="83"/>
      <c r="AR7" s="83" t="str">
        <f t="shared" si="3"/>
        <v/>
      </c>
    </row>
    <row r="8" spans="2:45" ht="26.4" x14ac:dyDescent="0.3">
      <c r="B8" s="88"/>
      <c r="C8" s="89" t="s">
        <v>71</v>
      </c>
      <c r="D8" s="89" t="s">
        <v>72</v>
      </c>
      <c r="E8" s="89" t="s">
        <v>71</v>
      </c>
      <c r="F8" s="89" t="s">
        <v>72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AK8" s="83" t="s">
        <v>241</v>
      </c>
      <c r="AL8" s="83"/>
      <c r="AM8" s="83"/>
      <c r="AN8" s="83" t="str">
        <f t="shared" si="0"/>
        <v/>
      </c>
      <c r="AO8" s="83" t="str">
        <f t="shared" si="1"/>
        <v/>
      </c>
      <c r="AP8" s="83" t="str">
        <f t="shared" si="2"/>
        <v/>
      </c>
      <c r="AQ8" s="83"/>
      <c r="AR8" s="83" t="str">
        <f t="shared" si="3"/>
        <v/>
      </c>
    </row>
    <row r="9" spans="2:45" ht="26.4" x14ac:dyDescent="0.3">
      <c r="B9" s="83">
        <v>1</v>
      </c>
      <c r="C9" s="83"/>
      <c r="D9" s="83"/>
      <c r="E9" s="83"/>
      <c r="F9" s="83"/>
      <c r="G9" s="83" t="str">
        <f t="shared" ref="G9:H18" si="4">IF(OR(C9="",E9=""),"", E9-C9)</f>
        <v/>
      </c>
      <c r="H9" s="83" t="str">
        <f t="shared" si="4"/>
        <v/>
      </c>
      <c r="I9" s="83" t="str">
        <f t="shared" ref="I9:I18" si="5">IF(OR(G9="",H9=""),"", SQRT(G9*G9+H9*H9))</f>
        <v/>
      </c>
      <c r="J9" s="83" t="str">
        <f t="shared" ref="J9:J18" si="6">IF(OR(I9="",I9=0),"", G9/I9)</f>
        <v/>
      </c>
      <c r="K9" s="83" t="str">
        <f t="shared" ref="K9:K18" si="7">IF(OR(I9="",I9=0),"", H9/I9)</f>
        <v/>
      </c>
      <c r="L9" s="83" t="str">
        <f t="shared" ref="L9:L18" si="8">IF(I9="","", $C$1)</f>
        <v/>
      </c>
      <c r="M9" s="83" t="str">
        <f t="shared" ref="M9:M18" si="9">IF(I9="","", $C$4)</f>
        <v/>
      </c>
      <c r="N9" s="83" t="str">
        <f t="shared" ref="N9:N18" si="10">IF(I9="","", $C$5)</f>
        <v/>
      </c>
      <c r="O9" s="83" t="str">
        <f t="shared" ref="O9:O18" si="11">IF(OR(I9="",I9=0),"", L9*M9/I9)</f>
        <v/>
      </c>
      <c r="P9" s="83" t="str">
        <f t="shared" ref="P9:P18" si="12">IF(OR(I9="",I9=0),"", 12*L9*N9/(I9^3))</f>
        <v/>
      </c>
      <c r="Q9" s="83" t="str">
        <f t="shared" ref="Q9:Q18" si="13">IF(OR(I9="",I9=0),"", 6*L9*N9/(I9^2))</f>
        <v/>
      </c>
      <c r="R9" s="83" t="str">
        <f t="shared" ref="R9:R18" si="14">IF(OR(I9="",I9=0),"", 4*L9*N9/I9)</f>
        <v/>
      </c>
      <c r="S9" s="83" t="str">
        <f t="shared" ref="S9:S18" si="15">IF(OR(I9="",I9=0),"", 2*L9*N9/I9)</f>
        <v/>
      </c>
      <c r="AK9" s="83" t="s">
        <v>242</v>
      </c>
      <c r="AL9" s="83"/>
      <c r="AM9" s="83"/>
      <c r="AN9" s="83" t="str">
        <f t="shared" si="0"/>
        <v/>
      </c>
      <c r="AO9" s="83" t="str">
        <f t="shared" si="1"/>
        <v/>
      </c>
      <c r="AP9" s="83" t="str">
        <f t="shared" si="2"/>
        <v/>
      </c>
      <c r="AQ9" s="83"/>
      <c r="AR9" s="83" t="str">
        <f t="shared" si="3"/>
        <v/>
      </c>
    </row>
    <row r="10" spans="2:45" ht="26.4" x14ac:dyDescent="0.3">
      <c r="B10" s="83">
        <v>2</v>
      </c>
      <c r="C10" s="83"/>
      <c r="D10" s="83"/>
      <c r="E10" s="83"/>
      <c r="F10" s="83"/>
      <c r="G10" s="83" t="str">
        <f t="shared" si="4"/>
        <v/>
      </c>
      <c r="H10" s="83" t="str">
        <f t="shared" si="4"/>
        <v/>
      </c>
      <c r="I10" s="83" t="str">
        <f t="shared" si="5"/>
        <v/>
      </c>
      <c r="J10" s="83" t="str">
        <f t="shared" si="6"/>
        <v/>
      </c>
      <c r="K10" s="83" t="str">
        <f t="shared" si="7"/>
        <v/>
      </c>
      <c r="L10" s="83" t="str">
        <f t="shared" si="8"/>
        <v/>
      </c>
      <c r="M10" s="83" t="str">
        <f t="shared" si="9"/>
        <v/>
      </c>
      <c r="N10" s="83" t="str">
        <f t="shared" si="10"/>
        <v/>
      </c>
      <c r="O10" s="83" t="str">
        <f t="shared" si="11"/>
        <v/>
      </c>
      <c r="P10" s="83" t="str">
        <f t="shared" si="12"/>
        <v/>
      </c>
      <c r="Q10" s="83" t="str">
        <f t="shared" si="13"/>
        <v/>
      </c>
      <c r="R10" s="83" t="str">
        <f t="shared" si="14"/>
        <v/>
      </c>
      <c r="S10" s="83" t="str">
        <f t="shared" si="15"/>
        <v/>
      </c>
      <c r="AK10" s="83" t="s">
        <v>243</v>
      </c>
      <c r="AL10" s="83"/>
      <c r="AM10" s="83"/>
      <c r="AN10" s="83" t="str">
        <f t="shared" si="0"/>
        <v/>
      </c>
      <c r="AO10" s="83" t="str">
        <f t="shared" si="1"/>
        <v/>
      </c>
      <c r="AP10" s="83" t="str">
        <f t="shared" si="2"/>
        <v/>
      </c>
      <c r="AQ10" s="83"/>
      <c r="AR10" s="83" t="str">
        <f t="shared" si="3"/>
        <v/>
      </c>
    </row>
    <row r="11" spans="2:45" ht="26.4" x14ac:dyDescent="0.3">
      <c r="B11" s="83">
        <v>3</v>
      </c>
      <c r="C11" s="83"/>
      <c r="D11" s="83"/>
      <c r="E11" s="83"/>
      <c r="F11" s="83"/>
      <c r="G11" s="83" t="str">
        <f t="shared" si="4"/>
        <v/>
      </c>
      <c r="H11" s="83" t="str">
        <f t="shared" si="4"/>
        <v/>
      </c>
      <c r="I11" s="83" t="str">
        <f t="shared" si="5"/>
        <v/>
      </c>
      <c r="J11" s="83" t="str">
        <f t="shared" si="6"/>
        <v/>
      </c>
      <c r="K11" s="83" t="str">
        <f t="shared" si="7"/>
        <v/>
      </c>
      <c r="L11" s="83" t="str">
        <f t="shared" si="8"/>
        <v/>
      </c>
      <c r="M11" s="83" t="str">
        <f t="shared" si="9"/>
        <v/>
      </c>
      <c r="N11" s="83" t="str">
        <f t="shared" si="10"/>
        <v/>
      </c>
      <c r="O11" s="83" t="str">
        <f t="shared" si="11"/>
        <v/>
      </c>
      <c r="P11" s="83" t="str">
        <f t="shared" si="12"/>
        <v/>
      </c>
      <c r="Q11" s="83" t="str">
        <f t="shared" si="13"/>
        <v/>
      </c>
      <c r="R11" s="83" t="str">
        <f t="shared" si="14"/>
        <v/>
      </c>
      <c r="S11" s="83" t="str">
        <f t="shared" si="15"/>
        <v/>
      </c>
      <c r="AK11" s="83" t="s">
        <v>244</v>
      </c>
      <c r="AL11" s="83"/>
      <c r="AM11" s="83"/>
      <c r="AN11" s="83" t="str">
        <f t="shared" si="0"/>
        <v/>
      </c>
      <c r="AO11" s="83" t="str">
        <f t="shared" si="1"/>
        <v/>
      </c>
      <c r="AP11" s="83" t="str">
        <f t="shared" si="2"/>
        <v/>
      </c>
      <c r="AQ11" s="83"/>
      <c r="AR11" s="83" t="str">
        <f t="shared" si="3"/>
        <v/>
      </c>
    </row>
    <row r="12" spans="2:45" ht="26.4" x14ac:dyDescent="0.3">
      <c r="B12" s="83">
        <v>4</v>
      </c>
      <c r="C12" s="83"/>
      <c r="D12" s="83"/>
      <c r="E12" s="83"/>
      <c r="F12" s="83"/>
      <c r="G12" s="83" t="str">
        <f t="shared" si="4"/>
        <v/>
      </c>
      <c r="H12" s="83" t="str">
        <f t="shared" si="4"/>
        <v/>
      </c>
      <c r="I12" s="83" t="str">
        <f t="shared" si="5"/>
        <v/>
      </c>
      <c r="J12" s="83" t="str">
        <f t="shared" si="6"/>
        <v/>
      </c>
      <c r="K12" s="83" t="str">
        <f t="shared" si="7"/>
        <v/>
      </c>
      <c r="L12" s="83" t="str">
        <f t="shared" si="8"/>
        <v/>
      </c>
      <c r="M12" s="83" t="str">
        <f t="shared" si="9"/>
        <v/>
      </c>
      <c r="N12" s="83" t="str">
        <f t="shared" si="10"/>
        <v/>
      </c>
      <c r="O12" s="83" t="str">
        <f t="shared" si="11"/>
        <v/>
      </c>
      <c r="P12" s="83" t="str">
        <f t="shared" si="12"/>
        <v/>
      </c>
      <c r="Q12" s="83" t="str">
        <f t="shared" si="13"/>
        <v/>
      </c>
      <c r="R12" s="83" t="str">
        <f t="shared" si="14"/>
        <v/>
      </c>
      <c r="S12" s="83" t="str">
        <f t="shared" si="15"/>
        <v/>
      </c>
      <c r="AK12" s="83" t="s">
        <v>245</v>
      </c>
      <c r="AL12" s="83"/>
      <c r="AM12" s="83"/>
      <c r="AN12" s="83" t="str">
        <f t="shared" si="0"/>
        <v/>
      </c>
      <c r="AO12" s="83" t="str">
        <f t="shared" si="1"/>
        <v/>
      </c>
      <c r="AP12" s="83" t="str">
        <f t="shared" si="2"/>
        <v/>
      </c>
      <c r="AQ12" s="83"/>
      <c r="AR12" s="83" t="str">
        <f t="shared" si="3"/>
        <v/>
      </c>
    </row>
    <row r="13" spans="2:45" x14ac:dyDescent="0.3">
      <c r="B13" s="83">
        <v>5</v>
      </c>
      <c r="C13" s="83"/>
      <c r="D13" s="83"/>
      <c r="E13" s="83"/>
      <c r="F13" s="83"/>
      <c r="G13" s="83" t="str">
        <f t="shared" si="4"/>
        <v/>
      </c>
      <c r="H13" s="83" t="str">
        <f t="shared" si="4"/>
        <v/>
      </c>
      <c r="I13" s="83" t="str">
        <f t="shared" si="5"/>
        <v/>
      </c>
      <c r="J13" s="83" t="str">
        <f t="shared" si="6"/>
        <v/>
      </c>
      <c r="K13" s="83" t="str">
        <f t="shared" si="7"/>
        <v/>
      </c>
      <c r="L13" s="83" t="str">
        <f t="shared" si="8"/>
        <v/>
      </c>
      <c r="M13" s="83" t="str">
        <f t="shared" si="9"/>
        <v/>
      </c>
      <c r="N13" s="83" t="str">
        <f t="shared" si="10"/>
        <v/>
      </c>
      <c r="O13" s="83" t="str">
        <f t="shared" si="11"/>
        <v/>
      </c>
      <c r="P13" s="83" t="str">
        <f t="shared" si="12"/>
        <v/>
      </c>
      <c r="Q13" s="83" t="str">
        <f t="shared" si="13"/>
        <v/>
      </c>
      <c r="R13" s="83" t="str">
        <f t="shared" si="14"/>
        <v/>
      </c>
      <c r="S13" s="83" t="str">
        <f t="shared" si="15"/>
        <v/>
      </c>
    </row>
    <row r="14" spans="2:45" x14ac:dyDescent="0.3">
      <c r="B14" s="83">
        <v>6</v>
      </c>
      <c r="C14" s="83"/>
      <c r="D14" s="83"/>
      <c r="E14" s="83"/>
      <c r="F14" s="83"/>
      <c r="G14" s="83" t="str">
        <f t="shared" si="4"/>
        <v/>
      </c>
      <c r="H14" s="83" t="str">
        <f t="shared" si="4"/>
        <v/>
      </c>
      <c r="I14" s="83" t="str">
        <f t="shared" si="5"/>
        <v/>
      </c>
      <c r="J14" s="83" t="str">
        <f t="shared" si="6"/>
        <v/>
      </c>
      <c r="K14" s="83" t="str">
        <f t="shared" si="7"/>
        <v/>
      </c>
      <c r="L14" s="83" t="str">
        <f t="shared" si="8"/>
        <v/>
      </c>
      <c r="M14" s="83" t="str">
        <f t="shared" si="9"/>
        <v/>
      </c>
      <c r="N14" s="83" t="str">
        <f t="shared" si="10"/>
        <v/>
      </c>
      <c r="O14" s="83" t="str">
        <f t="shared" si="11"/>
        <v/>
      </c>
      <c r="P14" s="83" t="str">
        <f t="shared" si="12"/>
        <v/>
      </c>
      <c r="Q14" s="83" t="str">
        <f t="shared" si="13"/>
        <v/>
      </c>
      <c r="R14" s="83" t="str">
        <f t="shared" si="14"/>
        <v/>
      </c>
      <c r="S14" s="83" t="str">
        <f t="shared" si="15"/>
        <v/>
      </c>
      <c r="AK14" s="80" t="s">
        <v>246</v>
      </c>
      <c r="AL14" s="81"/>
      <c r="AM14" s="81"/>
      <c r="AN14" s="81"/>
      <c r="AO14" s="81"/>
      <c r="AP14" s="81"/>
      <c r="AQ14" s="81"/>
      <c r="AR14" s="81"/>
      <c r="AS14" s="81"/>
    </row>
    <row r="15" spans="2:45" x14ac:dyDescent="0.3">
      <c r="B15" s="83">
        <v>7</v>
      </c>
      <c r="C15" s="83"/>
      <c r="D15" s="83"/>
      <c r="E15" s="83"/>
      <c r="F15" s="83"/>
      <c r="G15" s="83" t="str">
        <f t="shared" si="4"/>
        <v/>
      </c>
      <c r="H15" s="83" t="str">
        <f t="shared" si="4"/>
        <v/>
      </c>
      <c r="I15" s="83" t="str">
        <f t="shared" si="5"/>
        <v/>
      </c>
      <c r="J15" s="83" t="str">
        <f t="shared" si="6"/>
        <v/>
      </c>
      <c r="K15" s="83" t="str">
        <f t="shared" si="7"/>
        <v/>
      </c>
      <c r="L15" s="83" t="str">
        <f t="shared" si="8"/>
        <v/>
      </c>
      <c r="M15" s="83" t="str">
        <f t="shared" si="9"/>
        <v/>
      </c>
      <c r="N15" s="83" t="str">
        <f t="shared" si="10"/>
        <v/>
      </c>
      <c r="O15" s="83" t="str">
        <f t="shared" si="11"/>
        <v/>
      </c>
      <c r="P15" s="83" t="str">
        <f t="shared" si="12"/>
        <v/>
      </c>
      <c r="Q15" s="83" t="str">
        <f t="shared" si="13"/>
        <v/>
      </c>
      <c r="R15" s="83" t="str">
        <f t="shared" si="14"/>
        <v/>
      </c>
      <c r="S15" s="83" t="str">
        <f t="shared" si="15"/>
        <v/>
      </c>
      <c r="AK15" s="82" t="s">
        <v>91</v>
      </c>
      <c r="AL15" s="82" t="s">
        <v>247</v>
      </c>
      <c r="AM15" s="82" t="s">
        <v>248</v>
      </c>
      <c r="AN15" s="82" t="s">
        <v>249</v>
      </c>
      <c r="AO15" s="82" t="s">
        <v>250</v>
      </c>
      <c r="AP15" s="82" t="s">
        <v>251</v>
      </c>
      <c r="AQ15" s="82" t="s">
        <v>252</v>
      </c>
      <c r="AR15" s="82" t="s">
        <v>253</v>
      </c>
      <c r="AS15" s="82" t="s">
        <v>254</v>
      </c>
    </row>
    <row r="16" spans="2:45" x14ac:dyDescent="0.3">
      <c r="B16" s="83">
        <v>8</v>
      </c>
      <c r="C16" s="83"/>
      <c r="D16" s="83"/>
      <c r="E16" s="83"/>
      <c r="F16" s="83"/>
      <c r="G16" s="83" t="str">
        <f t="shared" si="4"/>
        <v/>
      </c>
      <c r="H16" s="83" t="str">
        <f t="shared" si="4"/>
        <v/>
      </c>
      <c r="I16" s="83" t="str">
        <f t="shared" si="5"/>
        <v/>
      </c>
      <c r="J16" s="83" t="str">
        <f t="shared" si="6"/>
        <v/>
      </c>
      <c r="K16" s="83" t="str">
        <f t="shared" si="7"/>
        <v/>
      </c>
      <c r="L16" s="83" t="str">
        <f t="shared" si="8"/>
        <v/>
      </c>
      <c r="M16" s="83" t="str">
        <f t="shared" si="9"/>
        <v/>
      </c>
      <c r="N16" s="83" t="str">
        <f t="shared" si="10"/>
        <v/>
      </c>
      <c r="O16" s="83" t="str">
        <f t="shared" si="11"/>
        <v/>
      </c>
      <c r="P16" s="83" t="str">
        <f t="shared" si="12"/>
        <v/>
      </c>
      <c r="Q16" s="83" t="str">
        <f t="shared" si="13"/>
        <v/>
      </c>
      <c r="R16" s="83" t="str">
        <f t="shared" si="14"/>
        <v/>
      </c>
      <c r="S16" s="83" t="str">
        <f t="shared" si="15"/>
        <v/>
      </c>
      <c r="AK16" s="83">
        <v>1</v>
      </c>
      <c r="AL16" s="83"/>
      <c r="AM16" s="83"/>
      <c r="AN16" s="83"/>
      <c r="AO16" s="83" t="str">
        <f t="shared" ref="AO16:AO25" si="16">IF(AL16="","", AM16+AN16)</f>
        <v/>
      </c>
      <c r="AP16" s="83" t="str">
        <f t="shared" ref="AP16:AP25" si="17">IF(AL16="","", (AL16*(AN16^2)*(3*AM16+AN16))/(AO16^3))</f>
        <v/>
      </c>
      <c r="AQ16" s="83" t="str">
        <f t="shared" ref="AQ16:AQ25" si="18">IF(AL16="","", +(AL16*AM16*(AN16^2))/(AO16^2))</f>
        <v/>
      </c>
      <c r="AR16" s="83" t="str">
        <f t="shared" ref="AR16:AR25" si="19">IF(AL16="","", (AL16*(AM16^2)*(AM16+3*AN16))/(AO16^3))</f>
        <v/>
      </c>
      <c r="AS16" s="83" t="str">
        <f t="shared" ref="AS16:AS25" si="20">IF(AL16="","", -(AL16*(AM16^2)*AN16)/(AO16^2))</f>
        <v/>
      </c>
    </row>
    <row r="17" spans="2:45" x14ac:dyDescent="0.3">
      <c r="B17" s="83">
        <v>9</v>
      </c>
      <c r="C17" s="83"/>
      <c r="D17" s="83"/>
      <c r="E17" s="83"/>
      <c r="F17" s="83"/>
      <c r="G17" s="83" t="str">
        <f t="shared" si="4"/>
        <v/>
      </c>
      <c r="H17" s="83" t="str">
        <f t="shared" si="4"/>
        <v/>
      </c>
      <c r="I17" s="83" t="str">
        <f t="shared" si="5"/>
        <v/>
      </c>
      <c r="J17" s="83" t="str">
        <f t="shared" si="6"/>
        <v/>
      </c>
      <c r="K17" s="83" t="str">
        <f t="shared" si="7"/>
        <v/>
      </c>
      <c r="L17" s="83" t="str">
        <f t="shared" si="8"/>
        <v/>
      </c>
      <c r="M17" s="83" t="str">
        <f t="shared" si="9"/>
        <v/>
      </c>
      <c r="N17" s="83" t="str">
        <f t="shared" si="10"/>
        <v/>
      </c>
      <c r="O17" s="83" t="str">
        <f t="shared" si="11"/>
        <v/>
      </c>
      <c r="P17" s="83" t="str">
        <f t="shared" si="12"/>
        <v/>
      </c>
      <c r="Q17" s="83" t="str">
        <f t="shared" si="13"/>
        <v/>
      </c>
      <c r="R17" s="83" t="str">
        <f t="shared" si="14"/>
        <v/>
      </c>
      <c r="S17" s="83" t="str">
        <f t="shared" si="15"/>
        <v/>
      </c>
      <c r="AK17" s="83">
        <v>2</v>
      </c>
      <c r="AL17" s="83"/>
      <c r="AM17" s="83"/>
      <c r="AN17" s="83"/>
      <c r="AO17" s="83" t="str">
        <f t="shared" si="16"/>
        <v/>
      </c>
      <c r="AP17" s="83" t="str">
        <f t="shared" si="17"/>
        <v/>
      </c>
      <c r="AQ17" s="83" t="str">
        <f t="shared" si="18"/>
        <v/>
      </c>
      <c r="AR17" s="83" t="str">
        <f t="shared" si="19"/>
        <v/>
      </c>
      <c r="AS17" s="83" t="str">
        <f t="shared" si="20"/>
        <v/>
      </c>
    </row>
    <row r="18" spans="2:45" x14ac:dyDescent="0.3">
      <c r="B18" s="83">
        <v>10</v>
      </c>
      <c r="C18" s="83"/>
      <c r="D18" s="83"/>
      <c r="E18" s="83"/>
      <c r="F18" s="83"/>
      <c r="G18" s="83" t="str">
        <f t="shared" si="4"/>
        <v/>
      </c>
      <c r="H18" s="83" t="str">
        <f t="shared" si="4"/>
        <v/>
      </c>
      <c r="I18" s="83" t="str">
        <f t="shared" si="5"/>
        <v/>
      </c>
      <c r="J18" s="83" t="str">
        <f t="shared" si="6"/>
        <v/>
      </c>
      <c r="K18" s="83" t="str">
        <f t="shared" si="7"/>
        <v/>
      </c>
      <c r="L18" s="83" t="str">
        <f t="shared" si="8"/>
        <v/>
      </c>
      <c r="M18" s="83" t="str">
        <f t="shared" si="9"/>
        <v/>
      </c>
      <c r="N18" s="83" t="str">
        <f t="shared" si="10"/>
        <v/>
      </c>
      <c r="O18" s="83" t="str">
        <f t="shared" si="11"/>
        <v/>
      </c>
      <c r="P18" s="83" t="str">
        <f t="shared" si="12"/>
        <v/>
      </c>
      <c r="Q18" s="83" t="str">
        <f t="shared" si="13"/>
        <v/>
      </c>
      <c r="R18" s="83" t="str">
        <f t="shared" si="14"/>
        <v/>
      </c>
      <c r="S18" s="83" t="str">
        <f t="shared" si="15"/>
        <v/>
      </c>
      <c r="AK18" s="83">
        <v>3</v>
      </c>
      <c r="AL18" s="83"/>
      <c r="AM18" s="83"/>
      <c r="AN18" s="83"/>
      <c r="AO18" s="83" t="str">
        <f t="shared" si="16"/>
        <v/>
      </c>
      <c r="AP18" s="83" t="str">
        <f t="shared" si="17"/>
        <v/>
      </c>
      <c r="AQ18" s="83" t="str">
        <f t="shared" si="18"/>
        <v/>
      </c>
      <c r="AR18" s="83" t="str">
        <f t="shared" si="19"/>
        <v/>
      </c>
      <c r="AS18" s="83" t="str">
        <f t="shared" si="20"/>
        <v/>
      </c>
    </row>
    <row r="19" spans="2:45" x14ac:dyDescent="0.3">
      <c r="AK19" s="83">
        <v>4</v>
      </c>
      <c r="AL19" s="83"/>
      <c r="AM19" s="83"/>
      <c r="AN19" s="83"/>
      <c r="AO19" s="83" t="str">
        <f t="shared" si="16"/>
        <v/>
      </c>
      <c r="AP19" s="83" t="str">
        <f t="shared" si="17"/>
        <v/>
      </c>
      <c r="AQ19" s="83" t="str">
        <f t="shared" si="18"/>
        <v/>
      </c>
      <c r="AR19" s="83" t="str">
        <f t="shared" si="19"/>
        <v/>
      </c>
      <c r="AS19" s="83" t="str">
        <f t="shared" si="20"/>
        <v/>
      </c>
    </row>
    <row r="20" spans="2:45" x14ac:dyDescent="0.3">
      <c r="B20" s="90" t="s">
        <v>91</v>
      </c>
      <c r="C20" s="90" t="s">
        <v>232</v>
      </c>
      <c r="D20" s="81"/>
      <c r="E20" s="81"/>
      <c r="F20" s="90" t="s">
        <v>233</v>
      </c>
      <c r="G20" s="81"/>
      <c r="H20" s="81"/>
      <c r="AK20" s="83">
        <v>5</v>
      </c>
      <c r="AL20" s="83"/>
      <c r="AM20" s="83"/>
      <c r="AN20" s="83"/>
      <c r="AO20" s="83" t="str">
        <f t="shared" si="16"/>
        <v/>
      </c>
      <c r="AP20" s="83" t="str">
        <f t="shared" si="17"/>
        <v/>
      </c>
      <c r="AQ20" s="83" t="str">
        <f t="shared" si="18"/>
        <v/>
      </c>
      <c r="AR20" s="83" t="str">
        <f t="shared" si="19"/>
        <v/>
      </c>
      <c r="AS20" s="83" t="str">
        <f t="shared" si="20"/>
        <v/>
      </c>
    </row>
    <row r="21" spans="2:45" x14ac:dyDescent="0.3">
      <c r="B21" s="81"/>
      <c r="C21" s="91" t="s">
        <v>71</v>
      </c>
      <c r="D21" s="91" t="s">
        <v>72</v>
      </c>
      <c r="E21" s="91" t="s">
        <v>73</v>
      </c>
      <c r="F21" s="91" t="s">
        <v>71</v>
      </c>
      <c r="G21" s="91" t="s">
        <v>72</v>
      </c>
      <c r="H21" s="91" t="s">
        <v>73</v>
      </c>
      <c r="AK21" s="83">
        <v>6</v>
      </c>
      <c r="AL21" s="83"/>
      <c r="AM21" s="83"/>
      <c r="AN21" s="83"/>
      <c r="AO21" s="83" t="str">
        <f t="shared" si="16"/>
        <v/>
      </c>
      <c r="AP21" s="83" t="str">
        <f t="shared" si="17"/>
        <v/>
      </c>
      <c r="AQ21" s="83" t="str">
        <f t="shared" si="18"/>
        <v/>
      </c>
      <c r="AR21" s="83" t="str">
        <f t="shared" si="19"/>
        <v/>
      </c>
      <c r="AS21" s="83" t="str">
        <f t="shared" si="20"/>
        <v/>
      </c>
    </row>
    <row r="22" spans="2:45" x14ac:dyDescent="0.3">
      <c r="B22" s="83">
        <v>1</v>
      </c>
      <c r="C22" s="83" t="str">
        <f>IF(I9="","", 1)</f>
        <v/>
      </c>
      <c r="D22" s="83" t="str">
        <f>IF(I9="","", 1)</f>
        <v/>
      </c>
      <c r="E22" s="83" t="str">
        <f>IF(I9="","", 1)</f>
        <v/>
      </c>
      <c r="F22" s="83" t="str">
        <f>IF(I9="","", 2)</f>
        <v/>
      </c>
      <c r="G22" s="83" t="str">
        <f>IF(I9="","", 2)</f>
        <v/>
      </c>
      <c r="H22" s="83" t="str">
        <f>IF(I9="","", 2)</f>
        <v/>
      </c>
      <c r="AK22" s="83">
        <v>7</v>
      </c>
      <c r="AL22" s="83"/>
      <c r="AM22" s="83"/>
      <c r="AN22" s="83"/>
      <c r="AO22" s="83" t="str">
        <f t="shared" si="16"/>
        <v/>
      </c>
      <c r="AP22" s="83" t="str">
        <f t="shared" si="17"/>
        <v/>
      </c>
      <c r="AQ22" s="83" t="str">
        <f t="shared" si="18"/>
        <v/>
      </c>
      <c r="AR22" s="83" t="str">
        <f t="shared" si="19"/>
        <v/>
      </c>
      <c r="AS22" s="83" t="str">
        <f t="shared" si="20"/>
        <v/>
      </c>
    </row>
    <row r="23" spans="2:45" x14ac:dyDescent="0.3">
      <c r="B23" s="83">
        <v>2</v>
      </c>
      <c r="C23" s="83" t="str">
        <f>IF(I10="","", 2)</f>
        <v/>
      </c>
      <c r="D23" s="83" t="str">
        <f>IF(I10="","", 2)</f>
        <v/>
      </c>
      <c r="E23" s="83" t="str">
        <f>IF(I10="","", 2)</f>
        <v/>
      </c>
      <c r="F23" s="83" t="str">
        <f>IF(I10="","", 3)</f>
        <v/>
      </c>
      <c r="G23" s="83" t="str">
        <f>IF(I10="","", 3)</f>
        <v/>
      </c>
      <c r="H23" s="83" t="str">
        <f>IF(I10="","", 3)</f>
        <v/>
      </c>
      <c r="AK23" s="83">
        <v>8</v>
      </c>
      <c r="AL23" s="83"/>
      <c r="AM23" s="83"/>
      <c r="AN23" s="83"/>
      <c r="AO23" s="83" t="str">
        <f t="shared" si="16"/>
        <v/>
      </c>
      <c r="AP23" s="83" t="str">
        <f t="shared" si="17"/>
        <v/>
      </c>
      <c r="AQ23" s="83" t="str">
        <f t="shared" si="18"/>
        <v/>
      </c>
      <c r="AR23" s="83" t="str">
        <f t="shared" si="19"/>
        <v/>
      </c>
      <c r="AS23" s="83" t="str">
        <f t="shared" si="20"/>
        <v/>
      </c>
    </row>
    <row r="24" spans="2:45" x14ac:dyDescent="0.3">
      <c r="B24" s="83">
        <v>3</v>
      </c>
      <c r="C24" s="83" t="str">
        <f>IF(I11="","", 3)</f>
        <v/>
      </c>
      <c r="D24" s="83" t="str">
        <f>IF(I11="","", 3)</f>
        <v/>
      </c>
      <c r="E24" s="83" t="str">
        <f>IF(I11="","", 3)</f>
        <v/>
      </c>
      <c r="F24" s="83" t="str">
        <f>IF(I11="","", 4)</f>
        <v/>
      </c>
      <c r="G24" s="83" t="str">
        <f>IF(I11="","", 4)</f>
        <v/>
      </c>
      <c r="H24" s="83" t="str">
        <f>IF(I11="","", 4)</f>
        <v/>
      </c>
      <c r="AK24" s="83">
        <v>9</v>
      </c>
      <c r="AL24" s="83"/>
      <c r="AM24" s="83"/>
      <c r="AN24" s="83"/>
      <c r="AO24" s="83" t="str">
        <f t="shared" si="16"/>
        <v/>
      </c>
      <c r="AP24" s="83" t="str">
        <f t="shared" si="17"/>
        <v/>
      </c>
      <c r="AQ24" s="83" t="str">
        <f t="shared" si="18"/>
        <v/>
      </c>
      <c r="AR24" s="83" t="str">
        <f t="shared" si="19"/>
        <v/>
      </c>
      <c r="AS24" s="83" t="str">
        <f t="shared" si="20"/>
        <v/>
      </c>
    </row>
    <row r="25" spans="2:45" x14ac:dyDescent="0.3">
      <c r="B25" s="83">
        <v>4</v>
      </c>
      <c r="C25" s="83" t="str">
        <f>IF(I12="","", 4)</f>
        <v/>
      </c>
      <c r="D25" s="83" t="str">
        <f>IF(I12="","", 4)</f>
        <v/>
      </c>
      <c r="E25" s="83" t="str">
        <f>IF(I12="","", 4)</f>
        <v/>
      </c>
      <c r="F25" s="83" t="str">
        <f>IF(I12="","", 5)</f>
        <v/>
      </c>
      <c r="G25" s="83" t="str">
        <f>IF(I12="","", 5)</f>
        <v/>
      </c>
      <c r="H25" s="83" t="str">
        <f>IF(I12="","", 5)</f>
        <v/>
      </c>
      <c r="AK25" s="83">
        <v>10</v>
      </c>
      <c r="AL25" s="83"/>
      <c r="AM25" s="83"/>
      <c r="AN25" s="83"/>
      <c r="AO25" s="83" t="str">
        <f t="shared" si="16"/>
        <v/>
      </c>
      <c r="AP25" s="83" t="str">
        <f t="shared" si="17"/>
        <v/>
      </c>
      <c r="AQ25" s="83" t="str">
        <f t="shared" si="18"/>
        <v/>
      </c>
      <c r="AR25" s="83" t="str">
        <f t="shared" si="19"/>
        <v/>
      </c>
      <c r="AS25" s="83" t="str">
        <f t="shared" si="20"/>
        <v/>
      </c>
    </row>
    <row r="26" spans="2:45" x14ac:dyDescent="0.3">
      <c r="B26" s="83">
        <v>5</v>
      </c>
      <c r="C26" s="83" t="str">
        <f>IF(I13="","", 5)</f>
        <v/>
      </c>
      <c r="D26" s="83" t="str">
        <f>IF(I13="","", 5)</f>
        <v/>
      </c>
      <c r="E26" s="83" t="str">
        <f>IF(I13="","", 5)</f>
        <v/>
      </c>
      <c r="F26" s="83" t="str">
        <f>IF(I13="","", 6)</f>
        <v/>
      </c>
      <c r="G26" s="83" t="str">
        <f>IF(I13="","", 6)</f>
        <v/>
      </c>
      <c r="H26" s="83" t="str">
        <f>IF(I13="","", 6)</f>
        <v/>
      </c>
    </row>
    <row r="27" spans="2:45" x14ac:dyDescent="0.3">
      <c r="B27" s="83">
        <v>6</v>
      </c>
      <c r="C27" s="83" t="str">
        <f>IF(I14="","", 6)</f>
        <v/>
      </c>
      <c r="D27" s="83" t="str">
        <f>IF(I14="","", 6)</f>
        <v/>
      </c>
      <c r="E27" s="83" t="str">
        <f>IF(I14="","", 6)</f>
        <v/>
      </c>
      <c r="F27" s="83" t="str">
        <f>IF(I14="","", 7)</f>
        <v/>
      </c>
      <c r="G27" s="83" t="str">
        <f>IF(I14="","", 7)</f>
        <v/>
      </c>
      <c r="H27" s="83" t="str">
        <f>IF(I14="","", 7)</f>
        <v/>
      </c>
    </row>
    <row r="28" spans="2:45" x14ac:dyDescent="0.3">
      <c r="B28" s="83">
        <v>7</v>
      </c>
      <c r="C28" s="83" t="str">
        <f>IF(I15="","", 7)</f>
        <v/>
      </c>
      <c r="D28" s="83" t="str">
        <f>IF(I15="","", 7)</f>
        <v/>
      </c>
      <c r="E28" s="83" t="str">
        <f>IF(I15="","", 7)</f>
        <v/>
      </c>
      <c r="F28" s="83" t="str">
        <f>IF(I15="","", 8)</f>
        <v/>
      </c>
      <c r="G28" s="83" t="str">
        <f>IF(I15="","", 8)</f>
        <v/>
      </c>
      <c r="H28" s="83" t="str">
        <f>IF(I15="","", 8)</f>
        <v/>
      </c>
    </row>
    <row r="29" spans="2:45" x14ac:dyDescent="0.3">
      <c r="B29" s="83">
        <v>8</v>
      </c>
      <c r="C29" s="83" t="str">
        <f>IF(I16="","", 8)</f>
        <v/>
      </c>
      <c r="D29" s="83" t="str">
        <f>IF(I16="","", 8)</f>
        <v/>
      </c>
      <c r="E29" s="83" t="str">
        <f>IF(I16="","", 8)</f>
        <v/>
      </c>
      <c r="F29" s="83" t="str">
        <f>IF(I16="","", 9)</f>
        <v/>
      </c>
      <c r="G29" s="83" t="str">
        <f>IF(I16="","", 9)</f>
        <v/>
      </c>
      <c r="H29" s="83" t="str">
        <f>IF(I16="","", 9)</f>
        <v/>
      </c>
    </row>
    <row r="30" spans="2:45" x14ac:dyDescent="0.3">
      <c r="B30" s="83">
        <v>9</v>
      </c>
      <c r="C30" s="83" t="str">
        <f>IF(I17="","", 9)</f>
        <v/>
      </c>
      <c r="D30" s="83" t="str">
        <f>IF(I17="","", 9)</f>
        <v/>
      </c>
      <c r="E30" s="83" t="str">
        <f>IF(I17="","", 9)</f>
        <v/>
      </c>
      <c r="F30" s="83" t="str">
        <f>IF(I17="","", 10)</f>
        <v/>
      </c>
      <c r="G30" s="83" t="str">
        <f>IF(I17="","", 10)</f>
        <v/>
      </c>
      <c r="H30" s="83" t="str">
        <f>IF(I17="","", 10)</f>
        <v/>
      </c>
    </row>
    <row r="31" spans="2:45" x14ac:dyDescent="0.3">
      <c r="B31" s="83">
        <v>10</v>
      </c>
      <c r="C31" s="83" t="str">
        <f>IF(I18="","", 10)</f>
        <v/>
      </c>
      <c r="D31" s="83" t="str">
        <f>IF(I18="","", 10)</f>
        <v/>
      </c>
      <c r="E31" s="83" t="str">
        <f>IF(I18="","", 10)</f>
        <v/>
      </c>
      <c r="F31" s="83" t="str">
        <f>IF(I18="","", 11)</f>
        <v/>
      </c>
      <c r="G31" s="83" t="str">
        <f>IF(I18="","", 11)</f>
        <v/>
      </c>
      <c r="H31" s="83" t="str">
        <f>IF(I18="","", 11)</f>
        <v/>
      </c>
    </row>
    <row r="34" spans="1:35" x14ac:dyDescent="0.3">
      <c r="B34" s="91" t="str">
        <f t="shared" ref="B34:G34" si="21">IF(C22="","", CONCATENATE("U",C22,C$21))</f>
        <v/>
      </c>
      <c r="C34" s="91" t="str">
        <f t="shared" si="21"/>
        <v/>
      </c>
      <c r="D34" s="91" t="str">
        <f t="shared" si="21"/>
        <v/>
      </c>
      <c r="E34" s="91" t="str">
        <f t="shared" si="21"/>
        <v/>
      </c>
      <c r="F34" s="91" t="str">
        <f t="shared" si="21"/>
        <v/>
      </c>
      <c r="G34" s="91" t="str">
        <f t="shared" si="21"/>
        <v/>
      </c>
    </row>
    <row r="35" spans="1:35" x14ac:dyDescent="0.3">
      <c r="B35" s="92">
        <f>IF(I9="", 0, O9*J9*J9+P9*K9*K9)</f>
        <v>0</v>
      </c>
      <c r="C35" s="93">
        <f>IF(I9="", 0, (O9-P9)*(J9*K9))</f>
        <v>0</v>
      </c>
      <c r="D35" s="93">
        <f>IF(I9="", 0, -Q9*K9)</f>
        <v>0</v>
      </c>
      <c r="E35" s="93">
        <f t="shared" ref="E35:F37" si="22">-B35</f>
        <v>0</v>
      </c>
      <c r="F35" s="93">
        <f t="shared" si="22"/>
        <v>0</v>
      </c>
      <c r="G35" s="93">
        <f>D35</f>
        <v>0</v>
      </c>
      <c r="H35" s="91" t="str">
        <f>B34</f>
        <v/>
      </c>
    </row>
    <row r="36" spans="1:35" x14ac:dyDescent="0.3">
      <c r="B36" s="93">
        <f>C35</f>
        <v>0</v>
      </c>
      <c r="C36" s="92">
        <f>IF(I9="", 0, O9*K9*K9+P9*J9*J9)</f>
        <v>0</v>
      </c>
      <c r="D36" s="93">
        <f>IF(I9="", 0, Q9*J9)</f>
        <v>0</v>
      </c>
      <c r="E36" s="93">
        <f t="shared" si="22"/>
        <v>0</v>
      </c>
      <c r="F36" s="93">
        <f t="shared" si="22"/>
        <v>0</v>
      </c>
      <c r="G36" s="93">
        <f>D36</f>
        <v>0</v>
      </c>
      <c r="H36" s="91" t="str">
        <f>C34</f>
        <v/>
      </c>
    </row>
    <row r="37" spans="1:35" x14ac:dyDescent="0.3">
      <c r="A37" s="94" t="s">
        <v>255</v>
      </c>
      <c r="B37" s="93">
        <f>D35</f>
        <v>0</v>
      </c>
      <c r="C37" s="93">
        <f>D36</f>
        <v>0</v>
      </c>
      <c r="D37" s="92">
        <f>IF(I9="", 0, R9)</f>
        <v>0</v>
      </c>
      <c r="E37" s="93">
        <f t="shared" si="22"/>
        <v>0</v>
      </c>
      <c r="F37" s="93">
        <f t="shared" si="22"/>
        <v>0</v>
      </c>
      <c r="G37" s="93">
        <f>IF(I9="", 0, S9)</f>
        <v>0</v>
      </c>
      <c r="H37" s="91" t="str">
        <f>D34</f>
        <v/>
      </c>
    </row>
    <row r="38" spans="1:35" x14ac:dyDescent="0.3">
      <c r="B38" s="93">
        <f>E35</f>
        <v>0</v>
      </c>
      <c r="C38" s="93">
        <f>E36</f>
        <v>0</v>
      </c>
      <c r="D38" s="93">
        <f>E37</f>
        <v>0</v>
      </c>
      <c r="E38" s="92">
        <f>B35</f>
        <v>0</v>
      </c>
      <c r="F38" s="93">
        <f>C35</f>
        <v>0</v>
      </c>
      <c r="G38" s="93">
        <f>-D35</f>
        <v>0</v>
      </c>
      <c r="H38" s="91" t="str">
        <f>E34</f>
        <v/>
      </c>
    </row>
    <row r="39" spans="1:35" x14ac:dyDescent="0.3">
      <c r="B39" s="93">
        <f>F35</f>
        <v>0</v>
      </c>
      <c r="C39" s="93">
        <f>F36</f>
        <v>0</v>
      </c>
      <c r="D39" s="93">
        <f>F37</f>
        <v>0</v>
      </c>
      <c r="E39" s="93">
        <f>F38</f>
        <v>0</v>
      </c>
      <c r="F39" s="92">
        <f>C36</f>
        <v>0</v>
      </c>
      <c r="G39" s="93">
        <f>-D36</f>
        <v>0</v>
      </c>
      <c r="H39" s="91" t="str">
        <f>F34</f>
        <v/>
      </c>
    </row>
    <row r="40" spans="1:35" x14ac:dyDescent="0.3">
      <c r="B40" s="93">
        <f>G35</f>
        <v>0</v>
      </c>
      <c r="C40" s="93">
        <f>G36</f>
        <v>0</v>
      </c>
      <c r="D40" s="93">
        <f>G37</f>
        <v>0</v>
      </c>
      <c r="E40" s="93">
        <f>G38</f>
        <v>0</v>
      </c>
      <c r="F40" s="93">
        <f>G39</f>
        <v>0</v>
      </c>
      <c r="G40" s="92">
        <f>D37</f>
        <v>0</v>
      </c>
      <c r="H40" s="91" t="str">
        <f>G34</f>
        <v/>
      </c>
    </row>
    <row r="42" spans="1:35" x14ac:dyDescent="0.3">
      <c r="B42" s="91" t="s">
        <v>125</v>
      </c>
      <c r="C42" s="91" t="s">
        <v>126</v>
      </c>
      <c r="D42" s="91" t="s">
        <v>127</v>
      </c>
      <c r="E42" s="91" t="s">
        <v>128</v>
      </c>
      <c r="F42" s="91" t="s">
        <v>129</v>
      </c>
      <c r="G42" s="91" t="s">
        <v>130</v>
      </c>
      <c r="H42" s="91" t="s">
        <v>131</v>
      </c>
      <c r="I42" s="91" t="s">
        <v>132</v>
      </c>
      <c r="J42" s="91" t="s">
        <v>133</v>
      </c>
      <c r="K42" s="91" t="s">
        <v>134</v>
      </c>
      <c r="L42" s="91" t="s">
        <v>135</v>
      </c>
      <c r="M42" s="91" t="s">
        <v>136</v>
      </c>
      <c r="N42" s="91" t="s">
        <v>137</v>
      </c>
      <c r="O42" s="91" t="s">
        <v>138</v>
      </c>
      <c r="P42" s="91" t="s">
        <v>139</v>
      </c>
      <c r="Q42" s="91" t="s">
        <v>140</v>
      </c>
      <c r="R42" s="91" t="s">
        <v>141</v>
      </c>
      <c r="S42" s="91" t="s">
        <v>142</v>
      </c>
      <c r="T42" s="91" t="s">
        <v>143</v>
      </c>
      <c r="U42" s="91" t="s">
        <v>144</v>
      </c>
      <c r="V42" s="91" t="s">
        <v>145</v>
      </c>
      <c r="W42" s="91" t="s">
        <v>146</v>
      </c>
      <c r="X42" s="91" t="s">
        <v>147</v>
      </c>
      <c r="Y42" s="91" t="s">
        <v>148</v>
      </c>
      <c r="Z42" s="91" t="s">
        <v>149</v>
      </c>
      <c r="AA42" s="91" t="s">
        <v>150</v>
      </c>
      <c r="AB42" s="91" t="s">
        <v>151</v>
      </c>
      <c r="AC42" s="91" t="s">
        <v>152</v>
      </c>
      <c r="AD42" s="91" t="s">
        <v>153</v>
      </c>
      <c r="AE42" s="91" t="s">
        <v>154</v>
      </c>
      <c r="AF42" s="91" t="s">
        <v>155</v>
      </c>
      <c r="AG42" s="91" t="s">
        <v>156</v>
      </c>
      <c r="AH42" s="91" t="s">
        <v>157</v>
      </c>
    </row>
    <row r="43" spans="1:35" x14ac:dyDescent="0.3">
      <c r="B43" s="93">
        <f t="shared" ref="B43:G48" si="23">B35</f>
        <v>0</v>
      </c>
      <c r="C43" s="93">
        <f t="shared" si="23"/>
        <v>0</v>
      </c>
      <c r="D43" s="93">
        <f t="shared" si="23"/>
        <v>0</v>
      </c>
      <c r="E43" s="93">
        <f t="shared" si="23"/>
        <v>0</v>
      </c>
      <c r="F43" s="93">
        <f t="shared" si="23"/>
        <v>0</v>
      </c>
      <c r="G43" s="93">
        <f t="shared" si="23"/>
        <v>0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1" t="s">
        <v>125</v>
      </c>
    </row>
    <row r="44" spans="1:35" x14ac:dyDescent="0.3">
      <c r="B44" s="93">
        <f t="shared" si="23"/>
        <v>0</v>
      </c>
      <c r="C44" s="93">
        <f t="shared" si="23"/>
        <v>0</v>
      </c>
      <c r="D44" s="93">
        <f t="shared" si="23"/>
        <v>0</v>
      </c>
      <c r="E44" s="93">
        <f t="shared" si="23"/>
        <v>0</v>
      </c>
      <c r="F44" s="93">
        <f t="shared" si="23"/>
        <v>0</v>
      </c>
      <c r="G44" s="93">
        <f t="shared" si="23"/>
        <v>0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1" t="s">
        <v>126</v>
      </c>
    </row>
    <row r="45" spans="1:35" x14ac:dyDescent="0.3">
      <c r="B45" s="93">
        <f t="shared" si="23"/>
        <v>0</v>
      </c>
      <c r="C45" s="93">
        <f t="shared" si="23"/>
        <v>0</v>
      </c>
      <c r="D45" s="93">
        <f t="shared" si="23"/>
        <v>0</v>
      </c>
      <c r="E45" s="93">
        <f t="shared" si="23"/>
        <v>0</v>
      </c>
      <c r="F45" s="93">
        <f t="shared" si="23"/>
        <v>0</v>
      </c>
      <c r="G45" s="93">
        <f t="shared" si="23"/>
        <v>0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1" t="s">
        <v>127</v>
      </c>
    </row>
    <row r="46" spans="1:35" x14ac:dyDescent="0.3">
      <c r="B46" s="93">
        <f t="shared" si="23"/>
        <v>0</v>
      </c>
      <c r="C46" s="93">
        <f t="shared" si="23"/>
        <v>0</v>
      </c>
      <c r="D46" s="93">
        <f t="shared" si="23"/>
        <v>0</v>
      </c>
      <c r="E46" s="93">
        <f t="shared" si="23"/>
        <v>0</v>
      </c>
      <c r="F46" s="93">
        <f t="shared" si="23"/>
        <v>0</v>
      </c>
      <c r="G46" s="93">
        <f t="shared" si="23"/>
        <v>0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1" t="s">
        <v>128</v>
      </c>
    </row>
    <row r="47" spans="1:35" x14ac:dyDescent="0.3">
      <c r="B47" s="93">
        <f t="shared" si="23"/>
        <v>0</v>
      </c>
      <c r="C47" s="93">
        <f t="shared" si="23"/>
        <v>0</v>
      </c>
      <c r="D47" s="93">
        <f t="shared" si="23"/>
        <v>0</v>
      </c>
      <c r="E47" s="93">
        <f t="shared" si="23"/>
        <v>0</v>
      </c>
      <c r="F47" s="93">
        <f t="shared" si="23"/>
        <v>0</v>
      </c>
      <c r="G47" s="93">
        <f t="shared" si="23"/>
        <v>0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1" t="s">
        <v>129</v>
      </c>
    </row>
    <row r="48" spans="1:35" x14ac:dyDescent="0.3">
      <c r="B48" s="93">
        <f t="shared" si="23"/>
        <v>0</v>
      </c>
      <c r="C48" s="93">
        <f t="shared" si="23"/>
        <v>0</v>
      </c>
      <c r="D48" s="93">
        <f t="shared" si="23"/>
        <v>0</v>
      </c>
      <c r="E48" s="93">
        <f t="shared" si="23"/>
        <v>0</v>
      </c>
      <c r="F48" s="93">
        <f t="shared" si="23"/>
        <v>0</v>
      </c>
      <c r="G48" s="93">
        <f t="shared" si="23"/>
        <v>0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1" t="s">
        <v>130</v>
      </c>
    </row>
    <row r="49" spans="1:35" x14ac:dyDescent="0.3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1" t="s">
        <v>131</v>
      </c>
    </row>
    <row r="50" spans="1:35" x14ac:dyDescent="0.3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1" t="s">
        <v>132</v>
      </c>
    </row>
    <row r="51" spans="1:35" x14ac:dyDescent="0.3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1" t="s">
        <v>133</v>
      </c>
    </row>
    <row r="52" spans="1:35" x14ac:dyDescent="0.3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1" t="s">
        <v>134</v>
      </c>
    </row>
    <row r="53" spans="1:35" x14ac:dyDescent="0.3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1" t="s">
        <v>135</v>
      </c>
    </row>
    <row r="54" spans="1:35" x14ac:dyDescent="0.3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1" t="s">
        <v>136</v>
      </c>
    </row>
    <row r="55" spans="1:35" x14ac:dyDescent="0.3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1" t="s">
        <v>137</v>
      </c>
    </row>
    <row r="56" spans="1:35" x14ac:dyDescent="0.3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1" t="s">
        <v>138</v>
      </c>
    </row>
    <row r="57" spans="1:35" x14ac:dyDescent="0.3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1" t="s">
        <v>139</v>
      </c>
    </row>
    <row r="58" spans="1:35" x14ac:dyDescent="0.3">
      <c r="A58" s="94" t="s">
        <v>255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1" t="s">
        <v>140</v>
      </c>
    </row>
    <row r="59" spans="1:35" x14ac:dyDescent="0.3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1" t="s">
        <v>141</v>
      </c>
    </row>
    <row r="60" spans="1:35" x14ac:dyDescent="0.3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1" t="s">
        <v>142</v>
      </c>
    </row>
    <row r="61" spans="1:35" x14ac:dyDescent="0.3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1" t="s">
        <v>143</v>
      </c>
    </row>
    <row r="62" spans="1:35" x14ac:dyDescent="0.3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1" t="s">
        <v>144</v>
      </c>
    </row>
    <row r="63" spans="1:35" x14ac:dyDescent="0.3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1" t="s">
        <v>145</v>
      </c>
    </row>
    <row r="64" spans="1:35" x14ac:dyDescent="0.3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1" t="s">
        <v>146</v>
      </c>
    </row>
    <row r="65" spans="1:35" x14ac:dyDescent="0.3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1" t="s">
        <v>147</v>
      </c>
    </row>
    <row r="66" spans="1:35" x14ac:dyDescent="0.3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1" t="s">
        <v>148</v>
      </c>
    </row>
    <row r="67" spans="1:35" x14ac:dyDescent="0.3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1" t="s">
        <v>149</v>
      </c>
    </row>
    <row r="68" spans="1:35" x14ac:dyDescent="0.3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1" t="s">
        <v>150</v>
      </c>
    </row>
    <row r="69" spans="1:35" x14ac:dyDescent="0.3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1" t="s">
        <v>151</v>
      </c>
    </row>
    <row r="70" spans="1:35" x14ac:dyDescent="0.3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1" t="s">
        <v>152</v>
      </c>
    </row>
    <row r="71" spans="1:35" x14ac:dyDescent="0.3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1" t="s">
        <v>153</v>
      </c>
    </row>
    <row r="72" spans="1:35" x14ac:dyDescent="0.3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1" t="s">
        <v>154</v>
      </c>
    </row>
    <row r="73" spans="1:35" x14ac:dyDescent="0.3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1" t="s">
        <v>155</v>
      </c>
    </row>
    <row r="74" spans="1:35" x14ac:dyDescent="0.3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1" t="s">
        <v>156</v>
      </c>
    </row>
    <row r="75" spans="1:35" x14ac:dyDescent="0.3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1" t="s">
        <v>157</v>
      </c>
    </row>
    <row r="77" spans="1:35" x14ac:dyDescent="0.3">
      <c r="B77" s="91" t="str">
        <f t="shared" ref="B77:G77" si="24">IF(C23="","", CONCATENATE("U",C23,C$21))</f>
        <v/>
      </c>
      <c r="C77" s="91" t="str">
        <f t="shared" si="24"/>
        <v/>
      </c>
      <c r="D77" s="91" t="str">
        <f t="shared" si="24"/>
        <v/>
      </c>
      <c r="E77" s="91" t="str">
        <f t="shared" si="24"/>
        <v/>
      </c>
      <c r="F77" s="91" t="str">
        <f t="shared" si="24"/>
        <v/>
      </c>
      <c r="G77" s="91" t="str">
        <f t="shared" si="24"/>
        <v/>
      </c>
    </row>
    <row r="78" spans="1:35" x14ac:dyDescent="0.3">
      <c r="B78" s="92">
        <f>IF(I10="", 0, O10*J10*J10+P10*K10*K10)</f>
        <v>0</v>
      </c>
      <c r="C78" s="93">
        <f>IF(I10="", 0, (O10-P10)*(J10*K10))</f>
        <v>0</v>
      </c>
      <c r="D78" s="93">
        <f>IF(I10="", 0, -Q10*K10)</f>
        <v>0</v>
      </c>
      <c r="E78" s="93">
        <f t="shared" ref="E78:F80" si="25">-B78</f>
        <v>0</v>
      </c>
      <c r="F78" s="93">
        <f t="shared" si="25"/>
        <v>0</v>
      </c>
      <c r="G78" s="93">
        <f>D78</f>
        <v>0</v>
      </c>
      <c r="H78" s="91" t="str">
        <f>B77</f>
        <v/>
      </c>
    </row>
    <row r="79" spans="1:35" x14ac:dyDescent="0.3">
      <c r="B79" s="93">
        <f>C78</f>
        <v>0</v>
      </c>
      <c r="C79" s="92">
        <f>IF(I10="", 0, O10*K10*K10+P10*J10*J10)</f>
        <v>0</v>
      </c>
      <c r="D79" s="93">
        <f>IF(I10="", 0, Q10*J10)</f>
        <v>0</v>
      </c>
      <c r="E79" s="93">
        <f t="shared" si="25"/>
        <v>0</v>
      </c>
      <c r="F79" s="93">
        <f t="shared" si="25"/>
        <v>0</v>
      </c>
      <c r="G79" s="93">
        <f>D79</f>
        <v>0</v>
      </c>
      <c r="H79" s="91" t="str">
        <f>C77</f>
        <v/>
      </c>
    </row>
    <row r="80" spans="1:35" x14ac:dyDescent="0.3">
      <c r="A80" s="94" t="s">
        <v>256</v>
      </c>
      <c r="B80" s="93">
        <f>D78</f>
        <v>0</v>
      </c>
      <c r="C80" s="93">
        <f>D79</f>
        <v>0</v>
      </c>
      <c r="D80" s="92">
        <f>IF(I10="", 0, R10)</f>
        <v>0</v>
      </c>
      <c r="E80" s="93">
        <f t="shared" si="25"/>
        <v>0</v>
      </c>
      <c r="F80" s="93">
        <f t="shared" si="25"/>
        <v>0</v>
      </c>
      <c r="G80" s="93">
        <f>IF(I10="", 0, S10)</f>
        <v>0</v>
      </c>
      <c r="H80" s="91" t="str">
        <f>D77</f>
        <v/>
      </c>
    </row>
    <row r="81" spans="2:35" x14ac:dyDescent="0.3">
      <c r="B81" s="93">
        <f>E78</f>
        <v>0</v>
      </c>
      <c r="C81" s="93">
        <f>E79</f>
        <v>0</v>
      </c>
      <c r="D81" s="93">
        <f>E80</f>
        <v>0</v>
      </c>
      <c r="E81" s="92">
        <f>B78</f>
        <v>0</v>
      </c>
      <c r="F81" s="93">
        <f>C78</f>
        <v>0</v>
      </c>
      <c r="G81" s="93">
        <f>-D78</f>
        <v>0</v>
      </c>
      <c r="H81" s="91" t="str">
        <f>E77</f>
        <v/>
      </c>
    </row>
    <row r="82" spans="2:35" x14ac:dyDescent="0.3">
      <c r="B82" s="93">
        <f>F78</f>
        <v>0</v>
      </c>
      <c r="C82" s="93">
        <f>F79</f>
        <v>0</v>
      </c>
      <c r="D82" s="93">
        <f>F80</f>
        <v>0</v>
      </c>
      <c r="E82" s="93">
        <f>F81</f>
        <v>0</v>
      </c>
      <c r="F82" s="92">
        <f>C79</f>
        <v>0</v>
      </c>
      <c r="G82" s="93">
        <f>-D79</f>
        <v>0</v>
      </c>
      <c r="H82" s="91" t="str">
        <f>F77</f>
        <v/>
      </c>
    </row>
    <row r="83" spans="2:35" x14ac:dyDescent="0.3">
      <c r="B83" s="93">
        <f>G78</f>
        <v>0</v>
      </c>
      <c r="C83" s="93">
        <f>G79</f>
        <v>0</v>
      </c>
      <c r="D83" s="93">
        <f>G80</f>
        <v>0</v>
      </c>
      <c r="E83" s="93">
        <f>G81</f>
        <v>0</v>
      </c>
      <c r="F83" s="93">
        <f>G82</f>
        <v>0</v>
      </c>
      <c r="G83" s="92">
        <f>D80</f>
        <v>0</v>
      </c>
      <c r="H83" s="91" t="str">
        <f>G77</f>
        <v/>
      </c>
    </row>
    <row r="85" spans="2:35" x14ac:dyDescent="0.3">
      <c r="B85" s="91" t="s">
        <v>125</v>
      </c>
      <c r="C85" s="91" t="s">
        <v>126</v>
      </c>
      <c r="D85" s="91" t="s">
        <v>127</v>
      </c>
      <c r="E85" s="91" t="s">
        <v>128</v>
      </c>
      <c r="F85" s="91" t="s">
        <v>129</v>
      </c>
      <c r="G85" s="91" t="s">
        <v>130</v>
      </c>
      <c r="H85" s="91" t="s">
        <v>131</v>
      </c>
      <c r="I85" s="91" t="s">
        <v>132</v>
      </c>
      <c r="J85" s="91" t="s">
        <v>133</v>
      </c>
      <c r="K85" s="91" t="s">
        <v>134</v>
      </c>
      <c r="L85" s="91" t="s">
        <v>135</v>
      </c>
      <c r="M85" s="91" t="s">
        <v>136</v>
      </c>
      <c r="N85" s="91" t="s">
        <v>137</v>
      </c>
      <c r="O85" s="91" t="s">
        <v>138</v>
      </c>
      <c r="P85" s="91" t="s">
        <v>139</v>
      </c>
      <c r="Q85" s="91" t="s">
        <v>140</v>
      </c>
      <c r="R85" s="91" t="s">
        <v>141</v>
      </c>
      <c r="S85" s="91" t="s">
        <v>142</v>
      </c>
      <c r="T85" s="91" t="s">
        <v>143</v>
      </c>
      <c r="U85" s="91" t="s">
        <v>144</v>
      </c>
      <c r="V85" s="91" t="s">
        <v>145</v>
      </c>
      <c r="W85" s="91" t="s">
        <v>146</v>
      </c>
      <c r="X85" s="91" t="s">
        <v>147</v>
      </c>
      <c r="Y85" s="91" t="s">
        <v>148</v>
      </c>
      <c r="Z85" s="91" t="s">
        <v>149</v>
      </c>
      <c r="AA85" s="91" t="s">
        <v>150</v>
      </c>
      <c r="AB85" s="91" t="s">
        <v>151</v>
      </c>
      <c r="AC85" s="91" t="s">
        <v>152</v>
      </c>
      <c r="AD85" s="91" t="s">
        <v>153</v>
      </c>
      <c r="AE85" s="91" t="s">
        <v>154</v>
      </c>
      <c r="AF85" s="91" t="s">
        <v>155</v>
      </c>
      <c r="AG85" s="91" t="s">
        <v>156</v>
      </c>
      <c r="AH85" s="91" t="s">
        <v>157</v>
      </c>
    </row>
    <row r="86" spans="2:35" x14ac:dyDescent="0.3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1" t="s">
        <v>125</v>
      </c>
    </row>
    <row r="87" spans="2:35" x14ac:dyDescent="0.3"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1" t="s">
        <v>126</v>
      </c>
    </row>
    <row r="88" spans="2:35" x14ac:dyDescent="0.3"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1" t="s">
        <v>127</v>
      </c>
    </row>
    <row r="89" spans="2:35" x14ac:dyDescent="0.3">
      <c r="B89" s="93"/>
      <c r="C89" s="93"/>
      <c r="D89" s="93"/>
      <c r="E89" s="93">
        <f t="shared" ref="E89:J94" si="26">B78</f>
        <v>0</v>
      </c>
      <c r="F89" s="93">
        <f t="shared" si="26"/>
        <v>0</v>
      </c>
      <c r="G89" s="93">
        <f t="shared" si="26"/>
        <v>0</v>
      </c>
      <c r="H89" s="93">
        <f t="shared" si="26"/>
        <v>0</v>
      </c>
      <c r="I89" s="93">
        <f t="shared" si="26"/>
        <v>0</v>
      </c>
      <c r="J89" s="93">
        <f t="shared" si="26"/>
        <v>0</v>
      </c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1" t="s">
        <v>128</v>
      </c>
    </row>
    <row r="90" spans="2:35" x14ac:dyDescent="0.3">
      <c r="B90" s="93"/>
      <c r="C90" s="93"/>
      <c r="D90" s="93"/>
      <c r="E90" s="93">
        <f t="shared" si="26"/>
        <v>0</v>
      </c>
      <c r="F90" s="93">
        <f t="shared" si="26"/>
        <v>0</v>
      </c>
      <c r="G90" s="93">
        <f t="shared" si="26"/>
        <v>0</v>
      </c>
      <c r="H90" s="93">
        <f t="shared" si="26"/>
        <v>0</v>
      </c>
      <c r="I90" s="93">
        <f t="shared" si="26"/>
        <v>0</v>
      </c>
      <c r="J90" s="93">
        <f t="shared" si="26"/>
        <v>0</v>
      </c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1" t="s">
        <v>129</v>
      </c>
    </row>
    <row r="91" spans="2:35" x14ac:dyDescent="0.3">
      <c r="B91" s="93"/>
      <c r="C91" s="93"/>
      <c r="D91" s="93"/>
      <c r="E91" s="93">
        <f t="shared" si="26"/>
        <v>0</v>
      </c>
      <c r="F91" s="93">
        <f t="shared" si="26"/>
        <v>0</v>
      </c>
      <c r="G91" s="93">
        <f t="shared" si="26"/>
        <v>0</v>
      </c>
      <c r="H91" s="93">
        <f t="shared" si="26"/>
        <v>0</v>
      </c>
      <c r="I91" s="93">
        <f t="shared" si="26"/>
        <v>0</v>
      </c>
      <c r="J91" s="93">
        <f t="shared" si="26"/>
        <v>0</v>
      </c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1" t="s">
        <v>130</v>
      </c>
    </row>
    <row r="92" spans="2:35" x14ac:dyDescent="0.3">
      <c r="B92" s="93"/>
      <c r="C92" s="93"/>
      <c r="D92" s="93"/>
      <c r="E92" s="93">
        <f t="shared" si="26"/>
        <v>0</v>
      </c>
      <c r="F92" s="93">
        <f t="shared" si="26"/>
        <v>0</v>
      </c>
      <c r="G92" s="93">
        <f t="shared" si="26"/>
        <v>0</v>
      </c>
      <c r="H92" s="93">
        <f t="shared" si="26"/>
        <v>0</v>
      </c>
      <c r="I92" s="93">
        <f t="shared" si="26"/>
        <v>0</v>
      </c>
      <c r="J92" s="93">
        <f t="shared" si="26"/>
        <v>0</v>
      </c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1" t="s">
        <v>131</v>
      </c>
    </row>
    <row r="93" spans="2:35" x14ac:dyDescent="0.3">
      <c r="B93" s="93"/>
      <c r="C93" s="93"/>
      <c r="D93" s="93"/>
      <c r="E93" s="93">
        <f t="shared" si="26"/>
        <v>0</v>
      </c>
      <c r="F93" s="93">
        <f t="shared" si="26"/>
        <v>0</v>
      </c>
      <c r="G93" s="93">
        <f t="shared" si="26"/>
        <v>0</v>
      </c>
      <c r="H93" s="93">
        <f t="shared" si="26"/>
        <v>0</v>
      </c>
      <c r="I93" s="93">
        <f t="shared" si="26"/>
        <v>0</v>
      </c>
      <c r="J93" s="93">
        <f t="shared" si="26"/>
        <v>0</v>
      </c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1" t="s">
        <v>132</v>
      </c>
    </row>
    <row r="94" spans="2:35" x14ac:dyDescent="0.3">
      <c r="B94" s="93"/>
      <c r="C94" s="93"/>
      <c r="D94" s="93"/>
      <c r="E94" s="93">
        <f t="shared" si="26"/>
        <v>0</v>
      </c>
      <c r="F94" s="93">
        <f t="shared" si="26"/>
        <v>0</v>
      </c>
      <c r="G94" s="93">
        <f t="shared" si="26"/>
        <v>0</v>
      </c>
      <c r="H94" s="93">
        <f t="shared" si="26"/>
        <v>0</v>
      </c>
      <c r="I94" s="93">
        <f t="shared" si="26"/>
        <v>0</v>
      </c>
      <c r="J94" s="93">
        <f t="shared" si="26"/>
        <v>0</v>
      </c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1" t="s">
        <v>133</v>
      </c>
    </row>
    <row r="95" spans="2:35" x14ac:dyDescent="0.3"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1" t="s">
        <v>134</v>
      </c>
    </row>
    <row r="96" spans="2:35" x14ac:dyDescent="0.3"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1" t="s">
        <v>135</v>
      </c>
    </row>
    <row r="97" spans="1:35" x14ac:dyDescent="0.3"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1" t="s">
        <v>136</v>
      </c>
    </row>
    <row r="98" spans="1:35" x14ac:dyDescent="0.3"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1" t="s">
        <v>137</v>
      </c>
    </row>
    <row r="99" spans="1:35" x14ac:dyDescent="0.3"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1" t="s">
        <v>138</v>
      </c>
    </row>
    <row r="100" spans="1:35" x14ac:dyDescent="0.3"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1" t="s">
        <v>139</v>
      </c>
    </row>
    <row r="101" spans="1:35" x14ac:dyDescent="0.3">
      <c r="A101" s="94" t="s">
        <v>256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1" t="s">
        <v>140</v>
      </c>
    </row>
    <row r="102" spans="1:35" x14ac:dyDescent="0.3"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1" t="s">
        <v>141</v>
      </c>
    </row>
    <row r="103" spans="1:35" x14ac:dyDescent="0.3"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1" t="s">
        <v>142</v>
      </c>
    </row>
    <row r="104" spans="1:35" x14ac:dyDescent="0.3"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1" t="s">
        <v>143</v>
      </c>
    </row>
    <row r="105" spans="1:35" x14ac:dyDescent="0.3"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1" t="s">
        <v>144</v>
      </c>
    </row>
    <row r="106" spans="1:35" x14ac:dyDescent="0.3"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1" t="s">
        <v>145</v>
      </c>
    </row>
    <row r="107" spans="1:35" x14ac:dyDescent="0.3"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1" t="s">
        <v>146</v>
      </c>
    </row>
    <row r="108" spans="1:35" x14ac:dyDescent="0.3"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1" t="s">
        <v>147</v>
      </c>
    </row>
    <row r="109" spans="1:35" x14ac:dyDescent="0.3"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1" t="s">
        <v>148</v>
      </c>
    </row>
    <row r="110" spans="1:35" x14ac:dyDescent="0.3"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1" t="s">
        <v>149</v>
      </c>
    </row>
    <row r="111" spans="1:35" x14ac:dyDescent="0.3"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1" t="s">
        <v>150</v>
      </c>
    </row>
    <row r="112" spans="1:35" x14ac:dyDescent="0.3"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1" t="s">
        <v>151</v>
      </c>
    </row>
    <row r="113" spans="1:35" x14ac:dyDescent="0.3"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1" t="s">
        <v>152</v>
      </c>
    </row>
    <row r="114" spans="1:35" x14ac:dyDescent="0.3"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1" t="s">
        <v>153</v>
      </c>
    </row>
    <row r="115" spans="1:35" x14ac:dyDescent="0.3"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1" t="s">
        <v>154</v>
      </c>
    </row>
    <row r="116" spans="1:35" x14ac:dyDescent="0.3"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1" t="s">
        <v>155</v>
      </c>
    </row>
    <row r="117" spans="1:35" x14ac:dyDescent="0.3"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1" t="s">
        <v>156</v>
      </c>
    </row>
    <row r="118" spans="1:35" x14ac:dyDescent="0.3"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1" t="s">
        <v>157</v>
      </c>
    </row>
    <row r="120" spans="1:35" x14ac:dyDescent="0.3">
      <c r="B120" s="91" t="str">
        <f t="shared" ref="B120:G120" si="27">IF(C24="","", CONCATENATE("U",C24,C$21))</f>
        <v/>
      </c>
      <c r="C120" s="91" t="str">
        <f t="shared" si="27"/>
        <v/>
      </c>
      <c r="D120" s="91" t="str">
        <f t="shared" si="27"/>
        <v/>
      </c>
      <c r="E120" s="91" t="str">
        <f t="shared" si="27"/>
        <v/>
      </c>
      <c r="F120" s="91" t="str">
        <f t="shared" si="27"/>
        <v/>
      </c>
      <c r="G120" s="91" t="str">
        <f t="shared" si="27"/>
        <v/>
      </c>
    </row>
    <row r="121" spans="1:35" x14ac:dyDescent="0.3">
      <c r="B121" s="92">
        <f>IF(I11="", 0, O11*J11*J11+P11*K11*K11)</f>
        <v>0</v>
      </c>
      <c r="C121" s="93">
        <f>IF(I11="", 0, (O11-P11)*(J11*K11))</f>
        <v>0</v>
      </c>
      <c r="D121" s="93">
        <f>IF(I11="", 0, -Q11*K11)</f>
        <v>0</v>
      </c>
      <c r="E121" s="93">
        <f t="shared" ref="E121:F123" si="28">-B121</f>
        <v>0</v>
      </c>
      <c r="F121" s="93">
        <f t="shared" si="28"/>
        <v>0</v>
      </c>
      <c r="G121" s="93">
        <f>D121</f>
        <v>0</v>
      </c>
      <c r="H121" s="91" t="str">
        <f>B120</f>
        <v/>
      </c>
    </row>
    <row r="122" spans="1:35" x14ac:dyDescent="0.3">
      <c r="B122" s="93">
        <f>C121</f>
        <v>0</v>
      </c>
      <c r="C122" s="92">
        <f>IF(I11="", 0, O11*K11*K11+P11*J11*J11)</f>
        <v>0</v>
      </c>
      <c r="D122" s="93">
        <f>IF(I11="", 0, Q11*J11)</f>
        <v>0</v>
      </c>
      <c r="E122" s="93">
        <f t="shared" si="28"/>
        <v>0</v>
      </c>
      <c r="F122" s="93">
        <f t="shared" si="28"/>
        <v>0</v>
      </c>
      <c r="G122" s="93">
        <f>D122</f>
        <v>0</v>
      </c>
      <c r="H122" s="91" t="str">
        <f>C120</f>
        <v/>
      </c>
    </row>
    <row r="123" spans="1:35" x14ac:dyDescent="0.3">
      <c r="A123" s="94" t="s">
        <v>257</v>
      </c>
      <c r="B123" s="93">
        <f>D121</f>
        <v>0</v>
      </c>
      <c r="C123" s="93">
        <f>D122</f>
        <v>0</v>
      </c>
      <c r="D123" s="92">
        <f>IF(I11="", 0, R11)</f>
        <v>0</v>
      </c>
      <c r="E123" s="93">
        <f t="shared" si="28"/>
        <v>0</v>
      </c>
      <c r="F123" s="93">
        <f t="shared" si="28"/>
        <v>0</v>
      </c>
      <c r="G123" s="93">
        <f>IF(I11="", 0, S11)</f>
        <v>0</v>
      </c>
      <c r="H123" s="91" t="str">
        <f>D120</f>
        <v/>
      </c>
    </row>
    <row r="124" spans="1:35" x14ac:dyDescent="0.3">
      <c r="B124" s="93">
        <f>E121</f>
        <v>0</v>
      </c>
      <c r="C124" s="93">
        <f>E122</f>
        <v>0</v>
      </c>
      <c r="D124" s="93">
        <f>E123</f>
        <v>0</v>
      </c>
      <c r="E124" s="92">
        <f>B121</f>
        <v>0</v>
      </c>
      <c r="F124" s="93">
        <f>C121</f>
        <v>0</v>
      </c>
      <c r="G124" s="93">
        <f>-D121</f>
        <v>0</v>
      </c>
      <c r="H124" s="91" t="str">
        <f>E120</f>
        <v/>
      </c>
    </row>
    <row r="125" spans="1:35" x14ac:dyDescent="0.3">
      <c r="B125" s="93">
        <f>F121</f>
        <v>0</v>
      </c>
      <c r="C125" s="93">
        <f>F122</f>
        <v>0</v>
      </c>
      <c r="D125" s="93">
        <f>F123</f>
        <v>0</v>
      </c>
      <c r="E125" s="93">
        <f>F124</f>
        <v>0</v>
      </c>
      <c r="F125" s="92">
        <f>C122</f>
        <v>0</v>
      </c>
      <c r="G125" s="93">
        <f>-D122</f>
        <v>0</v>
      </c>
      <c r="H125" s="91" t="str">
        <f>F120</f>
        <v/>
      </c>
    </row>
    <row r="126" spans="1:35" x14ac:dyDescent="0.3">
      <c r="B126" s="93">
        <f>G121</f>
        <v>0</v>
      </c>
      <c r="C126" s="93">
        <f>G122</f>
        <v>0</v>
      </c>
      <c r="D126" s="93">
        <f>G123</f>
        <v>0</v>
      </c>
      <c r="E126" s="93">
        <f>G124</f>
        <v>0</v>
      </c>
      <c r="F126" s="93">
        <f>G125</f>
        <v>0</v>
      </c>
      <c r="G126" s="92">
        <f>D123</f>
        <v>0</v>
      </c>
      <c r="H126" s="91" t="str">
        <f>G120</f>
        <v/>
      </c>
    </row>
    <row r="128" spans="1:35" x14ac:dyDescent="0.3">
      <c r="B128" s="91" t="s">
        <v>125</v>
      </c>
      <c r="C128" s="91" t="s">
        <v>126</v>
      </c>
      <c r="D128" s="91" t="s">
        <v>127</v>
      </c>
      <c r="E128" s="91" t="s">
        <v>128</v>
      </c>
      <c r="F128" s="91" t="s">
        <v>129</v>
      </c>
      <c r="G128" s="91" t="s">
        <v>130</v>
      </c>
      <c r="H128" s="91" t="s">
        <v>131</v>
      </c>
      <c r="I128" s="91" t="s">
        <v>132</v>
      </c>
      <c r="J128" s="91" t="s">
        <v>133</v>
      </c>
      <c r="K128" s="91" t="s">
        <v>134</v>
      </c>
      <c r="L128" s="91" t="s">
        <v>135</v>
      </c>
      <c r="M128" s="91" t="s">
        <v>136</v>
      </c>
      <c r="N128" s="91" t="s">
        <v>137</v>
      </c>
      <c r="O128" s="91" t="s">
        <v>138</v>
      </c>
      <c r="P128" s="91" t="s">
        <v>139</v>
      </c>
      <c r="Q128" s="91" t="s">
        <v>140</v>
      </c>
      <c r="R128" s="91" t="s">
        <v>141</v>
      </c>
      <c r="S128" s="91" t="s">
        <v>142</v>
      </c>
      <c r="T128" s="91" t="s">
        <v>143</v>
      </c>
      <c r="U128" s="91" t="s">
        <v>144</v>
      </c>
      <c r="V128" s="91" t="s">
        <v>145</v>
      </c>
      <c r="W128" s="91" t="s">
        <v>146</v>
      </c>
      <c r="X128" s="91" t="s">
        <v>147</v>
      </c>
      <c r="Y128" s="91" t="s">
        <v>148</v>
      </c>
      <c r="Z128" s="91" t="s">
        <v>149</v>
      </c>
      <c r="AA128" s="91" t="s">
        <v>150</v>
      </c>
      <c r="AB128" s="91" t="s">
        <v>151</v>
      </c>
      <c r="AC128" s="91" t="s">
        <v>152</v>
      </c>
      <c r="AD128" s="91" t="s">
        <v>153</v>
      </c>
      <c r="AE128" s="91" t="s">
        <v>154</v>
      </c>
      <c r="AF128" s="91" t="s">
        <v>155</v>
      </c>
      <c r="AG128" s="91" t="s">
        <v>156</v>
      </c>
      <c r="AH128" s="91" t="s">
        <v>157</v>
      </c>
    </row>
    <row r="129" spans="1:35" x14ac:dyDescent="0.3"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1" t="s">
        <v>125</v>
      </c>
    </row>
    <row r="130" spans="1:35" x14ac:dyDescent="0.3"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1" t="s">
        <v>126</v>
      </c>
    </row>
    <row r="131" spans="1:35" x14ac:dyDescent="0.3"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1" t="s">
        <v>127</v>
      </c>
    </row>
    <row r="132" spans="1:35" x14ac:dyDescent="0.3"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1" t="s">
        <v>128</v>
      </c>
    </row>
    <row r="133" spans="1:35" x14ac:dyDescent="0.3"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1" t="s">
        <v>129</v>
      </c>
    </row>
    <row r="134" spans="1:35" x14ac:dyDescent="0.3"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1" t="s">
        <v>130</v>
      </c>
    </row>
    <row r="135" spans="1:35" x14ac:dyDescent="0.3">
      <c r="B135" s="93"/>
      <c r="C135" s="93"/>
      <c r="D135" s="93"/>
      <c r="E135" s="93"/>
      <c r="F135" s="93"/>
      <c r="G135" s="93"/>
      <c r="H135" s="93">
        <f t="shared" ref="H135:M140" si="29">B121</f>
        <v>0</v>
      </c>
      <c r="I135" s="93">
        <f t="shared" si="29"/>
        <v>0</v>
      </c>
      <c r="J135" s="93">
        <f t="shared" si="29"/>
        <v>0</v>
      </c>
      <c r="K135" s="93">
        <f t="shared" si="29"/>
        <v>0</v>
      </c>
      <c r="L135" s="93">
        <f t="shared" si="29"/>
        <v>0</v>
      </c>
      <c r="M135" s="93">
        <f t="shared" si="29"/>
        <v>0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1" t="s">
        <v>131</v>
      </c>
    </row>
    <row r="136" spans="1:35" x14ac:dyDescent="0.3">
      <c r="B136" s="93"/>
      <c r="C136" s="93"/>
      <c r="D136" s="93"/>
      <c r="E136" s="93"/>
      <c r="F136" s="93"/>
      <c r="G136" s="93"/>
      <c r="H136" s="93">
        <f t="shared" si="29"/>
        <v>0</v>
      </c>
      <c r="I136" s="93">
        <f t="shared" si="29"/>
        <v>0</v>
      </c>
      <c r="J136" s="93">
        <f t="shared" si="29"/>
        <v>0</v>
      </c>
      <c r="K136" s="93">
        <f t="shared" si="29"/>
        <v>0</v>
      </c>
      <c r="L136" s="93">
        <f t="shared" si="29"/>
        <v>0</v>
      </c>
      <c r="M136" s="93">
        <f t="shared" si="29"/>
        <v>0</v>
      </c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1" t="s">
        <v>132</v>
      </c>
    </row>
    <row r="137" spans="1:35" x14ac:dyDescent="0.3">
      <c r="B137" s="93"/>
      <c r="C137" s="93"/>
      <c r="D137" s="93"/>
      <c r="E137" s="93"/>
      <c r="F137" s="93"/>
      <c r="G137" s="93"/>
      <c r="H137" s="93">
        <f t="shared" si="29"/>
        <v>0</v>
      </c>
      <c r="I137" s="93">
        <f t="shared" si="29"/>
        <v>0</v>
      </c>
      <c r="J137" s="93">
        <f t="shared" si="29"/>
        <v>0</v>
      </c>
      <c r="K137" s="93">
        <f t="shared" si="29"/>
        <v>0</v>
      </c>
      <c r="L137" s="93">
        <f t="shared" si="29"/>
        <v>0</v>
      </c>
      <c r="M137" s="93">
        <f t="shared" si="29"/>
        <v>0</v>
      </c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1" t="s">
        <v>133</v>
      </c>
    </row>
    <row r="138" spans="1:35" x14ac:dyDescent="0.3">
      <c r="B138" s="93"/>
      <c r="C138" s="93"/>
      <c r="D138" s="93"/>
      <c r="E138" s="93"/>
      <c r="F138" s="93"/>
      <c r="G138" s="93"/>
      <c r="H138" s="93">
        <f t="shared" si="29"/>
        <v>0</v>
      </c>
      <c r="I138" s="93">
        <f t="shared" si="29"/>
        <v>0</v>
      </c>
      <c r="J138" s="93">
        <f t="shared" si="29"/>
        <v>0</v>
      </c>
      <c r="K138" s="93">
        <f t="shared" si="29"/>
        <v>0</v>
      </c>
      <c r="L138" s="93">
        <f t="shared" si="29"/>
        <v>0</v>
      </c>
      <c r="M138" s="93">
        <f t="shared" si="29"/>
        <v>0</v>
      </c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1" t="s">
        <v>134</v>
      </c>
    </row>
    <row r="139" spans="1:35" x14ac:dyDescent="0.3">
      <c r="B139" s="93"/>
      <c r="C139" s="93"/>
      <c r="D139" s="93"/>
      <c r="E139" s="93"/>
      <c r="F139" s="93"/>
      <c r="G139" s="93"/>
      <c r="H139" s="93">
        <f t="shared" si="29"/>
        <v>0</v>
      </c>
      <c r="I139" s="93">
        <f t="shared" si="29"/>
        <v>0</v>
      </c>
      <c r="J139" s="93">
        <f t="shared" si="29"/>
        <v>0</v>
      </c>
      <c r="K139" s="93">
        <f t="shared" si="29"/>
        <v>0</v>
      </c>
      <c r="L139" s="93">
        <f t="shared" si="29"/>
        <v>0</v>
      </c>
      <c r="M139" s="93">
        <f t="shared" si="29"/>
        <v>0</v>
      </c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1" t="s">
        <v>135</v>
      </c>
    </row>
    <row r="140" spans="1:35" x14ac:dyDescent="0.3">
      <c r="B140" s="93"/>
      <c r="C140" s="93"/>
      <c r="D140" s="93"/>
      <c r="E140" s="93"/>
      <c r="F140" s="93"/>
      <c r="G140" s="93"/>
      <c r="H140" s="93">
        <f t="shared" si="29"/>
        <v>0</v>
      </c>
      <c r="I140" s="93">
        <f t="shared" si="29"/>
        <v>0</v>
      </c>
      <c r="J140" s="93">
        <f t="shared" si="29"/>
        <v>0</v>
      </c>
      <c r="K140" s="93">
        <f t="shared" si="29"/>
        <v>0</v>
      </c>
      <c r="L140" s="93">
        <f t="shared" si="29"/>
        <v>0</v>
      </c>
      <c r="M140" s="93">
        <f t="shared" si="29"/>
        <v>0</v>
      </c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1" t="s">
        <v>136</v>
      </c>
    </row>
    <row r="141" spans="1:35" x14ac:dyDescent="0.3"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1" t="s">
        <v>137</v>
      </c>
    </row>
    <row r="142" spans="1:35" x14ac:dyDescent="0.3"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1" t="s">
        <v>138</v>
      </c>
    </row>
    <row r="143" spans="1:35" x14ac:dyDescent="0.3"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1" t="s">
        <v>139</v>
      </c>
    </row>
    <row r="144" spans="1:35" x14ac:dyDescent="0.3">
      <c r="A144" s="94" t="s">
        <v>257</v>
      </c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1" t="s">
        <v>140</v>
      </c>
    </row>
    <row r="145" spans="2:35" x14ac:dyDescent="0.3"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1" t="s">
        <v>141</v>
      </c>
    </row>
    <row r="146" spans="2:35" x14ac:dyDescent="0.3"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1" t="s">
        <v>142</v>
      </c>
    </row>
    <row r="147" spans="2:35" x14ac:dyDescent="0.3"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1" t="s">
        <v>143</v>
      </c>
    </row>
    <row r="148" spans="2:35" x14ac:dyDescent="0.3"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1" t="s">
        <v>144</v>
      </c>
    </row>
    <row r="149" spans="2:35" x14ac:dyDescent="0.3"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1" t="s">
        <v>145</v>
      </c>
    </row>
    <row r="150" spans="2:35" x14ac:dyDescent="0.3"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1" t="s">
        <v>146</v>
      </c>
    </row>
    <row r="151" spans="2:35" x14ac:dyDescent="0.3"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1" t="s">
        <v>147</v>
      </c>
    </row>
    <row r="152" spans="2:35" x14ac:dyDescent="0.3"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1" t="s">
        <v>148</v>
      </c>
    </row>
    <row r="153" spans="2:35" x14ac:dyDescent="0.3"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1" t="s">
        <v>149</v>
      </c>
    </row>
    <row r="154" spans="2:35" x14ac:dyDescent="0.3"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1" t="s">
        <v>150</v>
      </c>
    </row>
    <row r="155" spans="2:35" x14ac:dyDescent="0.3"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1" t="s">
        <v>151</v>
      </c>
    </row>
    <row r="156" spans="2:35" x14ac:dyDescent="0.3"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1" t="s">
        <v>152</v>
      </c>
    </row>
    <row r="157" spans="2:35" x14ac:dyDescent="0.3"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1" t="s">
        <v>153</v>
      </c>
    </row>
    <row r="158" spans="2:35" x14ac:dyDescent="0.3"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1" t="s">
        <v>154</v>
      </c>
    </row>
    <row r="159" spans="2:35" x14ac:dyDescent="0.3"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1" t="s">
        <v>155</v>
      </c>
    </row>
    <row r="160" spans="2:35" x14ac:dyDescent="0.3"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1" t="s">
        <v>156</v>
      </c>
    </row>
    <row r="161" spans="1:35" x14ac:dyDescent="0.3"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1" t="s">
        <v>157</v>
      </c>
    </row>
    <row r="163" spans="1:35" x14ac:dyDescent="0.3">
      <c r="B163" s="91" t="str">
        <f t="shared" ref="B163:G163" si="30">IF(C25="","", CONCATENATE("U",C25,C$21))</f>
        <v/>
      </c>
      <c r="C163" s="91" t="str">
        <f t="shared" si="30"/>
        <v/>
      </c>
      <c r="D163" s="91" t="str">
        <f t="shared" si="30"/>
        <v/>
      </c>
      <c r="E163" s="91" t="str">
        <f t="shared" si="30"/>
        <v/>
      </c>
      <c r="F163" s="91" t="str">
        <f t="shared" si="30"/>
        <v/>
      </c>
      <c r="G163" s="91" t="str">
        <f t="shared" si="30"/>
        <v/>
      </c>
    </row>
    <row r="164" spans="1:35" x14ac:dyDescent="0.3">
      <c r="B164" s="92">
        <f>IF(I12="", 0, O12*J12*J12+P12*K12*K12)</f>
        <v>0</v>
      </c>
      <c r="C164" s="93">
        <f>IF(I12="", 0, (O12-P12)*(J12*K12))</f>
        <v>0</v>
      </c>
      <c r="D164" s="93">
        <f>IF(I12="", 0, -Q12*K12)</f>
        <v>0</v>
      </c>
      <c r="E164" s="93">
        <f t="shared" ref="E164:F166" si="31">-B164</f>
        <v>0</v>
      </c>
      <c r="F164" s="93">
        <f t="shared" si="31"/>
        <v>0</v>
      </c>
      <c r="G164" s="93">
        <f>D164</f>
        <v>0</v>
      </c>
      <c r="H164" s="91" t="str">
        <f>B163</f>
        <v/>
      </c>
    </row>
    <row r="165" spans="1:35" x14ac:dyDescent="0.3">
      <c r="B165" s="93">
        <f>C164</f>
        <v>0</v>
      </c>
      <c r="C165" s="92">
        <f>IF(I12="", 0, O12*K12*K12+P12*J12*J12)</f>
        <v>0</v>
      </c>
      <c r="D165" s="93">
        <f>IF(I12="", 0, Q12*J12)</f>
        <v>0</v>
      </c>
      <c r="E165" s="93">
        <f t="shared" si="31"/>
        <v>0</v>
      </c>
      <c r="F165" s="93">
        <f t="shared" si="31"/>
        <v>0</v>
      </c>
      <c r="G165" s="93">
        <f>D165</f>
        <v>0</v>
      </c>
      <c r="H165" s="91" t="str">
        <f>C163</f>
        <v/>
      </c>
    </row>
    <row r="166" spans="1:35" x14ac:dyDescent="0.3">
      <c r="A166" s="94" t="s">
        <v>258</v>
      </c>
      <c r="B166" s="93">
        <f>D164</f>
        <v>0</v>
      </c>
      <c r="C166" s="93">
        <f>D165</f>
        <v>0</v>
      </c>
      <c r="D166" s="92">
        <f>IF(I12="", 0, R12)</f>
        <v>0</v>
      </c>
      <c r="E166" s="93">
        <f t="shared" si="31"/>
        <v>0</v>
      </c>
      <c r="F166" s="93">
        <f t="shared" si="31"/>
        <v>0</v>
      </c>
      <c r="G166" s="93">
        <f>IF(I12="", 0, S12)</f>
        <v>0</v>
      </c>
      <c r="H166" s="91" t="str">
        <f>D163</f>
        <v/>
      </c>
    </row>
    <row r="167" spans="1:35" x14ac:dyDescent="0.3">
      <c r="B167" s="93">
        <f>E164</f>
        <v>0</v>
      </c>
      <c r="C167" s="93">
        <f>E165</f>
        <v>0</v>
      </c>
      <c r="D167" s="93">
        <f>E166</f>
        <v>0</v>
      </c>
      <c r="E167" s="92">
        <f>B164</f>
        <v>0</v>
      </c>
      <c r="F167" s="93">
        <f>C164</f>
        <v>0</v>
      </c>
      <c r="G167" s="93">
        <f>-D164</f>
        <v>0</v>
      </c>
      <c r="H167" s="91" t="str">
        <f>E163</f>
        <v/>
      </c>
    </row>
    <row r="168" spans="1:35" x14ac:dyDescent="0.3">
      <c r="B168" s="93">
        <f>F164</f>
        <v>0</v>
      </c>
      <c r="C168" s="93">
        <f>F165</f>
        <v>0</v>
      </c>
      <c r="D168" s="93">
        <f>F166</f>
        <v>0</v>
      </c>
      <c r="E168" s="93">
        <f>F167</f>
        <v>0</v>
      </c>
      <c r="F168" s="92">
        <f>C165</f>
        <v>0</v>
      </c>
      <c r="G168" s="93">
        <f>-D165</f>
        <v>0</v>
      </c>
      <c r="H168" s="91" t="str">
        <f>F163</f>
        <v/>
      </c>
    </row>
    <row r="169" spans="1:35" x14ac:dyDescent="0.3">
      <c r="B169" s="93">
        <f>G164</f>
        <v>0</v>
      </c>
      <c r="C169" s="93">
        <f>G165</f>
        <v>0</v>
      </c>
      <c r="D169" s="93">
        <f>G166</f>
        <v>0</v>
      </c>
      <c r="E169" s="93">
        <f>G167</f>
        <v>0</v>
      </c>
      <c r="F169" s="93">
        <f>G168</f>
        <v>0</v>
      </c>
      <c r="G169" s="92">
        <f>D166</f>
        <v>0</v>
      </c>
      <c r="H169" s="91" t="str">
        <f>G163</f>
        <v/>
      </c>
    </row>
    <row r="171" spans="1:35" x14ac:dyDescent="0.3">
      <c r="B171" s="91" t="s">
        <v>125</v>
      </c>
      <c r="C171" s="91" t="s">
        <v>126</v>
      </c>
      <c r="D171" s="91" t="s">
        <v>127</v>
      </c>
      <c r="E171" s="91" t="s">
        <v>128</v>
      </c>
      <c r="F171" s="91" t="s">
        <v>129</v>
      </c>
      <c r="G171" s="91" t="s">
        <v>130</v>
      </c>
      <c r="H171" s="91" t="s">
        <v>131</v>
      </c>
      <c r="I171" s="91" t="s">
        <v>132</v>
      </c>
      <c r="J171" s="91" t="s">
        <v>133</v>
      </c>
      <c r="K171" s="91" t="s">
        <v>134</v>
      </c>
      <c r="L171" s="91" t="s">
        <v>135</v>
      </c>
      <c r="M171" s="91" t="s">
        <v>136</v>
      </c>
      <c r="N171" s="91" t="s">
        <v>137</v>
      </c>
      <c r="O171" s="91" t="s">
        <v>138</v>
      </c>
      <c r="P171" s="91" t="s">
        <v>139</v>
      </c>
      <c r="Q171" s="91" t="s">
        <v>140</v>
      </c>
      <c r="R171" s="91" t="s">
        <v>141</v>
      </c>
      <c r="S171" s="91" t="s">
        <v>142</v>
      </c>
      <c r="T171" s="91" t="s">
        <v>143</v>
      </c>
      <c r="U171" s="91" t="s">
        <v>144</v>
      </c>
      <c r="V171" s="91" t="s">
        <v>145</v>
      </c>
      <c r="W171" s="91" t="s">
        <v>146</v>
      </c>
      <c r="X171" s="91" t="s">
        <v>147</v>
      </c>
      <c r="Y171" s="91" t="s">
        <v>148</v>
      </c>
      <c r="Z171" s="91" t="s">
        <v>149</v>
      </c>
      <c r="AA171" s="91" t="s">
        <v>150</v>
      </c>
      <c r="AB171" s="91" t="s">
        <v>151</v>
      </c>
      <c r="AC171" s="91" t="s">
        <v>152</v>
      </c>
      <c r="AD171" s="91" t="s">
        <v>153</v>
      </c>
      <c r="AE171" s="91" t="s">
        <v>154</v>
      </c>
      <c r="AF171" s="91" t="s">
        <v>155</v>
      </c>
      <c r="AG171" s="91" t="s">
        <v>156</v>
      </c>
      <c r="AH171" s="91" t="s">
        <v>157</v>
      </c>
    </row>
    <row r="172" spans="1:35" x14ac:dyDescent="0.3"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1" t="s">
        <v>125</v>
      </c>
    </row>
    <row r="173" spans="1:35" x14ac:dyDescent="0.3"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1" t="s">
        <v>126</v>
      </c>
    </row>
    <row r="174" spans="1:35" x14ac:dyDescent="0.3"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1" t="s">
        <v>127</v>
      </c>
    </row>
    <row r="175" spans="1:35" x14ac:dyDescent="0.3"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1" t="s">
        <v>128</v>
      </c>
    </row>
    <row r="176" spans="1:35" x14ac:dyDescent="0.3"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1" t="s">
        <v>129</v>
      </c>
    </row>
    <row r="177" spans="1:35" x14ac:dyDescent="0.3"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1" t="s">
        <v>130</v>
      </c>
    </row>
    <row r="178" spans="1:35" x14ac:dyDescent="0.3"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1" t="s">
        <v>131</v>
      </c>
    </row>
    <row r="179" spans="1:35" x14ac:dyDescent="0.3"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1" t="s">
        <v>132</v>
      </c>
    </row>
    <row r="180" spans="1:35" x14ac:dyDescent="0.3"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1" t="s">
        <v>133</v>
      </c>
    </row>
    <row r="181" spans="1:35" x14ac:dyDescent="0.3">
      <c r="B181" s="93"/>
      <c r="C181" s="93"/>
      <c r="D181" s="93"/>
      <c r="E181" s="93"/>
      <c r="F181" s="93"/>
      <c r="G181" s="93"/>
      <c r="H181" s="93"/>
      <c r="I181" s="93"/>
      <c r="J181" s="93"/>
      <c r="K181" s="93">
        <f t="shared" ref="K181:P186" si="32">B164</f>
        <v>0</v>
      </c>
      <c r="L181" s="93">
        <f t="shared" si="32"/>
        <v>0</v>
      </c>
      <c r="M181" s="93">
        <f t="shared" si="32"/>
        <v>0</v>
      </c>
      <c r="N181" s="93">
        <f t="shared" si="32"/>
        <v>0</v>
      </c>
      <c r="O181" s="93">
        <f t="shared" si="32"/>
        <v>0</v>
      </c>
      <c r="P181" s="93">
        <f t="shared" si="32"/>
        <v>0</v>
      </c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1" t="s">
        <v>134</v>
      </c>
    </row>
    <row r="182" spans="1:35" x14ac:dyDescent="0.3">
      <c r="B182" s="93"/>
      <c r="C182" s="93"/>
      <c r="D182" s="93"/>
      <c r="E182" s="93"/>
      <c r="F182" s="93"/>
      <c r="G182" s="93"/>
      <c r="H182" s="93"/>
      <c r="I182" s="93"/>
      <c r="J182" s="93"/>
      <c r="K182" s="93">
        <f t="shared" si="32"/>
        <v>0</v>
      </c>
      <c r="L182" s="93">
        <f t="shared" si="32"/>
        <v>0</v>
      </c>
      <c r="M182" s="93">
        <f t="shared" si="32"/>
        <v>0</v>
      </c>
      <c r="N182" s="93">
        <f t="shared" si="32"/>
        <v>0</v>
      </c>
      <c r="O182" s="93">
        <f t="shared" si="32"/>
        <v>0</v>
      </c>
      <c r="P182" s="93">
        <f t="shared" si="32"/>
        <v>0</v>
      </c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1" t="s">
        <v>135</v>
      </c>
    </row>
    <row r="183" spans="1:35" x14ac:dyDescent="0.3">
      <c r="B183" s="93"/>
      <c r="C183" s="93"/>
      <c r="D183" s="93"/>
      <c r="E183" s="93"/>
      <c r="F183" s="93"/>
      <c r="G183" s="93"/>
      <c r="H183" s="93"/>
      <c r="I183" s="93"/>
      <c r="J183" s="93"/>
      <c r="K183" s="93">
        <f t="shared" si="32"/>
        <v>0</v>
      </c>
      <c r="L183" s="93">
        <f t="shared" si="32"/>
        <v>0</v>
      </c>
      <c r="M183" s="93">
        <f t="shared" si="32"/>
        <v>0</v>
      </c>
      <c r="N183" s="93">
        <f t="shared" si="32"/>
        <v>0</v>
      </c>
      <c r="O183" s="93">
        <f t="shared" si="32"/>
        <v>0</v>
      </c>
      <c r="P183" s="93">
        <f t="shared" si="32"/>
        <v>0</v>
      </c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1" t="s">
        <v>136</v>
      </c>
    </row>
    <row r="184" spans="1:35" x14ac:dyDescent="0.3">
      <c r="B184" s="93"/>
      <c r="C184" s="93"/>
      <c r="D184" s="93"/>
      <c r="E184" s="93"/>
      <c r="F184" s="93"/>
      <c r="G184" s="93"/>
      <c r="H184" s="93"/>
      <c r="I184" s="93"/>
      <c r="J184" s="93"/>
      <c r="K184" s="93">
        <f t="shared" si="32"/>
        <v>0</v>
      </c>
      <c r="L184" s="93">
        <f t="shared" si="32"/>
        <v>0</v>
      </c>
      <c r="M184" s="93">
        <f t="shared" si="32"/>
        <v>0</v>
      </c>
      <c r="N184" s="93">
        <f t="shared" si="32"/>
        <v>0</v>
      </c>
      <c r="O184" s="93">
        <f t="shared" si="32"/>
        <v>0</v>
      </c>
      <c r="P184" s="93">
        <f t="shared" si="32"/>
        <v>0</v>
      </c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1" t="s">
        <v>137</v>
      </c>
    </row>
    <row r="185" spans="1:35" x14ac:dyDescent="0.3">
      <c r="B185" s="93"/>
      <c r="C185" s="93"/>
      <c r="D185" s="93"/>
      <c r="E185" s="93"/>
      <c r="F185" s="93"/>
      <c r="G185" s="93"/>
      <c r="H185" s="93"/>
      <c r="I185" s="93"/>
      <c r="J185" s="93"/>
      <c r="K185" s="93">
        <f t="shared" si="32"/>
        <v>0</v>
      </c>
      <c r="L185" s="93">
        <f t="shared" si="32"/>
        <v>0</v>
      </c>
      <c r="M185" s="93">
        <f t="shared" si="32"/>
        <v>0</v>
      </c>
      <c r="N185" s="93">
        <f t="shared" si="32"/>
        <v>0</v>
      </c>
      <c r="O185" s="93">
        <f t="shared" si="32"/>
        <v>0</v>
      </c>
      <c r="P185" s="93">
        <f t="shared" si="32"/>
        <v>0</v>
      </c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1" t="s">
        <v>138</v>
      </c>
    </row>
    <row r="186" spans="1:35" x14ac:dyDescent="0.3">
      <c r="B186" s="93"/>
      <c r="C186" s="93"/>
      <c r="D186" s="93"/>
      <c r="E186" s="93"/>
      <c r="F186" s="93"/>
      <c r="G186" s="93"/>
      <c r="H186" s="93"/>
      <c r="I186" s="93"/>
      <c r="J186" s="93"/>
      <c r="K186" s="93">
        <f t="shared" si="32"/>
        <v>0</v>
      </c>
      <c r="L186" s="93">
        <f t="shared" si="32"/>
        <v>0</v>
      </c>
      <c r="M186" s="93">
        <f t="shared" si="32"/>
        <v>0</v>
      </c>
      <c r="N186" s="93">
        <f t="shared" si="32"/>
        <v>0</v>
      </c>
      <c r="O186" s="93">
        <f t="shared" si="32"/>
        <v>0</v>
      </c>
      <c r="P186" s="93">
        <f t="shared" si="32"/>
        <v>0</v>
      </c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1" t="s">
        <v>139</v>
      </c>
    </row>
    <row r="187" spans="1:35" x14ac:dyDescent="0.3">
      <c r="A187" s="94" t="s">
        <v>258</v>
      </c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1" t="s">
        <v>140</v>
      </c>
    </row>
    <row r="188" spans="1:35" x14ac:dyDescent="0.3"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1" t="s">
        <v>141</v>
      </c>
    </row>
    <row r="189" spans="1:35" x14ac:dyDescent="0.3"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1" t="s">
        <v>142</v>
      </c>
    </row>
    <row r="190" spans="1:35" x14ac:dyDescent="0.3"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1" t="s">
        <v>143</v>
      </c>
    </row>
    <row r="191" spans="1:35" x14ac:dyDescent="0.3"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1" t="s">
        <v>144</v>
      </c>
    </row>
    <row r="192" spans="1:35" x14ac:dyDescent="0.3"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1" t="s">
        <v>145</v>
      </c>
    </row>
    <row r="193" spans="2:35" x14ac:dyDescent="0.3"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1" t="s">
        <v>146</v>
      </c>
    </row>
    <row r="194" spans="2:35" x14ac:dyDescent="0.3"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1" t="s">
        <v>147</v>
      </c>
    </row>
    <row r="195" spans="2:35" x14ac:dyDescent="0.3"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1" t="s">
        <v>148</v>
      </c>
    </row>
    <row r="196" spans="2:35" x14ac:dyDescent="0.3"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1" t="s">
        <v>149</v>
      </c>
    </row>
    <row r="197" spans="2:35" x14ac:dyDescent="0.3"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1" t="s">
        <v>150</v>
      </c>
    </row>
    <row r="198" spans="2:35" x14ac:dyDescent="0.3"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1" t="s">
        <v>151</v>
      </c>
    </row>
    <row r="199" spans="2:35" x14ac:dyDescent="0.3"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1" t="s">
        <v>152</v>
      </c>
    </row>
    <row r="200" spans="2:35" x14ac:dyDescent="0.3"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1" t="s">
        <v>153</v>
      </c>
    </row>
    <row r="201" spans="2:35" x14ac:dyDescent="0.3"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1" t="s">
        <v>154</v>
      </c>
    </row>
    <row r="202" spans="2:35" x14ac:dyDescent="0.3"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1" t="s">
        <v>155</v>
      </c>
    </row>
    <row r="203" spans="2:35" x14ac:dyDescent="0.3"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1" t="s">
        <v>156</v>
      </c>
    </row>
    <row r="204" spans="2:35" x14ac:dyDescent="0.3"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1" t="s">
        <v>157</v>
      </c>
    </row>
    <row r="206" spans="2:35" x14ac:dyDescent="0.3">
      <c r="B206" s="91" t="str">
        <f t="shared" ref="B206:G206" si="33">IF(C26="","", CONCATENATE("U",C26,C$21))</f>
        <v/>
      </c>
      <c r="C206" s="91" t="str">
        <f t="shared" si="33"/>
        <v/>
      </c>
      <c r="D206" s="91" t="str">
        <f t="shared" si="33"/>
        <v/>
      </c>
      <c r="E206" s="91" t="str">
        <f t="shared" si="33"/>
        <v/>
      </c>
      <c r="F206" s="91" t="str">
        <f t="shared" si="33"/>
        <v/>
      </c>
      <c r="G206" s="91" t="str">
        <f t="shared" si="33"/>
        <v/>
      </c>
    </row>
    <row r="207" spans="2:35" x14ac:dyDescent="0.3">
      <c r="B207" s="92">
        <f>IF(I13="", 0, O13*J13*J13+P13*K13*K13)</f>
        <v>0</v>
      </c>
      <c r="C207" s="93">
        <f>IF(I13="", 0, (O13-P13)*(J13*K13))</f>
        <v>0</v>
      </c>
      <c r="D207" s="93">
        <f>IF(I13="", 0, -Q13*K13)</f>
        <v>0</v>
      </c>
      <c r="E207" s="93">
        <f t="shared" ref="E207:F209" si="34">-B207</f>
        <v>0</v>
      </c>
      <c r="F207" s="93">
        <f t="shared" si="34"/>
        <v>0</v>
      </c>
      <c r="G207" s="93">
        <f>D207</f>
        <v>0</v>
      </c>
      <c r="H207" s="91" t="str">
        <f>B206</f>
        <v/>
      </c>
    </row>
    <row r="208" spans="2:35" x14ac:dyDescent="0.3">
      <c r="B208" s="93">
        <f>C207</f>
        <v>0</v>
      </c>
      <c r="C208" s="92">
        <f>IF(I13="", 0, O13*K13*K13+P13*J13*J13)</f>
        <v>0</v>
      </c>
      <c r="D208" s="93">
        <f>IF(I13="", 0, Q13*J13)</f>
        <v>0</v>
      </c>
      <c r="E208" s="93">
        <f t="shared" si="34"/>
        <v>0</v>
      </c>
      <c r="F208" s="93">
        <f t="shared" si="34"/>
        <v>0</v>
      </c>
      <c r="G208" s="93">
        <f>D208</f>
        <v>0</v>
      </c>
      <c r="H208" s="91" t="str">
        <f>C206</f>
        <v/>
      </c>
    </row>
    <row r="209" spans="1:35" x14ac:dyDescent="0.3">
      <c r="A209" s="94" t="s">
        <v>259</v>
      </c>
      <c r="B209" s="93">
        <f>D207</f>
        <v>0</v>
      </c>
      <c r="C209" s="93">
        <f>D208</f>
        <v>0</v>
      </c>
      <c r="D209" s="92">
        <f>IF(I13="", 0, R13)</f>
        <v>0</v>
      </c>
      <c r="E209" s="93">
        <f t="shared" si="34"/>
        <v>0</v>
      </c>
      <c r="F209" s="93">
        <f t="shared" si="34"/>
        <v>0</v>
      </c>
      <c r="G209" s="93">
        <f>IF(I13="", 0, S13)</f>
        <v>0</v>
      </c>
      <c r="H209" s="91" t="str">
        <f>D206</f>
        <v/>
      </c>
    </row>
    <row r="210" spans="1:35" x14ac:dyDescent="0.3">
      <c r="B210" s="93">
        <f>E207</f>
        <v>0</v>
      </c>
      <c r="C210" s="93">
        <f>E208</f>
        <v>0</v>
      </c>
      <c r="D210" s="93">
        <f>E209</f>
        <v>0</v>
      </c>
      <c r="E210" s="92">
        <f>B207</f>
        <v>0</v>
      </c>
      <c r="F210" s="93">
        <f>C207</f>
        <v>0</v>
      </c>
      <c r="G210" s="93">
        <f>-D207</f>
        <v>0</v>
      </c>
      <c r="H210" s="91" t="str">
        <f>E206</f>
        <v/>
      </c>
    </row>
    <row r="211" spans="1:35" x14ac:dyDescent="0.3">
      <c r="B211" s="93">
        <f>F207</f>
        <v>0</v>
      </c>
      <c r="C211" s="93">
        <f>F208</f>
        <v>0</v>
      </c>
      <c r="D211" s="93">
        <f>F209</f>
        <v>0</v>
      </c>
      <c r="E211" s="93">
        <f>F210</f>
        <v>0</v>
      </c>
      <c r="F211" s="92">
        <f>C208</f>
        <v>0</v>
      </c>
      <c r="G211" s="93">
        <f>-D208</f>
        <v>0</v>
      </c>
      <c r="H211" s="91" t="str">
        <f>F206</f>
        <v/>
      </c>
    </row>
    <row r="212" spans="1:35" x14ac:dyDescent="0.3">
      <c r="B212" s="93">
        <f>G207</f>
        <v>0</v>
      </c>
      <c r="C212" s="93">
        <f>G208</f>
        <v>0</v>
      </c>
      <c r="D212" s="93">
        <f>G209</f>
        <v>0</v>
      </c>
      <c r="E212" s="93">
        <f>G210</f>
        <v>0</v>
      </c>
      <c r="F212" s="93">
        <f>G211</f>
        <v>0</v>
      </c>
      <c r="G212" s="92">
        <f>D209</f>
        <v>0</v>
      </c>
      <c r="H212" s="91" t="str">
        <f>G206</f>
        <v/>
      </c>
    </row>
    <row r="214" spans="1:35" x14ac:dyDescent="0.3">
      <c r="B214" s="91" t="s">
        <v>125</v>
      </c>
      <c r="C214" s="91" t="s">
        <v>126</v>
      </c>
      <c r="D214" s="91" t="s">
        <v>127</v>
      </c>
      <c r="E214" s="91" t="s">
        <v>128</v>
      </c>
      <c r="F214" s="91" t="s">
        <v>129</v>
      </c>
      <c r="G214" s="91" t="s">
        <v>130</v>
      </c>
      <c r="H214" s="91" t="s">
        <v>131</v>
      </c>
      <c r="I214" s="91" t="s">
        <v>132</v>
      </c>
      <c r="J214" s="91" t="s">
        <v>133</v>
      </c>
      <c r="K214" s="91" t="s">
        <v>134</v>
      </c>
      <c r="L214" s="91" t="s">
        <v>135</v>
      </c>
      <c r="M214" s="91" t="s">
        <v>136</v>
      </c>
      <c r="N214" s="91" t="s">
        <v>137</v>
      </c>
      <c r="O214" s="91" t="s">
        <v>138</v>
      </c>
      <c r="P214" s="91" t="s">
        <v>139</v>
      </c>
      <c r="Q214" s="91" t="s">
        <v>140</v>
      </c>
      <c r="R214" s="91" t="s">
        <v>141</v>
      </c>
      <c r="S214" s="91" t="s">
        <v>142</v>
      </c>
      <c r="T214" s="91" t="s">
        <v>143</v>
      </c>
      <c r="U214" s="91" t="s">
        <v>144</v>
      </c>
      <c r="V214" s="91" t="s">
        <v>145</v>
      </c>
      <c r="W214" s="91" t="s">
        <v>146</v>
      </c>
      <c r="X214" s="91" t="s">
        <v>147</v>
      </c>
      <c r="Y214" s="91" t="s">
        <v>148</v>
      </c>
      <c r="Z214" s="91" t="s">
        <v>149</v>
      </c>
      <c r="AA214" s="91" t="s">
        <v>150</v>
      </c>
      <c r="AB214" s="91" t="s">
        <v>151</v>
      </c>
      <c r="AC214" s="91" t="s">
        <v>152</v>
      </c>
      <c r="AD214" s="91" t="s">
        <v>153</v>
      </c>
      <c r="AE214" s="91" t="s">
        <v>154</v>
      </c>
      <c r="AF214" s="91" t="s">
        <v>155</v>
      </c>
      <c r="AG214" s="91" t="s">
        <v>156</v>
      </c>
      <c r="AH214" s="91" t="s">
        <v>157</v>
      </c>
    </row>
    <row r="215" spans="1:35" x14ac:dyDescent="0.3"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1" t="s">
        <v>125</v>
      </c>
    </row>
    <row r="216" spans="1:35" x14ac:dyDescent="0.3"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1" t="s">
        <v>126</v>
      </c>
    </row>
    <row r="217" spans="1:35" x14ac:dyDescent="0.3"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1" t="s">
        <v>127</v>
      </c>
    </row>
    <row r="218" spans="1:35" x14ac:dyDescent="0.3"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1" t="s">
        <v>128</v>
      </c>
    </row>
    <row r="219" spans="1:35" x14ac:dyDescent="0.3"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1" t="s">
        <v>129</v>
      </c>
    </row>
    <row r="220" spans="1:35" x14ac:dyDescent="0.3"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1" t="s">
        <v>130</v>
      </c>
    </row>
    <row r="221" spans="1:35" x14ac:dyDescent="0.3"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1" t="s">
        <v>131</v>
      </c>
    </row>
    <row r="222" spans="1:35" x14ac:dyDescent="0.3"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1" t="s">
        <v>132</v>
      </c>
    </row>
    <row r="223" spans="1:35" x14ac:dyDescent="0.3"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1" t="s">
        <v>133</v>
      </c>
    </row>
    <row r="224" spans="1:35" x14ac:dyDescent="0.3"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1" t="s">
        <v>134</v>
      </c>
    </row>
    <row r="225" spans="1:35" x14ac:dyDescent="0.3"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1" t="s">
        <v>135</v>
      </c>
    </row>
    <row r="226" spans="1:35" x14ac:dyDescent="0.3"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1" t="s">
        <v>136</v>
      </c>
    </row>
    <row r="227" spans="1:35" x14ac:dyDescent="0.3"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>
        <f t="shared" ref="N227:S232" si="35">B207</f>
        <v>0</v>
      </c>
      <c r="O227" s="93">
        <f t="shared" si="35"/>
        <v>0</v>
      </c>
      <c r="P227" s="93">
        <f t="shared" si="35"/>
        <v>0</v>
      </c>
      <c r="Q227" s="93">
        <f t="shared" si="35"/>
        <v>0</v>
      </c>
      <c r="R227" s="93">
        <f t="shared" si="35"/>
        <v>0</v>
      </c>
      <c r="S227" s="93">
        <f t="shared" si="35"/>
        <v>0</v>
      </c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1" t="s">
        <v>137</v>
      </c>
    </row>
    <row r="228" spans="1:35" x14ac:dyDescent="0.3"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>
        <f t="shared" si="35"/>
        <v>0</v>
      </c>
      <c r="O228" s="93">
        <f t="shared" si="35"/>
        <v>0</v>
      </c>
      <c r="P228" s="93">
        <f t="shared" si="35"/>
        <v>0</v>
      </c>
      <c r="Q228" s="93">
        <f t="shared" si="35"/>
        <v>0</v>
      </c>
      <c r="R228" s="93">
        <f t="shared" si="35"/>
        <v>0</v>
      </c>
      <c r="S228" s="93">
        <f t="shared" si="35"/>
        <v>0</v>
      </c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1" t="s">
        <v>138</v>
      </c>
    </row>
    <row r="229" spans="1:35" x14ac:dyDescent="0.3"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>
        <f t="shared" si="35"/>
        <v>0</v>
      </c>
      <c r="O229" s="93">
        <f t="shared" si="35"/>
        <v>0</v>
      </c>
      <c r="P229" s="93">
        <f t="shared" si="35"/>
        <v>0</v>
      </c>
      <c r="Q229" s="93">
        <f t="shared" si="35"/>
        <v>0</v>
      </c>
      <c r="R229" s="93">
        <f t="shared" si="35"/>
        <v>0</v>
      </c>
      <c r="S229" s="93">
        <f t="shared" si="35"/>
        <v>0</v>
      </c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1" t="s">
        <v>139</v>
      </c>
    </row>
    <row r="230" spans="1:35" x14ac:dyDescent="0.3">
      <c r="A230" s="94" t="s">
        <v>259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>
        <f t="shared" si="35"/>
        <v>0</v>
      </c>
      <c r="O230" s="93">
        <f t="shared" si="35"/>
        <v>0</v>
      </c>
      <c r="P230" s="93">
        <f t="shared" si="35"/>
        <v>0</v>
      </c>
      <c r="Q230" s="93">
        <f t="shared" si="35"/>
        <v>0</v>
      </c>
      <c r="R230" s="93">
        <f t="shared" si="35"/>
        <v>0</v>
      </c>
      <c r="S230" s="93">
        <f t="shared" si="35"/>
        <v>0</v>
      </c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1" t="s">
        <v>140</v>
      </c>
    </row>
    <row r="231" spans="1:35" x14ac:dyDescent="0.3"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>
        <f t="shared" si="35"/>
        <v>0</v>
      </c>
      <c r="O231" s="93">
        <f t="shared" si="35"/>
        <v>0</v>
      </c>
      <c r="P231" s="93">
        <f t="shared" si="35"/>
        <v>0</v>
      </c>
      <c r="Q231" s="93">
        <f t="shared" si="35"/>
        <v>0</v>
      </c>
      <c r="R231" s="93">
        <f t="shared" si="35"/>
        <v>0</v>
      </c>
      <c r="S231" s="93">
        <f t="shared" si="35"/>
        <v>0</v>
      </c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1" t="s">
        <v>141</v>
      </c>
    </row>
    <row r="232" spans="1:35" x14ac:dyDescent="0.3"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>
        <f t="shared" si="35"/>
        <v>0</v>
      </c>
      <c r="O232" s="93">
        <f t="shared" si="35"/>
        <v>0</v>
      </c>
      <c r="P232" s="93">
        <f t="shared" si="35"/>
        <v>0</v>
      </c>
      <c r="Q232" s="93">
        <f t="shared" si="35"/>
        <v>0</v>
      </c>
      <c r="R232" s="93">
        <f t="shared" si="35"/>
        <v>0</v>
      </c>
      <c r="S232" s="93">
        <f t="shared" si="35"/>
        <v>0</v>
      </c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1" t="s">
        <v>142</v>
      </c>
    </row>
    <row r="233" spans="1:35" x14ac:dyDescent="0.3"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1" t="s">
        <v>143</v>
      </c>
    </row>
    <row r="234" spans="1:35" x14ac:dyDescent="0.3"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1" t="s">
        <v>144</v>
      </c>
    </row>
    <row r="235" spans="1:35" x14ac:dyDescent="0.3"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1" t="s">
        <v>145</v>
      </c>
    </row>
    <row r="236" spans="1:35" x14ac:dyDescent="0.3"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1" t="s">
        <v>146</v>
      </c>
    </row>
    <row r="237" spans="1:35" x14ac:dyDescent="0.3"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1" t="s">
        <v>147</v>
      </c>
    </row>
    <row r="238" spans="1:35" x14ac:dyDescent="0.3"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1" t="s">
        <v>148</v>
      </c>
    </row>
    <row r="239" spans="1:35" x14ac:dyDescent="0.3"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1" t="s">
        <v>149</v>
      </c>
    </row>
    <row r="240" spans="1:35" x14ac:dyDescent="0.3"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1" t="s">
        <v>150</v>
      </c>
    </row>
    <row r="241" spans="1:35" x14ac:dyDescent="0.3"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1" t="s">
        <v>151</v>
      </c>
    </row>
    <row r="242" spans="1:35" x14ac:dyDescent="0.3"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1" t="s">
        <v>152</v>
      </c>
    </row>
    <row r="243" spans="1:35" x14ac:dyDescent="0.3"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1" t="s">
        <v>153</v>
      </c>
    </row>
    <row r="244" spans="1:35" x14ac:dyDescent="0.3"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1" t="s">
        <v>154</v>
      </c>
    </row>
    <row r="245" spans="1:35" x14ac:dyDescent="0.3"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1" t="s">
        <v>155</v>
      </c>
    </row>
    <row r="246" spans="1:35" x14ac:dyDescent="0.3"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1" t="s">
        <v>156</v>
      </c>
    </row>
    <row r="247" spans="1:35" x14ac:dyDescent="0.3"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1" t="s">
        <v>157</v>
      </c>
    </row>
    <row r="249" spans="1:35" x14ac:dyDescent="0.3">
      <c r="B249" s="91" t="str">
        <f t="shared" ref="B249:G249" si="36">IF(C27="","", CONCATENATE("U",C27,C$21))</f>
        <v/>
      </c>
      <c r="C249" s="91" t="str">
        <f t="shared" si="36"/>
        <v/>
      </c>
      <c r="D249" s="91" t="str">
        <f t="shared" si="36"/>
        <v/>
      </c>
      <c r="E249" s="91" t="str">
        <f t="shared" si="36"/>
        <v/>
      </c>
      <c r="F249" s="91" t="str">
        <f t="shared" si="36"/>
        <v/>
      </c>
      <c r="G249" s="91" t="str">
        <f t="shared" si="36"/>
        <v/>
      </c>
    </row>
    <row r="250" spans="1:35" x14ac:dyDescent="0.3">
      <c r="B250" s="92">
        <f>IF(I14="", 0, O14*J14*J14+P14*K14*K14)</f>
        <v>0</v>
      </c>
      <c r="C250" s="93">
        <f>IF(I14="", 0, (O14-P14)*(J14*K14))</f>
        <v>0</v>
      </c>
      <c r="D250" s="93">
        <f>IF(I14="", 0, -Q14*K14)</f>
        <v>0</v>
      </c>
      <c r="E250" s="93">
        <f t="shared" ref="E250:F252" si="37">-B250</f>
        <v>0</v>
      </c>
      <c r="F250" s="93">
        <f t="shared" si="37"/>
        <v>0</v>
      </c>
      <c r="G250" s="93">
        <f>D250</f>
        <v>0</v>
      </c>
      <c r="H250" s="91" t="str">
        <f>B249</f>
        <v/>
      </c>
    </row>
    <row r="251" spans="1:35" x14ac:dyDescent="0.3">
      <c r="B251" s="93">
        <f>C250</f>
        <v>0</v>
      </c>
      <c r="C251" s="92">
        <f>IF(I14="", 0, O14*K14*K14+P14*J14*J14)</f>
        <v>0</v>
      </c>
      <c r="D251" s="93">
        <f>IF(I14="", 0, Q14*J14)</f>
        <v>0</v>
      </c>
      <c r="E251" s="93">
        <f t="shared" si="37"/>
        <v>0</v>
      </c>
      <c r="F251" s="93">
        <f t="shared" si="37"/>
        <v>0</v>
      </c>
      <c r="G251" s="93">
        <f>D251</f>
        <v>0</v>
      </c>
      <c r="H251" s="91" t="str">
        <f>C249</f>
        <v/>
      </c>
    </row>
    <row r="252" spans="1:35" x14ac:dyDescent="0.3">
      <c r="A252" s="94" t="s">
        <v>260</v>
      </c>
      <c r="B252" s="93">
        <f>D250</f>
        <v>0</v>
      </c>
      <c r="C252" s="93">
        <f>D251</f>
        <v>0</v>
      </c>
      <c r="D252" s="92">
        <f>IF(I14="", 0, R14)</f>
        <v>0</v>
      </c>
      <c r="E252" s="93">
        <f t="shared" si="37"/>
        <v>0</v>
      </c>
      <c r="F252" s="93">
        <f t="shared" si="37"/>
        <v>0</v>
      </c>
      <c r="G252" s="93">
        <f>IF(I14="", 0, S14)</f>
        <v>0</v>
      </c>
      <c r="H252" s="91" t="str">
        <f>D249</f>
        <v/>
      </c>
    </row>
    <row r="253" spans="1:35" x14ac:dyDescent="0.3">
      <c r="B253" s="93">
        <f>E250</f>
        <v>0</v>
      </c>
      <c r="C253" s="93">
        <f>E251</f>
        <v>0</v>
      </c>
      <c r="D253" s="93">
        <f>E252</f>
        <v>0</v>
      </c>
      <c r="E253" s="92">
        <f>B250</f>
        <v>0</v>
      </c>
      <c r="F253" s="93">
        <f>C250</f>
        <v>0</v>
      </c>
      <c r="G253" s="93">
        <f>-D250</f>
        <v>0</v>
      </c>
      <c r="H253" s="91" t="str">
        <f>E249</f>
        <v/>
      </c>
    </row>
    <row r="254" spans="1:35" x14ac:dyDescent="0.3">
      <c r="B254" s="93">
        <f>F250</f>
        <v>0</v>
      </c>
      <c r="C254" s="93">
        <f>F251</f>
        <v>0</v>
      </c>
      <c r="D254" s="93">
        <f>F252</f>
        <v>0</v>
      </c>
      <c r="E254" s="93">
        <f>F253</f>
        <v>0</v>
      </c>
      <c r="F254" s="92">
        <f>C251</f>
        <v>0</v>
      </c>
      <c r="G254" s="93">
        <f>-D251</f>
        <v>0</v>
      </c>
      <c r="H254" s="91" t="str">
        <f>F249</f>
        <v/>
      </c>
    </row>
    <row r="255" spans="1:35" x14ac:dyDescent="0.3">
      <c r="B255" s="93">
        <f>G250</f>
        <v>0</v>
      </c>
      <c r="C255" s="93">
        <f>G251</f>
        <v>0</v>
      </c>
      <c r="D255" s="93">
        <f>G252</f>
        <v>0</v>
      </c>
      <c r="E255" s="93">
        <f>G253</f>
        <v>0</v>
      </c>
      <c r="F255" s="93">
        <f>G254</f>
        <v>0</v>
      </c>
      <c r="G255" s="92">
        <f>D252</f>
        <v>0</v>
      </c>
      <c r="H255" s="91" t="str">
        <f>G249</f>
        <v/>
      </c>
    </row>
    <row r="257" spans="2:35" x14ac:dyDescent="0.3">
      <c r="B257" s="91" t="s">
        <v>125</v>
      </c>
      <c r="C257" s="91" t="s">
        <v>126</v>
      </c>
      <c r="D257" s="91" t="s">
        <v>127</v>
      </c>
      <c r="E257" s="91" t="s">
        <v>128</v>
      </c>
      <c r="F257" s="91" t="s">
        <v>129</v>
      </c>
      <c r="G257" s="91" t="s">
        <v>130</v>
      </c>
      <c r="H257" s="91" t="s">
        <v>131</v>
      </c>
      <c r="I257" s="91" t="s">
        <v>132</v>
      </c>
      <c r="J257" s="91" t="s">
        <v>133</v>
      </c>
      <c r="K257" s="91" t="s">
        <v>134</v>
      </c>
      <c r="L257" s="91" t="s">
        <v>135</v>
      </c>
      <c r="M257" s="91" t="s">
        <v>136</v>
      </c>
      <c r="N257" s="91" t="s">
        <v>137</v>
      </c>
      <c r="O257" s="91" t="s">
        <v>138</v>
      </c>
      <c r="P257" s="91" t="s">
        <v>139</v>
      </c>
      <c r="Q257" s="91" t="s">
        <v>140</v>
      </c>
      <c r="R257" s="91" t="s">
        <v>141</v>
      </c>
      <c r="S257" s="91" t="s">
        <v>142</v>
      </c>
      <c r="T257" s="91" t="s">
        <v>143</v>
      </c>
      <c r="U257" s="91" t="s">
        <v>144</v>
      </c>
      <c r="V257" s="91" t="s">
        <v>145</v>
      </c>
      <c r="W257" s="91" t="s">
        <v>146</v>
      </c>
      <c r="X257" s="91" t="s">
        <v>147</v>
      </c>
      <c r="Y257" s="91" t="s">
        <v>148</v>
      </c>
      <c r="Z257" s="91" t="s">
        <v>149</v>
      </c>
      <c r="AA257" s="91" t="s">
        <v>150</v>
      </c>
      <c r="AB257" s="91" t="s">
        <v>151</v>
      </c>
      <c r="AC257" s="91" t="s">
        <v>152</v>
      </c>
      <c r="AD257" s="91" t="s">
        <v>153</v>
      </c>
      <c r="AE257" s="91" t="s">
        <v>154</v>
      </c>
      <c r="AF257" s="91" t="s">
        <v>155</v>
      </c>
      <c r="AG257" s="91" t="s">
        <v>156</v>
      </c>
      <c r="AH257" s="91" t="s">
        <v>157</v>
      </c>
    </row>
    <row r="258" spans="2:35" x14ac:dyDescent="0.3"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1" t="s">
        <v>125</v>
      </c>
    </row>
    <row r="259" spans="2:35" x14ac:dyDescent="0.3"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1" t="s">
        <v>126</v>
      </c>
    </row>
    <row r="260" spans="2:35" x14ac:dyDescent="0.3"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1" t="s">
        <v>127</v>
      </c>
    </row>
    <row r="261" spans="2:35" x14ac:dyDescent="0.3"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1" t="s">
        <v>128</v>
      </c>
    </row>
    <row r="262" spans="2:35" x14ac:dyDescent="0.3"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1" t="s">
        <v>129</v>
      </c>
    </row>
    <row r="263" spans="2:35" x14ac:dyDescent="0.3"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1" t="s">
        <v>130</v>
      </c>
    </row>
    <row r="264" spans="2:35" x14ac:dyDescent="0.3"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1" t="s">
        <v>131</v>
      </c>
    </row>
    <row r="265" spans="2:35" x14ac:dyDescent="0.3"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1" t="s">
        <v>132</v>
      </c>
    </row>
    <row r="266" spans="2:35" x14ac:dyDescent="0.3"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1" t="s">
        <v>133</v>
      </c>
    </row>
    <row r="267" spans="2:35" x14ac:dyDescent="0.3"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1" t="s">
        <v>134</v>
      </c>
    </row>
    <row r="268" spans="2:35" x14ac:dyDescent="0.3"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1" t="s">
        <v>135</v>
      </c>
    </row>
    <row r="269" spans="2:35" x14ac:dyDescent="0.3"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1" t="s">
        <v>136</v>
      </c>
    </row>
    <row r="270" spans="2:35" x14ac:dyDescent="0.3"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1" t="s">
        <v>137</v>
      </c>
    </row>
    <row r="271" spans="2:35" x14ac:dyDescent="0.3"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1" t="s">
        <v>138</v>
      </c>
    </row>
    <row r="272" spans="2:35" x14ac:dyDescent="0.3"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1" t="s">
        <v>139</v>
      </c>
    </row>
    <row r="273" spans="1:35" x14ac:dyDescent="0.3">
      <c r="A273" s="94" t="s">
        <v>260</v>
      </c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>
        <f t="shared" ref="Q273:V278" si="38">B250</f>
        <v>0</v>
      </c>
      <c r="R273" s="93">
        <f t="shared" si="38"/>
        <v>0</v>
      </c>
      <c r="S273" s="93">
        <f t="shared" si="38"/>
        <v>0</v>
      </c>
      <c r="T273" s="93">
        <f t="shared" si="38"/>
        <v>0</v>
      </c>
      <c r="U273" s="93">
        <f t="shared" si="38"/>
        <v>0</v>
      </c>
      <c r="V273" s="93">
        <f t="shared" si="38"/>
        <v>0</v>
      </c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1" t="s">
        <v>140</v>
      </c>
    </row>
    <row r="274" spans="1:35" x14ac:dyDescent="0.3"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>
        <f t="shared" si="38"/>
        <v>0</v>
      </c>
      <c r="R274" s="93">
        <f t="shared" si="38"/>
        <v>0</v>
      </c>
      <c r="S274" s="93">
        <f t="shared" si="38"/>
        <v>0</v>
      </c>
      <c r="T274" s="93">
        <f t="shared" si="38"/>
        <v>0</v>
      </c>
      <c r="U274" s="93">
        <f t="shared" si="38"/>
        <v>0</v>
      </c>
      <c r="V274" s="93">
        <f t="shared" si="38"/>
        <v>0</v>
      </c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1" t="s">
        <v>141</v>
      </c>
    </row>
    <row r="275" spans="1:35" x14ac:dyDescent="0.3"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>
        <f t="shared" si="38"/>
        <v>0</v>
      </c>
      <c r="R275" s="93">
        <f t="shared" si="38"/>
        <v>0</v>
      </c>
      <c r="S275" s="93">
        <f t="shared" si="38"/>
        <v>0</v>
      </c>
      <c r="T275" s="93">
        <f t="shared" si="38"/>
        <v>0</v>
      </c>
      <c r="U275" s="93">
        <f t="shared" si="38"/>
        <v>0</v>
      </c>
      <c r="V275" s="93">
        <f t="shared" si="38"/>
        <v>0</v>
      </c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1" t="s">
        <v>142</v>
      </c>
    </row>
    <row r="276" spans="1:35" x14ac:dyDescent="0.3"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>
        <f t="shared" si="38"/>
        <v>0</v>
      </c>
      <c r="R276" s="93">
        <f t="shared" si="38"/>
        <v>0</v>
      </c>
      <c r="S276" s="93">
        <f t="shared" si="38"/>
        <v>0</v>
      </c>
      <c r="T276" s="93">
        <f t="shared" si="38"/>
        <v>0</v>
      </c>
      <c r="U276" s="93">
        <f t="shared" si="38"/>
        <v>0</v>
      </c>
      <c r="V276" s="93">
        <f t="shared" si="38"/>
        <v>0</v>
      </c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1" t="s">
        <v>143</v>
      </c>
    </row>
    <row r="277" spans="1:35" x14ac:dyDescent="0.3"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>
        <f t="shared" si="38"/>
        <v>0</v>
      </c>
      <c r="R277" s="93">
        <f t="shared" si="38"/>
        <v>0</v>
      </c>
      <c r="S277" s="93">
        <f t="shared" si="38"/>
        <v>0</v>
      </c>
      <c r="T277" s="93">
        <f t="shared" si="38"/>
        <v>0</v>
      </c>
      <c r="U277" s="93">
        <f t="shared" si="38"/>
        <v>0</v>
      </c>
      <c r="V277" s="93">
        <f t="shared" si="38"/>
        <v>0</v>
      </c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1" t="s">
        <v>144</v>
      </c>
    </row>
    <row r="278" spans="1:35" x14ac:dyDescent="0.3"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>
        <f t="shared" si="38"/>
        <v>0</v>
      </c>
      <c r="R278" s="93">
        <f t="shared" si="38"/>
        <v>0</v>
      </c>
      <c r="S278" s="93">
        <f t="shared" si="38"/>
        <v>0</v>
      </c>
      <c r="T278" s="93">
        <f t="shared" si="38"/>
        <v>0</v>
      </c>
      <c r="U278" s="93">
        <f t="shared" si="38"/>
        <v>0</v>
      </c>
      <c r="V278" s="93">
        <f t="shared" si="38"/>
        <v>0</v>
      </c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1" t="s">
        <v>145</v>
      </c>
    </row>
    <row r="279" spans="1:35" x14ac:dyDescent="0.3"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1" t="s">
        <v>146</v>
      </c>
    </row>
    <row r="280" spans="1:35" x14ac:dyDescent="0.3"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1" t="s">
        <v>147</v>
      </c>
    </row>
    <row r="281" spans="1:35" x14ac:dyDescent="0.3"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1" t="s">
        <v>148</v>
      </c>
    </row>
    <row r="282" spans="1:35" x14ac:dyDescent="0.3"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1" t="s">
        <v>149</v>
      </c>
    </row>
    <row r="283" spans="1:35" x14ac:dyDescent="0.3"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1" t="s">
        <v>150</v>
      </c>
    </row>
    <row r="284" spans="1:35" x14ac:dyDescent="0.3"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1" t="s">
        <v>151</v>
      </c>
    </row>
    <row r="285" spans="1:35" x14ac:dyDescent="0.3"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1" t="s">
        <v>152</v>
      </c>
    </row>
    <row r="286" spans="1:35" x14ac:dyDescent="0.3"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1" t="s">
        <v>153</v>
      </c>
    </row>
    <row r="287" spans="1:35" x14ac:dyDescent="0.3"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1" t="s">
        <v>154</v>
      </c>
    </row>
    <row r="288" spans="1:35" x14ac:dyDescent="0.3"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1" t="s">
        <v>155</v>
      </c>
    </row>
    <row r="289" spans="1:35" x14ac:dyDescent="0.3"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1" t="s">
        <v>156</v>
      </c>
    </row>
    <row r="290" spans="1:35" x14ac:dyDescent="0.3"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1" t="s">
        <v>157</v>
      </c>
    </row>
    <row r="292" spans="1:35" x14ac:dyDescent="0.3">
      <c r="B292" s="91" t="str">
        <f t="shared" ref="B292:G292" si="39">IF(C28="","", CONCATENATE("U",C28,C$21))</f>
        <v/>
      </c>
      <c r="C292" s="91" t="str">
        <f t="shared" si="39"/>
        <v/>
      </c>
      <c r="D292" s="91" t="str">
        <f t="shared" si="39"/>
        <v/>
      </c>
      <c r="E292" s="91" t="str">
        <f t="shared" si="39"/>
        <v/>
      </c>
      <c r="F292" s="91" t="str">
        <f t="shared" si="39"/>
        <v/>
      </c>
      <c r="G292" s="91" t="str">
        <f t="shared" si="39"/>
        <v/>
      </c>
    </row>
    <row r="293" spans="1:35" x14ac:dyDescent="0.3">
      <c r="B293" s="92">
        <f>IF(I15="", 0, O15*J15*J15+P15*K15*K15)</f>
        <v>0</v>
      </c>
      <c r="C293" s="93">
        <f>IF(I15="", 0, (O15-P15)*(J15*K15))</f>
        <v>0</v>
      </c>
      <c r="D293" s="93">
        <f>IF(I15="", 0, -Q15*K15)</f>
        <v>0</v>
      </c>
      <c r="E293" s="93">
        <f t="shared" ref="E293:F295" si="40">-B293</f>
        <v>0</v>
      </c>
      <c r="F293" s="93">
        <f t="shared" si="40"/>
        <v>0</v>
      </c>
      <c r="G293" s="93">
        <f>D293</f>
        <v>0</v>
      </c>
      <c r="H293" s="91" t="str">
        <f>B292</f>
        <v/>
      </c>
    </row>
    <row r="294" spans="1:35" x14ac:dyDescent="0.3">
      <c r="B294" s="93">
        <f>C293</f>
        <v>0</v>
      </c>
      <c r="C294" s="92">
        <f>IF(I15="", 0, O15*K15*K15+P15*J15*J15)</f>
        <v>0</v>
      </c>
      <c r="D294" s="93">
        <f>IF(I15="", 0, Q15*J15)</f>
        <v>0</v>
      </c>
      <c r="E294" s="93">
        <f t="shared" si="40"/>
        <v>0</v>
      </c>
      <c r="F294" s="93">
        <f t="shared" si="40"/>
        <v>0</v>
      </c>
      <c r="G294" s="93">
        <f>D294</f>
        <v>0</v>
      </c>
      <c r="H294" s="91" t="str">
        <f>C292</f>
        <v/>
      </c>
    </row>
    <row r="295" spans="1:35" x14ac:dyDescent="0.3">
      <c r="A295" s="94" t="s">
        <v>261</v>
      </c>
      <c r="B295" s="93">
        <f>D293</f>
        <v>0</v>
      </c>
      <c r="C295" s="93">
        <f>D294</f>
        <v>0</v>
      </c>
      <c r="D295" s="92">
        <f>IF(I15="", 0, R15)</f>
        <v>0</v>
      </c>
      <c r="E295" s="93">
        <f t="shared" si="40"/>
        <v>0</v>
      </c>
      <c r="F295" s="93">
        <f t="shared" si="40"/>
        <v>0</v>
      </c>
      <c r="G295" s="93">
        <f>IF(I15="", 0, S15)</f>
        <v>0</v>
      </c>
      <c r="H295" s="91" t="str">
        <f>D292</f>
        <v/>
      </c>
    </row>
    <row r="296" spans="1:35" x14ac:dyDescent="0.3">
      <c r="B296" s="93">
        <f>E293</f>
        <v>0</v>
      </c>
      <c r="C296" s="93">
        <f>E294</f>
        <v>0</v>
      </c>
      <c r="D296" s="93">
        <f>E295</f>
        <v>0</v>
      </c>
      <c r="E296" s="92">
        <f>B293</f>
        <v>0</v>
      </c>
      <c r="F296" s="93">
        <f>C293</f>
        <v>0</v>
      </c>
      <c r="G296" s="93">
        <f>-D293</f>
        <v>0</v>
      </c>
      <c r="H296" s="91" t="str">
        <f>E292</f>
        <v/>
      </c>
    </row>
    <row r="297" spans="1:35" x14ac:dyDescent="0.3">
      <c r="B297" s="93">
        <f>F293</f>
        <v>0</v>
      </c>
      <c r="C297" s="93">
        <f>F294</f>
        <v>0</v>
      </c>
      <c r="D297" s="93">
        <f>F295</f>
        <v>0</v>
      </c>
      <c r="E297" s="93">
        <f>F296</f>
        <v>0</v>
      </c>
      <c r="F297" s="92">
        <f>C294</f>
        <v>0</v>
      </c>
      <c r="G297" s="93">
        <f>-D294</f>
        <v>0</v>
      </c>
      <c r="H297" s="91" t="str">
        <f>F292</f>
        <v/>
      </c>
    </row>
    <row r="298" spans="1:35" x14ac:dyDescent="0.3">
      <c r="B298" s="93">
        <f>G293</f>
        <v>0</v>
      </c>
      <c r="C298" s="93">
        <f>G294</f>
        <v>0</v>
      </c>
      <c r="D298" s="93">
        <f>G295</f>
        <v>0</v>
      </c>
      <c r="E298" s="93">
        <f>G296</f>
        <v>0</v>
      </c>
      <c r="F298" s="93">
        <f>G297</f>
        <v>0</v>
      </c>
      <c r="G298" s="92">
        <f>D295</f>
        <v>0</v>
      </c>
      <c r="H298" s="91" t="str">
        <f>G292</f>
        <v/>
      </c>
    </row>
    <row r="300" spans="1:35" x14ac:dyDescent="0.3">
      <c r="B300" s="91" t="s">
        <v>125</v>
      </c>
      <c r="C300" s="91" t="s">
        <v>126</v>
      </c>
      <c r="D300" s="91" t="s">
        <v>127</v>
      </c>
      <c r="E300" s="91" t="s">
        <v>128</v>
      </c>
      <c r="F300" s="91" t="s">
        <v>129</v>
      </c>
      <c r="G300" s="91" t="s">
        <v>130</v>
      </c>
      <c r="H300" s="91" t="s">
        <v>131</v>
      </c>
      <c r="I300" s="91" t="s">
        <v>132</v>
      </c>
      <c r="J300" s="91" t="s">
        <v>133</v>
      </c>
      <c r="K300" s="91" t="s">
        <v>134</v>
      </c>
      <c r="L300" s="91" t="s">
        <v>135</v>
      </c>
      <c r="M300" s="91" t="s">
        <v>136</v>
      </c>
      <c r="N300" s="91" t="s">
        <v>137</v>
      </c>
      <c r="O300" s="91" t="s">
        <v>138</v>
      </c>
      <c r="P300" s="91" t="s">
        <v>139</v>
      </c>
      <c r="Q300" s="91" t="s">
        <v>140</v>
      </c>
      <c r="R300" s="91" t="s">
        <v>141</v>
      </c>
      <c r="S300" s="91" t="s">
        <v>142</v>
      </c>
      <c r="T300" s="91" t="s">
        <v>143</v>
      </c>
      <c r="U300" s="91" t="s">
        <v>144</v>
      </c>
      <c r="V300" s="91" t="s">
        <v>145</v>
      </c>
      <c r="W300" s="91" t="s">
        <v>146</v>
      </c>
      <c r="X300" s="91" t="s">
        <v>147</v>
      </c>
      <c r="Y300" s="91" t="s">
        <v>148</v>
      </c>
      <c r="Z300" s="91" t="s">
        <v>149</v>
      </c>
      <c r="AA300" s="91" t="s">
        <v>150</v>
      </c>
      <c r="AB300" s="91" t="s">
        <v>151</v>
      </c>
      <c r="AC300" s="91" t="s">
        <v>152</v>
      </c>
      <c r="AD300" s="91" t="s">
        <v>153</v>
      </c>
      <c r="AE300" s="91" t="s">
        <v>154</v>
      </c>
      <c r="AF300" s="91" t="s">
        <v>155</v>
      </c>
      <c r="AG300" s="91" t="s">
        <v>156</v>
      </c>
      <c r="AH300" s="91" t="s">
        <v>157</v>
      </c>
    </row>
    <row r="301" spans="1:35" x14ac:dyDescent="0.3"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1" t="s">
        <v>125</v>
      </c>
    </row>
    <row r="302" spans="1:35" x14ac:dyDescent="0.3"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1" t="s">
        <v>126</v>
      </c>
    </row>
    <row r="303" spans="1:35" x14ac:dyDescent="0.3"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1" t="s">
        <v>127</v>
      </c>
    </row>
    <row r="304" spans="1:35" x14ac:dyDescent="0.3"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1" t="s">
        <v>128</v>
      </c>
    </row>
    <row r="305" spans="1:35" x14ac:dyDescent="0.3"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1" t="s">
        <v>129</v>
      </c>
    </row>
    <row r="306" spans="1:35" x14ac:dyDescent="0.3"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1" t="s">
        <v>130</v>
      </c>
    </row>
    <row r="307" spans="1:35" x14ac:dyDescent="0.3"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1" t="s">
        <v>131</v>
      </c>
    </row>
    <row r="308" spans="1:35" x14ac:dyDescent="0.3"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1" t="s">
        <v>132</v>
      </c>
    </row>
    <row r="309" spans="1:35" x14ac:dyDescent="0.3"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1" t="s">
        <v>133</v>
      </c>
    </row>
    <row r="310" spans="1:35" x14ac:dyDescent="0.3"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1" t="s">
        <v>134</v>
      </c>
    </row>
    <row r="311" spans="1:35" x14ac:dyDescent="0.3"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1" t="s">
        <v>135</v>
      </c>
    </row>
    <row r="312" spans="1:35" x14ac:dyDescent="0.3"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1" t="s">
        <v>136</v>
      </c>
    </row>
    <row r="313" spans="1:35" x14ac:dyDescent="0.3"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1" t="s">
        <v>137</v>
      </c>
    </row>
    <row r="314" spans="1:35" x14ac:dyDescent="0.3"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1" t="s">
        <v>138</v>
      </c>
    </row>
    <row r="315" spans="1:35" x14ac:dyDescent="0.3"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1" t="s">
        <v>139</v>
      </c>
    </row>
    <row r="316" spans="1:35" x14ac:dyDescent="0.3">
      <c r="A316" s="94" t="s">
        <v>261</v>
      </c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1" t="s">
        <v>140</v>
      </c>
    </row>
    <row r="317" spans="1:35" x14ac:dyDescent="0.3"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1" t="s">
        <v>141</v>
      </c>
    </row>
    <row r="318" spans="1:35" x14ac:dyDescent="0.3"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1" t="s">
        <v>142</v>
      </c>
    </row>
    <row r="319" spans="1:35" x14ac:dyDescent="0.3"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>
        <f t="shared" ref="T319:Y324" si="41">B293</f>
        <v>0</v>
      </c>
      <c r="U319" s="93">
        <f t="shared" si="41"/>
        <v>0</v>
      </c>
      <c r="V319" s="93">
        <f t="shared" si="41"/>
        <v>0</v>
      </c>
      <c r="W319" s="93">
        <f t="shared" si="41"/>
        <v>0</v>
      </c>
      <c r="X319" s="93">
        <f t="shared" si="41"/>
        <v>0</v>
      </c>
      <c r="Y319" s="93">
        <f t="shared" si="41"/>
        <v>0</v>
      </c>
      <c r="Z319" s="93"/>
      <c r="AA319" s="93"/>
      <c r="AB319" s="93"/>
      <c r="AC319" s="93"/>
      <c r="AD319" s="93"/>
      <c r="AE319" s="93"/>
      <c r="AF319" s="93"/>
      <c r="AG319" s="93"/>
      <c r="AH319" s="93"/>
      <c r="AI319" s="91" t="s">
        <v>143</v>
      </c>
    </row>
    <row r="320" spans="1:35" x14ac:dyDescent="0.3"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>
        <f t="shared" si="41"/>
        <v>0</v>
      </c>
      <c r="U320" s="93">
        <f t="shared" si="41"/>
        <v>0</v>
      </c>
      <c r="V320" s="93">
        <f t="shared" si="41"/>
        <v>0</v>
      </c>
      <c r="W320" s="93">
        <f t="shared" si="41"/>
        <v>0</v>
      </c>
      <c r="X320" s="93">
        <f t="shared" si="41"/>
        <v>0</v>
      </c>
      <c r="Y320" s="93">
        <f t="shared" si="41"/>
        <v>0</v>
      </c>
      <c r="Z320" s="93"/>
      <c r="AA320" s="93"/>
      <c r="AB320" s="93"/>
      <c r="AC320" s="93"/>
      <c r="AD320" s="93"/>
      <c r="AE320" s="93"/>
      <c r="AF320" s="93"/>
      <c r="AG320" s="93"/>
      <c r="AH320" s="93"/>
      <c r="AI320" s="91" t="s">
        <v>144</v>
      </c>
    </row>
    <row r="321" spans="2:35" x14ac:dyDescent="0.3"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>
        <f t="shared" si="41"/>
        <v>0</v>
      </c>
      <c r="U321" s="93">
        <f t="shared" si="41"/>
        <v>0</v>
      </c>
      <c r="V321" s="93">
        <f t="shared" si="41"/>
        <v>0</v>
      </c>
      <c r="W321" s="93">
        <f t="shared" si="41"/>
        <v>0</v>
      </c>
      <c r="X321" s="93">
        <f t="shared" si="41"/>
        <v>0</v>
      </c>
      <c r="Y321" s="93">
        <f t="shared" si="41"/>
        <v>0</v>
      </c>
      <c r="Z321" s="93"/>
      <c r="AA321" s="93"/>
      <c r="AB321" s="93"/>
      <c r="AC321" s="93"/>
      <c r="AD321" s="93"/>
      <c r="AE321" s="93"/>
      <c r="AF321" s="93"/>
      <c r="AG321" s="93"/>
      <c r="AH321" s="93"/>
      <c r="AI321" s="91" t="s">
        <v>145</v>
      </c>
    </row>
    <row r="322" spans="2:35" x14ac:dyDescent="0.3"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>
        <f t="shared" si="41"/>
        <v>0</v>
      </c>
      <c r="U322" s="93">
        <f t="shared" si="41"/>
        <v>0</v>
      </c>
      <c r="V322" s="93">
        <f t="shared" si="41"/>
        <v>0</v>
      </c>
      <c r="W322" s="93">
        <f t="shared" si="41"/>
        <v>0</v>
      </c>
      <c r="X322" s="93">
        <f t="shared" si="41"/>
        <v>0</v>
      </c>
      <c r="Y322" s="93">
        <f t="shared" si="41"/>
        <v>0</v>
      </c>
      <c r="Z322" s="93"/>
      <c r="AA322" s="93"/>
      <c r="AB322" s="93"/>
      <c r="AC322" s="93"/>
      <c r="AD322" s="93"/>
      <c r="AE322" s="93"/>
      <c r="AF322" s="93"/>
      <c r="AG322" s="93"/>
      <c r="AH322" s="93"/>
      <c r="AI322" s="91" t="s">
        <v>146</v>
      </c>
    </row>
    <row r="323" spans="2:35" x14ac:dyDescent="0.3"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>
        <f t="shared" si="41"/>
        <v>0</v>
      </c>
      <c r="U323" s="93">
        <f t="shared" si="41"/>
        <v>0</v>
      </c>
      <c r="V323" s="93">
        <f t="shared" si="41"/>
        <v>0</v>
      </c>
      <c r="W323" s="93">
        <f t="shared" si="41"/>
        <v>0</v>
      </c>
      <c r="X323" s="93">
        <f t="shared" si="41"/>
        <v>0</v>
      </c>
      <c r="Y323" s="93">
        <f t="shared" si="41"/>
        <v>0</v>
      </c>
      <c r="Z323" s="93"/>
      <c r="AA323" s="93"/>
      <c r="AB323" s="93"/>
      <c r="AC323" s="93"/>
      <c r="AD323" s="93"/>
      <c r="AE323" s="93"/>
      <c r="AF323" s="93"/>
      <c r="AG323" s="93"/>
      <c r="AH323" s="93"/>
      <c r="AI323" s="91" t="s">
        <v>147</v>
      </c>
    </row>
    <row r="324" spans="2:35" x14ac:dyDescent="0.3"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>
        <f t="shared" si="41"/>
        <v>0</v>
      </c>
      <c r="U324" s="93">
        <f t="shared" si="41"/>
        <v>0</v>
      </c>
      <c r="V324" s="93">
        <f t="shared" si="41"/>
        <v>0</v>
      </c>
      <c r="W324" s="93">
        <f t="shared" si="41"/>
        <v>0</v>
      </c>
      <c r="X324" s="93">
        <f t="shared" si="41"/>
        <v>0</v>
      </c>
      <c r="Y324" s="93">
        <f t="shared" si="41"/>
        <v>0</v>
      </c>
      <c r="Z324" s="93"/>
      <c r="AA324" s="93"/>
      <c r="AB324" s="93"/>
      <c r="AC324" s="93"/>
      <c r="AD324" s="93"/>
      <c r="AE324" s="93"/>
      <c r="AF324" s="93"/>
      <c r="AG324" s="93"/>
      <c r="AH324" s="93"/>
      <c r="AI324" s="91" t="s">
        <v>148</v>
      </c>
    </row>
    <row r="325" spans="2:35" x14ac:dyDescent="0.3"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1" t="s">
        <v>149</v>
      </c>
    </row>
    <row r="326" spans="2:35" x14ac:dyDescent="0.3"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1" t="s">
        <v>150</v>
      </c>
    </row>
    <row r="327" spans="2:35" x14ac:dyDescent="0.3"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1" t="s">
        <v>151</v>
      </c>
    </row>
    <row r="328" spans="2:35" x14ac:dyDescent="0.3"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1" t="s">
        <v>152</v>
      </c>
    </row>
    <row r="329" spans="2:35" x14ac:dyDescent="0.3"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1" t="s">
        <v>153</v>
      </c>
    </row>
    <row r="330" spans="2:35" x14ac:dyDescent="0.3"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1" t="s">
        <v>154</v>
      </c>
    </row>
    <row r="331" spans="2:35" x14ac:dyDescent="0.3"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1" t="s">
        <v>155</v>
      </c>
    </row>
    <row r="332" spans="2:35" x14ac:dyDescent="0.3"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1" t="s">
        <v>156</v>
      </c>
    </row>
    <row r="333" spans="2:35" x14ac:dyDescent="0.3"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1" t="s">
        <v>157</v>
      </c>
    </row>
    <row r="335" spans="2:35" x14ac:dyDescent="0.3">
      <c r="B335" s="91" t="str">
        <f t="shared" ref="B335:G335" si="42">IF(C29="","", CONCATENATE("U",C29,C$21))</f>
        <v/>
      </c>
      <c r="C335" s="91" t="str">
        <f t="shared" si="42"/>
        <v/>
      </c>
      <c r="D335" s="91" t="str">
        <f t="shared" si="42"/>
        <v/>
      </c>
      <c r="E335" s="91" t="str">
        <f t="shared" si="42"/>
        <v/>
      </c>
      <c r="F335" s="91" t="str">
        <f t="shared" si="42"/>
        <v/>
      </c>
      <c r="G335" s="91" t="str">
        <f t="shared" si="42"/>
        <v/>
      </c>
    </row>
    <row r="336" spans="2:35" x14ac:dyDescent="0.3">
      <c r="B336" s="92">
        <f>IF(I16="", 0, O16*J16*J16+P16*K16*K16)</f>
        <v>0</v>
      </c>
      <c r="C336" s="93">
        <f>IF(I16="", 0, (O16-P16)*(J16*K16))</f>
        <v>0</v>
      </c>
      <c r="D336" s="93">
        <f>IF(I16="", 0, -Q16*K16)</f>
        <v>0</v>
      </c>
      <c r="E336" s="93">
        <f t="shared" ref="E336:F338" si="43">-B336</f>
        <v>0</v>
      </c>
      <c r="F336" s="93">
        <f t="shared" si="43"/>
        <v>0</v>
      </c>
      <c r="G336" s="93">
        <f>D336</f>
        <v>0</v>
      </c>
      <c r="H336" s="91" t="str">
        <f>B335</f>
        <v/>
      </c>
    </row>
    <row r="337" spans="1:35" x14ac:dyDescent="0.3">
      <c r="B337" s="93">
        <f>C336</f>
        <v>0</v>
      </c>
      <c r="C337" s="92">
        <f>IF(I16="", 0, O16*K16*K16+P16*J16*J16)</f>
        <v>0</v>
      </c>
      <c r="D337" s="93">
        <f>IF(I16="", 0, Q16*J16)</f>
        <v>0</v>
      </c>
      <c r="E337" s="93">
        <f t="shared" si="43"/>
        <v>0</v>
      </c>
      <c r="F337" s="93">
        <f t="shared" si="43"/>
        <v>0</v>
      </c>
      <c r="G337" s="93">
        <f>D337</f>
        <v>0</v>
      </c>
      <c r="H337" s="91" t="str">
        <f>C335</f>
        <v/>
      </c>
    </row>
    <row r="338" spans="1:35" x14ac:dyDescent="0.3">
      <c r="A338" s="94" t="s">
        <v>262</v>
      </c>
      <c r="B338" s="93">
        <f>D336</f>
        <v>0</v>
      </c>
      <c r="C338" s="93">
        <f>D337</f>
        <v>0</v>
      </c>
      <c r="D338" s="92">
        <f>IF(I16="", 0, R16)</f>
        <v>0</v>
      </c>
      <c r="E338" s="93">
        <f t="shared" si="43"/>
        <v>0</v>
      </c>
      <c r="F338" s="93">
        <f t="shared" si="43"/>
        <v>0</v>
      </c>
      <c r="G338" s="93">
        <f>IF(I16="", 0, S16)</f>
        <v>0</v>
      </c>
      <c r="H338" s="91" t="str">
        <f>D335</f>
        <v/>
      </c>
    </row>
    <row r="339" spans="1:35" x14ac:dyDescent="0.3">
      <c r="B339" s="93">
        <f>E336</f>
        <v>0</v>
      </c>
      <c r="C339" s="93">
        <f>E337</f>
        <v>0</v>
      </c>
      <c r="D339" s="93">
        <f>E338</f>
        <v>0</v>
      </c>
      <c r="E339" s="92">
        <f>B336</f>
        <v>0</v>
      </c>
      <c r="F339" s="93">
        <f>C336</f>
        <v>0</v>
      </c>
      <c r="G339" s="93">
        <f>-D336</f>
        <v>0</v>
      </c>
      <c r="H339" s="91" t="str">
        <f>E335</f>
        <v/>
      </c>
    </row>
    <row r="340" spans="1:35" x14ac:dyDescent="0.3">
      <c r="B340" s="93">
        <f>F336</f>
        <v>0</v>
      </c>
      <c r="C340" s="93">
        <f>F337</f>
        <v>0</v>
      </c>
      <c r="D340" s="93">
        <f>F338</f>
        <v>0</v>
      </c>
      <c r="E340" s="93">
        <f>F339</f>
        <v>0</v>
      </c>
      <c r="F340" s="92">
        <f>C337</f>
        <v>0</v>
      </c>
      <c r="G340" s="93">
        <f>-D337</f>
        <v>0</v>
      </c>
      <c r="H340" s="91" t="str">
        <f>F335</f>
        <v/>
      </c>
    </row>
    <row r="341" spans="1:35" x14ac:dyDescent="0.3">
      <c r="B341" s="93">
        <f>G336</f>
        <v>0</v>
      </c>
      <c r="C341" s="93">
        <f>G337</f>
        <v>0</v>
      </c>
      <c r="D341" s="93">
        <f>G338</f>
        <v>0</v>
      </c>
      <c r="E341" s="93">
        <f>G339</f>
        <v>0</v>
      </c>
      <c r="F341" s="93">
        <f>G340</f>
        <v>0</v>
      </c>
      <c r="G341" s="92">
        <f>D338</f>
        <v>0</v>
      </c>
      <c r="H341" s="91" t="str">
        <f>G335</f>
        <v/>
      </c>
    </row>
    <row r="343" spans="1:35" x14ac:dyDescent="0.3">
      <c r="B343" s="91" t="s">
        <v>125</v>
      </c>
      <c r="C343" s="91" t="s">
        <v>126</v>
      </c>
      <c r="D343" s="91" t="s">
        <v>127</v>
      </c>
      <c r="E343" s="91" t="s">
        <v>128</v>
      </c>
      <c r="F343" s="91" t="s">
        <v>129</v>
      </c>
      <c r="G343" s="91" t="s">
        <v>130</v>
      </c>
      <c r="H343" s="91" t="s">
        <v>131</v>
      </c>
      <c r="I343" s="91" t="s">
        <v>132</v>
      </c>
      <c r="J343" s="91" t="s">
        <v>133</v>
      </c>
      <c r="K343" s="91" t="s">
        <v>134</v>
      </c>
      <c r="L343" s="91" t="s">
        <v>135</v>
      </c>
      <c r="M343" s="91" t="s">
        <v>136</v>
      </c>
      <c r="N343" s="91" t="s">
        <v>137</v>
      </c>
      <c r="O343" s="91" t="s">
        <v>138</v>
      </c>
      <c r="P343" s="91" t="s">
        <v>139</v>
      </c>
      <c r="Q343" s="91" t="s">
        <v>140</v>
      </c>
      <c r="R343" s="91" t="s">
        <v>141</v>
      </c>
      <c r="S343" s="91" t="s">
        <v>142</v>
      </c>
      <c r="T343" s="91" t="s">
        <v>143</v>
      </c>
      <c r="U343" s="91" t="s">
        <v>144</v>
      </c>
      <c r="V343" s="91" t="s">
        <v>145</v>
      </c>
      <c r="W343" s="91" t="s">
        <v>146</v>
      </c>
      <c r="X343" s="91" t="s">
        <v>147</v>
      </c>
      <c r="Y343" s="91" t="s">
        <v>148</v>
      </c>
      <c r="Z343" s="91" t="s">
        <v>149</v>
      </c>
      <c r="AA343" s="91" t="s">
        <v>150</v>
      </c>
      <c r="AB343" s="91" t="s">
        <v>151</v>
      </c>
      <c r="AC343" s="91" t="s">
        <v>152</v>
      </c>
      <c r="AD343" s="91" t="s">
        <v>153</v>
      </c>
      <c r="AE343" s="91" t="s">
        <v>154</v>
      </c>
      <c r="AF343" s="91" t="s">
        <v>155</v>
      </c>
      <c r="AG343" s="91" t="s">
        <v>156</v>
      </c>
      <c r="AH343" s="91" t="s">
        <v>157</v>
      </c>
    </row>
    <row r="344" spans="1:35" x14ac:dyDescent="0.3"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1" t="s">
        <v>125</v>
      </c>
    </row>
    <row r="345" spans="1:35" x14ac:dyDescent="0.3"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1" t="s">
        <v>126</v>
      </c>
    </row>
    <row r="346" spans="1:35" x14ac:dyDescent="0.3"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1" t="s">
        <v>127</v>
      </c>
    </row>
    <row r="347" spans="1:35" x14ac:dyDescent="0.3"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1" t="s">
        <v>128</v>
      </c>
    </row>
    <row r="348" spans="1:35" x14ac:dyDescent="0.3"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1" t="s">
        <v>129</v>
      </c>
    </row>
    <row r="349" spans="1:35" x14ac:dyDescent="0.3"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1" t="s">
        <v>130</v>
      </c>
    </row>
    <row r="350" spans="1:35" x14ac:dyDescent="0.3"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1" t="s">
        <v>131</v>
      </c>
    </row>
    <row r="351" spans="1:35" x14ac:dyDescent="0.3"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1" t="s">
        <v>132</v>
      </c>
    </row>
    <row r="352" spans="1:35" x14ac:dyDescent="0.3"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1" t="s">
        <v>133</v>
      </c>
    </row>
    <row r="353" spans="1:35" x14ac:dyDescent="0.3"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1" t="s">
        <v>134</v>
      </c>
    </row>
    <row r="354" spans="1:35" x14ac:dyDescent="0.3"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1" t="s">
        <v>135</v>
      </c>
    </row>
    <row r="355" spans="1:35" x14ac:dyDescent="0.3"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1" t="s">
        <v>136</v>
      </c>
    </row>
    <row r="356" spans="1:35" x14ac:dyDescent="0.3"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1" t="s">
        <v>137</v>
      </c>
    </row>
    <row r="357" spans="1:35" x14ac:dyDescent="0.3"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1" t="s">
        <v>138</v>
      </c>
    </row>
    <row r="358" spans="1:35" x14ac:dyDescent="0.3"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1" t="s">
        <v>139</v>
      </c>
    </row>
    <row r="359" spans="1:35" x14ac:dyDescent="0.3">
      <c r="A359" s="94" t="s">
        <v>262</v>
      </c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1" t="s">
        <v>140</v>
      </c>
    </row>
    <row r="360" spans="1:35" x14ac:dyDescent="0.3"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1" t="s">
        <v>141</v>
      </c>
    </row>
    <row r="361" spans="1:35" x14ac:dyDescent="0.3"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1" t="s">
        <v>142</v>
      </c>
    </row>
    <row r="362" spans="1:35" x14ac:dyDescent="0.3"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1" t="s">
        <v>143</v>
      </c>
    </row>
    <row r="363" spans="1:35" x14ac:dyDescent="0.3"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1" t="s">
        <v>144</v>
      </c>
    </row>
    <row r="364" spans="1:35" x14ac:dyDescent="0.3"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1" t="s">
        <v>145</v>
      </c>
    </row>
    <row r="365" spans="1:35" x14ac:dyDescent="0.3"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>
        <f t="shared" ref="W365:AB370" si="44">B336</f>
        <v>0</v>
      </c>
      <c r="X365" s="93">
        <f t="shared" si="44"/>
        <v>0</v>
      </c>
      <c r="Y365" s="93">
        <f t="shared" si="44"/>
        <v>0</v>
      </c>
      <c r="Z365" s="93">
        <f t="shared" si="44"/>
        <v>0</v>
      </c>
      <c r="AA365" s="93">
        <f t="shared" si="44"/>
        <v>0</v>
      </c>
      <c r="AB365" s="93">
        <f t="shared" si="44"/>
        <v>0</v>
      </c>
      <c r="AC365" s="93"/>
      <c r="AD365" s="93"/>
      <c r="AE365" s="93"/>
      <c r="AF365" s="93"/>
      <c r="AG365" s="93"/>
      <c r="AH365" s="93"/>
      <c r="AI365" s="91" t="s">
        <v>146</v>
      </c>
    </row>
    <row r="366" spans="1:35" x14ac:dyDescent="0.3"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>
        <f t="shared" si="44"/>
        <v>0</v>
      </c>
      <c r="X366" s="93">
        <f t="shared" si="44"/>
        <v>0</v>
      </c>
      <c r="Y366" s="93">
        <f t="shared" si="44"/>
        <v>0</v>
      </c>
      <c r="Z366" s="93">
        <f t="shared" si="44"/>
        <v>0</v>
      </c>
      <c r="AA366" s="93">
        <f t="shared" si="44"/>
        <v>0</v>
      </c>
      <c r="AB366" s="93">
        <f t="shared" si="44"/>
        <v>0</v>
      </c>
      <c r="AC366" s="93"/>
      <c r="AD366" s="93"/>
      <c r="AE366" s="93"/>
      <c r="AF366" s="93"/>
      <c r="AG366" s="93"/>
      <c r="AH366" s="93"/>
      <c r="AI366" s="91" t="s">
        <v>147</v>
      </c>
    </row>
    <row r="367" spans="1:35" x14ac:dyDescent="0.3"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>
        <f t="shared" si="44"/>
        <v>0</v>
      </c>
      <c r="X367" s="93">
        <f t="shared" si="44"/>
        <v>0</v>
      </c>
      <c r="Y367" s="93">
        <f t="shared" si="44"/>
        <v>0</v>
      </c>
      <c r="Z367" s="93">
        <f t="shared" si="44"/>
        <v>0</v>
      </c>
      <c r="AA367" s="93">
        <f t="shared" si="44"/>
        <v>0</v>
      </c>
      <c r="AB367" s="93">
        <f t="shared" si="44"/>
        <v>0</v>
      </c>
      <c r="AC367" s="93"/>
      <c r="AD367" s="93"/>
      <c r="AE367" s="93"/>
      <c r="AF367" s="93"/>
      <c r="AG367" s="93"/>
      <c r="AH367" s="93"/>
      <c r="AI367" s="91" t="s">
        <v>148</v>
      </c>
    </row>
    <row r="368" spans="1:35" x14ac:dyDescent="0.3"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>
        <f t="shared" si="44"/>
        <v>0</v>
      </c>
      <c r="X368" s="93">
        <f t="shared" si="44"/>
        <v>0</v>
      </c>
      <c r="Y368" s="93">
        <f t="shared" si="44"/>
        <v>0</v>
      </c>
      <c r="Z368" s="93">
        <f t="shared" si="44"/>
        <v>0</v>
      </c>
      <c r="AA368" s="93">
        <f t="shared" si="44"/>
        <v>0</v>
      </c>
      <c r="AB368" s="93">
        <f t="shared" si="44"/>
        <v>0</v>
      </c>
      <c r="AC368" s="93"/>
      <c r="AD368" s="93"/>
      <c r="AE368" s="93"/>
      <c r="AF368" s="93"/>
      <c r="AG368" s="93"/>
      <c r="AH368" s="93"/>
      <c r="AI368" s="91" t="s">
        <v>149</v>
      </c>
    </row>
    <row r="369" spans="1:35" x14ac:dyDescent="0.3"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>
        <f t="shared" si="44"/>
        <v>0</v>
      </c>
      <c r="X369" s="93">
        <f t="shared" si="44"/>
        <v>0</v>
      </c>
      <c r="Y369" s="93">
        <f t="shared" si="44"/>
        <v>0</v>
      </c>
      <c r="Z369" s="93">
        <f t="shared" si="44"/>
        <v>0</v>
      </c>
      <c r="AA369" s="93">
        <f t="shared" si="44"/>
        <v>0</v>
      </c>
      <c r="AB369" s="93">
        <f t="shared" si="44"/>
        <v>0</v>
      </c>
      <c r="AC369" s="93"/>
      <c r="AD369" s="93"/>
      <c r="AE369" s="93"/>
      <c r="AF369" s="93"/>
      <c r="AG369" s="93"/>
      <c r="AH369" s="93"/>
      <c r="AI369" s="91" t="s">
        <v>150</v>
      </c>
    </row>
    <row r="370" spans="1:35" x14ac:dyDescent="0.3"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>
        <f t="shared" si="44"/>
        <v>0</v>
      </c>
      <c r="X370" s="93">
        <f t="shared" si="44"/>
        <v>0</v>
      </c>
      <c r="Y370" s="93">
        <f t="shared" si="44"/>
        <v>0</v>
      </c>
      <c r="Z370" s="93">
        <f t="shared" si="44"/>
        <v>0</v>
      </c>
      <c r="AA370" s="93">
        <f t="shared" si="44"/>
        <v>0</v>
      </c>
      <c r="AB370" s="93">
        <f t="shared" si="44"/>
        <v>0</v>
      </c>
      <c r="AC370" s="93"/>
      <c r="AD370" s="93"/>
      <c r="AE370" s="93"/>
      <c r="AF370" s="93"/>
      <c r="AG370" s="93"/>
      <c r="AH370" s="93"/>
      <c r="AI370" s="91" t="s">
        <v>151</v>
      </c>
    </row>
    <row r="371" spans="1:35" x14ac:dyDescent="0.3"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1" t="s">
        <v>152</v>
      </c>
    </row>
    <row r="372" spans="1:35" x14ac:dyDescent="0.3"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1" t="s">
        <v>153</v>
      </c>
    </row>
    <row r="373" spans="1:35" x14ac:dyDescent="0.3"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1" t="s">
        <v>154</v>
      </c>
    </row>
    <row r="374" spans="1:35" x14ac:dyDescent="0.3"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1" t="s">
        <v>155</v>
      </c>
    </row>
    <row r="375" spans="1:35" x14ac:dyDescent="0.3"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1" t="s">
        <v>156</v>
      </c>
    </row>
    <row r="376" spans="1:35" x14ac:dyDescent="0.3"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1" t="s">
        <v>157</v>
      </c>
    </row>
    <row r="378" spans="1:35" x14ac:dyDescent="0.3">
      <c r="B378" s="91" t="str">
        <f t="shared" ref="B378:G378" si="45">IF(C30="","", CONCATENATE("U",C30,C$21))</f>
        <v/>
      </c>
      <c r="C378" s="91" t="str">
        <f t="shared" si="45"/>
        <v/>
      </c>
      <c r="D378" s="91" t="str">
        <f t="shared" si="45"/>
        <v/>
      </c>
      <c r="E378" s="91" t="str">
        <f t="shared" si="45"/>
        <v/>
      </c>
      <c r="F378" s="91" t="str">
        <f t="shared" si="45"/>
        <v/>
      </c>
      <c r="G378" s="91" t="str">
        <f t="shared" si="45"/>
        <v/>
      </c>
    </row>
    <row r="379" spans="1:35" x14ac:dyDescent="0.3">
      <c r="B379" s="92">
        <f>IF(I17="", 0, O17*J17*J17+P17*K17*K17)</f>
        <v>0</v>
      </c>
      <c r="C379" s="93">
        <f>IF(I17="", 0, (O17-P17)*(J17*K17))</f>
        <v>0</v>
      </c>
      <c r="D379" s="93">
        <f>IF(I17="", 0, -Q17*K17)</f>
        <v>0</v>
      </c>
      <c r="E379" s="93">
        <f t="shared" ref="E379:F381" si="46">-B379</f>
        <v>0</v>
      </c>
      <c r="F379" s="93">
        <f t="shared" si="46"/>
        <v>0</v>
      </c>
      <c r="G379" s="93">
        <f>D379</f>
        <v>0</v>
      </c>
      <c r="H379" s="91" t="str">
        <f>B378</f>
        <v/>
      </c>
    </row>
    <row r="380" spans="1:35" x14ac:dyDescent="0.3">
      <c r="B380" s="93">
        <f>C379</f>
        <v>0</v>
      </c>
      <c r="C380" s="92">
        <f>IF(I17="", 0, O17*K17*K17+P17*J17*J17)</f>
        <v>0</v>
      </c>
      <c r="D380" s="93">
        <f>IF(I17="", 0, Q17*J17)</f>
        <v>0</v>
      </c>
      <c r="E380" s="93">
        <f t="shared" si="46"/>
        <v>0</v>
      </c>
      <c r="F380" s="93">
        <f t="shared" si="46"/>
        <v>0</v>
      </c>
      <c r="G380" s="93">
        <f>D380</f>
        <v>0</v>
      </c>
      <c r="H380" s="91" t="str">
        <f>C378</f>
        <v/>
      </c>
    </row>
    <row r="381" spans="1:35" x14ac:dyDescent="0.3">
      <c r="A381" s="94" t="s">
        <v>263</v>
      </c>
      <c r="B381" s="93">
        <f>D379</f>
        <v>0</v>
      </c>
      <c r="C381" s="93">
        <f>D380</f>
        <v>0</v>
      </c>
      <c r="D381" s="92">
        <f>IF(I17="", 0, R17)</f>
        <v>0</v>
      </c>
      <c r="E381" s="93">
        <f t="shared" si="46"/>
        <v>0</v>
      </c>
      <c r="F381" s="93">
        <f t="shared" si="46"/>
        <v>0</v>
      </c>
      <c r="G381" s="93">
        <f>IF(I17="", 0, S17)</f>
        <v>0</v>
      </c>
      <c r="H381" s="91" t="str">
        <f>D378</f>
        <v/>
      </c>
    </row>
    <row r="382" spans="1:35" x14ac:dyDescent="0.3">
      <c r="B382" s="93">
        <f>E379</f>
        <v>0</v>
      </c>
      <c r="C382" s="93">
        <f>E380</f>
        <v>0</v>
      </c>
      <c r="D382" s="93">
        <f>E381</f>
        <v>0</v>
      </c>
      <c r="E382" s="92">
        <f>B379</f>
        <v>0</v>
      </c>
      <c r="F382" s="93">
        <f>C379</f>
        <v>0</v>
      </c>
      <c r="G382" s="93">
        <f>-D379</f>
        <v>0</v>
      </c>
      <c r="H382" s="91" t="str">
        <f>E378</f>
        <v/>
      </c>
    </row>
    <row r="383" spans="1:35" x14ac:dyDescent="0.3">
      <c r="B383" s="93">
        <f>F379</f>
        <v>0</v>
      </c>
      <c r="C383" s="93">
        <f>F380</f>
        <v>0</v>
      </c>
      <c r="D383" s="93">
        <f>F381</f>
        <v>0</v>
      </c>
      <c r="E383" s="93">
        <f>F382</f>
        <v>0</v>
      </c>
      <c r="F383" s="92">
        <f>C380</f>
        <v>0</v>
      </c>
      <c r="G383" s="93">
        <f>-D380</f>
        <v>0</v>
      </c>
      <c r="H383" s="91" t="str">
        <f>F378</f>
        <v/>
      </c>
    </row>
    <row r="384" spans="1:35" x14ac:dyDescent="0.3">
      <c r="B384" s="93">
        <f>G379</f>
        <v>0</v>
      </c>
      <c r="C384" s="93">
        <f>G380</f>
        <v>0</v>
      </c>
      <c r="D384" s="93">
        <f>G381</f>
        <v>0</v>
      </c>
      <c r="E384" s="93">
        <f>G382</f>
        <v>0</v>
      </c>
      <c r="F384" s="93">
        <f>G383</f>
        <v>0</v>
      </c>
      <c r="G384" s="92">
        <f>D381</f>
        <v>0</v>
      </c>
      <c r="H384" s="91" t="str">
        <f>G378</f>
        <v/>
      </c>
    </row>
    <row r="386" spans="2:35" x14ac:dyDescent="0.3">
      <c r="B386" s="91" t="s">
        <v>125</v>
      </c>
      <c r="C386" s="91" t="s">
        <v>126</v>
      </c>
      <c r="D386" s="91" t="s">
        <v>127</v>
      </c>
      <c r="E386" s="91" t="s">
        <v>128</v>
      </c>
      <c r="F386" s="91" t="s">
        <v>129</v>
      </c>
      <c r="G386" s="91" t="s">
        <v>130</v>
      </c>
      <c r="H386" s="91" t="s">
        <v>131</v>
      </c>
      <c r="I386" s="91" t="s">
        <v>132</v>
      </c>
      <c r="J386" s="91" t="s">
        <v>133</v>
      </c>
      <c r="K386" s="91" t="s">
        <v>134</v>
      </c>
      <c r="L386" s="91" t="s">
        <v>135</v>
      </c>
      <c r="M386" s="91" t="s">
        <v>136</v>
      </c>
      <c r="N386" s="91" t="s">
        <v>137</v>
      </c>
      <c r="O386" s="91" t="s">
        <v>138</v>
      </c>
      <c r="P386" s="91" t="s">
        <v>139</v>
      </c>
      <c r="Q386" s="91" t="s">
        <v>140</v>
      </c>
      <c r="R386" s="91" t="s">
        <v>141</v>
      </c>
      <c r="S386" s="91" t="s">
        <v>142</v>
      </c>
      <c r="T386" s="91" t="s">
        <v>143</v>
      </c>
      <c r="U386" s="91" t="s">
        <v>144</v>
      </c>
      <c r="V386" s="91" t="s">
        <v>145</v>
      </c>
      <c r="W386" s="91" t="s">
        <v>146</v>
      </c>
      <c r="X386" s="91" t="s">
        <v>147</v>
      </c>
      <c r="Y386" s="91" t="s">
        <v>148</v>
      </c>
      <c r="Z386" s="91" t="s">
        <v>149</v>
      </c>
      <c r="AA386" s="91" t="s">
        <v>150</v>
      </c>
      <c r="AB386" s="91" t="s">
        <v>151</v>
      </c>
      <c r="AC386" s="91" t="s">
        <v>152</v>
      </c>
      <c r="AD386" s="91" t="s">
        <v>153</v>
      </c>
      <c r="AE386" s="91" t="s">
        <v>154</v>
      </c>
      <c r="AF386" s="91" t="s">
        <v>155</v>
      </c>
      <c r="AG386" s="91" t="s">
        <v>156</v>
      </c>
      <c r="AH386" s="91" t="s">
        <v>157</v>
      </c>
    </row>
    <row r="387" spans="2:35" x14ac:dyDescent="0.3"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1" t="s">
        <v>125</v>
      </c>
    </row>
    <row r="388" spans="2:35" x14ac:dyDescent="0.3"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1" t="s">
        <v>126</v>
      </c>
    </row>
    <row r="389" spans="2:35" x14ac:dyDescent="0.3"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1" t="s">
        <v>127</v>
      </c>
    </row>
    <row r="390" spans="2:35" x14ac:dyDescent="0.3"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1" t="s">
        <v>128</v>
      </c>
    </row>
    <row r="391" spans="2:35" x14ac:dyDescent="0.3"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1" t="s">
        <v>129</v>
      </c>
    </row>
    <row r="392" spans="2:35" x14ac:dyDescent="0.3"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1" t="s">
        <v>130</v>
      </c>
    </row>
    <row r="393" spans="2:35" x14ac:dyDescent="0.3"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1" t="s">
        <v>131</v>
      </c>
    </row>
    <row r="394" spans="2:35" x14ac:dyDescent="0.3"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1" t="s">
        <v>132</v>
      </c>
    </row>
    <row r="395" spans="2:35" x14ac:dyDescent="0.3"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1" t="s">
        <v>133</v>
      </c>
    </row>
    <row r="396" spans="2:35" x14ac:dyDescent="0.3"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1" t="s">
        <v>134</v>
      </c>
    </row>
    <row r="397" spans="2:35" x14ac:dyDescent="0.3"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1" t="s">
        <v>135</v>
      </c>
    </row>
    <row r="398" spans="2:35" x14ac:dyDescent="0.3"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1" t="s">
        <v>136</v>
      </c>
    </row>
    <row r="399" spans="2:35" x14ac:dyDescent="0.3"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1" t="s">
        <v>137</v>
      </c>
    </row>
    <row r="400" spans="2:35" x14ac:dyDescent="0.3"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1" t="s">
        <v>138</v>
      </c>
    </row>
    <row r="401" spans="1:35" x14ac:dyDescent="0.3"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1" t="s">
        <v>139</v>
      </c>
    </row>
    <row r="402" spans="1:35" x14ac:dyDescent="0.3">
      <c r="A402" s="94" t="s">
        <v>263</v>
      </c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1" t="s">
        <v>140</v>
      </c>
    </row>
    <row r="403" spans="1:35" x14ac:dyDescent="0.3"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1" t="s">
        <v>141</v>
      </c>
    </row>
    <row r="404" spans="1:35" x14ac:dyDescent="0.3"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1" t="s">
        <v>142</v>
      </c>
    </row>
    <row r="405" spans="1:35" x14ac:dyDescent="0.3"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1" t="s">
        <v>143</v>
      </c>
    </row>
    <row r="406" spans="1:35" x14ac:dyDescent="0.3"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1" t="s">
        <v>144</v>
      </c>
    </row>
    <row r="407" spans="1:35" x14ac:dyDescent="0.3"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1" t="s">
        <v>145</v>
      </c>
    </row>
    <row r="408" spans="1:35" x14ac:dyDescent="0.3"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1" t="s">
        <v>146</v>
      </c>
    </row>
    <row r="409" spans="1:35" x14ac:dyDescent="0.3"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1" t="s">
        <v>147</v>
      </c>
    </row>
    <row r="410" spans="1:35" x14ac:dyDescent="0.3"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1" t="s">
        <v>148</v>
      </c>
    </row>
    <row r="411" spans="1:35" x14ac:dyDescent="0.3"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>
        <f t="shared" ref="Z411:AE416" si="47">B379</f>
        <v>0</v>
      </c>
      <c r="AA411" s="93">
        <f t="shared" si="47"/>
        <v>0</v>
      </c>
      <c r="AB411" s="93">
        <f t="shared" si="47"/>
        <v>0</v>
      </c>
      <c r="AC411" s="93">
        <f t="shared" si="47"/>
        <v>0</v>
      </c>
      <c r="AD411" s="93">
        <f t="shared" si="47"/>
        <v>0</v>
      </c>
      <c r="AE411" s="93">
        <f t="shared" si="47"/>
        <v>0</v>
      </c>
      <c r="AF411" s="93"/>
      <c r="AG411" s="93"/>
      <c r="AH411" s="93"/>
      <c r="AI411" s="91" t="s">
        <v>149</v>
      </c>
    </row>
    <row r="412" spans="1:35" x14ac:dyDescent="0.3"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>
        <f t="shared" si="47"/>
        <v>0</v>
      </c>
      <c r="AA412" s="93">
        <f t="shared" si="47"/>
        <v>0</v>
      </c>
      <c r="AB412" s="93">
        <f t="shared" si="47"/>
        <v>0</v>
      </c>
      <c r="AC412" s="93">
        <f t="shared" si="47"/>
        <v>0</v>
      </c>
      <c r="AD412" s="93">
        <f t="shared" si="47"/>
        <v>0</v>
      </c>
      <c r="AE412" s="93">
        <f t="shared" si="47"/>
        <v>0</v>
      </c>
      <c r="AF412" s="93"/>
      <c r="AG412" s="93"/>
      <c r="AH412" s="93"/>
      <c r="AI412" s="91" t="s">
        <v>150</v>
      </c>
    </row>
    <row r="413" spans="1:35" x14ac:dyDescent="0.3"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>
        <f t="shared" si="47"/>
        <v>0</v>
      </c>
      <c r="AA413" s="93">
        <f t="shared" si="47"/>
        <v>0</v>
      </c>
      <c r="AB413" s="93">
        <f t="shared" si="47"/>
        <v>0</v>
      </c>
      <c r="AC413" s="93">
        <f t="shared" si="47"/>
        <v>0</v>
      </c>
      <c r="AD413" s="93">
        <f t="shared" si="47"/>
        <v>0</v>
      </c>
      <c r="AE413" s="93">
        <f t="shared" si="47"/>
        <v>0</v>
      </c>
      <c r="AF413" s="93"/>
      <c r="AG413" s="93"/>
      <c r="AH413" s="93"/>
      <c r="AI413" s="91" t="s">
        <v>151</v>
      </c>
    </row>
    <row r="414" spans="1:35" x14ac:dyDescent="0.3"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>
        <f t="shared" si="47"/>
        <v>0</v>
      </c>
      <c r="AA414" s="93">
        <f t="shared" si="47"/>
        <v>0</v>
      </c>
      <c r="AB414" s="93">
        <f t="shared" si="47"/>
        <v>0</v>
      </c>
      <c r="AC414" s="93">
        <f t="shared" si="47"/>
        <v>0</v>
      </c>
      <c r="AD414" s="93">
        <f t="shared" si="47"/>
        <v>0</v>
      </c>
      <c r="AE414" s="93">
        <f t="shared" si="47"/>
        <v>0</v>
      </c>
      <c r="AF414" s="93"/>
      <c r="AG414" s="93"/>
      <c r="AH414" s="93"/>
      <c r="AI414" s="91" t="s">
        <v>152</v>
      </c>
    </row>
    <row r="415" spans="1:35" x14ac:dyDescent="0.3"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>
        <f t="shared" si="47"/>
        <v>0</v>
      </c>
      <c r="AA415" s="93">
        <f t="shared" si="47"/>
        <v>0</v>
      </c>
      <c r="AB415" s="93">
        <f t="shared" si="47"/>
        <v>0</v>
      </c>
      <c r="AC415" s="93">
        <f t="shared" si="47"/>
        <v>0</v>
      </c>
      <c r="AD415" s="93">
        <f t="shared" si="47"/>
        <v>0</v>
      </c>
      <c r="AE415" s="93">
        <f t="shared" si="47"/>
        <v>0</v>
      </c>
      <c r="AF415" s="93"/>
      <c r="AG415" s="93"/>
      <c r="AH415" s="93"/>
      <c r="AI415" s="91" t="s">
        <v>153</v>
      </c>
    </row>
    <row r="416" spans="1:35" x14ac:dyDescent="0.3"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>
        <f t="shared" si="47"/>
        <v>0</v>
      </c>
      <c r="AA416" s="93">
        <f t="shared" si="47"/>
        <v>0</v>
      </c>
      <c r="AB416" s="93">
        <f t="shared" si="47"/>
        <v>0</v>
      </c>
      <c r="AC416" s="93">
        <f t="shared" si="47"/>
        <v>0</v>
      </c>
      <c r="AD416" s="93">
        <f t="shared" si="47"/>
        <v>0</v>
      </c>
      <c r="AE416" s="93">
        <f t="shared" si="47"/>
        <v>0</v>
      </c>
      <c r="AF416" s="93"/>
      <c r="AG416" s="93"/>
      <c r="AH416" s="93"/>
      <c r="AI416" s="91" t="s">
        <v>154</v>
      </c>
    </row>
    <row r="417" spans="1:35" x14ac:dyDescent="0.3"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1" t="s">
        <v>155</v>
      </c>
    </row>
    <row r="418" spans="1:35" x14ac:dyDescent="0.3"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1" t="s">
        <v>156</v>
      </c>
    </row>
    <row r="419" spans="1:35" x14ac:dyDescent="0.3"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1" t="s">
        <v>157</v>
      </c>
    </row>
    <row r="421" spans="1:35" x14ac:dyDescent="0.3">
      <c r="B421" s="91" t="str">
        <f t="shared" ref="B421:G421" si="48">IF(C31="","", CONCATENATE("U",C31,C$21))</f>
        <v/>
      </c>
      <c r="C421" s="91" t="str">
        <f t="shared" si="48"/>
        <v/>
      </c>
      <c r="D421" s="91" t="str">
        <f t="shared" si="48"/>
        <v/>
      </c>
      <c r="E421" s="91" t="str">
        <f t="shared" si="48"/>
        <v/>
      </c>
      <c r="F421" s="91" t="str">
        <f t="shared" si="48"/>
        <v/>
      </c>
      <c r="G421" s="91" t="str">
        <f t="shared" si="48"/>
        <v/>
      </c>
    </row>
    <row r="422" spans="1:35" x14ac:dyDescent="0.3">
      <c r="B422" s="92">
        <f>IF(I18="", 0, O18*J18*J18+P18*K18*K18)</f>
        <v>0</v>
      </c>
      <c r="C422" s="93">
        <f>IF(I18="", 0, (O18-P18)*(J18*K18))</f>
        <v>0</v>
      </c>
      <c r="D422" s="93">
        <f>IF(I18="", 0, -Q18*K18)</f>
        <v>0</v>
      </c>
      <c r="E422" s="93">
        <f t="shared" ref="E422:F424" si="49">-B422</f>
        <v>0</v>
      </c>
      <c r="F422" s="93">
        <f t="shared" si="49"/>
        <v>0</v>
      </c>
      <c r="G422" s="93">
        <f>D422</f>
        <v>0</v>
      </c>
      <c r="H422" s="91" t="str">
        <f>B421</f>
        <v/>
      </c>
    </row>
    <row r="423" spans="1:35" x14ac:dyDescent="0.3">
      <c r="B423" s="93">
        <f>C422</f>
        <v>0</v>
      </c>
      <c r="C423" s="92">
        <f>IF(I18="", 0, O18*K18*K18+P18*J18*J18)</f>
        <v>0</v>
      </c>
      <c r="D423" s="93">
        <f>IF(I18="", 0, Q18*J18)</f>
        <v>0</v>
      </c>
      <c r="E423" s="93">
        <f t="shared" si="49"/>
        <v>0</v>
      </c>
      <c r="F423" s="93">
        <f t="shared" si="49"/>
        <v>0</v>
      </c>
      <c r="G423" s="93">
        <f>D423</f>
        <v>0</v>
      </c>
      <c r="H423" s="91" t="str">
        <f>C421</f>
        <v/>
      </c>
    </row>
    <row r="424" spans="1:35" x14ac:dyDescent="0.3">
      <c r="A424" s="94" t="s">
        <v>264</v>
      </c>
      <c r="B424" s="93">
        <f>D422</f>
        <v>0</v>
      </c>
      <c r="C424" s="93">
        <f>D423</f>
        <v>0</v>
      </c>
      <c r="D424" s="92">
        <f>IF(I18="", 0, R18)</f>
        <v>0</v>
      </c>
      <c r="E424" s="93">
        <f t="shared" si="49"/>
        <v>0</v>
      </c>
      <c r="F424" s="93">
        <f t="shared" si="49"/>
        <v>0</v>
      </c>
      <c r="G424" s="93">
        <f>IF(I18="", 0, S18)</f>
        <v>0</v>
      </c>
      <c r="H424" s="91" t="str">
        <f>D421</f>
        <v/>
      </c>
    </row>
    <row r="425" spans="1:35" x14ac:dyDescent="0.3">
      <c r="B425" s="93">
        <f>E422</f>
        <v>0</v>
      </c>
      <c r="C425" s="93">
        <f>E423</f>
        <v>0</v>
      </c>
      <c r="D425" s="93">
        <f>E424</f>
        <v>0</v>
      </c>
      <c r="E425" s="92">
        <f>B422</f>
        <v>0</v>
      </c>
      <c r="F425" s="93">
        <f>C422</f>
        <v>0</v>
      </c>
      <c r="G425" s="93">
        <f>-D422</f>
        <v>0</v>
      </c>
      <c r="H425" s="91" t="str">
        <f>E421</f>
        <v/>
      </c>
    </row>
    <row r="426" spans="1:35" x14ac:dyDescent="0.3">
      <c r="B426" s="93">
        <f>F422</f>
        <v>0</v>
      </c>
      <c r="C426" s="93">
        <f>F423</f>
        <v>0</v>
      </c>
      <c r="D426" s="93">
        <f>F424</f>
        <v>0</v>
      </c>
      <c r="E426" s="93">
        <f>F425</f>
        <v>0</v>
      </c>
      <c r="F426" s="92">
        <f>C423</f>
        <v>0</v>
      </c>
      <c r="G426" s="93">
        <f>-D423</f>
        <v>0</v>
      </c>
      <c r="H426" s="91" t="str">
        <f>F421</f>
        <v/>
      </c>
    </row>
    <row r="427" spans="1:35" x14ac:dyDescent="0.3">
      <c r="B427" s="93">
        <f>G422</f>
        <v>0</v>
      </c>
      <c r="C427" s="93">
        <f>G423</f>
        <v>0</v>
      </c>
      <c r="D427" s="93">
        <f>G424</f>
        <v>0</v>
      </c>
      <c r="E427" s="93">
        <f>G425</f>
        <v>0</v>
      </c>
      <c r="F427" s="93">
        <f>G426</f>
        <v>0</v>
      </c>
      <c r="G427" s="92">
        <f>D424</f>
        <v>0</v>
      </c>
      <c r="H427" s="91" t="str">
        <f>G421</f>
        <v/>
      </c>
    </row>
    <row r="429" spans="1:35" x14ac:dyDescent="0.3">
      <c r="B429" s="91" t="s">
        <v>125</v>
      </c>
      <c r="C429" s="91" t="s">
        <v>126</v>
      </c>
      <c r="D429" s="91" t="s">
        <v>127</v>
      </c>
      <c r="E429" s="91" t="s">
        <v>128</v>
      </c>
      <c r="F429" s="91" t="s">
        <v>129</v>
      </c>
      <c r="G429" s="91" t="s">
        <v>130</v>
      </c>
      <c r="H429" s="91" t="s">
        <v>131</v>
      </c>
      <c r="I429" s="91" t="s">
        <v>132</v>
      </c>
      <c r="J429" s="91" t="s">
        <v>133</v>
      </c>
      <c r="K429" s="91" t="s">
        <v>134</v>
      </c>
      <c r="L429" s="91" t="s">
        <v>135</v>
      </c>
      <c r="M429" s="91" t="s">
        <v>136</v>
      </c>
      <c r="N429" s="91" t="s">
        <v>137</v>
      </c>
      <c r="O429" s="91" t="s">
        <v>138</v>
      </c>
      <c r="P429" s="91" t="s">
        <v>139</v>
      </c>
      <c r="Q429" s="91" t="s">
        <v>140</v>
      </c>
      <c r="R429" s="91" t="s">
        <v>141</v>
      </c>
      <c r="S429" s="91" t="s">
        <v>142</v>
      </c>
      <c r="T429" s="91" t="s">
        <v>143</v>
      </c>
      <c r="U429" s="91" t="s">
        <v>144</v>
      </c>
      <c r="V429" s="91" t="s">
        <v>145</v>
      </c>
      <c r="W429" s="91" t="s">
        <v>146</v>
      </c>
      <c r="X429" s="91" t="s">
        <v>147</v>
      </c>
      <c r="Y429" s="91" t="s">
        <v>148</v>
      </c>
      <c r="Z429" s="91" t="s">
        <v>149</v>
      </c>
      <c r="AA429" s="91" t="s">
        <v>150</v>
      </c>
      <c r="AB429" s="91" t="s">
        <v>151</v>
      </c>
      <c r="AC429" s="91" t="s">
        <v>152</v>
      </c>
      <c r="AD429" s="91" t="s">
        <v>153</v>
      </c>
      <c r="AE429" s="91" t="s">
        <v>154</v>
      </c>
      <c r="AF429" s="91" t="s">
        <v>155</v>
      </c>
      <c r="AG429" s="91" t="s">
        <v>156</v>
      </c>
      <c r="AH429" s="91" t="s">
        <v>157</v>
      </c>
    </row>
    <row r="430" spans="1:35" x14ac:dyDescent="0.3"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1" t="s">
        <v>125</v>
      </c>
    </row>
    <row r="431" spans="1:35" x14ac:dyDescent="0.3"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1" t="s">
        <v>126</v>
      </c>
    </row>
    <row r="432" spans="1:35" x14ac:dyDescent="0.3"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1" t="s">
        <v>127</v>
      </c>
    </row>
    <row r="433" spans="1:35" x14ac:dyDescent="0.3"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1" t="s">
        <v>128</v>
      </c>
    </row>
    <row r="434" spans="1:35" x14ac:dyDescent="0.3"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1" t="s">
        <v>129</v>
      </c>
    </row>
    <row r="435" spans="1:35" x14ac:dyDescent="0.3"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1" t="s">
        <v>130</v>
      </c>
    </row>
    <row r="436" spans="1:35" x14ac:dyDescent="0.3"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1" t="s">
        <v>131</v>
      </c>
    </row>
    <row r="437" spans="1:35" x14ac:dyDescent="0.3"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1" t="s">
        <v>132</v>
      </c>
    </row>
    <row r="438" spans="1:35" x14ac:dyDescent="0.3"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1" t="s">
        <v>133</v>
      </c>
    </row>
    <row r="439" spans="1:35" x14ac:dyDescent="0.3"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1" t="s">
        <v>134</v>
      </c>
    </row>
    <row r="440" spans="1:35" x14ac:dyDescent="0.3"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1" t="s">
        <v>135</v>
      </c>
    </row>
    <row r="441" spans="1:35" x14ac:dyDescent="0.3"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1" t="s">
        <v>136</v>
      </c>
    </row>
    <row r="442" spans="1:35" x14ac:dyDescent="0.3"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1" t="s">
        <v>137</v>
      </c>
    </row>
    <row r="443" spans="1:35" x14ac:dyDescent="0.3"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1" t="s">
        <v>138</v>
      </c>
    </row>
    <row r="444" spans="1:35" x14ac:dyDescent="0.3"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1" t="s">
        <v>139</v>
      </c>
    </row>
    <row r="445" spans="1:35" x14ac:dyDescent="0.3">
      <c r="A445" s="94" t="s">
        <v>264</v>
      </c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1" t="s">
        <v>140</v>
      </c>
    </row>
    <row r="446" spans="1:35" x14ac:dyDescent="0.3"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1" t="s">
        <v>141</v>
      </c>
    </row>
    <row r="447" spans="1:35" x14ac:dyDescent="0.3"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1" t="s">
        <v>142</v>
      </c>
    </row>
    <row r="448" spans="1:35" x14ac:dyDescent="0.3"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1" t="s">
        <v>143</v>
      </c>
    </row>
    <row r="449" spans="2:35" x14ac:dyDescent="0.3"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1" t="s">
        <v>144</v>
      </c>
    </row>
    <row r="450" spans="2:35" x14ac:dyDescent="0.3"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1" t="s">
        <v>145</v>
      </c>
    </row>
    <row r="451" spans="2:35" x14ac:dyDescent="0.3"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1" t="s">
        <v>146</v>
      </c>
    </row>
    <row r="452" spans="2:35" x14ac:dyDescent="0.3"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1" t="s">
        <v>147</v>
      </c>
    </row>
    <row r="453" spans="2:35" x14ac:dyDescent="0.3"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1" t="s">
        <v>148</v>
      </c>
    </row>
    <row r="454" spans="2:35" x14ac:dyDescent="0.3"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1" t="s">
        <v>149</v>
      </c>
    </row>
    <row r="455" spans="2:35" x14ac:dyDescent="0.3"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1" t="s">
        <v>150</v>
      </c>
    </row>
    <row r="456" spans="2:35" x14ac:dyDescent="0.3"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1" t="s">
        <v>151</v>
      </c>
    </row>
    <row r="457" spans="2:35" x14ac:dyDescent="0.3"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>
        <f t="shared" ref="AC457:AH462" si="50">B422</f>
        <v>0</v>
      </c>
      <c r="AD457" s="93">
        <f t="shared" si="50"/>
        <v>0</v>
      </c>
      <c r="AE457" s="93">
        <f t="shared" si="50"/>
        <v>0</v>
      </c>
      <c r="AF457" s="93">
        <f t="shared" si="50"/>
        <v>0</v>
      </c>
      <c r="AG457" s="93">
        <f t="shared" si="50"/>
        <v>0</v>
      </c>
      <c r="AH457" s="93">
        <f t="shared" si="50"/>
        <v>0</v>
      </c>
      <c r="AI457" s="91" t="s">
        <v>152</v>
      </c>
    </row>
    <row r="458" spans="2:35" x14ac:dyDescent="0.3"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>
        <f t="shared" si="50"/>
        <v>0</v>
      </c>
      <c r="AD458" s="93">
        <f t="shared" si="50"/>
        <v>0</v>
      </c>
      <c r="AE458" s="93">
        <f t="shared" si="50"/>
        <v>0</v>
      </c>
      <c r="AF458" s="93">
        <f t="shared" si="50"/>
        <v>0</v>
      </c>
      <c r="AG458" s="93">
        <f t="shared" si="50"/>
        <v>0</v>
      </c>
      <c r="AH458" s="93">
        <f t="shared" si="50"/>
        <v>0</v>
      </c>
      <c r="AI458" s="91" t="s">
        <v>153</v>
      </c>
    </row>
    <row r="459" spans="2:35" x14ac:dyDescent="0.3"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>
        <f t="shared" si="50"/>
        <v>0</v>
      </c>
      <c r="AD459" s="93">
        <f t="shared" si="50"/>
        <v>0</v>
      </c>
      <c r="AE459" s="93">
        <f t="shared" si="50"/>
        <v>0</v>
      </c>
      <c r="AF459" s="93">
        <f t="shared" si="50"/>
        <v>0</v>
      </c>
      <c r="AG459" s="93">
        <f t="shared" si="50"/>
        <v>0</v>
      </c>
      <c r="AH459" s="93">
        <f t="shared" si="50"/>
        <v>0</v>
      </c>
      <c r="AI459" s="91" t="s">
        <v>154</v>
      </c>
    </row>
    <row r="460" spans="2:35" x14ac:dyDescent="0.3"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>
        <f t="shared" si="50"/>
        <v>0</v>
      </c>
      <c r="AD460" s="93">
        <f t="shared" si="50"/>
        <v>0</v>
      </c>
      <c r="AE460" s="93">
        <f t="shared" si="50"/>
        <v>0</v>
      </c>
      <c r="AF460" s="93">
        <f t="shared" si="50"/>
        <v>0</v>
      </c>
      <c r="AG460" s="93">
        <f t="shared" si="50"/>
        <v>0</v>
      </c>
      <c r="AH460" s="93">
        <f t="shared" si="50"/>
        <v>0</v>
      </c>
      <c r="AI460" s="91" t="s">
        <v>155</v>
      </c>
    </row>
    <row r="461" spans="2:35" x14ac:dyDescent="0.3"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>
        <f t="shared" si="50"/>
        <v>0</v>
      </c>
      <c r="AD461" s="93">
        <f t="shared" si="50"/>
        <v>0</v>
      </c>
      <c r="AE461" s="93">
        <f t="shared" si="50"/>
        <v>0</v>
      </c>
      <c r="AF461" s="93">
        <f t="shared" si="50"/>
        <v>0</v>
      </c>
      <c r="AG461" s="93">
        <f t="shared" si="50"/>
        <v>0</v>
      </c>
      <c r="AH461" s="93">
        <f t="shared" si="50"/>
        <v>0</v>
      </c>
      <c r="AI461" s="91" t="s">
        <v>156</v>
      </c>
    </row>
    <row r="462" spans="2:35" x14ac:dyDescent="0.3"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>
        <f t="shared" si="50"/>
        <v>0</v>
      </c>
      <c r="AD462" s="93">
        <f t="shared" si="50"/>
        <v>0</v>
      </c>
      <c r="AE462" s="93">
        <f t="shared" si="50"/>
        <v>0</v>
      </c>
      <c r="AF462" s="93">
        <f t="shared" si="50"/>
        <v>0</v>
      </c>
      <c r="AG462" s="93">
        <f t="shared" si="50"/>
        <v>0</v>
      </c>
      <c r="AH462" s="93">
        <f t="shared" si="50"/>
        <v>0</v>
      </c>
      <c r="AI462" s="91" t="s">
        <v>157</v>
      </c>
    </row>
    <row r="465" spans="2:35" x14ac:dyDescent="0.3">
      <c r="B465" s="95" t="s">
        <v>265</v>
      </c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</row>
    <row r="466" spans="2:35" x14ac:dyDescent="0.3">
      <c r="B466" s="91" t="s">
        <v>125</v>
      </c>
      <c r="C466" s="91" t="s">
        <v>126</v>
      </c>
      <c r="D466" s="91" t="s">
        <v>127</v>
      </c>
      <c r="E466" s="91" t="s">
        <v>128</v>
      </c>
      <c r="F466" s="91" t="s">
        <v>129</v>
      </c>
      <c r="G466" s="91" t="s">
        <v>130</v>
      </c>
      <c r="H466" s="91" t="s">
        <v>131</v>
      </c>
      <c r="I466" s="91" t="s">
        <v>132</v>
      </c>
      <c r="J466" s="91" t="s">
        <v>133</v>
      </c>
      <c r="K466" s="91" t="s">
        <v>134</v>
      </c>
      <c r="L466" s="91" t="s">
        <v>135</v>
      </c>
      <c r="M466" s="91" t="s">
        <v>136</v>
      </c>
      <c r="N466" s="91" t="s">
        <v>137</v>
      </c>
      <c r="O466" s="91" t="s">
        <v>138</v>
      </c>
      <c r="P466" s="91" t="s">
        <v>139</v>
      </c>
      <c r="Q466" s="91" t="s">
        <v>140</v>
      </c>
      <c r="R466" s="91" t="s">
        <v>141</v>
      </c>
      <c r="S466" s="91" t="s">
        <v>142</v>
      </c>
      <c r="T466" s="91" t="s">
        <v>143</v>
      </c>
      <c r="U466" s="91" t="s">
        <v>144</v>
      </c>
      <c r="V466" s="91" t="s">
        <v>145</v>
      </c>
      <c r="W466" s="91" t="s">
        <v>146</v>
      </c>
      <c r="X466" s="91" t="s">
        <v>147</v>
      </c>
      <c r="Y466" s="91" t="s">
        <v>148</v>
      </c>
      <c r="Z466" s="91" t="s">
        <v>149</v>
      </c>
      <c r="AA466" s="91" t="s">
        <v>150</v>
      </c>
      <c r="AB466" s="91" t="s">
        <v>151</v>
      </c>
      <c r="AC466" s="91" t="s">
        <v>152</v>
      </c>
      <c r="AD466" s="91" t="s">
        <v>153</v>
      </c>
      <c r="AE466" s="91" t="s">
        <v>154</v>
      </c>
      <c r="AF466" s="91" t="s">
        <v>155</v>
      </c>
      <c r="AG466" s="91" t="s">
        <v>156</v>
      </c>
      <c r="AH466" s="91" t="s">
        <v>157</v>
      </c>
    </row>
    <row r="467" spans="2:35" x14ac:dyDescent="0.3">
      <c r="B467" s="97">
        <f t="shared" ref="B467:AH474" si="51">B43+B86+B129+B172+B215+B258+B301+B344+B387+B430</f>
        <v>0</v>
      </c>
      <c r="C467" s="93">
        <f t="shared" si="51"/>
        <v>0</v>
      </c>
      <c r="D467" s="93">
        <f t="shared" si="51"/>
        <v>0</v>
      </c>
      <c r="E467" s="93">
        <f t="shared" si="51"/>
        <v>0</v>
      </c>
      <c r="F467" s="93">
        <f t="shared" si="51"/>
        <v>0</v>
      </c>
      <c r="G467" s="93">
        <f t="shared" si="51"/>
        <v>0</v>
      </c>
      <c r="H467" s="93">
        <f t="shared" si="51"/>
        <v>0</v>
      </c>
      <c r="I467" s="93">
        <f t="shared" si="51"/>
        <v>0</v>
      </c>
      <c r="J467" s="93">
        <f t="shared" si="51"/>
        <v>0</v>
      </c>
      <c r="K467" s="93">
        <f t="shared" si="51"/>
        <v>0</v>
      </c>
      <c r="L467" s="93">
        <f t="shared" si="51"/>
        <v>0</v>
      </c>
      <c r="M467" s="93">
        <f t="shared" si="51"/>
        <v>0</v>
      </c>
      <c r="N467" s="93">
        <f t="shared" si="51"/>
        <v>0</v>
      </c>
      <c r="O467" s="93">
        <f t="shared" si="51"/>
        <v>0</v>
      </c>
      <c r="P467" s="93">
        <f t="shared" si="51"/>
        <v>0</v>
      </c>
      <c r="Q467" s="93">
        <f t="shared" si="51"/>
        <v>0</v>
      </c>
      <c r="R467" s="93">
        <f t="shared" si="51"/>
        <v>0</v>
      </c>
      <c r="S467" s="93">
        <f t="shared" si="51"/>
        <v>0</v>
      </c>
      <c r="T467" s="93">
        <f t="shared" si="51"/>
        <v>0</v>
      </c>
      <c r="U467" s="93">
        <f t="shared" si="51"/>
        <v>0</v>
      </c>
      <c r="V467" s="93">
        <f t="shared" si="51"/>
        <v>0</v>
      </c>
      <c r="W467" s="93">
        <f t="shared" si="51"/>
        <v>0</v>
      </c>
      <c r="X467" s="93">
        <f t="shared" si="51"/>
        <v>0</v>
      </c>
      <c r="Y467" s="93">
        <f t="shared" si="51"/>
        <v>0</v>
      </c>
      <c r="Z467" s="93">
        <f t="shared" si="51"/>
        <v>0</v>
      </c>
      <c r="AA467" s="93">
        <f t="shared" si="51"/>
        <v>0</v>
      </c>
      <c r="AB467" s="93">
        <f t="shared" si="51"/>
        <v>0</v>
      </c>
      <c r="AC467" s="93">
        <f t="shared" si="51"/>
        <v>0</v>
      </c>
      <c r="AD467" s="93">
        <f t="shared" si="51"/>
        <v>0</v>
      </c>
      <c r="AE467" s="93">
        <f t="shared" si="51"/>
        <v>0</v>
      </c>
      <c r="AF467" s="93">
        <f t="shared" si="51"/>
        <v>0</v>
      </c>
      <c r="AG467" s="93">
        <f t="shared" si="51"/>
        <v>0</v>
      </c>
      <c r="AH467" s="93">
        <f t="shared" si="51"/>
        <v>0</v>
      </c>
      <c r="AI467" s="91" t="s">
        <v>125</v>
      </c>
    </row>
    <row r="468" spans="2:35" x14ac:dyDescent="0.3">
      <c r="B468" s="93">
        <f t="shared" si="51"/>
        <v>0</v>
      </c>
      <c r="C468" s="97">
        <f t="shared" si="51"/>
        <v>0</v>
      </c>
      <c r="D468" s="93">
        <f t="shared" si="51"/>
        <v>0</v>
      </c>
      <c r="E468" s="93">
        <f t="shared" si="51"/>
        <v>0</v>
      </c>
      <c r="F468" s="93">
        <f t="shared" si="51"/>
        <v>0</v>
      </c>
      <c r="G468" s="93">
        <f t="shared" si="51"/>
        <v>0</v>
      </c>
      <c r="H468" s="93">
        <f t="shared" si="51"/>
        <v>0</v>
      </c>
      <c r="I468" s="93">
        <f t="shared" si="51"/>
        <v>0</v>
      </c>
      <c r="J468" s="93">
        <f t="shared" si="51"/>
        <v>0</v>
      </c>
      <c r="K468" s="93">
        <f t="shared" si="51"/>
        <v>0</v>
      </c>
      <c r="L468" s="93">
        <f t="shared" si="51"/>
        <v>0</v>
      </c>
      <c r="M468" s="93">
        <f t="shared" si="51"/>
        <v>0</v>
      </c>
      <c r="N468" s="93">
        <f t="shared" si="51"/>
        <v>0</v>
      </c>
      <c r="O468" s="93">
        <f t="shared" si="51"/>
        <v>0</v>
      </c>
      <c r="P468" s="93">
        <f t="shared" si="51"/>
        <v>0</v>
      </c>
      <c r="Q468" s="93">
        <f t="shared" si="51"/>
        <v>0</v>
      </c>
      <c r="R468" s="93">
        <f t="shared" si="51"/>
        <v>0</v>
      </c>
      <c r="S468" s="93">
        <f t="shared" si="51"/>
        <v>0</v>
      </c>
      <c r="T468" s="93">
        <f t="shared" si="51"/>
        <v>0</v>
      </c>
      <c r="U468" s="93">
        <f t="shared" si="51"/>
        <v>0</v>
      </c>
      <c r="V468" s="93">
        <f t="shared" si="51"/>
        <v>0</v>
      </c>
      <c r="W468" s="93">
        <f t="shared" si="51"/>
        <v>0</v>
      </c>
      <c r="X468" s="93">
        <f t="shared" si="51"/>
        <v>0</v>
      </c>
      <c r="Y468" s="93">
        <f t="shared" si="51"/>
        <v>0</v>
      </c>
      <c r="Z468" s="93">
        <f t="shared" si="51"/>
        <v>0</v>
      </c>
      <c r="AA468" s="93">
        <f t="shared" si="51"/>
        <v>0</v>
      </c>
      <c r="AB468" s="93">
        <f t="shared" si="51"/>
        <v>0</v>
      </c>
      <c r="AC468" s="93">
        <f t="shared" si="51"/>
        <v>0</v>
      </c>
      <c r="AD468" s="93">
        <f t="shared" si="51"/>
        <v>0</v>
      </c>
      <c r="AE468" s="93">
        <f t="shared" si="51"/>
        <v>0</v>
      </c>
      <c r="AF468" s="93">
        <f t="shared" si="51"/>
        <v>0</v>
      </c>
      <c r="AG468" s="93">
        <f t="shared" si="51"/>
        <v>0</v>
      </c>
      <c r="AH468" s="93">
        <f t="shared" si="51"/>
        <v>0</v>
      </c>
      <c r="AI468" s="91" t="s">
        <v>126</v>
      </c>
    </row>
    <row r="469" spans="2:35" x14ac:dyDescent="0.3">
      <c r="B469" s="93">
        <f t="shared" si="51"/>
        <v>0</v>
      </c>
      <c r="C469" s="93">
        <f t="shared" si="51"/>
        <v>0</v>
      </c>
      <c r="D469" s="97">
        <f t="shared" si="51"/>
        <v>0</v>
      </c>
      <c r="E469" s="93">
        <f t="shared" si="51"/>
        <v>0</v>
      </c>
      <c r="F469" s="93">
        <f t="shared" si="51"/>
        <v>0</v>
      </c>
      <c r="G469" s="93">
        <f t="shared" si="51"/>
        <v>0</v>
      </c>
      <c r="H469" s="93">
        <f t="shared" si="51"/>
        <v>0</v>
      </c>
      <c r="I469" s="93">
        <f t="shared" si="51"/>
        <v>0</v>
      </c>
      <c r="J469" s="93">
        <f t="shared" si="51"/>
        <v>0</v>
      </c>
      <c r="K469" s="93">
        <f t="shared" si="51"/>
        <v>0</v>
      </c>
      <c r="L469" s="93">
        <f t="shared" si="51"/>
        <v>0</v>
      </c>
      <c r="M469" s="93">
        <f t="shared" si="51"/>
        <v>0</v>
      </c>
      <c r="N469" s="93">
        <f t="shared" si="51"/>
        <v>0</v>
      </c>
      <c r="O469" s="93">
        <f t="shared" si="51"/>
        <v>0</v>
      </c>
      <c r="P469" s="93">
        <f t="shared" si="51"/>
        <v>0</v>
      </c>
      <c r="Q469" s="93">
        <f t="shared" si="51"/>
        <v>0</v>
      </c>
      <c r="R469" s="93">
        <f t="shared" si="51"/>
        <v>0</v>
      </c>
      <c r="S469" s="93">
        <f t="shared" si="51"/>
        <v>0</v>
      </c>
      <c r="T469" s="93">
        <f t="shared" si="51"/>
        <v>0</v>
      </c>
      <c r="U469" s="93">
        <f t="shared" si="51"/>
        <v>0</v>
      </c>
      <c r="V469" s="93">
        <f t="shared" si="51"/>
        <v>0</v>
      </c>
      <c r="W469" s="93">
        <f t="shared" si="51"/>
        <v>0</v>
      </c>
      <c r="X469" s="93">
        <f t="shared" si="51"/>
        <v>0</v>
      </c>
      <c r="Y469" s="93">
        <f t="shared" si="51"/>
        <v>0</v>
      </c>
      <c r="Z469" s="93">
        <f t="shared" si="51"/>
        <v>0</v>
      </c>
      <c r="AA469" s="93">
        <f t="shared" si="51"/>
        <v>0</v>
      </c>
      <c r="AB469" s="93">
        <f t="shared" si="51"/>
        <v>0</v>
      </c>
      <c r="AC469" s="93">
        <f t="shared" si="51"/>
        <v>0</v>
      </c>
      <c r="AD469" s="93">
        <f t="shared" si="51"/>
        <v>0</v>
      </c>
      <c r="AE469" s="93">
        <f t="shared" si="51"/>
        <v>0</v>
      </c>
      <c r="AF469" s="93">
        <f t="shared" si="51"/>
        <v>0</v>
      </c>
      <c r="AG469" s="93">
        <f t="shared" si="51"/>
        <v>0</v>
      </c>
      <c r="AH469" s="93">
        <f t="shared" si="51"/>
        <v>0</v>
      </c>
      <c r="AI469" s="91" t="s">
        <v>127</v>
      </c>
    </row>
    <row r="470" spans="2:35" x14ac:dyDescent="0.3">
      <c r="B470" s="93">
        <f t="shared" si="51"/>
        <v>0</v>
      </c>
      <c r="C470" s="93">
        <f t="shared" si="51"/>
        <v>0</v>
      </c>
      <c r="D470" s="93">
        <f t="shared" si="51"/>
        <v>0</v>
      </c>
      <c r="E470" s="97">
        <f t="shared" si="51"/>
        <v>0</v>
      </c>
      <c r="F470" s="93">
        <f t="shared" si="51"/>
        <v>0</v>
      </c>
      <c r="G470" s="93">
        <f t="shared" si="51"/>
        <v>0</v>
      </c>
      <c r="H470" s="93">
        <f t="shared" si="51"/>
        <v>0</v>
      </c>
      <c r="I470" s="93">
        <f t="shared" si="51"/>
        <v>0</v>
      </c>
      <c r="J470" s="93">
        <f t="shared" si="51"/>
        <v>0</v>
      </c>
      <c r="K470" s="93">
        <f t="shared" si="51"/>
        <v>0</v>
      </c>
      <c r="L470" s="93">
        <f t="shared" si="51"/>
        <v>0</v>
      </c>
      <c r="M470" s="93">
        <f t="shared" si="51"/>
        <v>0</v>
      </c>
      <c r="N470" s="93">
        <f t="shared" si="51"/>
        <v>0</v>
      </c>
      <c r="O470" s="93">
        <f t="shared" si="51"/>
        <v>0</v>
      </c>
      <c r="P470" s="93">
        <f t="shared" si="51"/>
        <v>0</v>
      </c>
      <c r="Q470" s="93">
        <f t="shared" si="51"/>
        <v>0</v>
      </c>
      <c r="R470" s="93">
        <f t="shared" si="51"/>
        <v>0</v>
      </c>
      <c r="S470" s="93">
        <f t="shared" si="51"/>
        <v>0</v>
      </c>
      <c r="T470" s="93">
        <f t="shared" si="51"/>
        <v>0</v>
      </c>
      <c r="U470" s="93">
        <f t="shared" si="51"/>
        <v>0</v>
      </c>
      <c r="V470" s="93">
        <f t="shared" si="51"/>
        <v>0</v>
      </c>
      <c r="W470" s="93">
        <f t="shared" si="51"/>
        <v>0</v>
      </c>
      <c r="X470" s="93">
        <f t="shared" si="51"/>
        <v>0</v>
      </c>
      <c r="Y470" s="93">
        <f t="shared" si="51"/>
        <v>0</v>
      </c>
      <c r="Z470" s="93">
        <f t="shared" si="51"/>
        <v>0</v>
      </c>
      <c r="AA470" s="93">
        <f t="shared" si="51"/>
        <v>0</v>
      </c>
      <c r="AB470" s="93">
        <f t="shared" si="51"/>
        <v>0</v>
      </c>
      <c r="AC470" s="93">
        <f t="shared" si="51"/>
        <v>0</v>
      </c>
      <c r="AD470" s="93">
        <f t="shared" si="51"/>
        <v>0</v>
      </c>
      <c r="AE470" s="93">
        <f t="shared" si="51"/>
        <v>0</v>
      </c>
      <c r="AF470" s="93">
        <f t="shared" si="51"/>
        <v>0</v>
      </c>
      <c r="AG470" s="93">
        <f t="shared" si="51"/>
        <v>0</v>
      </c>
      <c r="AH470" s="93">
        <f t="shared" si="51"/>
        <v>0</v>
      </c>
      <c r="AI470" s="91" t="s">
        <v>128</v>
      </c>
    </row>
    <row r="471" spans="2:35" x14ac:dyDescent="0.3">
      <c r="B471" s="93">
        <f t="shared" si="51"/>
        <v>0</v>
      </c>
      <c r="C471" s="93">
        <f t="shared" si="51"/>
        <v>0</v>
      </c>
      <c r="D471" s="93">
        <f t="shared" si="51"/>
        <v>0</v>
      </c>
      <c r="E471" s="93">
        <f t="shared" si="51"/>
        <v>0</v>
      </c>
      <c r="F471" s="97">
        <f t="shared" si="51"/>
        <v>0</v>
      </c>
      <c r="G471" s="93">
        <f t="shared" si="51"/>
        <v>0</v>
      </c>
      <c r="H471" s="93">
        <f t="shared" si="51"/>
        <v>0</v>
      </c>
      <c r="I471" s="93">
        <f t="shared" si="51"/>
        <v>0</v>
      </c>
      <c r="J471" s="93">
        <f t="shared" si="51"/>
        <v>0</v>
      </c>
      <c r="K471" s="93">
        <f t="shared" si="51"/>
        <v>0</v>
      </c>
      <c r="L471" s="93">
        <f t="shared" si="51"/>
        <v>0</v>
      </c>
      <c r="M471" s="93">
        <f t="shared" si="51"/>
        <v>0</v>
      </c>
      <c r="N471" s="93">
        <f t="shared" si="51"/>
        <v>0</v>
      </c>
      <c r="O471" s="93">
        <f t="shared" si="51"/>
        <v>0</v>
      </c>
      <c r="P471" s="93">
        <f t="shared" si="51"/>
        <v>0</v>
      </c>
      <c r="Q471" s="93">
        <f t="shared" si="51"/>
        <v>0</v>
      </c>
      <c r="R471" s="93">
        <f t="shared" si="51"/>
        <v>0</v>
      </c>
      <c r="S471" s="93">
        <f t="shared" si="51"/>
        <v>0</v>
      </c>
      <c r="T471" s="93">
        <f t="shared" si="51"/>
        <v>0</v>
      </c>
      <c r="U471" s="93">
        <f t="shared" si="51"/>
        <v>0</v>
      </c>
      <c r="V471" s="93">
        <f t="shared" si="51"/>
        <v>0</v>
      </c>
      <c r="W471" s="93">
        <f t="shared" si="51"/>
        <v>0</v>
      </c>
      <c r="X471" s="93">
        <f t="shared" si="51"/>
        <v>0</v>
      </c>
      <c r="Y471" s="93">
        <f t="shared" si="51"/>
        <v>0</v>
      </c>
      <c r="Z471" s="93">
        <f t="shared" si="51"/>
        <v>0</v>
      </c>
      <c r="AA471" s="93">
        <f t="shared" si="51"/>
        <v>0</v>
      </c>
      <c r="AB471" s="93">
        <f t="shared" si="51"/>
        <v>0</v>
      </c>
      <c r="AC471" s="93">
        <f t="shared" si="51"/>
        <v>0</v>
      </c>
      <c r="AD471" s="93">
        <f t="shared" si="51"/>
        <v>0</v>
      </c>
      <c r="AE471" s="93">
        <f t="shared" si="51"/>
        <v>0</v>
      </c>
      <c r="AF471" s="93">
        <f t="shared" si="51"/>
        <v>0</v>
      </c>
      <c r="AG471" s="93">
        <f t="shared" si="51"/>
        <v>0</v>
      </c>
      <c r="AH471" s="93">
        <f t="shared" si="51"/>
        <v>0</v>
      </c>
      <c r="AI471" s="91" t="s">
        <v>129</v>
      </c>
    </row>
    <row r="472" spans="2:35" x14ac:dyDescent="0.3">
      <c r="B472" s="93">
        <f t="shared" si="51"/>
        <v>0</v>
      </c>
      <c r="C472" s="93">
        <f t="shared" si="51"/>
        <v>0</v>
      </c>
      <c r="D472" s="93">
        <f t="shared" si="51"/>
        <v>0</v>
      </c>
      <c r="E472" s="93">
        <f t="shared" si="51"/>
        <v>0</v>
      </c>
      <c r="F472" s="93">
        <f t="shared" si="51"/>
        <v>0</v>
      </c>
      <c r="G472" s="97">
        <f t="shared" si="51"/>
        <v>0</v>
      </c>
      <c r="H472" s="93">
        <f t="shared" si="51"/>
        <v>0</v>
      </c>
      <c r="I472" s="93">
        <f t="shared" si="51"/>
        <v>0</v>
      </c>
      <c r="J472" s="93">
        <f t="shared" si="51"/>
        <v>0</v>
      </c>
      <c r="K472" s="93">
        <f t="shared" si="51"/>
        <v>0</v>
      </c>
      <c r="L472" s="93">
        <f t="shared" si="51"/>
        <v>0</v>
      </c>
      <c r="M472" s="93">
        <f t="shared" si="51"/>
        <v>0</v>
      </c>
      <c r="N472" s="93">
        <f t="shared" si="51"/>
        <v>0</v>
      </c>
      <c r="O472" s="93">
        <f t="shared" si="51"/>
        <v>0</v>
      </c>
      <c r="P472" s="93">
        <f t="shared" si="51"/>
        <v>0</v>
      </c>
      <c r="Q472" s="93">
        <f t="shared" si="51"/>
        <v>0</v>
      </c>
      <c r="R472" s="93">
        <f t="shared" si="51"/>
        <v>0</v>
      </c>
      <c r="S472" s="93">
        <f t="shared" si="51"/>
        <v>0</v>
      </c>
      <c r="T472" s="93">
        <f t="shared" si="51"/>
        <v>0</v>
      </c>
      <c r="U472" s="93">
        <f t="shared" si="51"/>
        <v>0</v>
      </c>
      <c r="V472" s="93">
        <f t="shared" si="51"/>
        <v>0</v>
      </c>
      <c r="W472" s="93">
        <f t="shared" si="51"/>
        <v>0</v>
      </c>
      <c r="X472" s="93">
        <f t="shared" si="51"/>
        <v>0</v>
      </c>
      <c r="Y472" s="93">
        <f t="shared" si="51"/>
        <v>0</v>
      </c>
      <c r="Z472" s="93">
        <f t="shared" si="51"/>
        <v>0</v>
      </c>
      <c r="AA472" s="93">
        <f t="shared" si="51"/>
        <v>0</v>
      </c>
      <c r="AB472" s="93">
        <f t="shared" si="51"/>
        <v>0</v>
      </c>
      <c r="AC472" s="93">
        <f t="shared" si="51"/>
        <v>0</v>
      </c>
      <c r="AD472" s="93">
        <f t="shared" si="51"/>
        <v>0</v>
      </c>
      <c r="AE472" s="93">
        <f t="shared" si="51"/>
        <v>0</v>
      </c>
      <c r="AF472" s="93">
        <f t="shared" si="51"/>
        <v>0</v>
      </c>
      <c r="AG472" s="93">
        <f t="shared" si="51"/>
        <v>0</v>
      </c>
      <c r="AH472" s="93">
        <f t="shared" si="51"/>
        <v>0</v>
      </c>
      <c r="AI472" s="91" t="s">
        <v>130</v>
      </c>
    </row>
    <row r="473" spans="2:35" x14ac:dyDescent="0.3">
      <c r="B473" s="93">
        <f t="shared" si="51"/>
        <v>0</v>
      </c>
      <c r="C473" s="93">
        <f t="shared" si="51"/>
        <v>0</v>
      </c>
      <c r="D473" s="93">
        <f t="shared" si="51"/>
        <v>0</v>
      </c>
      <c r="E473" s="93">
        <f t="shared" si="51"/>
        <v>0</v>
      </c>
      <c r="F473" s="93">
        <f t="shared" si="51"/>
        <v>0</v>
      </c>
      <c r="G473" s="93">
        <f t="shared" si="51"/>
        <v>0</v>
      </c>
      <c r="H473" s="97">
        <f t="shared" si="51"/>
        <v>0</v>
      </c>
      <c r="I473" s="93">
        <f t="shared" si="51"/>
        <v>0</v>
      </c>
      <c r="J473" s="93">
        <f t="shared" si="51"/>
        <v>0</v>
      </c>
      <c r="K473" s="93">
        <f t="shared" si="51"/>
        <v>0</v>
      </c>
      <c r="L473" s="93">
        <f t="shared" si="51"/>
        <v>0</v>
      </c>
      <c r="M473" s="93">
        <f t="shared" si="51"/>
        <v>0</v>
      </c>
      <c r="N473" s="93">
        <f t="shared" si="51"/>
        <v>0</v>
      </c>
      <c r="O473" s="93">
        <f t="shared" si="51"/>
        <v>0</v>
      </c>
      <c r="P473" s="93">
        <f t="shared" si="51"/>
        <v>0</v>
      </c>
      <c r="Q473" s="93">
        <f t="shared" si="51"/>
        <v>0</v>
      </c>
      <c r="R473" s="93">
        <f t="shared" si="51"/>
        <v>0</v>
      </c>
      <c r="S473" s="93">
        <f t="shared" si="51"/>
        <v>0</v>
      </c>
      <c r="T473" s="93">
        <f t="shared" si="51"/>
        <v>0</v>
      </c>
      <c r="U473" s="93">
        <f t="shared" si="51"/>
        <v>0</v>
      </c>
      <c r="V473" s="93">
        <f t="shared" si="51"/>
        <v>0</v>
      </c>
      <c r="W473" s="93">
        <f t="shared" si="51"/>
        <v>0</v>
      </c>
      <c r="X473" s="93">
        <f t="shared" si="51"/>
        <v>0</v>
      </c>
      <c r="Y473" s="93">
        <f t="shared" si="51"/>
        <v>0</v>
      </c>
      <c r="Z473" s="93">
        <f t="shared" si="51"/>
        <v>0</v>
      </c>
      <c r="AA473" s="93">
        <f t="shared" si="51"/>
        <v>0</v>
      </c>
      <c r="AB473" s="93">
        <f t="shared" si="51"/>
        <v>0</v>
      </c>
      <c r="AC473" s="93">
        <f t="shared" si="51"/>
        <v>0</v>
      </c>
      <c r="AD473" s="93">
        <f t="shared" si="51"/>
        <v>0</v>
      </c>
      <c r="AE473" s="93">
        <f t="shared" si="51"/>
        <v>0</v>
      </c>
      <c r="AF473" s="93">
        <f t="shared" si="51"/>
        <v>0</v>
      </c>
      <c r="AG473" s="93">
        <f t="shared" si="51"/>
        <v>0</v>
      </c>
      <c r="AH473" s="93">
        <f t="shared" si="51"/>
        <v>0</v>
      </c>
      <c r="AI473" s="91" t="s">
        <v>131</v>
      </c>
    </row>
    <row r="474" spans="2:35" x14ac:dyDescent="0.3">
      <c r="B474" s="93">
        <f t="shared" si="51"/>
        <v>0</v>
      </c>
      <c r="C474" s="93">
        <f t="shared" si="51"/>
        <v>0</v>
      </c>
      <c r="D474" s="93">
        <f t="shared" si="51"/>
        <v>0</v>
      </c>
      <c r="E474" s="93">
        <f t="shared" si="51"/>
        <v>0</v>
      </c>
      <c r="F474" s="93">
        <f t="shared" si="51"/>
        <v>0</v>
      </c>
      <c r="G474" s="93">
        <f t="shared" si="51"/>
        <v>0</v>
      </c>
      <c r="H474" s="93">
        <f t="shared" si="51"/>
        <v>0</v>
      </c>
      <c r="I474" s="97">
        <f t="shared" si="51"/>
        <v>0</v>
      </c>
      <c r="J474" s="93">
        <f t="shared" si="51"/>
        <v>0</v>
      </c>
      <c r="K474" s="93">
        <f t="shared" si="51"/>
        <v>0</v>
      </c>
      <c r="L474" s="93">
        <f t="shared" si="51"/>
        <v>0</v>
      </c>
      <c r="M474" s="93">
        <f t="shared" si="51"/>
        <v>0</v>
      </c>
      <c r="N474" s="93">
        <f t="shared" si="51"/>
        <v>0</v>
      </c>
      <c r="O474" s="93">
        <f t="shared" si="51"/>
        <v>0</v>
      </c>
      <c r="P474" s="93">
        <f t="shared" si="51"/>
        <v>0</v>
      </c>
      <c r="Q474" s="93">
        <f t="shared" si="51"/>
        <v>0</v>
      </c>
      <c r="R474" s="93">
        <f t="shared" si="51"/>
        <v>0</v>
      </c>
      <c r="S474" s="93">
        <f t="shared" si="51"/>
        <v>0</v>
      </c>
      <c r="T474" s="93">
        <f t="shared" si="51"/>
        <v>0</v>
      </c>
      <c r="U474" s="93">
        <f t="shared" si="51"/>
        <v>0</v>
      </c>
      <c r="V474" s="93">
        <f t="shared" si="51"/>
        <v>0</v>
      </c>
      <c r="W474" s="93">
        <f t="shared" si="51"/>
        <v>0</v>
      </c>
      <c r="X474" s="93">
        <f t="shared" si="51"/>
        <v>0</v>
      </c>
      <c r="Y474" s="93">
        <f t="shared" si="51"/>
        <v>0</v>
      </c>
      <c r="Z474" s="93">
        <f t="shared" ref="Z474:BF474" si="52">Z50+Z93+Z136+Z179+Z222+Z265+Z308+Z351+Z394+Z437</f>
        <v>0</v>
      </c>
      <c r="AA474" s="93">
        <f t="shared" si="52"/>
        <v>0</v>
      </c>
      <c r="AB474" s="93">
        <f t="shared" si="52"/>
        <v>0</v>
      </c>
      <c r="AC474" s="93">
        <f t="shared" si="52"/>
        <v>0</v>
      </c>
      <c r="AD474" s="93">
        <f t="shared" si="52"/>
        <v>0</v>
      </c>
      <c r="AE474" s="93">
        <f t="shared" si="52"/>
        <v>0</v>
      </c>
      <c r="AF474" s="93">
        <f t="shared" si="52"/>
        <v>0</v>
      </c>
      <c r="AG474" s="93">
        <f t="shared" si="52"/>
        <v>0</v>
      </c>
      <c r="AH474" s="93">
        <f t="shared" si="52"/>
        <v>0</v>
      </c>
      <c r="AI474" s="91" t="s">
        <v>132</v>
      </c>
    </row>
    <row r="475" spans="2:35" x14ac:dyDescent="0.3">
      <c r="B475" s="93">
        <f t="shared" ref="B475:AH482" si="53">B51+B94+B137+B180+B223+B266+B309+B352+B395+B438</f>
        <v>0</v>
      </c>
      <c r="C475" s="93">
        <f t="shared" si="53"/>
        <v>0</v>
      </c>
      <c r="D475" s="93">
        <f t="shared" si="53"/>
        <v>0</v>
      </c>
      <c r="E475" s="93">
        <f t="shared" si="53"/>
        <v>0</v>
      </c>
      <c r="F475" s="93">
        <f t="shared" si="53"/>
        <v>0</v>
      </c>
      <c r="G475" s="93">
        <f t="shared" si="53"/>
        <v>0</v>
      </c>
      <c r="H475" s="93">
        <f t="shared" si="53"/>
        <v>0</v>
      </c>
      <c r="I475" s="93">
        <f t="shared" si="53"/>
        <v>0</v>
      </c>
      <c r="J475" s="97">
        <f t="shared" si="53"/>
        <v>0</v>
      </c>
      <c r="K475" s="93">
        <f t="shared" si="53"/>
        <v>0</v>
      </c>
      <c r="L475" s="93">
        <f t="shared" si="53"/>
        <v>0</v>
      </c>
      <c r="M475" s="93">
        <f t="shared" si="53"/>
        <v>0</v>
      </c>
      <c r="N475" s="93">
        <f t="shared" si="53"/>
        <v>0</v>
      </c>
      <c r="O475" s="93">
        <f t="shared" si="53"/>
        <v>0</v>
      </c>
      <c r="P475" s="93">
        <f t="shared" si="53"/>
        <v>0</v>
      </c>
      <c r="Q475" s="93">
        <f t="shared" si="53"/>
        <v>0</v>
      </c>
      <c r="R475" s="93">
        <f t="shared" si="53"/>
        <v>0</v>
      </c>
      <c r="S475" s="93">
        <f t="shared" si="53"/>
        <v>0</v>
      </c>
      <c r="T475" s="93">
        <f t="shared" si="53"/>
        <v>0</v>
      </c>
      <c r="U475" s="93">
        <f t="shared" si="53"/>
        <v>0</v>
      </c>
      <c r="V475" s="93">
        <f t="shared" si="53"/>
        <v>0</v>
      </c>
      <c r="W475" s="93">
        <f t="shared" si="53"/>
        <v>0</v>
      </c>
      <c r="X475" s="93">
        <f t="shared" si="53"/>
        <v>0</v>
      </c>
      <c r="Y475" s="93">
        <f t="shared" si="53"/>
        <v>0</v>
      </c>
      <c r="Z475" s="93">
        <f t="shared" si="53"/>
        <v>0</v>
      </c>
      <c r="AA475" s="93">
        <f t="shared" si="53"/>
        <v>0</v>
      </c>
      <c r="AB475" s="93">
        <f t="shared" si="53"/>
        <v>0</v>
      </c>
      <c r="AC475" s="93">
        <f t="shared" si="53"/>
        <v>0</v>
      </c>
      <c r="AD475" s="93">
        <f t="shared" si="53"/>
        <v>0</v>
      </c>
      <c r="AE475" s="93">
        <f t="shared" si="53"/>
        <v>0</v>
      </c>
      <c r="AF475" s="93">
        <f t="shared" si="53"/>
        <v>0</v>
      </c>
      <c r="AG475" s="93">
        <f t="shared" si="53"/>
        <v>0</v>
      </c>
      <c r="AH475" s="93">
        <f t="shared" si="53"/>
        <v>0</v>
      </c>
      <c r="AI475" s="91" t="s">
        <v>133</v>
      </c>
    </row>
    <row r="476" spans="2:35" x14ac:dyDescent="0.3">
      <c r="B476" s="93">
        <f t="shared" si="53"/>
        <v>0</v>
      </c>
      <c r="C476" s="93">
        <f t="shared" si="53"/>
        <v>0</v>
      </c>
      <c r="D476" s="93">
        <f t="shared" si="53"/>
        <v>0</v>
      </c>
      <c r="E476" s="93">
        <f t="shared" si="53"/>
        <v>0</v>
      </c>
      <c r="F476" s="93">
        <f t="shared" si="53"/>
        <v>0</v>
      </c>
      <c r="G476" s="93">
        <f t="shared" si="53"/>
        <v>0</v>
      </c>
      <c r="H476" s="93">
        <f t="shared" si="53"/>
        <v>0</v>
      </c>
      <c r="I476" s="93">
        <f t="shared" si="53"/>
        <v>0</v>
      </c>
      <c r="J476" s="93">
        <f t="shared" si="53"/>
        <v>0</v>
      </c>
      <c r="K476" s="97">
        <f t="shared" si="53"/>
        <v>0</v>
      </c>
      <c r="L476" s="93">
        <f t="shared" si="53"/>
        <v>0</v>
      </c>
      <c r="M476" s="93">
        <f t="shared" si="53"/>
        <v>0</v>
      </c>
      <c r="N476" s="93">
        <f t="shared" si="53"/>
        <v>0</v>
      </c>
      <c r="O476" s="93">
        <f t="shared" si="53"/>
        <v>0</v>
      </c>
      <c r="P476" s="93">
        <f t="shared" si="53"/>
        <v>0</v>
      </c>
      <c r="Q476" s="93">
        <f t="shared" si="53"/>
        <v>0</v>
      </c>
      <c r="R476" s="93">
        <f t="shared" si="53"/>
        <v>0</v>
      </c>
      <c r="S476" s="93">
        <f t="shared" si="53"/>
        <v>0</v>
      </c>
      <c r="T476" s="93">
        <f t="shared" si="53"/>
        <v>0</v>
      </c>
      <c r="U476" s="93">
        <f t="shared" si="53"/>
        <v>0</v>
      </c>
      <c r="V476" s="93">
        <f t="shared" si="53"/>
        <v>0</v>
      </c>
      <c r="W476" s="93">
        <f t="shared" si="53"/>
        <v>0</v>
      </c>
      <c r="X476" s="93">
        <f t="shared" si="53"/>
        <v>0</v>
      </c>
      <c r="Y476" s="93">
        <f t="shared" si="53"/>
        <v>0</v>
      </c>
      <c r="Z476" s="93">
        <f t="shared" si="53"/>
        <v>0</v>
      </c>
      <c r="AA476" s="93">
        <f t="shared" si="53"/>
        <v>0</v>
      </c>
      <c r="AB476" s="93">
        <f t="shared" si="53"/>
        <v>0</v>
      </c>
      <c r="AC476" s="93">
        <f t="shared" si="53"/>
        <v>0</v>
      </c>
      <c r="AD476" s="93">
        <f t="shared" si="53"/>
        <v>0</v>
      </c>
      <c r="AE476" s="93">
        <f t="shared" si="53"/>
        <v>0</v>
      </c>
      <c r="AF476" s="93">
        <f t="shared" si="53"/>
        <v>0</v>
      </c>
      <c r="AG476" s="93">
        <f t="shared" si="53"/>
        <v>0</v>
      </c>
      <c r="AH476" s="93">
        <f t="shared" si="53"/>
        <v>0</v>
      </c>
      <c r="AI476" s="91" t="s">
        <v>134</v>
      </c>
    </row>
    <row r="477" spans="2:35" x14ac:dyDescent="0.3">
      <c r="B477" s="93">
        <f t="shared" si="53"/>
        <v>0</v>
      </c>
      <c r="C477" s="93">
        <f t="shared" si="53"/>
        <v>0</v>
      </c>
      <c r="D477" s="93">
        <f t="shared" si="53"/>
        <v>0</v>
      </c>
      <c r="E477" s="93">
        <f t="shared" si="53"/>
        <v>0</v>
      </c>
      <c r="F477" s="93">
        <f t="shared" si="53"/>
        <v>0</v>
      </c>
      <c r="G477" s="93">
        <f t="shared" si="53"/>
        <v>0</v>
      </c>
      <c r="H477" s="93">
        <f t="shared" si="53"/>
        <v>0</v>
      </c>
      <c r="I477" s="93">
        <f t="shared" si="53"/>
        <v>0</v>
      </c>
      <c r="J477" s="93">
        <f t="shared" si="53"/>
        <v>0</v>
      </c>
      <c r="K477" s="93">
        <f t="shared" si="53"/>
        <v>0</v>
      </c>
      <c r="L477" s="97">
        <f t="shared" si="53"/>
        <v>0</v>
      </c>
      <c r="M477" s="93">
        <f t="shared" si="53"/>
        <v>0</v>
      </c>
      <c r="N477" s="93">
        <f t="shared" si="53"/>
        <v>0</v>
      </c>
      <c r="O477" s="93">
        <f t="shared" si="53"/>
        <v>0</v>
      </c>
      <c r="P477" s="93">
        <f t="shared" si="53"/>
        <v>0</v>
      </c>
      <c r="Q477" s="93">
        <f t="shared" si="53"/>
        <v>0</v>
      </c>
      <c r="R477" s="93">
        <f t="shared" si="53"/>
        <v>0</v>
      </c>
      <c r="S477" s="93">
        <f t="shared" si="53"/>
        <v>0</v>
      </c>
      <c r="T477" s="93">
        <f t="shared" si="53"/>
        <v>0</v>
      </c>
      <c r="U477" s="93">
        <f t="shared" si="53"/>
        <v>0</v>
      </c>
      <c r="V477" s="93">
        <f t="shared" si="53"/>
        <v>0</v>
      </c>
      <c r="W477" s="93">
        <f t="shared" si="53"/>
        <v>0</v>
      </c>
      <c r="X477" s="93">
        <f t="shared" si="53"/>
        <v>0</v>
      </c>
      <c r="Y477" s="93">
        <f t="shared" si="53"/>
        <v>0</v>
      </c>
      <c r="Z477" s="93">
        <f t="shared" si="53"/>
        <v>0</v>
      </c>
      <c r="AA477" s="93">
        <f t="shared" si="53"/>
        <v>0</v>
      </c>
      <c r="AB477" s="93">
        <f t="shared" si="53"/>
        <v>0</v>
      </c>
      <c r="AC477" s="93">
        <f t="shared" si="53"/>
        <v>0</v>
      </c>
      <c r="AD477" s="93">
        <f t="shared" si="53"/>
        <v>0</v>
      </c>
      <c r="AE477" s="93">
        <f t="shared" si="53"/>
        <v>0</v>
      </c>
      <c r="AF477" s="93">
        <f t="shared" si="53"/>
        <v>0</v>
      </c>
      <c r="AG477" s="93">
        <f t="shared" si="53"/>
        <v>0</v>
      </c>
      <c r="AH477" s="93">
        <f t="shared" si="53"/>
        <v>0</v>
      </c>
      <c r="AI477" s="91" t="s">
        <v>135</v>
      </c>
    </row>
    <row r="478" spans="2:35" x14ac:dyDescent="0.3">
      <c r="B478" s="93">
        <f t="shared" si="53"/>
        <v>0</v>
      </c>
      <c r="C478" s="93">
        <f t="shared" si="53"/>
        <v>0</v>
      </c>
      <c r="D478" s="93">
        <f t="shared" si="53"/>
        <v>0</v>
      </c>
      <c r="E478" s="93">
        <f t="shared" si="53"/>
        <v>0</v>
      </c>
      <c r="F478" s="93">
        <f t="shared" si="53"/>
        <v>0</v>
      </c>
      <c r="G478" s="93">
        <f t="shared" si="53"/>
        <v>0</v>
      </c>
      <c r="H478" s="93">
        <f t="shared" si="53"/>
        <v>0</v>
      </c>
      <c r="I478" s="93">
        <f t="shared" si="53"/>
        <v>0</v>
      </c>
      <c r="J478" s="93">
        <f t="shared" si="53"/>
        <v>0</v>
      </c>
      <c r="K478" s="93">
        <f t="shared" si="53"/>
        <v>0</v>
      </c>
      <c r="L478" s="93">
        <f t="shared" si="53"/>
        <v>0</v>
      </c>
      <c r="M478" s="97">
        <f t="shared" si="53"/>
        <v>0</v>
      </c>
      <c r="N478" s="93">
        <f t="shared" si="53"/>
        <v>0</v>
      </c>
      <c r="O478" s="93">
        <f t="shared" si="53"/>
        <v>0</v>
      </c>
      <c r="P478" s="93">
        <f t="shared" si="53"/>
        <v>0</v>
      </c>
      <c r="Q478" s="93">
        <f t="shared" si="53"/>
        <v>0</v>
      </c>
      <c r="R478" s="93">
        <f t="shared" si="53"/>
        <v>0</v>
      </c>
      <c r="S478" s="93">
        <f t="shared" si="53"/>
        <v>0</v>
      </c>
      <c r="T478" s="93">
        <f t="shared" si="53"/>
        <v>0</v>
      </c>
      <c r="U478" s="93">
        <f t="shared" si="53"/>
        <v>0</v>
      </c>
      <c r="V478" s="93">
        <f t="shared" si="53"/>
        <v>0</v>
      </c>
      <c r="W478" s="93">
        <f t="shared" si="53"/>
        <v>0</v>
      </c>
      <c r="X478" s="93">
        <f t="shared" si="53"/>
        <v>0</v>
      </c>
      <c r="Y478" s="93">
        <f t="shared" si="53"/>
        <v>0</v>
      </c>
      <c r="Z478" s="93">
        <f t="shared" si="53"/>
        <v>0</v>
      </c>
      <c r="AA478" s="93">
        <f t="shared" si="53"/>
        <v>0</v>
      </c>
      <c r="AB478" s="93">
        <f t="shared" si="53"/>
        <v>0</v>
      </c>
      <c r="AC478" s="93">
        <f t="shared" si="53"/>
        <v>0</v>
      </c>
      <c r="AD478" s="93">
        <f t="shared" si="53"/>
        <v>0</v>
      </c>
      <c r="AE478" s="93">
        <f t="shared" si="53"/>
        <v>0</v>
      </c>
      <c r="AF478" s="93">
        <f t="shared" si="53"/>
        <v>0</v>
      </c>
      <c r="AG478" s="93">
        <f t="shared" si="53"/>
        <v>0</v>
      </c>
      <c r="AH478" s="93">
        <f t="shared" si="53"/>
        <v>0</v>
      </c>
      <c r="AI478" s="91" t="s">
        <v>136</v>
      </c>
    </row>
    <row r="479" spans="2:35" x14ac:dyDescent="0.3">
      <c r="B479" s="93">
        <f t="shared" si="53"/>
        <v>0</v>
      </c>
      <c r="C479" s="93">
        <f t="shared" si="53"/>
        <v>0</v>
      </c>
      <c r="D479" s="93">
        <f t="shared" si="53"/>
        <v>0</v>
      </c>
      <c r="E479" s="93">
        <f t="shared" si="53"/>
        <v>0</v>
      </c>
      <c r="F479" s="93">
        <f t="shared" si="53"/>
        <v>0</v>
      </c>
      <c r="G479" s="93">
        <f t="shared" si="53"/>
        <v>0</v>
      </c>
      <c r="H479" s="93">
        <f t="shared" si="53"/>
        <v>0</v>
      </c>
      <c r="I479" s="93">
        <f t="shared" si="53"/>
        <v>0</v>
      </c>
      <c r="J479" s="93">
        <f t="shared" si="53"/>
        <v>0</v>
      </c>
      <c r="K479" s="93">
        <f t="shared" si="53"/>
        <v>0</v>
      </c>
      <c r="L479" s="93">
        <f t="shared" si="53"/>
        <v>0</v>
      </c>
      <c r="M479" s="93">
        <f t="shared" si="53"/>
        <v>0</v>
      </c>
      <c r="N479" s="97">
        <f t="shared" si="53"/>
        <v>0</v>
      </c>
      <c r="O479" s="93">
        <f t="shared" si="53"/>
        <v>0</v>
      </c>
      <c r="P479" s="93">
        <f t="shared" si="53"/>
        <v>0</v>
      </c>
      <c r="Q479" s="93">
        <f t="shared" si="53"/>
        <v>0</v>
      </c>
      <c r="R479" s="93">
        <f t="shared" si="53"/>
        <v>0</v>
      </c>
      <c r="S479" s="93">
        <f t="shared" si="53"/>
        <v>0</v>
      </c>
      <c r="T479" s="93">
        <f t="shared" si="53"/>
        <v>0</v>
      </c>
      <c r="U479" s="93">
        <f t="shared" si="53"/>
        <v>0</v>
      </c>
      <c r="V479" s="93">
        <f t="shared" si="53"/>
        <v>0</v>
      </c>
      <c r="W479" s="93">
        <f t="shared" si="53"/>
        <v>0</v>
      </c>
      <c r="X479" s="93">
        <f t="shared" si="53"/>
        <v>0</v>
      </c>
      <c r="Y479" s="93">
        <f t="shared" si="53"/>
        <v>0</v>
      </c>
      <c r="Z479" s="93">
        <f t="shared" si="53"/>
        <v>0</v>
      </c>
      <c r="AA479" s="93">
        <f t="shared" si="53"/>
        <v>0</v>
      </c>
      <c r="AB479" s="93">
        <f t="shared" si="53"/>
        <v>0</v>
      </c>
      <c r="AC479" s="93">
        <f t="shared" si="53"/>
        <v>0</v>
      </c>
      <c r="AD479" s="93">
        <f t="shared" si="53"/>
        <v>0</v>
      </c>
      <c r="AE479" s="93">
        <f t="shared" si="53"/>
        <v>0</v>
      </c>
      <c r="AF479" s="93">
        <f t="shared" si="53"/>
        <v>0</v>
      </c>
      <c r="AG479" s="93">
        <f t="shared" si="53"/>
        <v>0</v>
      </c>
      <c r="AH479" s="93">
        <f t="shared" si="53"/>
        <v>0</v>
      </c>
      <c r="AI479" s="91" t="s">
        <v>137</v>
      </c>
    </row>
    <row r="480" spans="2:35" x14ac:dyDescent="0.3">
      <c r="B480" s="93">
        <f t="shared" si="53"/>
        <v>0</v>
      </c>
      <c r="C480" s="93">
        <f t="shared" si="53"/>
        <v>0</v>
      </c>
      <c r="D480" s="93">
        <f t="shared" si="53"/>
        <v>0</v>
      </c>
      <c r="E480" s="93">
        <f t="shared" si="53"/>
        <v>0</v>
      </c>
      <c r="F480" s="93">
        <f t="shared" si="53"/>
        <v>0</v>
      </c>
      <c r="G480" s="93">
        <f t="shared" si="53"/>
        <v>0</v>
      </c>
      <c r="H480" s="93">
        <f t="shared" si="53"/>
        <v>0</v>
      </c>
      <c r="I480" s="93">
        <f t="shared" si="53"/>
        <v>0</v>
      </c>
      <c r="J480" s="93">
        <f t="shared" si="53"/>
        <v>0</v>
      </c>
      <c r="K480" s="93">
        <f t="shared" si="53"/>
        <v>0</v>
      </c>
      <c r="L480" s="93">
        <f t="shared" si="53"/>
        <v>0</v>
      </c>
      <c r="M480" s="93">
        <f t="shared" si="53"/>
        <v>0</v>
      </c>
      <c r="N480" s="93">
        <f t="shared" si="53"/>
        <v>0</v>
      </c>
      <c r="O480" s="97">
        <f t="shared" si="53"/>
        <v>0</v>
      </c>
      <c r="P480" s="93">
        <f t="shared" si="53"/>
        <v>0</v>
      </c>
      <c r="Q480" s="93">
        <f t="shared" si="53"/>
        <v>0</v>
      </c>
      <c r="R480" s="93">
        <f t="shared" si="53"/>
        <v>0</v>
      </c>
      <c r="S480" s="93">
        <f t="shared" si="53"/>
        <v>0</v>
      </c>
      <c r="T480" s="93">
        <f t="shared" si="53"/>
        <v>0</v>
      </c>
      <c r="U480" s="93">
        <f t="shared" si="53"/>
        <v>0</v>
      </c>
      <c r="V480" s="93">
        <f t="shared" si="53"/>
        <v>0</v>
      </c>
      <c r="W480" s="93">
        <f t="shared" si="53"/>
        <v>0</v>
      </c>
      <c r="X480" s="93">
        <f t="shared" si="53"/>
        <v>0</v>
      </c>
      <c r="Y480" s="93">
        <f t="shared" si="53"/>
        <v>0</v>
      </c>
      <c r="Z480" s="93">
        <f t="shared" si="53"/>
        <v>0</v>
      </c>
      <c r="AA480" s="93">
        <f t="shared" si="53"/>
        <v>0</v>
      </c>
      <c r="AB480" s="93">
        <f t="shared" si="53"/>
        <v>0</v>
      </c>
      <c r="AC480" s="93">
        <f t="shared" si="53"/>
        <v>0</v>
      </c>
      <c r="AD480" s="93">
        <f t="shared" si="53"/>
        <v>0</v>
      </c>
      <c r="AE480" s="93">
        <f t="shared" si="53"/>
        <v>0</v>
      </c>
      <c r="AF480" s="93">
        <f t="shared" si="53"/>
        <v>0</v>
      </c>
      <c r="AG480" s="93">
        <f t="shared" si="53"/>
        <v>0</v>
      </c>
      <c r="AH480" s="93">
        <f t="shared" si="53"/>
        <v>0</v>
      </c>
      <c r="AI480" s="91" t="s">
        <v>138</v>
      </c>
    </row>
    <row r="481" spans="1:35" x14ac:dyDescent="0.3">
      <c r="B481" s="93">
        <f t="shared" si="53"/>
        <v>0</v>
      </c>
      <c r="C481" s="93">
        <f t="shared" si="53"/>
        <v>0</v>
      </c>
      <c r="D481" s="93">
        <f t="shared" si="53"/>
        <v>0</v>
      </c>
      <c r="E481" s="93">
        <f t="shared" si="53"/>
        <v>0</v>
      </c>
      <c r="F481" s="93">
        <f t="shared" si="53"/>
        <v>0</v>
      </c>
      <c r="G481" s="93">
        <f t="shared" si="53"/>
        <v>0</v>
      </c>
      <c r="H481" s="93">
        <f t="shared" si="53"/>
        <v>0</v>
      </c>
      <c r="I481" s="93">
        <f t="shared" si="53"/>
        <v>0</v>
      </c>
      <c r="J481" s="93">
        <f t="shared" si="53"/>
        <v>0</v>
      </c>
      <c r="K481" s="93">
        <f t="shared" si="53"/>
        <v>0</v>
      </c>
      <c r="L481" s="93">
        <f t="shared" si="53"/>
        <v>0</v>
      </c>
      <c r="M481" s="93">
        <f t="shared" si="53"/>
        <v>0</v>
      </c>
      <c r="N481" s="93">
        <f t="shared" si="53"/>
        <v>0</v>
      </c>
      <c r="O481" s="93">
        <f t="shared" si="53"/>
        <v>0</v>
      </c>
      <c r="P481" s="97">
        <f t="shared" si="53"/>
        <v>0</v>
      </c>
      <c r="Q481" s="93">
        <f t="shared" si="53"/>
        <v>0</v>
      </c>
      <c r="R481" s="93">
        <f t="shared" si="53"/>
        <v>0</v>
      </c>
      <c r="S481" s="93">
        <f t="shared" si="53"/>
        <v>0</v>
      </c>
      <c r="T481" s="93">
        <f t="shared" si="53"/>
        <v>0</v>
      </c>
      <c r="U481" s="93">
        <f t="shared" si="53"/>
        <v>0</v>
      </c>
      <c r="V481" s="93">
        <f t="shared" si="53"/>
        <v>0</v>
      </c>
      <c r="W481" s="93">
        <f t="shared" si="53"/>
        <v>0</v>
      </c>
      <c r="X481" s="93">
        <f t="shared" si="53"/>
        <v>0</v>
      </c>
      <c r="Y481" s="93">
        <f t="shared" si="53"/>
        <v>0</v>
      </c>
      <c r="Z481" s="93">
        <f t="shared" si="53"/>
        <v>0</v>
      </c>
      <c r="AA481" s="93">
        <f t="shared" si="53"/>
        <v>0</v>
      </c>
      <c r="AB481" s="93">
        <f t="shared" si="53"/>
        <v>0</v>
      </c>
      <c r="AC481" s="93">
        <f t="shared" si="53"/>
        <v>0</v>
      </c>
      <c r="AD481" s="93">
        <f t="shared" si="53"/>
        <v>0</v>
      </c>
      <c r="AE481" s="93">
        <f t="shared" si="53"/>
        <v>0</v>
      </c>
      <c r="AF481" s="93">
        <f t="shared" si="53"/>
        <v>0</v>
      </c>
      <c r="AG481" s="93">
        <f t="shared" si="53"/>
        <v>0</v>
      </c>
      <c r="AH481" s="93">
        <f t="shared" si="53"/>
        <v>0</v>
      </c>
      <c r="AI481" s="91" t="s">
        <v>139</v>
      </c>
    </row>
    <row r="482" spans="1:35" x14ac:dyDescent="0.3">
      <c r="B482" s="93">
        <f t="shared" si="53"/>
        <v>0</v>
      </c>
      <c r="C482" s="93">
        <f t="shared" si="53"/>
        <v>0</v>
      </c>
      <c r="D482" s="93">
        <f t="shared" si="53"/>
        <v>0</v>
      </c>
      <c r="E482" s="93">
        <f t="shared" si="53"/>
        <v>0</v>
      </c>
      <c r="F482" s="93">
        <f t="shared" si="53"/>
        <v>0</v>
      </c>
      <c r="G482" s="93">
        <f t="shared" si="53"/>
        <v>0</v>
      </c>
      <c r="H482" s="93">
        <f t="shared" si="53"/>
        <v>0</v>
      </c>
      <c r="I482" s="93">
        <f t="shared" si="53"/>
        <v>0</v>
      </c>
      <c r="J482" s="93">
        <f t="shared" si="53"/>
        <v>0</v>
      </c>
      <c r="K482" s="93">
        <f t="shared" si="53"/>
        <v>0</v>
      </c>
      <c r="L482" s="93">
        <f t="shared" si="53"/>
        <v>0</v>
      </c>
      <c r="M482" s="93">
        <f t="shared" si="53"/>
        <v>0</v>
      </c>
      <c r="N482" s="93">
        <f t="shared" si="53"/>
        <v>0</v>
      </c>
      <c r="O482" s="93">
        <f t="shared" si="53"/>
        <v>0</v>
      </c>
      <c r="P482" s="93">
        <f t="shared" si="53"/>
        <v>0</v>
      </c>
      <c r="Q482" s="97">
        <f t="shared" si="53"/>
        <v>0</v>
      </c>
      <c r="R482" s="93">
        <f t="shared" si="53"/>
        <v>0</v>
      </c>
      <c r="S482" s="93">
        <f t="shared" si="53"/>
        <v>0</v>
      </c>
      <c r="T482" s="93">
        <f t="shared" si="53"/>
        <v>0</v>
      </c>
      <c r="U482" s="93">
        <f t="shared" si="53"/>
        <v>0</v>
      </c>
      <c r="V482" s="93">
        <f t="shared" si="53"/>
        <v>0</v>
      </c>
      <c r="W482" s="93">
        <f t="shared" si="53"/>
        <v>0</v>
      </c>
      <c r="X482" s="93">
        <f t="shared" si="53"/>
        <v>0</v>
      </c>
      <c r="Y482" s="93">
        <f t="shared" si="53"/>
        <v>0</v>
      </c>
      <c r="Z482" s="93">
        <f t="shared" ref="Z482:BF482" si="54">Z58+Z101+Z144+Z187+Z230+Z273+Z316+Z359+Z402+Z445</f>
        <v>0</v>
      </c>
      <c r="AA482" s="93">
        <f t="shared" si="54"/>
        <v>0</v>
      </c>
      <c r="AB482" s="93">
        <f t="shared" si="54"/>
        <v>0</v>
      </c>
      <c r="AC482" s="93">
        <f t="shared" si="54"/>
        <v>0</v>
      </c>
      <c r="AD482" s="93">
        <f t="shared" si="54"/>
        <v>0</v>
      </c>
      <c r="AE482" s="93">
        <f t="shared" si="54"/>
        <v>0</v>
      </c>
      <c r="AF482" s="93">
        <f t="shared" si="54"/>
        <v>0</v>
      </c>
      <c r="AG482" s="93">
        <f t="shared" si="54"/>
        <v>0</v>
      </c>
      <c r="AH482" s="93">
        <f t="shared" si="54"/>
        <v>0</v>
      </c>
      <c r="AI482" s="91" t="s">
        <v>140</v>
      </c>
    </row>
    <row r="483" spans="1:35" x14ac:dyDescent="0.3">
      <c r="A483" s="94" t="s">
        <v>266</v>
      </c>
      <c r="B483" s="93">
        <f t="shared" ref="B483:AH490" si="55">B59+B102+B145+B188+B231+B274+B317+B360+B403+B446</f>
        <v>0</v>
      </c>
      <c r="C483" s="93">
        <f t="shared" si="55"/>
        <v>0</v>
      </c>
      <c r="D483" s="93">
        <f t="shared" si="55"/>
        <v>0</v>
      </c>
      <c r="E483" s="93">
        <f t="shared" si="55"/>
        <v>0</v>
      </c>
      <c r="F483" s="93">
        <f t="shared" si="55"/>
        <v>0</v>
      </c>
      <c r="G483" s="93">
        <f t="shared" si="55"/>
        <v>0</v>
      </c>
      <c r="H483" s="93">
        <f t="shared" si="55"/>
        <v>0</v>
      </c>
      <c r="I483" s="93">
        <f t="shared" si="55"/>
        <v>0</v>
      </c>
      <c r="J483" s="93">
        <f t="shared" si="55"/>
        <v>0</v>
      </c>
      <c r="K483" s="93">
        <f t="shared" si="55"/>
        <v>0</v>
      </c>
      <c r="L483" s="93">
        <f t="shared" si="55"/>
        <v>0</v>
      </c>
      <c r="M483" s="93">
        <f t="shared" si="55"/>
        <v>0</v>
      </c>
      <c r="N483" s="93">
        <f t="shared" si="55"/>
        <v>0</v>
      </c>
      <c r="O483" s="93">
        <f t="shared" si="55"/>
        <v>0</v>
      </c>
      <c r="P483" s="93">
        <f t="shared" si="55"/>
        <v>0</v>
      </c>
      <c r="Q483" s="93">
        <f t="shared" si="55"/>
        <v>0</v>
      </c>
      <c r="R483" s="97">
        <f t="shared" si="55"/>
        <v>0</v>
      </c>
      <c r="S483" s="93">
        <f t="shared" si="55"/>
        <v>0</v>
      </c>
      <c r="T483" s="93">
        <f t="shared" si="55"/>
        <v>0</v>
      </c>
      <c r="U483" s="93">
        <f t="shared" si="55"/>
        <v>0</v>
      </c>
      <c r="V483" s="93">
        <f t="shared" si="55"/>
        <v>0</v>
      </c>
      <c r="W483" s="93">
        <f t="shared" si="55"/>
        <v>0</v>
      </c>
      <c r="X483" s="93">
        <f t="shared" si="55"/>
        <v>0</v>
      </c>
      <c r="Y483" s="93">
        <f t="shared" si="55"/>
        <v>0</v>
      </c>
      <c r="Z483" s="93">
        <f t="shared" si="55"/>
        <v>0</v>
      </c>
      <c r="AA483" s="93">
        <f t="shared" si="55"/>
        <v>0</v>
      </c>
      <c r="AB483" s="93">
        <f t="shared" si="55"/>
        <v>0</v>
      </c>
      <c r="AC483" s="93">
        <f t="shared" si="55"/>
        <v>0</v>
      </c>
      <c r="AD483" s="93">
        <f t="shared" si="55"/>
        <v>0</v>
      </c>
      <c r="AE483" s="93">
        <f t="shared" si="55"/>
        <v>0</v>
      </c>
      <c r="AF483" s="93">
        <f t="shared" si="55"/>
        <v>0</v>
      </c>
      <c r="AG483" s="93">
        <f t="shared" si="55"/>
        <v>0</v>
      </c>
      <c r="AH483" s="93">
        <f t="shared" si="55"/>
        <v>0</v>
      </c>
      <c r="AI483" s="91" t="s">
        <v>141</v>
      </c>
    </row>
    <row r="484" spans="1:35" x14ac:dyDescent="0.3">
      <c r="B484" s="93">
        <f t="shared" si="55"/>
        <v>0</v>
      </c>
      <c r="C484" s="93">
        <f t="shared" si="55"/>
        <v>0</v>
      </c>
      <c r="D484" s="93">
        <f t="shared" si="55"/>
        <v>0</v>
      </c>
      <c r="E484" s="93">
        <f t="shared" si="55"/>
        <v>0</v>
      </c>
      <c r="F484" s="93">
        <f t="shared" si="55"/>
        <v>0</v>
      </c>
      <c r="G484" s="93">
        <f t="shared" si="55"/>
        <v>0</v>
      </c>
      <c r="H484" s="93">
        <f t="shared" si="55"/>
        <v>0</v>
      </c>
      <c r="I484" s="93">
        <f t="shared" si="55"/>
        <v>0</v>
      </c>
      <c r="J484" s="93">
        <f t="shared" si="55"/>
        <v>0</v>
      </c>
      <c r="K484" s="93">
        <f t="shared" si="55"/>
        <v>0</v>
      </c>
      <c r="L484" s="93">
        <f t="shared" si="55"/>
        <v>0</v>
      </c>
      <c r="M484" s="93">
        <f t="shared" si="55"/>
        <v>0</v>
      </c>
      <c r="N484" s="93">
        <f t="shared" si="55"/>
        <v>0</v>
      </c>
      <c r="O484" s="93">
        <f t="shared" si="55"/>
        <v>0</v>
      </c>
      <c r="P484" s="93">
        <f t="shared" si="55"/>
        <v>0</v>
      </c>
      <c r="Q484" s="93">
        <f t="shared" si="55"/>
        <v>0</v>
      </c>
      <c r="R484" s="93">
        <f t="shared" si="55"/>
        <v>0</v>
      </c>
      <c r="S484" s="97">
        <f t="shared" si="55"/>
        <v>0</v>
      </c>
      <c r="T484" s="93">
        <f t="shared" si="55"/>
        <v>0</v>
      </c>
      <c r="U484" s="93">
        <f t="shared" si="55"/>
        <v>0</v>
      </c>
      <c r="V484" s="93">
        <f t="shared" si="55"/>
        <v>0</v>
      </c>
      <c r="W484" s="93">
        <f t="shared" si="55"/>
        <v>0</v>
      </c>
      <c r="X484" s="93">
        <f t="shared" si="55"/>
        <v>0</v>
      </c>
      <c r="Y484" s="93">
        <f t="shared" si="55"/>
        <v>0</v>
      </c>
      <c r="Z484" s="93">
        <f t="shared" si="55"/>
        <v>0</v>
      </c>
      <c r="AA484" s="93">
        <f t="shared" si="55"/>
        <v>0</v>
      </c>
      <c r="AB484" s="93">
        <f t="shared" si="55"/>
        <v>0</v>
      </c>
      <c r="AC484" s="93">
        <f t="shared" si="55"/>
        <v>0</v>
      </c>
      <c r="AD484" s="93">
        <f t="shared" si="55"/>
        <v>0</v>
      </c>
      <c r="AE484" s="93">
        <f t="shared" si="55"/>
        <v>0</v>
      </c>
      <c r="AF484" s="93">
        <f t="shared" si="55"/>
        <v>0</v>
      </c>
      <c r="AG484" s="93">
        <f t="shared" si="55"/>
        <v>0</v>
      </c>
      <c r="AH484" s="93">
        <f t="shared" si="55"/>
        <v>0</v>
      </c>
      <c r="AI484" s="91" t="s">
        <v>142</v>
      </c>
    </row>
    <row r="485" spans="1:35" x14ac:dyDescent="0.3">
      <c r="B485" s="93">
        <f t="shared" si="55"/>
        <v>0</v>
      </c>
      <c r="C485" s="93">
        <f t="shared" si="55"/>
        <v>0</v>
      </c>
      <c r="D485" s="93">
        <f t="shared" si="55"/>
        <v>0</v>
      </c>
      <c r="E485" s="93">
        <f t="shared" si="55"/>
        <v>0</v>
      </c>
      <c r="F485" s="93">
        <f t="shared" si="55"/>
        <v>0</v>
      </c>
      <c r="G485" s="93">
        <f t="shared" si="55"/>
        <v>0</v>
      </c>
      <c r="H485" s="93">
        <f t="shared" si="55"/>
        <v>0</v>
      </c>
      <c r="I485" s="93">
        <f t="shared" si="55"/>
        <v>0</v>
      </c>
      <c r="J485" s="93">
        <f t="shared" si="55"/>
        <v>0</v>
      </c>
      <c r="K485" s="93">
        <f t="shared" si="55"/>
        <v>0</v>
      </c>
      <c r="L485" s="93">
        <f t="shared" si="55"/>
        <v>0</v>
      </c>
      <c r="M485" s="93">
        <f t="shared" si="55"/>
        <v>0</v>
      </c>
      <c r="N485" s="93">
        <f t="shared" si="55"/>
        <v>0</v>
      </c>
      <c r="O485" s="93">
        <f t="shared" si="55"/>
        <v>0</v>
      </c>
      <c r="P485" s="93">
        <f t="shared" si="55"/>
        <v>0</v>
      </c>
      <c r="Q485" s="93">
        <f t="shared" si="55"/>
        <v>0</v>
      </c>
      <c r="R485" s="93">
        <f t="shared" si="55"/>
        <v>0</v>
      </c>
      <c r="S485" s="93">
        <f t="shared" si="55"/>
        <v>0</v>
      </c>
      <c r="T485" s="97">
        <f t="shared" si="55"/>
        <v>0</v>
      </c>
      <c r="U485" s="93">
        <f t="shared" si="55"/>
        <v>0</v>
      </c>
      <c r="V485" s="93">
        <f t="shared" si="55"/>
        <v>0</v>
      </c>
      <c r="W485" s="93">
        <f t="shared" si="55"/>
        <v>0</v>
      </c>
      <c r="X485" s="93">
        <f t="shared" si="55"/>
        <v>0</v>
      </c>
      <c r="Y485" s="93">
        <f t="shared" si="55"/>
        <v>0</v>
      </c>
      <c r="Z485" s="93">
        <f t="shared" si="55"/>
        <v>0</v>
      </c>
      <c r="AA485" s="93">
        <f t="shared" si="55"/>
        <v>0</v>
      </c>
      <c r="AB485" s="93">
        <f t="shared" si="55"/>
        <v>0</v>
      </c>
      <c r="AC485" s="93">
        <f t="shared" si="55"/>
        <v>0</v>
      </c>
      <c r="AD485" s="93">
        <f t="shared" si="55"/>
        <v>0</v>
      </c>
      <c r="AE485" s="93">
        <f t="shared" si="55"/>
        <v>0</v>
      </c>
      <c r="AF485" s="93">
        <f t="shared" si="55"/>
        <v>0</v>
      </c>
      <c r="AG485" s="93">
        <f t="shared" si="55"/>
        <v>0</v>
      </c>
      <c r="AH485" s="93">
        <f t="shared" si="55"/>
        <v>0</v>
      </c>
      <c r="AI485" s="91" t="s">
        <v>143</v>
      </c>
    </row>
    <row r="486" spans="1:35" x14ac:dyDescent="0.3">
      <c r="B486" s="93">
        <f t="shared" si="55"/>
        <v>0</v>
      </c>
      <c r="C486" s="93">
        <f t="shared" si="55"/>
        <v>0</v>
      </c>
      <c r="D486" s="93">
        <f t="shared" si="55"/>
        <v>0</v>
      </c>
      <c r="E486" s="93">
        <f t="shared" si="55"/>
        <v>0</v>
      </c>
      <c r="F486" s="93">
        <f t="shared" si="55"/>
        <v>0</v>
      </c>
      <c r="G486" s="93">
        <f t="shared" si="55"/>
        <v>0</v>
      </c>
      <c r="H486" s="93">
        <f t="shared" si="55"/>
        <v>0</v>
      </c>
      <c r="I486" s="93">
        <f t="shared" si="55"/>
        <v>0</v>
      </c>
      <c r="J486" s="93">
        <f t="shared" si="55"/>
        <v>0</v>
      </c>
      <c r="K486" s="93">
        <f t="shared" si="55"/>
        <v>0</v>
      </c>
      <c r="L486" s="93">
        <f t="shared" si="55"/>
        <v>0</v>
      </c>
      <c r="M486" s="93">
        <f t="shared" si="55"/>
        <v>0</v>
      </c>
      <c r="N486" s="93">
        <f t="shared" si="55"/>
        <v>0</v>
      </c>
      <c r="O486" s="93">
        <f t="shared" si="55"/>
        <v>0</v>
      </c>
      <c r="P486" s="93">
        <f t="shared" si="55"/>
        <v>0</v>
      </c>
      <c r="Q486" s="93">
        <f t="shared" si="55"/>
        <v>0</v>
      </c>
      <c r="R486" s="93">
        <f t="shared" si="55"/>
        <v>0</v>
      </c>
      <c r="S486" s="93">
        <f t="shared" si="55"/>
        <v>0</v>
      </c>
      <c r="T486" s="93">
        <f t="shared" si="55"/>
        <v>0</v>
      </c>
      <c r="U486" s="97">
        <f t="shared" si="55"/>
        <v>0</v>
      </c>
      <c r="V486" s="93">
        <f t="shared" si="55"/>
        <v>0</v>
      </c>
      <c r="W486" s="93">
        <f t="shared" si="55"/>
        <v>0</v>
      </c>
      <c r="X486" s="93">
        <f t="shared" si="55"/>
        <v>0</v>
      </c>
      <c r="Y486" s="93">
        <f t="shared" si="55"/>
        <v>0</v>
      </c>
      <c r="Z486" s="93">
        <f t="shared" si="55"/>
        <v>0</v>
      </c>
      <c r="AA486" s="93">
        <f t="shared" si="55"/>
        <v>0</v>
      </c>
      <c r="AB486" s="93">
        <f t="shared" si="55"/>
        <v>0</v>
      </c>
      <c r="AC486" s="93">
        <f t="shared" si="55"/>
        <v>0</v>
      </c>
      <c r="AD486" s="93">
        <f t="shared" si="55"/>
        <v>0</v>
      </c>
      <c r="AE486" s="93">
        <f t="shared" si="55"/>
        <v>0</v>
      </c>
      <c r="AF486" s="93">
        <f t="shared" si="55"/>
        <v>0</v>
      </c>
      <c r="AG486" s="93">
        <f t="shared" si="55"/>
        <v>0</v>
      </c>
      <c r="AH486" s="93">
        <f t="shared" si="55"/>
        <v>0</v>
      </c>
      <c r="AI486" s="91" t="s">
        <v>144</v>
      </c>
    </row>
    <row r="487" spans="1:35" x14ac:dyDescent="0.3">
      <c r="B487" s="93">
        <f t="shared" si="55"/>
        <v>0</v>
      </c>
      <c r="C487" s="93">
        <f t="shared" si="55"/>
        <v>0</v>
      </c>
      <c r="D487" s="93">
        <f t="shared" si="55"/>
        <v>0</v>
      </c>
      <c r="E487" s="93">
        <f t="shared" si="55"/>
        <v>0</v>
      </c>
      <c r="F487" s="93">
        <f t="shared" si="55"/>
        <v>0</v>
      </c>
      <c r="G487" s="93">
        <f t="shared" si="55"/>
        <v>0</v>
      </c>
      <c r="H487" s="93">
        <f t="shared" si="55"/>
        <v>0</v>
      </c>
      <c r="I487" s="93">
        <f t="shared" si="55"/>
        <v>0</v>
      </c>
      <c r="J487" s="93">
        <f t="shared" si="55"/>
        <v>0</v>
      </c>
      <c r="K487" s="93">
        <f t="shared" si="55"/>
        <v>0</v>
      </c>
      <c r="L487" s="93">
        <f t="shared" si="55"/>
        <v>0</v>
      </c>
      <c r="M487" s="93">
        <f t="shared" si="55"/>
        <v>0</v>
      </c>
      <c r="N487" s="93">
        <f t="shared" si="55"/>
        <v>0</v>
      </c>
      <c r="O487" s="93">
        <f t="shared" si="55"/>
        <v>0</v>
      </c>
      <c r="P487" s="93">
        <f t="shared" si="55"/>
        <v>0</v>
      </c>
      <c r="Q487" s="93">
        <f t="shared" si="55"/>
        <v>0</v>
      </c>
      <c r="R487" s="93">
        <f t="shared" si="55"/>
        <v>0</v>
      </c>
      <c r="S487" s="93">
        <f t="shared" si="55"/>
        <v>0</v>
      </c>
      <c r="T487" s="93">
        <f t="shared" si="55"/>
        <v>0</v>
      </c>
      <c r="U487" s="93">
        <f t="shared" si="55"/>
        <v>0</v>
      </c>
      <c r="V487" s="97">
        <f t="shared" si="55"/>
        <v>0</v>
      </c>
      <c r="W487" s="93">
        <f t="shared" si="55"/>
        <v>0</v>
      </c>
      <c r="X487" s="93">
        <f t="shared" si="55"/>
        <v>0</v>
      </c>
      <c r="Y487" s="93">
        <f t="shared" si="55"/>
        <v>0</v>
      </c>
      <c r="Z487" s="93">
        <f t="shared" si="55"/>
        <v>0</v>
      </c>
      <c r="AA487" s="93">
        <f t="shared" si="55"/>
        <v>0</v>
      </c>
      <c r="AB487" s="93">
        <f t="shared" si="55"/>
        <v>0</v>
      </c>
      <c r="AC487" s="93">
        <f t="shared" si="55"/>
        <v>0</v>
      </c>
      <c r="AD487" s="93">
        <f t="shared" si="55"/>
        <v>0</v>
      </c>
      <c r="AE487" s="93">
        <f t="shared" si="55"/>
        <v>0</v>
      </c>
      <c r="AF487" s="93">
        <f t="shared" si="55"/>
        <v>0</v>
      </c>
      <c r="AG487" s="93">
        <f t="shared" si="55"/>
        <v>0</v>
      </c>
      <c r="AH487" s="93">
        <f t="shared" si="55"/>
        <v>0</v>
      </c>
      <c r="AI487" s="91" t="s">
        <v>145</v>
      </c>
    </row>
    <row r="488" spans="1:35" x14ac:dyDescent="0.3">
      <c r="B488" s="93">
        <f t="shared" si="55"/>
        <v>0</v>
      </c>
      <c r="C488" s="93">
        <f t="shared" si="55"/>
        <v>0</v>
      </c>
      <c r="D488" s="93">
        <f t="shared" si="55"/>
        <v>0</v>
      </c>
      <c r="E488" s="93">
        <f t="shared" si="55"/>
        <v>0</v>
      </c>
      <c r="F488" s="93">
        <f t="shared" si="55"/>
        <v>0</v>
      </c>
      <c r="G488" s="93">
        <f t="shared" si="55"/>
        <v>0</v>
      </c>
      <c r="H488" s="93">
        <f t="shared" si="55"/>
        <v>0</v>
      </c>
      <c r="I488" s="93">
        <f t="shared" si="55"/>
        <v>0</v>
      </c>
      <c r="J488" s="93">
        <f t="shared" si="55"/>
        <v>0</v>
      </c>
      <c r="K488" s="93">
        <f t="shared" si="55"/>
        <v>0</v>
      </c>
      <c r="L488" s="93">
        <f t="shared" si="55"/>
        <v>0</v>
      </c>
      <c r="M488" s="93">
        <f t="shared" si="55"/>
        <v>0</v>
      </c>
      <c r="N488" s="93">
        <f t="shared" si="55"/>
        <v>0</v>
      </c>
      <c r="O488" s="93">
        <f t="shared" si="55"/>
        <v>0</v>
      </c>
      <c r="P488" s="93">
        <f t="shared" si="55"/>
        <v>0</v>
      </c>
      <c r="Q488" s="93">
        <f t="shared" si="55"/>
        <v>0</v>
      </c>
      <c r="R488" s="93">
        <f t="shared" si="55"/>
        <v>0</v>
      </c>
      <c r="S488" s="93">
        <f t="shared" si="55"/>
        <v>0</v>
      </c>
      <c r="T488" s="93">
        <f t="shared" si="55"/>
        <v>0</v>
      </c>
      <c r="U488" s="93">
        <f t="shared" si="55"/>
        <v>0</v>
      </c>
      <c r="V488" s="93">
        <f t="shared" si="55"/>
        <v>0</v>
      </c>
      <c r="W488" s="97">
        <f t="shared" si="55"/>
        <v>0</v>
      </c>
      <c r="X488" s="93">
        <f t="shared" si="55"/>
        <v>0</v>
      </c>
      <c r="Y488" s="93">
        <f t="shared" si="55"/>
        <v>0</v>
      </c>
      <c r="Z488" s="93">
        <f t="shared" si="55"/>
        <v>0</v>
      </c>
      <c r="AA488" s="93">
        <f t="shared" si="55"/>
        <v>0</v>
      </c>
      <c r="AB488" s="93">
        <f t="shared" si="55"/>
        <v>0</v>
      </c>
      <c r="AC488" s="93">
        <f t="shared" si="55"/>
        <v>0</v>
      </c>
      <c r="AD488" s="93">
        <f t="shared" si="55"/>
        <v>0</v>
      </c>
      <c r="AE488" s="93">
        <f t="shared" si="55"/>
        <v>0</v>
      </c>
      <c r="AF488" s="93">
        <f t="shared" si="55"/>
        <v>0</v>
      </c>
      <c r="AG488" s="93">
        <f t="shared" si="55"/>
        <v>0</v>
      </c>
      <c r="AH488" s="93">
        <f t="shared" si="55"/>
        <v>0</v>
      </c>
      <c r="AI488" s="91" t="s">
        <v>146</v>
      </c>
    </row>
    <row r="489" spans="1:35" x14ac:dyDescent="0.3">
      <c r="B489" s="93">
        <f t="shared" si="55"/>
        <v>0</v>
      </c>
      <c r="C489" s="93">
        <f t="shared" si="55"/>
        <v>0</v>
      </c>
      <c r="D489" s="93">
        <f t="shared" si="55"/>
        <v>0</v>
      </c>
      <c r="E489" s="93">
        <f t="shared" si="55"/>
        <v>0</v>
      </c>
      <c r="F489" s="93">
        <f t="shared" si="55"/>
        <v>0</v>
      </c>
      <c r="G489" s="93">
        <f t="shared" si="55"/>
        <v>0</v>
      </c>
      <c r="H489" s="93">
        <f t="shared" si="55"/>
        <v>0</v>
      </c>
      <c r="I489" s="93">
        <f t="shared" si="55"/>
        <v>0</v>
      </c>
      <c r="J489" s="93">
        <f t="shared" si="55"/>
        <v>0</v>
      </c>
      <c r="K489" s="93">
        <f t="shared" si="55"/>
        <v>0</v>
      </c>
      <c r="L489" s="93">
        <f t="shared" si="55"/>
        <v>0</v>
      </c>
      <c r="M489" s="93">
        <f t="shared" si="55"/>
        <v>0</v>
      </c>
      <c r="N489" s="93">
        <f t="shared" si="55"/>
        <v>0</v>
      </c>
      <c r="O489" s="93">
        <f t="shared" si="55"/>
        <v>0</v>
      </c>
      <c r="P489" s="93">
        <f t="shared" si="55"/>
        <v>0</v>
      </c>
      <c r="Q489" s="93">
        <f t="shared" si="55"/>
        <v>0</v>
      </c>
      <c r="R489" s="93">
        <f t="shared" si="55"/>
        <v>0</v>
      </c>
      <c r="S489" s="93">
        <f t="shared" si="55"/>
        <v>0</v>
      </c>
      <c r="T489" s="93">
        <f t="shared" si="55"/>
        <v>0</v>
      </c>
      <c r="U489" s="93">
        <f t="shared" si="55"/>
        <v>0</v>
      </c>
      <c r="V489" s="93">
        <f t="shared" si="55"/>
        <v>0</v>
      </c>
      <c r="W489" s="93">
        <f t="shared" si="55"/>
        <v>0</v>
      </c>
      <c r="X489" s="97">
        <f t="shared" si="55"/>
        <v>0</v>
      </c>
      <c r="Y489" s="93">
        <f t="shared" si="55"/>
        <v>0</v>
      </c>
      <c r="Z489" s="93">
        <f t="shared" si="55"/>
        <v>0</v>
      </c>
      <c r="AA489" s="93">
        <f t="shared" si="55"/>
        <v>0</v>
      </c>
      <c r="AB489" s="93">
        <f t="shared" si="55"/>
        <v>0</v>
      </c>
      <c r="AC489" s="93">
        <f t="shared" si="55"/>
        <v>0</v>
      </c>
      <c r="AD489" s="93">
        <f t="shared" si="55"/>
        <v>0</v>
      </c>
      <c r="AE489" s="93">
        <f t="shared" si="55"/>
        <v>0</v>
      </c>
      <c r="AF489" s="93">
        <f t="shared" si="55"/>
        <v>0</v>
      </c>
      <c r="AG489" s="93">
        <f t="shared" si="55"/>
        <v>0</v>
      </c>
      <c r="AH489" s="93">
        <f t="shared" si="55"/>
        <v>0</v>
      </c>
      <c r="AI489" s="91" t="s">
        <v>147</v>
      </c>
    </row>
    <row r="490" spans="1:35" x14ac:dyDescent="0.3">
      <c r="B490" s="93">
        <f t="shared" si="55"/>
        <v>0</v>
      </c>
      <c r="C490" s="93">
        <f t="shared" si="55"/>
        <v>0</v>
      </c>
      <c r="D490" s="93">
        <f t="shared" si="55"/>
        <v>0</v>
      </c>
      <c r="E490" s="93">
        <f t="shared" si="55"/>
        <v>0</v>
      </c>
      <c r="F490" s="93">
        <f t="shared" si="55"/>
        <v>0</v>
      </c>
      <c r="G490" s="93">
        <f t="shared" si="55"/>
        <v>0</v>
      </c>
      <c r="H490" s="93">
        <f t="shared" si="55"/>
        <v>0</v>
      </c>
      <c r="I490" s="93">
        <f t="shared" si="55"/>
        <v>0</v>
      </c>
      <c r="J490" s="93">
        <f t="shared" si="55"/>
        <v>0</v>
      </c>
      <c r="K490" s="93">
        <f t="shared" si="55"/>
        <v>0</v>
      </c>
      <c r="L490" s="93">
        <f t="shared" si="55"/>
        <v>0</v>
      </c>
      <c r="M490" s="93">
        <f t="shared" si="55"/>
        <v>0</v>
      </c>
      <c r="N490" s="93">
        <f t="shared" si="55"/>
        <v>0</v>
      </c>
      <c r="O490" s="93">
        <f t="shared" si="55"/>
        <v>0</v>
      </c>
      <c r="P490" s="93">
        <f t="shared" si="55"/>
        <v>0</v>
      </c>
      <c r="Q490" s="93">
        <f t="shared" si="55"/>
        <v>0</v>
      </c>
      <c r="R490" s="93">
        <f t="shared" si="55"/>
        <v>0</v>
      </c>
      <c r="S490" s="93">
        <f t="shared" si="55"/>
        <v>0</v>
      </c>
      <c r="T490" s="93">
        <f t="shared" si="55"/>
        <v>0</v>
      </c>
      <c r="U490" s="93">
        <f t="shared" si="55"/>
        <v>0</v>
      </c>
      <c r="V490" s="93">
        <f t="shared" si="55"/>
        <v>0</v>
      </c>
      <c r="W490" s="93">
        <f t="shared" si="55"/>
        <v>0</v>
      </c>
      <c r="X490" s="93">
        <f t="shared" si="55"/>
        <v>0</v>
      </c>
      <c r="Y490" s="97">
        <f t="shared" si="55"/>
        <v>0</v>
      </c>
      <c r="Z490" s="93">
        <f t="shared" ref="Z490:BF490" si="56">Z66+Z109+Z152+Z195+Z238+Z281+Z324+Z367+Z410+Z453</f>
        <v>0</v>
      </c>
      <c r="AA490" s="93">
        <f t="shared" si="56"/>
        <v>0</v>
      </c>
      <c r="AB490" s="93">
        <f t="shared" si="56"/>
        <v>0</v>
      </c>
      <c r="AC490" s="93">
        <f t="shared" si="56"/>
        <v>0</v>
      </c>
      <c r="AD490" s="93">
        <f t="shared" si="56"/>
        <v>0</v>
      </c>
      <c r="AE490" s="93">
        <f t="shared" si="56"/>
        <v>0</v>
      </c>
      <c r="AF490" s="93">
        <f t="shared" si="56"/>
        <v>0</v>
      </c>
      <c r="AG490" s="93">
        <f t="shared" si="56"/>
        <v>0</v>
      </c>
      <c r="AH490" s="93">
        <f t="shared" si="56"/>
        <v>0</v>
      </c>
      <c r="AI490" s="91" t="s">
        <v>148</v>
      </c>
    </row>
    <row r="491" spans="1:35" x14ac:dyDescent="0.3">
      <c r="B491" s="93">
        <f t="shared" ref="B491:AH498" si="57">B67+B110+B153+B196+B239+B282+B325+B368+B411+B454</f>
        <v>0</v>
      </c>
      <c r="C491" s="93">
        <f t="shared" si="57"/>
        <v>0</v>
      </c>
      <c r="D491" s="93">
        <f t="shared" si="57"/>
        <v>0</v>
      </c>
      <c r="E491" s="93">
        <f t="shared" si="57"/>
        <v>0</v>
      </c>
      <c r="F491" s="93">
        <f t="shared" si="57"/>
        <v>0</v>
      </c>
      <c r="G491" s="93">
        <f t="shared" si="57"/>
        <v>0</v>
      </c>
      <c r="H491" s="93">
        <f t="shared" si="57"/>
        <v>0</v>
      </c>
      <c r="I491" s="93">
        <f t="shared" si="57"/>
        <v>0</v>
      </c>
      <c r="J491" s="93">
        <f t="shared" si="57"/>
        <v>0</v>
      </c>
      <c r="K491" s="93">
        <f t="shared" si="57"/>
        <v>0</v>
      </c>
      <c r="L491" s="93">
        <f t="shared" si="57"/>
        <v>0</v>
      </c>
      <c r="M491" s="93">
        <f t="shared" si="57"/>
        <v>0</v>
      </c>
      <c r="N491" s="93">
        <f t="shared" si="57"/>
        <v>0</v>
      </c>
      <c r="O491" s="93">
        <f t="shared" si="57"/>
        <v>0</v>
      </c>
      <c r="P491" s="93">
        <f t="shared" si="57"/>
        <v>0</v>
      </c>
      <c r="Q491" s="93">
        <f t="shared" si="57"/>
        <v>0</v>
      </c>
      <c r="R491" s="93">
        <f t="shared" si="57"/>
        <v>0</v>
      </c>
      <c r="S491" s="93">
        <f t="shared" si="57"/>
        <v>0</v>
      </c>
      <c r="T491" s="93">
        <f t="shared" si="57"/>
        <v>0</v>
      </c>
      <c r="U491" s="93">
        <f t="shared" si="57"/>
        <v>0</v>
      </c>
      <c r="V491" s="93">
        <f t="shared" si="57"/>
        <v>0</v>
      </c>
      <c r="W491" s="93">
        <f t="shared" si="57"/>
        <v>0</v>
      </c>
      <c r="X491" s="93">
        <f t="shared" si="57"/>
        <v>0</v>
      </c>
      <c r="Y491" s="93">
        <f t="shared" si="57"/>
        <v>0</v>
      </c>
      <c r="Z491" s="97">
        <f t="shared" si="57"/>
        <v>0</v>
      </c>
      <c r="AA491" s="93">
        <f t="shared" si="57"/>
        <v>0</v>
      </c>
      <c r="AB491" s="93">
        <f t="shared" si="57"/>
        <v>0</v>
      </c>
      <c r="AC491" s="93">
        <f t="shared" si="57"/>
        <v>0</v>
      </c>
      <c r="AD491" s="93">
        <f t="shared" si="57"/>
        <v>0</v>
      </c>
      <c r="AE491" s="93">
        <f t="shared" si="57"/>
        <v>0</v>
      </c>
      <c r="AF491" s="93">
        <f t="shared" si="57"/>
        <v>0</v>
      </c>
      <c r="AG491" s="93">
        <f t="shared" si="57"/>
        <v>0</v>
      </c>
      <c r="AH491" s="93">
        <f t="shared" si="57"/>
        <v>0</v>
      </c>
      <c r="AI491" s="91" t="s">
        <v>149</v>
      </c>
    </row>
    <row r="492" spans="1:35" x14ac:dyDescent="0.3">
      <c r="B492" s="93">
        <f t="shared" si="57"/>
        <v>0</v>
      </c>
      <c r="C492" s="93">
        <f t="shared" si="57"/>
        <v>0</v>
      </c>
      <c r="D492" s="93">
        <f t="shared" si="57"/>
        <v>0</v>
      </c>
      <c r="E492" s="93">
        <f t="shared" si="57"/>
        <v>0</v>
      </c>
      <c r="F492" s="93">
        <f t="shared" si="57"/>
        <v>0</v>
      </c>
      <c r="G492" s="93">
        <f t="shared" si="57"/>
        <v>0</v>
      </c>
      <c r="H492" s="93">
        <f t="shared" si="57"/>
        <v>0</v>
      </c>
      <c r="I492" s="93">
        <f t="shared" si="57"/>
        <v>0</v>
      </c>
      <c r="J492" s="93">
        <f t="shared" si="57"/>
        <v>0</v>
      </c>
      <c r="K492" s="93">
        <f t="shared" si="57"/>
        <v>0</v>
      </c>
      <c r="L492" s="93">
        <f t="shared" si="57"/>
        <v>0</v>
      </c>
      <c r="M492" s="93">
        <f t="shared" si="57"/>
        <v>0</v>
      </c>
      <c r="N492" s="93">
        <f t="shared" si="57"/>
        <v>0</v>
      </c>
      <c r="O492" s="93">
        <f t="shared" si="57"/>
        <v>0</v>
      </c>
      <c r="P492" s="93">
        <f t="shared" si="57"/>
        <v>0</v>
      </c>
      <c r="Q492" s="93">
        <f t="shared" si="57"/>
        <v>0</v>
      </c>
      <c r="R492" s="93">
        <f t="shared" si="57"/>
        <v>0</v>
      </c>
      <c r="S492" s="93">
        <f t="shared" si="57"/>
        <v>0</v>
      </c>
      <c r="T492" s="93">
        <f t="shared" si="57"/>
        <v>0</v>
      </c>
      <c r="U492" s="93">
        <f t="shared" si="57"/>
        <v>0</v>
      </c>
      <c r="V492" s="93">
        <f t="shared" si="57"/>
        <v>0</v>
      </c>
      <c r="W492" s="93">
        <f t="shared" si="57"/>
        <v>0</v>
      </c>
      <c r="X492" s="93">
        <f t="shared" si="57"/>
        <v>0</v>
      </c>
      <c r="Y492" s="93">
        <f t="shared" si="57"/>
        <v>0</v>
      </c>
      <c r="Z492" s="93">
        <f t="shared" si="57"/>
        <v>0</v>
      </c>
      <c r="AA492" s="97">
        <f t="shared" si="57"/>
        <v>0</v>
      </c>
      <c r="AB492" s="93">
        <f t="shared" si="57"/>
        <v>0</v>
      </c>
      <c r="AC492" s="93">
        <f t="shared" si="57"/>
        <v>0</v>
      </c>
      <c r="AD492" s="93">
        <f t="shared" si="57"/>
        <v>0</v>
      </c>
      <c r="AE492" s="93">
        <f t="shared" si="57"/>
        <v>0</v>
      </c>
      <c r="AF492" s="93">
        <f t="shared" si="57"/>
        <v>0</v>
      </c>
      <c r="AG492" s="93">
        <f t="shared" si="57"/>
        <v>0</v>
      </c>
      <c r="AH492" s="93">
        <f t="shared" si="57"/>
        <v>0</v>
      </c>
      <c r="AI492" s="91" t="s">
        <v>150</v>
      </c>
    </row>
    <row r="493" spans="1:35" x14ac:dyDescent="0.3">
      <c r="B493" s="93">
        <f t="shared" si="57"/>
        <v>0</v>
      </c>
      <c r="C493" s="93">
        <f t="shared" si="57"/>
        <v>0</v>
      </c>
      <c r="D493" s="93">
        <f t="shared" si="57"/>
        <v>0</v>
      </c>
      <c r="E493" s="93">
        <f t="shared" si="57"/>
        <v>0</v>
      </c>
      <c r="F493" s="93">
        <f t="shared" si="57"/>
        <v>0</v>
      </c>
      <c r="G493" s="93">
        <f t="shared" si="57"/>
        <v>0</v>
      </c>
      <c r="H493" s="93">
        <f t="shared" si="57"/>
        <v>0</v>
      </c>
      <c r="I493" s="93">
        <f t="shared" si="57"/>
        <v>0</v>
      </c>
      <c r="J493" s="93">
        <f t="shared" si="57"/>
        <v>0</v>
      </c>
      <c r="K493" s="93">
        <f t="shared" si="57"/>
        <v>0</v>
      </c>
      <c r="L493" s="93">
        <f t="shared" si="57"/>
        <v>0</v>
      </c>
      <c r="M493" s="93">
        <f t="shared" si="57"/>
        <v>0</v>
      </c>
      <c r="N493" s="93">
        <f t="shared" si="57"/>
        <v>0</v>
      </c>
      <c r="O493" s="93">
        <f t="shared" si="57"/>
        <v>0</v>
      </c>
      <c r="P493" s="93">
        <f t="shared" si="57"/>
        <v>0</v>
      </c>
      <c r="Q493" s="93">
        <f t="shared" si="57"/>
        <v>0</v>
      </c>
      <c r="R493" s="93">
        <f t="shared" si="57"/>
        <v>0</v>
      </c>
      <c r="S493" s="93">
        <f t="shared" si="57"/>
        <v>0</v>
      </c>
      <c r="T493" s="93">
        <f t="shared" si="57"/>
        <v>0</v>
      </c>
      <c r="U493" s="93">
        <f t="shared" si="57"/>
        <v>0</v>
      </c>
      <c r="V493" s="93">
        <f t="shared" si="57"/>
        <v>0</v>
      </c>
      <c r="W493" s="93">
        <f t="shared" si="57"/>
        <v>0</v>
      </c>
      <c r="X493" s="93">
        <f t="shared" si="57"/>
        <v>0</v>
      </c>
      <c r="Y493" s="93">
        <f t="shared" si="57"/>
        <v>0</v>
      </c>
      <c r="Z493" s="93">
        <f t="shared" si="57"/>
        <v>0</v>
      </c>
      <c r="AA493" s="93">
        <f t="shared" si="57"/>
        <v>0</v>
      </c>
      <c r="AB493" s="97">
        <f t="shared" si="57"/>
        <v>0</v>
      </c>
      <c r="AC493" s="93">
        <f t="shared" si="57"/>
        <v>0</v>
      </c>
      <c r="AD493" s="93">
        <f t="shared" si="57"/>
        <v>0</v>
      </c>
      <c r="AE493" s="93">
        <f t="shared" si="57"/>
        <v>0</v>
      </c>
      <c r="AF493" s="93">
        <f t="shared" si="57"/>
        <v>0</v>
      </c>
      <c r="AG493" s="93">
        <f t="shared" si="57"/>
        <v>0</v>
      </c>
      <c r="AH493" s="93">
        <f t="shared" si="57"/>
        <v>0</v>
      </c>
      <c r="AI493" s="91" t="s">
        <v>151</v>
      </c>
    </row>
    <row r="494" spans="1:35" x14ac:dyDescent="0.3">
      <c r="B494" s="93">
        <f t="shared" si="57"/>
        <v>0</v>
      </c>
      <c r="C494" s="93">
        <f t="shared" si="57"/>
        <v>0</v>
      </c>
      <c r="D494" s="93">
        <f t="shared" si="57"/>
        <v>0</v>
      </c>
      <c r="E494" s="93">
        <f t="shared" si="57"/>
        <v>0</v>
      </c>
      <c r="F494" s="93">
        <f t="shared" si="57"/>
        <v>0</v>
      </c>
      <c r="G494" s="93">
        <f t="shared" si="57"/>
        <v>0</v>
      </c>
      <c r="H494" s="93">
        <f t="shared" si="57"/>
        <v>0</v>
      </c>
      <c r="I494" s="93">
        <f t="shared" si="57"/>
        <v>0</v>
      </c>
      <c r="J494" s="93">
        <f t="shared" si="57"/>
        <v>0</v>
      </c>
      <c r="K494" s="93">
        <f t="shared" si="57"/>
        <v>0</v>
      </c>
      <c r="L494" s="93">
        <f t="shared" si="57"/>
        <v>0</v>
      </c>
      <c r="M494" s="93">
        <f t="shared" si="57"/>
        <v>0</v>
      </c>
      <c r="N494" s="93">
        <f t="shared" si="57"/>
        <v>0</v>
      </c>
      <c r="O494" s="93">
        <f t="shared" si="57"/>
        <v>0</v>
      </c>
      <c r="P494" s="93">
        <f t="shared" si="57"/>
        <v>0</v>
      </c>
      <c r="Q494" s="93">
        <f t="shared" si="57"/>
        <v>0</v>
      </c>
      <c r="R494" s="93">
        <f t="shared" si="57"/>
        <v>0</v>
      </c>
      <c r="S494" s="93">
        <f t="shared" si="57"/>
        <v>0</v>
      </c>
      <c r="T494" s="93">
        <f t="shared" si="57"/>
        <v>0</v>
      </c>
      <c r="U494" s="93">
        <f t="shared" si="57"/>
        <v>0</v>
      </c>
      <c r="V494" s="93">
        <f t="shared" si="57"/>
        <v>0</v>
      </c>
      <c r="W494" s="93">
        <f t="shared" si="57"/>
        <v>0</v>
      </c>
      <c r="X494" s="93">
        <f t="shared" si="57"/>
        <v>0</v>
      </c>
      <c r="Y494" s="93">
        <f t="shared" si="57"/>
        <v>0</v>
      </c>
      <c r="Z494" s="93">
        <f t="shared" si="57"/>
        <v>0</v>
      </c>
      <c r="AA494" s="93">
        <f t="shared" si="57"/>
        <v>0</v>
      </c>
      <c r="AB494" s="93">
        <f t="shared" si="57"/>
        <v>0</v>
      </c>
      <c r="AC494" s="97">
        <f t="shared" si="57"/>
        <v>0</v>
      </c>
      <c r="AD494" s="93">
        <f t="shared" si="57"/>
        <v>0</v>
      </c>
      <c r="AE494" s="93">
        <f t="shared" si="57"/>
        <v>0</v>
      </c>
      <c r="AF494" s="93">
        <f t="shared" si="57"/>
        <v>0</v>
      </c>
      <c r="AG494" s="93">
        <f t="shared" si="57"/>
        <v>0</v>
      </c>
      <c r="AH494" s="93">
        <f t="shared" si="57"/>
        <v>0</v>
      </c>
      <c r="AI494" s="91" t="s">
        <v>152</v>
      </c>
    </row>
    <row r="495" spans="1:35" x14ac:dyDescent="0.3">
      <c r="B495" s="93">
        <f t="shared" si="57"/>
        <v>0</v>
      </c>
      <c r="C495" s="93">
        <f t="shared" si="57"/>
        <v>0</v>
      </c>
      <c r="D495" s="93">
        <f t="shared" si="57"/>
        <v>0</v>
      </c>
      <c r="E495" s="93">
        <f t="shared" si="57"/>
        <v>0</v>
      </c>
      <c r="F495" s="93">
        <f t="shared" si="57"/>
        <v>0</v>
      </c>
      <c r="G495" s="93">
        <f t="shared" si="57"/>
        <v>0</v>
      </c>
      <c r="H495" s="93">
        <f t="shared" si="57"/>
        <v>0</v>
      </c>
      <c r="I495" s="93">
        <f t="shared" si="57"/>
        <v>0</v>
      </c>
      <c r="J495" s="93">
        <f t="shared" si="57"/>
        <v>0</v>
      </c>
      <c r="K495" s="93">
        <f t="shared" si="57"/>
        <v>0</v>
      </c>
      <c r="L495" s="93">
        <f t="shared" si="57"/>
        <v>0</v>
      </c>
      <c r="M495" s="93">
        <f t="shared" si="57"/>
        <v>0</v>
      </c>
      <c r="N495" s="93">
        <f t="shared" si="57"/>
        <v>0</v>
      </c>
      <c r="O495" s="93">
        <f t="shared" si="57"/>
        <v>0</v>
      </c>
      <c r="P495" s="93">
        <f t="shared" si="57"/>
        <v>0</v>
      </c>
      <c r="Q495" s="93">
        <f t="shared" si="57"/>
        <v>0</v>
      </c>
      <c r="R495" s="93">
        <f t="shared" si="57"/>
        <v>0</v>
      </c>
      <c r="S495" s="93">
        <f t="shared" si="57"/>
        <v>0</v>
      </c>
      <c r="T495" s="93">
        <f t="shared" si="57"/>
        <v>0</v>
      </c>
      <c r="U495" s="93">
        <f t="shared" si="57"/>
        <v>0</v>
      </c>
      <c r="V495" s="93">
        <f t="shared" si="57"/>
        <v>0</v>
      </c>
      <c r="W495" s="93">
        <f t="shared" si="57"/>
        <v>0</v>
      </c>
      <c r="X495" s="93">
        <f t="shared" si="57"/>
        <v>0</v>
      </c>
      <c r="Y495" s="93">
        <f t="shared" si="57"/>
        <v>0</v>
      </c>
      <c r="Z495" s="93">
        <f t="shared" si="57"/>
        <v>0</v>
      </c>
      <c r="AA495" s="93">
        <f t="shared" si="57"/>
        <v>0</v>
      </c>
      <c r="AB495" s="93">
        <f t="shared" si="57"/>
        <v>0</v>
      </c>
      <c r="AC495" s="93">
        <f t="shared" si="57"/>
        <v>0</v>
      </c>
      <c r="AD495" s="97">
        <f t="shared" si="57"/>
        <v>0</v>
      </c>
      <c r="AE495" s="93">
        <f t="shared" si="57"/>
        <v>0</v>
      </c>
      <c r="AF495" s="93">
        <f t="shared" si="57"/>
        <v>0</v>
      </c>
      <c r="AG495" s="93">
        <f t="shared" si="57"/>
        <v>0</v>
      </c>
      <c r="AH495" s="93">
        <f t="shared" si="57"/>
        <v>0</v>
      </c>
      <c r="AI495" s="91" t="s">
        <v>153</v>
      </c>
    </row>
    <row r="496" spans="1:35" x14ac:dyDescent="0.3">
      <c r="B496" s="93">
        <f t="shared" si="57"/>
        <v>0</v>
      </c>
      <c r="C496" s="93">
        <f t="shared" si="57"/>
        <v>0</v>
      </c>
      <c r="D496" s="93">
        <f t="shared" si="57"/>
        <v>0</v>
      </c>
      <c r="E496" s="93">
        <f t="shared" si="57"/>
        <v>0</v>
      </c>
      <c r="F496" s="93">
        <f t="shared" si="57"/>
        <v>0</v>
      </c>
      <c r="G496" s="93">
        <f t="shared" si="57"/>
        <v>0</v>
      </c>
      <c r="H496" s="93">
        <f t="shared" si="57"/>
        <v>0</v>
      </c>
      <c r="I496" s="93">
        <f t="shared" si="57"/>
        <v>0</v>
      </c>
      <c r="J496" s="93">
        <f t="shared" si="57"/>
        <v>0</v>
      </c>
      <c r="K496" s="93">
        <f t="shared" si="57"/>
        <v>0</v>
      </c>
      <c r="L496" s="93">
        <f t="shared" si="57"/>
        <v>0</v>
      </c>
      <c r="M496" s="93">
        <f t="shared" si="57"/>
        <v>0</v>
      </c>
      <c r="N496" s="93">
        <f t="shared" si="57"/>
        <v>0</v>
      </c>
      <c r="O496" s="93">
        <f t="shared" si="57"/>
        <v>0</v>
      </c>
      <c r="P496" s="93">
        <f t="shared" si="57"/>
        <v>0</v>
      </c>
      <c r="Q496" s="93">
        <f t="shared" si="57"/>
        <v>0</v>
      </c>
      <c r="R496" s="93">
        <f t="shared" si="57"/>
        <v>0</v>
      </c>
      <c r="S496" s="93">
        <f t="shared" si="57"/>
        <v>0</v>
      </c>
      <c r="T496" s="93">
        <f t="shared" si="57"/>
        <v>0</v>
      </c>
      <c r="U496" s="93">
        <f t="shared" si="57"/>
        <v>0</v>
      </c>
      <c r="V496" s="93">
        <f t="shared" si="57"/>
        <v>0</v>
      </c>
      <c r="W496" s="93">
        <f t="shared" si="57"/>
        <v>0</v>
      </c>
      <c r="X496" s="93">
        <f t="shared" si="57"/>
        <v>0</v>
      </c>
      <c r="Y496" s="93">
        <f t="shared" si="57"/>
        <v>0</v>
      </c>
      <c r="Z496" s="93">
        <f t="shared" si="57"/>
        <v>0</v>
      </c>
      <c r="AA496" s="93">
        <f t="shared" si="57"/>
        <v>0</v>
      </c>
      <c r="AB496" s="93">
        <f t="shared" si="57"/>
        <v>0</v>
      </c>
      <c r="AC496" s="93">
        <f t="shared" si="57"/>
        <v>0</v>
      </c>
      <c r="AD496" s="93">
        <f t="shared" si="57"/>
        <v>0</v>
      </c>
      <c r="AE496" s="97">
        <f t="shared" si="57"/>
        <v>0</v>
      </c>
      <c r="AF496" s="93">
        <f t="shared" si="57"/>
        <v>0</v>
      </c>
      <c r="AG496" s="93">
        <f t="shared" si="57"/>
        <v>0</v>
      </c>
      <c r="AH496" s="93">
        <f t="shared" si="57"/>
        <v>0</v>
      </c>
      <c r="AI496" s="91" t="s">
        <v>154</v>
      </c>
    </row>
    <row r="497" spans="2:35" x14ac:dyDescent="0.3">
      <c r="B497" s="93">
        <f t="shared" si="57"/>
        <v>0</v>
      </c>
      <c r="C497" s="93">
        <f t="shared" si="57"/>
        <v>0</v>
      </c>
      <c r="D497" s="93">
        <f t="shared" si="57"/>
        <v>0</v>
      </c>
      <c r="E497" s="93">
        <f t="shared" si="57"/>
        <v>0</v>
      </c>
      <c r="F497" s="93">
        <f t="shared" si="57"/>
        <v>0</v>
      </c>
      <c r="G497" s="93">
        <f t="shared" si="57"/>
        <v>0</v>
      </c>
      <c r="H497" s="93">
        <f t="shared" si="57"/>
        <v>0</v>
      </c>
      <c r="I497" s="93">
        <f t="shared" si="57"/>
        <v>0</v>
      </c>
      <c r="J497" s="93">
        <f t="shared" si="57"/>
        <v>0</v>
      </c>
      <c r="K497" s="93">
        <f t="shared" si="57"/>
        <v>0</v>
      </c>
      <c r="L497" s="93">
        <f t="shared" si="57"/>
        <v>0</v>
      </c>
      <c r="M497" s="93">
        <f t="shared" si="57"/>
        <v>0</v>
      </c>
      <c r="N497" s="93">
        <f t="shared" si="57"/>
        <v>0</v>
      </c>
      <c r="O497" s="93">
        <f t="shared" si="57"/>
        <v>0</v>
      </c>
      <c r="P497" s="93">
        <f t="shared" si="57"/>
        <v>0</v>
      </c>
      <c r="Q497" s="93">
        <f t="shared" si="57"/>
        <v>0</v>
      </c>
      <c r="R497" s="93">
        <f t="shared" si="57"/>
        <v>0</v>
      </c>
      <c r="S497" s="93">
        <f t="shared" si="57"/>
        <v>0</v>
      </c>
      <c r="T497" s="93">
        <f t="shared" si="57"/>
        <v>0</v>
      </c>
      <c r="U497" s="93">
        <f t="shared" si="57"/>
        <v>0</v>
      </c>
      <c r="V497" s="93">
        <f t="shared" si="57"/>
        <v>0</v>
      </c>
      <c r="W497" s="93">
        <f t="shared" si="57"/>
        <v>0</v>
      </c>
      <c r="X497" s="93">
        <f t="shared" si="57"/>
        <v>0</v>
      </c>
      <c r="Y497" s="93">
        <f t="shared" si="57"/>
        <v>0</v>
      </c>
      <c r="Z497" s="93">
        <f t="shared" si="57"/>
        <v>0</v>
      </c>
      <c r="AA497" s="93">
        <f t="shared" si="57"/>
        <v>0</v>
      </c>
      <c r="AB497" s="93">
        <f t="shared" si="57"/>
        <v>0</v>
      </c>
      <c r="AC497" s="93">
        <f t="shared" si="57"/>
        <v>0</v>
      </c>
      <c r="AD497" s="93">
        <f t="shared" si="57"/>
        <v>0</v>
      </c>
      <c r="AE497" s="93">
        <f t="shared" si="57"/>
        <v>0</v>
      </c>
      <c r="AF497" s="97">
        <f t="shared" si="57"/>
        <v>0</v>
      </c>
      <c r="AG497" s="93">
        <f t="shared" si="57"/>
        <v>0</v>
      </c>
      <c r="AH497" s="93">
        <f t="shared" si="57"/>
        <v>0</v>
      </c>
      <c r="AI497" s="91" t="s">
        <v>155</v>
      </c>
    </row>
    <row r="498" spans="2:35" x14ac:dyDescent="0.3">
      <c r="B498" s="93">
        <f t="shared" si="57"/>
        <v>0</v>
      </c>
      <c r="C498" s="93">
        <f t="shared" si="57"/>
        <v>0</v>
      </c>
      <c r="D498" s="93">
        <f t="shared" si="57"/>
        <v>0</v>
      </c>
      <c r="E498" s="93">
        <f t="shared" si="57"/>
        <v>0</v>
      </c>
      <c r="F498" s="93">
        <f t="shared" si="57"/>
        <v>0</v>
      </c>
      <c r="G498" s="93">
        <f t="shared" si="57"/>
        <v>0</v>
      </c>
      <c r="H498" s="93">
        <f t="shared" si="57"/>
        <v>0</v>
      </c>
      <c r="I498" s="93">
        <f t="shared" si="57"/>
        <v>0</v>
      </c>
      <c r="J498" s="93">
        <f t="shared" si="57"/>
        <v>0</v>
      </c>
      <c r="K498" s="93">
        <f t="shared" si="57"/>
        <v>0</v>
      </c>
      <c r="L498" s="93">
        <f t="shared" si="57"/>
        <v>0</v>
      </c>
      <c r="M498" s="93">
        <f t="shared" si="57"/>
        <v>0</v>
      </c>
      <c r="N498" s="93">
        <f t="shared" si="57"/>
        <v>0</v>
      </c>
      <c r="O498" s="93">
        <f t="shared" si="57"/>
        <v>0</v>
      </c>
      <c r="P498" s="93">
        <f t="shared" si="57"/>
        <v>0</v>
      </c>
      <c r="Q498" s="93">
        <f t="shared" si="57"/>
        <v>0</v>
      </c>
      <c r="R498" s="93">
        <f t="shared" si="57"/>
        <v>0</v>
      </c>
      <c r="S498" s="93">
        <f t="shared" si="57"/>
        <v>0</v>
      </c>
      <c r="T498" s="93">
        <f t="shared" si="57"/>
        <v>0</v>
      </c>
      <c r="U498" s="93">
        <f t="shared" si="57"/>
        <v>0</v>
      </c>
      <c r="V498" s="93">
        <f t="shared" si="57"/>
        <v>0</v>
      </c>
      <c r="W498" s="93">
        <f t="shared" si="57"/>
        <v>0</v>
      </c>
      <c r="X498" s="93">
        <f t="shared" si="57"/>
        <v>0</v>
      </c>
      <c r="Y498" s="93">
        <f t="shared" si="57"/>
        <v>0</v>
      </c>
      <c r="Z498" s="93">
        <f t="shared" ref="Z498:BF498" si="58">Z74+Z117+Z160+Z203+Z246+Z289+Z332+Z375+Z418+Z461</f>
        <v>0</v>
      </c>
      <c r="AA498" s="93">
        <f t="shared" si="58"/>
        <v>0</v>
      </c>
      <c r="AB498" s="93">
        <f t="shared" si="58"/>
        <v>0</v>
      </c>
      <c r="AC498" s="93">
        <f t="shared" si="58"/>
        <v>0</v>
      </c>
      <c r="AD498" s="93">
        <f t="shared" si="58"/>
        <v>0</v>
      </c>
      <c r="AE498" s="93">
        <f t="shared" si="58"/>
        <v>0</v>
      </c>
      <c r="AF498" s="93">
        <f t="shared" si="58"/>
        <v>0</v>
      </c>
      <c r="AG498" s="97">
        <f t="shared" si="58"/>
        <v>0</v>
      </c>
      <c r="AH498" s="93">
        <f t="shared" si="58"/>
        <v>0</v>
      </c>
      <c r="AI498" s="91" t="s">
        <v>156</v>
      </c>
    </row>
    <row r="499" spans="2:35" x14ac:dyDescent="0.3">
      <c r="B499" s="93">
        <f t="shared" ref="B499:AH499" si="59">B75+B118+B161+B204+B247+B290+B333+B376+B419+B462</f>
        <v>0</v>
      </c>
      <c r="C499" s="93">
        <f t="shared" si="59"/>
        <v>0</v>
      </c>
      <c r="D499" s="93">
        <f t="shared" si="59"/>
        <v>0</v>
      </c>
      <c r="E499" s="93">
        <f t="shared" si="59"/>
        <v>0</v>
      </c>
      <c r="F499" s="93">
        <f t="shared" si="59"/>
        <v>0</v>
      </c>
      <c r="G499" s="93">
        <f t="shared" si="59"/>
        <v>0</v>
      </c>
      <c r="H499" s="93">
        <f t="shared" si="59"/>
        <v>0</v>
      </c>
      <c r="I499" s="93">
        <f t="shared" si="59"/>
        <v>0</v>
      </c>
      <c r="J499" s="93">
        <f t="shared" si="59"/>
        <v>0</v>
      </c>
      <c r="K499" s="93">
        <f t="shared" si="59"/>
        <v>0</v>
      </c>
      <c r="L499" s="93">
        <f t="shared" si="59"/>
        <v>0</v>
      </c>
      <c r="M499" s="93">
        <f t="shared" si="59"/>
        <v>0</v>
      </c>
      <c r="N499" s="93">
        <f t="shared" si="59"/>
        <v>0</v>
      </c>
      <c r="O499" s="93">
        <f t="shared" si="59"/>
        <v>0</v>
      </c>
      <c r="P499" s="93">
        <f t="shared" si="59"/>
        <v>0</v>
      </c>
      <c r="Q499" s="93">
        <f t="shared" si="59"/>
        <v>0</v>
      </c>
      <c r="R499" s="93">
        <f t="shared" si="59"/>
        <v>0</v>
      </c>
      <c r="S499" s="93">
        <f t="shared" si="59"/>
        <v>0</v>
      </c>
      <c r="T499" s="93">
        <f t="shared" si="59"/>
        <v>0</v>
      </c>
      <c r="U499" s="93">
        <f t="shared" si="59"/>
        <v>0</v>
      </c>
      <c r="V499" s="93">
        <f t="shared" si="59"/>
        <v>0</v>
      </c>
      <c r="W499" s="93">
        <f t="shared" si="59"/>
        <v>0</v>
      </c>
      <c r="X499" s="93">
        <f t="shared" si="59"/>
        <v>0</v>
      </c>
      <c r="Y499" s="93">
        <f t="shared" si="59"/>
        <v>0</v>
      </c>
      <c r="Z499" s="93">
        <f t="shared" si="59"/>
        <v>0</v>
      </c>
      <c r="AA499" s="93">
        <f t="shared" si="59"/>
        <v>0</v>
      </c>
      <c r="AB499" s="93">
        <f t="shared" si="59"/>
        <v>0</v>
      </c>
      <c r="AC499" s="93">
        <f t="shared" si="59"/>
        <v>0</v>
      </c>
      <c r="AD499" s="93">
        <f t="shared" si="59"/>
        <v>0</v>
      </c>
      <c r="AE499" s="93">
        <f t="shared" si="59"/>
        <v>0</v>
      </c>
      <c r="AF499" s="93">
        <f t="shared" si="59"/>
        <v>0</v>
      </c>
      <c r="AG499" s="93">
        <f t="shared" si="59"/>
        <v>0</v>
      </c>
      <c r="AH499" s="97">
        <f t="shared" si="59"/>
        <v>0</v>
      </c>
      <c r="AI499" s="91" t="s">
        <v>157</v>
      </c>
    </row>
    <row r="502" spans="2:35" x14ac:dyDescent="0.3">
      <c r="B502" s="95" t="s">
        <v>267</v>
      </c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</row>
    <row r="503" spans="2:35" ht="26.4" x14ac:dyDescent="0.3">
      <c r="B503" s="98" t="s">
        <v>268</v>
      </c>
      <c r="C503" s="81"/>
      <c r="D503" s="81"/>
      <c r="E503" s="81"/>
      <c r="F503" s="81"/>
      <c r="H503" s="98" t="s">
        <v>269</v>
      </c>
      <c r="I503" s="81"/>
      <c r="J503" s="81"/>
      <c r="K503" s="81"/>
      <c r="L503" s="81"/>
      <c r="N503" s="82" t="s">
        <v>270</v>
      </c>
    </row>
    <row r="504" spans="2:35" ht="26.4" x14ac:dyDescent="0.3">
      <c r="B504" s="99" t="s">
        <v>271</v>
      </c>
      <c r="C504" s="100" t="s">
        <v>125</v>
      </c>
      <c r="D504" s="83" t="s">
        <v>190</v>
      </c>
      <c r="E504" s="101">
        <v>0</v>
      </c>
      <c r="F504" s="100" t="s">
        <v>125</v>
      </c>
      <c r="H504" s="99" t="s">
        <v>272</v>
      </c>
      <c r="I504" s="100" t="s">
        <v>125</v>
      </c>
      <c r="J504" s="83" t="s">
        <v>190</v>
      </c>
      <c r="K504" s="102">
        <v>0</v>
      </c>
      <c r="L504" s="100" t="s">
        <v>125</v>
      </c>
      <c r="N504" s="85" t="str">
        <f>IF(OR($G$5=0, 1&gt;$G$5), "RESTRINGIDO", IF(ISNUMBER(K504), IF(K504=0, "RESTRINGIDO", "LIBRE"), "LIBRE"))</f>
        <v>RESTRINGIDO</v>
      </c>
    </row>
    <row r="505" spans="2:35" ht="26.4" x14ac:dyDescent="0.3">
      <c r="B505" s="99" t="s">
        <v>273</v>
      </c>
      <c r="C505" s="100" t="s">
        <v>126</v>
      </c>
      <c r="D505" s="83" t="s">
        <v>190</v>
      </c>
      <c r="E505" s="101">
        <v>0</v>
      </c>
      <c r="F505" s="100" t="s">
        <v>126</v>
      </c>
      <c r="H505" s="99" t="s">
        <v>274</v>
      </c>
      <c r="I505" s="100" t="s">
        <v>126</v>
      </c>
      <c r="J505" s="83" t="s">
        <v>190</v>
      </c>
      <c r="K505" s="102">
        <v>0</v>
      </c>
      <c r="L505" s="100" t="s">
        <v>126</v>
      </c>
      <c r="N505" s="85" t="str">
        <f>IF(OR($G$5=0, 1&gt;$G$5), "RESTRINGIDO", IF(ISNUMBER(K505), IF(K505=0, "RESTRINGIDO", "LIBRE"), "LIBRE"))</f>
        <v>RESTRINGIDO</v>
      </c>
    </row>
    <row r="506" spans="2:35" ht="26.4" x14ac:dyDescent="0.3">
      <c r="B506" s="99" t="s">
        <v>275</v>
      </c>
      <c r="C506" s="100" t="s">
        <v>127</v>
      </c>
      <c r="D506" s="83" t="s">
        <v>190</v>
      </c>
      <c r="E506" s="101">
        <v>0</v>
      </c>
      <c r="F506" s="100" t="s">
        <v>127</v>
      </c>
      <c r="H506" s="99" t="s">
        <v>276</v>
      </c>
      <c r="I506" s="100" t="s">
        <v>127</v>
      </c>
      <c r="J506" s="83" t="s">
        <v>190</v>
      </c>
      <c r="K506" s="102" t="str">
        <f t="shared" ref="K506:K536" si="60">H506</f>
        <v>D1θ</v>
      </c>
      <c r="L506" s="100" t="s">
        <v>127</v>
      </c>
      <c r="N506" s="85" t="str">
        <f>IF(OR($G$5=0, 1&gt;$G$5), "RESTRINGIDO", IF(ISNUMBER(K506), IF(K506=0, "RESTRINGIDO", "LIBRE"), "LIBRE"))</f>
        <v>RESTRINGIDO</v>
      </c>
    </row>
    <row r="507" spans="2:35" ht="26.4" x14ac:dyDescent="0.3">
      <c r="B507" s="99" t="s">
        <v>277</v>
      </c>
      <c r="C507" s="100" t="s">
        <v>128</v>
      </c>
      <c r="D507" s="83" t="s">
        <v>190</v>
      </c>
      <c r="E507" s="101">
        <v>0</v>
      </c>
      <c r="F507" s="100" t="s">
        <v>128</v>
      </c>
      <c r="H507" s="99" t="s">
        <v>278</v>
      </c>
      <c r="I507" s="100" t="s">
        <v>128</v>
      </c>
      <c r="J507" s="83" t="s">
        <v>190</v>
      </c>
      <c r="K507" s="102" t="str">
        <f t="shared" si="60"/>
        <v>D2X</v>
      </c>
      <c r="L507" s="100" t="s">
        <v>128</v>
      </c>
      <c r="N507" s="85" t="str">
        <f>IF(OR($G$5=0, 2&gt;$G$5), "RESTRINGIDO", IF(ISNUMBER(K507), IF(K507=0, "RESTRINGIDO", "LIBRE"), "LIBRE"))</f>
        <v>RESTRINGIDO</v>
      </c>
    </row>
    <row r="508" spans="2:35" ht="26.4" x14ac:dyDescent="0.3">
      <c r="B508" s="99" t="s">
        <v>279</v>
      </c>
      <c r="C508" s="100" t="s">
        <v>129</v>
      </c>
      <c r="D508" s="83" t="s">
        <v>190</v>
      </c>
      <c r="E508" s="101">
        <v>0</v>
      </c>
      <c r="F508" s="100" t="s">
        <v>129</v>
      </c>
      <c r="H508" s="99" t="s">
        <v>280</v>
      </c>
      <c r="I508" s="100" t="s">
        <v>129</v>
      </c>
      <c r="J508" s="83" t="s">
        <v>190</v>
      </c>
      <c r="K508" s="102" t="str">
        <f t="shared" si="60"/>
        <v>D2Y</v>
      </c>
      <c r="L508" s="100" t="s">
        <v>129</v>
      </c>
      <c r="N508" s="85" t="str">
        <f>IF(OR($G$5=0, 2&gt;$G$5), "RESTRINGIDO", IF(ISNUMBER(K508), IF(K508=0, "RESTRINGIDO", "LIBRE"), "LIBRE"))</f>
        <v>RESTRINGIDO</v>
      </c>
    </row>
    <row r="509" spans="2:35" ht="26.4" x14ac:dyDescent="0.3">
      <c r="B509" s="99" t="s">
        <v>281</v>
      </c>
      <c r="C509" s="100" t="s">
        <v>130</v>
      </c>
      <c r="D509" s="83" t="s">
        <v>190</v>
      </c>
      <c r="E509" s="101">
        <v>0</v>
      </c>
      <c r="F509" s="100" t="s">
        <v>130</v>
      </c>
      <c r="H509" s="99" t="s">
        <v>282</v>
      </c>
      <c r="I509" s="100" t="s">
        <v>130</v>
      </c>
      <c r="J509" s="83" t="s">
        <v>190</v>
      </c>
      <c r="K509" s="102" t="str">
        <f t="shared" si="60"/>
        <v>D2θ</v>
      </c>
      <c r="L509" s="100" t="s">
        <v>130</v>
      </c>
      <c r="N509" s="85" t="str">
        <f>IF(OR($G$5=0, 2&gt;$G$5), "RESTRINGIDO", IF(ISNUMBER(K509), IF(K509=0, "RESTRINGIDO", "LIBRE"), "LIBRE"))</f>
        <v>RESTRINGIDO</v>
      </c>
    </row>
    <row r="510" spans="2:35" ht="26.4" x14ac:dyDescent="0.3">
      <c r="B510" s="99" t="s">
        <v>283</v>
      </c>
      <c r="C510" s="100" t="s">
        <v>131</v>
      </c>
      <c r="D510" s="83" t="s">
        <v>190</v>
      </c>
      <c r="E510" s="101">
        <v>0</v>
      </c>
      <c r="F510" s="100" t="s">
        <v>131</v>
      </c>
      <c r="H510" s="99" t="s">
        <v>284</v>
      </c>
      <c r="I510" s="100" t="s">
        <v>131</v>
      </c>
      <c r="J510" s="83" t="s">
        <v>190</v>
      </c>
      <c r="K510" s="102" t="str">
        <f t="shared" si="60"/>
        <v>D3X</v>
      </c>
      <c r="L510" s="100" t="s">
        <v>131</v>
      </c>
      <c r="N510" s="85" t="str">
        <f>IF(OR($G$5=0, 3&gt;$G$5), "RESTRINGIDO", IF(ISNUMBER(K510), IF(K510=0, "RESTRINGIDO", "LIBRE"), "LIBRE"))</f>
        <v>RESTRINGIDO</v>
      </c>
    </row>
    <row r="511" spans="2:35" ht="26.4" x14ac:dyDescent="0.3">
      <c r="B511" s="99" t="s">
        <v>285</v>
      </c>
      <c r="C511" s="100" t="s">
        <v>132</v>
      </c>
      <c r="D511" s="83" t="s">
        <v>190</v>
      </c>
      <c r="E511" s="101">
        <v>0</v>
      </c>
      <c r="F511" s="100" t="s">
        <v>132</v>
      </c>
      <c r="H511" s="99" t="s">
        <v>286</v>
      </c>
      <c r="I511" s="100" t="s">
        <v>132</v>
      </c>
      <c r="J511" s="83" t="s">
        <v>190</v>
      </c>
      <c r="K511" s="102" t="str">
        <f t="shared" si="60"/>
        <v>D3Y</v>
      </c>
      <c r="L511" s="100" t="s">
        <v>132</v>
      </c>
      <c r="N511" s="85" t="str">
        <f>IF(OR($G$5=0, 3&gt;$G$5), "RESTRINGIDO", IF(ISNUMBER(K511), IF(K511=0, "RESTRINGIDO", "LIBRE"), "LIBRE"))</f>
        <v>RESTRINGIDO</v>
      </c>
    </row>
    <row r="512" spans="2:35" ht="26.4" x14ac:dyDescent="0.3">
      <c r="B512" s="99" t="s">
        <v>287</v>
      </c>
      <c r="C512" s="100" t="s">
        <v>133</v>
      </c>
      <c r="D512" s="83" t="s">
        <v>190</v>
      </c>
      <c r="E512" s="101">
        <v>0</v>
      </c>
      <c r="F512" s="100" t="s">
        <v>133</v>
      </c>
      <c r="H512" s="99" t="s">
        <v>288</v>
      </c>
      <c r="I512" s="100" t="s">
        <v>133</v>
      </c>
      <c r="J512" s="83" t="s">
        <v>190</v>
      </c>
      <c r="K512" s="102" t="str">
        <f t="shared" si="60"/>
        <v>D3θ</v>
      </c>
      <c r="L512" s="100" t="s">
        <v>133</v>
      </c>
      <c r="N512" s="85" t="str">
        <f>IF(OR($G$5=0, 3&gt;$G$5), "RESTRINGIDO", IF(ISNUMBER(K512), IF(K512=0, "RESTRINGIDO", "LIBRE"), "LIBRE"))</f>
        <v>RESTRINGIDO</v>
      </c>
    </row>
    <row r="513" spans="2:14" ht="26.4" x14ac:dyDescent="0.3">
      <c r="B513" s="99" t="s">
        <v>289</v>
      </c>
      <c r="C513" s="100" t="s">
        <v>134</v>
      </c>
      <c r="D513" s="83" t="s">
        <v>190</v>
      </c>
      <c r="E513" s="101">
        <v>0</v>
      </c>
      <c r="F513" s="100" t="s">
        <v>134</v>
      </c>
      <c r="H513" s="99" t="s">
        <v>290</v>
      </c>
      <c r="I513" s="100" t="s">
        <v>134</v>
      </c>
      <c r="J513" s="83" t="s">
        <v>190</v>
      </c>
      <c r="K513" s="102" t="str">
        <f t="shared" si="60"/>
        <v>D4X</v>
      </c>
      <c r="L513" s="100" t="s">
        <v>134</v>
      </c>
      <c r="N513" s="85" t="str">
        <f>IF(OR($G$5=0, 4&gt;$G$5), "RESTRINGIDO", IF(ISNUMBER(K513), IF(K513=0, "RESTRINGIDO", "LIBRE"), "LIBRE"))</f>
        <v>RESTRINGIDO</v>
      </c>
    </row>
    <row r="514" spans="2:14" ht="26.4" x14ac:dyDescent="0.3">
      <c r="B514" s="99" t="s">
        <v>291</v>
      </c>
      <c r="C514" s="100" t="s">
        <v>135</v>
      </c>
      <c r="D514" s="83" t="s">
        <v>190</v>
      </c>
      <c r="E514" s="101">
        <v>0</v>
      </c>
      <c r="F514" s="100" t="s">
        <v>135</v>
      </c>
      <c r="H514" s="99" t="s">
        <v>292</v>
      </c>
      <c r="I514" s="100" t="s">
        <v>135</v>
      </c>
      <c r="J514" s="83" t="s">
        <v>190</v>
      </c>
      <c r="K514" s="102" t="str">
        <f t="shared" si="60"/>
        <v>D4Y</v>
      </c>
      <c r="L514" s="100" t="s">
        <v>135</v>
      </c>
      <c r="N514" s="85" t="str">
        <f>IF(OR($G$5=0, 4&gt;$G$5), "RESTRINGIDO", IF(ISNUMBER(K514), IF(K514=0, "RESTRINGIDO", "LIBRE"), "LIBRE"))</f>
        <v>RESTRINGIDO</v>
      </c>
    </row>
    <row r="515" spans="2:14" ht="26.4" x14ac:dyDescent="0.3">
      <c r="B515" s="99" t="s">
        <v>293</v>
      </c>
      <c r="C515" s="100" t="s">
        <v>136</v>
      </c>
      <c r="D515" s="83" t="s">
        <v>190</v>
      </c>
      <c r="E515" s="101">
        <v>0</v>
      </c>
      <c r="F515" s="100" t="s">
        <v>136</v>
      </c>
      <c r="H515" s="99" t="s">
        <v>294</v>
      </c>
      <c r="I515" s="100" t="s">
        <v>136</v>
      </c>
      <c r="J515" s="83" t="s">
        <v>190</v>
      </c>
      <c r="K515" s="102" t="str">
        <f t="shared" si="60"/>
        <v>D4θ</v>
      </c>
      <c r="L515" s="100" t="s">
        <v>136</v>
      </c>
      <c r="N515" s="85" t="str">
        <f>IF(OR($G$5=0, 4&gt;$G$5), "RESTRINGIDO", IF(ISNUMBER(K515), IF(K515=0, "RESTRINGIDO", "LIBRE"), "LIBRE"))</f>
        <v>RESTRINGIDO</v>
      </c>
    </row>
    <row r="516" spans="2:14" ht="26.4" x14ac:dyDescent="0.3">
      <c r="B516" s="99" t="s">
        <v>295</v>
      </c>
      <c r="C516" s="100" t="s">
        <v>137</v>
      </c>
      <c r="D516" s="83" t="s">
        <v>190</v>
      </c>
      <c r="E516" s="101">
        <v>0</v>
      </c>
      <c r="F516" s="100" t="s">
        <v>137</v>
      </c>
      <c r="H516" s="99" t="s">
        <v>296</v>
      </c>
      <c r="I516" s="100" t="s">
        <v>137</v>
      </c>
      <c r="J516" s="83" t="s">
        <v>190</v>
      </c>
      <c r="K516" s="102" t="str">
        <f t="shared" si="60"/>
        <v>D5X</v>
      </c>
      <c r="L516" s="100" t="s">
        <v>137</v>
      </c>
      <c r="N516" s="85" t="str">
        <f>IF(OR($G$5=0, 5&gt;$G$5), "RESTRINGIDO", IF(ISNUMBER(K516), IF(K516=0, "RESTRINGIDO", "LIBRE"), "LIBRE"))</f>
        <v>RESTRINGIDO</v>
      </c>
    </row>
    <row r="517" spans="2:14" ht="26.4" x14ac:dyDescent="0.3">
      <c r="B517" s="99" t="s">
        <v>297</v>
      </c>
      <c r="C517" s="100" t="s">
        <v>138</v>
      </c>
      <c r="D517" s="83" t="s">
        <v>190</v>
      </c>
      <c r="E517" s="101">
        <v>0</v>
      </c>
      <c r="F517" s="100" t="s">
        <v>138</v>
      </c>
      <c r="H517" s="99" t="s">
        <v>298</v>
      </c>
      <c r="I517" s="100" t="s">
        <v>138</v>
      </c>
      <c r="J517" s="83" t="s">
        <v>190</v>
      </c>
      <c r="K517" s="102" t="str">
        <f t="shared" si="60"/>
        <v>D5Y</v>
      </c>
      <c r="L517" s="100" t="s">
        <v>138</v>
      </c>
      <c r="N517" s="85" t="str">
        <f>IF(OR($G$5=0, 5&gt;$G$5), "RESTRINGIDO", IF(ISNUMBER(K517), IF(K517=0, "RESTRINGIDO", "LIBRE"), "LIBRE"))</f>
        <v>RESTRINGIDO</v>
      </c>
    </row>
    <row r="518" spans="2:14" ht="26.4" x14ac:dyDescent="0.3">
      <c r="B518" s="99" t="s">
        <v>299</v>
      </c>
      <c r="C518" s="100" t="s">
        <v>139</v>
      </c>
      <c r="D518" s="83" t="s">
        <v>190</v>
      </c>
      <c r="E518" s="101">
        <v>0</v>
      </c>
      <c r="F518" s="100" t="s">
        <v>139</v>
      </c>
      <c r="H518" s="99" t="s">
        <v>300</v>
      </c>
      <c r="I518" s="100" t="s">
        <v>139</v>
      </c>
      <c r="J518" s="83" t="s">
        <v>190</v>
      </c>
      <c r="K518" s="102" t="str">
        <f t="shared" si="60"/>
        <v>D5θ</v>
      </c>
      <c r="L518" s="100" t="s">
        <v>139</v>
      </c>
      <c r="N518" s="85" t="str">
        <f>IF(OR($G$5=0, 5&gt;$G$5), "RESTRINGIDO", IF(ISNUMBER(K518), IF(K518=0, "RESTRINGIDO", "LIBRE"), "LIBRE"))</f>
        <v>RESTRINGIDO</v>
      </c>
    </row>
    <row r="519" spans="2:14" ht="26.4" x14ac:dyDescent="0.3">
      <c r="B519" s="99" t="s">
        <v>301</v>
      </c>
      <c r="C519" s="100" t="s">
        <v>140</v>
      </c>
      <c r="D519" s="83" t="s">
        <v>190</v>
      </c>
      <c r="E519" s="101">
        <v>0</v>
      </c>
      <c r="F519" s="100" t="s">
        <v>140</v>
      </c>
      <c r="H519" s="99" t="s">
        <v>302</v>
      </c>
      <c r="I519" s="100" t="s">
        <v>140</v>
      </c>
      <c r="J519" s="83" t="s">
        <v>190</v>
      </c>
      <c r="K519" s="102" t="str">
        <f t="shared" si="60"/>
        <v>D6X</v>
      </c>
      <c r="L519" s="100" t="s">
        <v>140</v>
      </c>
      <c r="N519" s="85" t="str">
        <f>IF(OR($G$5=0, 6&gt;$G$5), "RESTRINGIDO", IF(ISNUMBER(K519), IF(K519=0, "RESTRINGIDO", "LIBRE"), "LIBRE"))</f>
        <v>RESTRINGIDO</v>
      </c>
    </row>
    <row r="520" spans="2:14" ht="26.4" x14ac:dyDescent="0.3">
      <c r="B520" s="99" t="s">
        <v>303</v>
      </c>
      <c r="C520" s="100" t="s">
        <v>141</v>
      </c>
      <c r="D520" s="83" t="s">
        <v>190</v>
      </c>
      <c r="E520" s="101">
        <v>0</v>
      </c>
      <c r="F520" s="100" t="s">
        <v>141</v>
      </c>
      <c r="H520" s="99" t="s">
        <v>304</v>
      </c>
      <c r="I520" s="100" t="s">
        <v>141</v>
      </c>
      <c r="J520" s="83" t="s">
        <v>190</v>
      </c>
      <c r="K520" s="102" t="str">
        <f t="shared" si="60"/>
        <v>D6Y</v>
      </c>
      <c r="L520" s="100" t="s">
        <v>141</v>
      </c>
      <c r="N520" s="85" t="str">
        <f>IF(OR($G$5=0, 6&gt;$G$5), "RESTRINGIDO", IF(ISNUMBER(K520), IF(K520=0, "RESTRINGIDO", "LIBRE"), "LIBRE"))</f>
        <v>RESTRINGIDO</v>
      </c>
    </row>
    <row r="521" spans="2:14" ht="26.4" x14ac:dyDescent="0.3">
      <c r="B521" s="99" t="s">
        <v>305</v>
      </c>
      <c r="C521" s="100" t="s">
        <v>142</v>
      </c>
      <c r="D521" s="83" t="s">
        <v>190</v>
      </c>
      <c r="E521" s="101">
        <v>0</v>
      </c>
      <c r="F521" s="100" t="s">
        <v>142</v>
      </c>
      <c r="H521" s="99" t="s">
        <v>306</v>
      </c>
      <c r="I521" s="100" t="s">
        <v>142</v>
      </c>
      <c r="J521" s="83" t="s">
        <v>190</v>
      </c>
      <c r="K521" s="102" t="str">
        <f t="shared" si="60"/>
        <v>D6θ</v>
      </c>
      <c r="L521" s="100" t="s">
        <v>142</v>
      </c>
      <c r="N521" s="85" t="str">
        <f>IF(OR($G$5=0, 6&gt;$G$5), "RESTRINGIDO", IF(ISNUMBER(K521), IF(K521=0, "RESTRINGIDO", "LIBRE"), "LIBRE"))</f>
        <v>RESTRINGIDO</v>
      </c>
    </row>
    <row r="522" spans="2:14" ht="26.4" x14ac:dyDescent="0.3">
      <c r="B522" s="99" t="s">
        <v>307</v>
      </c>
      <c r="C522" s="100" t="s">
        <v>143</v>
      </c>
      <c r="D522" s="83" t="s">
        <v>190</v>
      </c>
      <c r="E522" s="101">
        <v>0</v>
      </c>
      <c r="F522" s="100" t="s">
        <v>143</v>
      </c>
      <c r="H522" s="99" t="s">
        <v>308</v>
      </c>
      <c r="I522" s="100" t="s">
        <v>143</v>
      </c>
      <c r="J522" s="83" t="s">
        <v>190</v>
      </c>
      <c r="K522" s="102" t="str">
        <f t="shared" si="60"/>
        <v>D7X</v>
      </c>
      <c r="L522" s="100" t="s">
        <v>143</v>
      </c>
      <c r="N522" s="85" t="str">
        <f>IF(OR($G$5=0, 7&gt;$G$5), "RESTRINGIDO", IF(ISNUMBER(K522), IF(K522=0, "RESTRINGIDO", "LIBRE"), "LIBRE"))</f>
        <v>RESTRINGIDO</v>
      </c>
    </row>
    <row r="523" spans="2:14" ht="26.4" x14ac:dyDescent="0.3">
      <c r="B523" s="99" t="s">
        <v>309</v>
      </c>
      <c r="C523" s="100" t="s">
        <v>144</v>
      </c>
      <c r="D523" s="83" t="s">
        <v>190</v>
      </c>
      <c r="E523" s="101">
        <v>0</v>
      </c>
      <c r="F523" s="100" t="s">
        <v>144</v>
      </c>
      <c r="H523" s="99" t="s">
        <v>310</v>
      </c>
      <c r="I523" s="100" t="s">
        <v>144</v>
      </c>
      <c r="J523" s="83" t="s">
        <v>190</v>
      </c>
      <c r="K523" s="102" t="str">
        <f t="shared" si="60"/>
        <v>D7Y</v>
      </c>
      <c r="L523" s="100" t="s">
        <v>144</v>
      </c>
      <c r="N523" s="85" t="str">
        <f>IF(OR($G$5=0, 7&gt;$G$5), "RESTRINGIDO", IF(ISNUMBER(K523), IF(K523=0, "RESTRINGIDO", "LIBRE"), "LIBRE"))</f>
        <v>RESTRINGIDO</v>
      </c>
    </row>
    <row r="524" spans="2:14" ht="26.4" x14ac:dyDescent="0.3">
      <c r="B524" s="99" t="s">
        <v>311</v>
      </c>
      <c r="C524" s="100" t="s">
        <v>145</v>
      </c>
      <c r="D524" s="83" t="s">
        <v>190</v>
      </c>
      <c r="E524" s="101">
        <v>0</v>
      </c>
      <c r="F524" s="100" t="s">
        <v>145</v>
      </c>
      <c r="H524" s="99" t="s">
        <v>312</v>
      </c>
      <c r="I524" s="100" t="s">
        <v>145</v>
      </c>
      <c r="J524" s="83" t="s">
        <v>190</v>
      </c>
      <c r="K524" s="102" t="str">
        <f t="shared" si="60"/>
        <v>D7θ</v>
      </c>
      <c r="L524" s="100" t="s">
        <v>145</v>
      </c>
      <c r="N524" s="85" t="str">
        <f>IF(OR($G$5=0, 7&gt;$G$5), "RESTRINGIDO", IF(ISNUMBER(K524), IF(K524=0, "RESTRINGIDO", "LIBRE"), "LIBRE"))</f>
        <v>RESTRINGIDO</v>
      </c>
    </row>
    <row r="525" spans="2:14" ht="26.4" x14ac:dyDescent="0.3">
      <c r="B525" s="99" t="s">
        <v>313</v>
      </c>
      <c r="C525" s="100" t="s">
        <v>146</v>
      </c>
      <c r="D525" s="83" t="s">
        <v>190</v>
      </c>
      <c r="E525" s="101">
        <v>0</v>
      </c>
      <c r="F525" s="100" t="s">
        <v>146</v>
      </c>
      <c r="H525" s="99" t="s">
        <v>314</v>
      </c>
      <c r="I525" s="100" t="s">
        <v>146</v>
      </c>
      <c r="J525" s="83" t="s">
        <v>190</v>
      </c>
      <c r="K525" s="102" t="str">
        <f t="shared" si="60"/>
        <v>D8X</v>
      </c>
      <c r="L525" s="100" t="s">
        <v>146</v>
      </c>
      <c r="N525" s="85" t="str">
        <f>IF(OR($G$5=0, 8&gt;$G$5), "RESTRINGIDO", IF(ISNUMBER(K525), IF(K525=0, "RESTRINGIDO", "LIBRE"), "LIBRE"))</f>
        <v>RESTRINGIDO</v>
      </c>
    </row>
    <row r="526" spans="2:14" ht="26.4" x14ac:dyDescent="0.3">
      <c r="B526" s="99" t="s">
        <v>315</v>
      </c>
      <c r="C526" s="100" t="s">
        <v>147</v>
      </c>
      <c r="D526" s="83" t="s">
        <v>190</v>
      </c>
      <c r="E526" s="101">
        <v>0</v>
      </c>
      <c r="F526" s="100" t="s">
        <v>147</v>
      </c>
      <c r="H526" s="99" t="s">
        <v>316</v>
      </c>
      <c r="I526" s="100" t="s">
        <v>147</v>
      </c>
      <c r="J526" s="83" t="s">
        <v>190</v>
      </c>
      <c r="K526" s="102" t="str">
        <f t="shared" si="60"/>
        <v>D8Y</v>
      </c>
      <c r="L526" s="100" t="s">
        <v>147</v>
      </c>
      <c r="N526" s="85" t="str">
        <f>IF(OR($G$5=0, 8&gt;$G$5), "RESTRINGIDO", IF(ISNUMBER(K526), IF(K526=0, "RESTRINGIDO", "LIBRE"), "LIBRE"))</f>
        <v>RESTRINGIDO</v>
      </c>
    </row>
    <row r="527" spans="2:14" ht="26.4" x14ac:dyDescent="0.3">
      <c r="B527" s="99" t="s">
        <v>317</v>
      </c>
      <c r="C527" s="100" t="s">
        <v>148</v>
      </c>
      <c r="D527" s="83" t="s">
        <v>190</v>
      </c>
      <c r="E527" s="101">
        <v>0</v>
      </c>
      <c r="F527" s="100" t="s">
        <v>148</v>
      </c>
      <c r="H527" s="99" t="s">
        <v>318</v>
      </c>
      <c r="I527" s="100" t="s">
        <v>148</v>
      </c>
      <c r="J527" s="83" t="s">
        <v>190</v>
      </c>
      <c r="K527" s="102" t="str">
        <f t="shared" si="60"/>
        <v>D8θ</v>
      </c>
      <c r="L527" s="100" t="s">
        <v>148</v>
      </c>
      <c r="N527" s="85" t="str">
        <f>IF(OR($G$5=0, 8&gt;$G$5), "RESTRINGIDO", IF(ISNUMBER(K527), IF(K527=0, "RESTRINGIDO", "LIBRE"), "LIBRE"))</f>
        <v>RESTRINGIDO</v>
      </c>
    </row>
    <row r="528" spans="2:14" ht="26.4" x14ac:dyDescent="0.3">
      <c r="B528" s="99" t="s">
        <v>319</v>
      </c>
      <c r="C528" s="100" t="s">
        <v>149</v>
      </c>
      <c r="D528" s="83" t="s">
        <v>190</v>
      </c>
      <c r="E528" s="101">
        <v>0</v>
      </c>
      <c r="F528" s="100" t="s">
        <v>149</v>
      </c>
      <c r="H528" s="99" t="s">
        <v>320</v>
      </c>
      <c r="I528" s="100" t="s">
        <v>149</v>
      </c>
      <c r="J528" s="83" t="s">
        <v>190</v>
      </c>
      <c r="K528" s="102" t="str">
        <f t="shared" si="60"/>
        <v>D9X</v>
      </c>
      <c r="L528" s="100" t="s">
        <v>149</v>
      </c>
      <c r="N528" s="85" t="str">
        <f>IF(OR($G$5=0, 9&gt;$G$5), "RESTRINGIDO", IF(ISNUMBER(K528), IF(K528=0, "RESTRINGIDO", "LIBRE"), "LIBRE"))</f>
        <v>RESTRINGIDO</v>
      </c>
    </row>
    <row r="529" spans="1:43" ht="26.4" x14ac:dyDescent="0.3">
      <c r="B529" s="99" t="s">
        <v>321</v>
      </c>
      <c r="C529" s="100" t="s">
        <v>150</v>
      </c>
      <c r="D529" s="83" t="s">
        <v>190</v>
      </c>
      <c r="E529" s="101">
        <v>0</v>
      </c>
      <c r="F529" s="100" t="s">
        <v>150</v>
      </c>
      <c r="H529" s="99" t="s">
        <v>322</v>
      </c>
      <c r="I529" s="100" t="s">
        <v>150</v>
      </c>
      <c r="J529" s="83" t="s">
        <v>190</v>
      </c>
      <c r="K529" s="102" t="str">
        <f t="shared" si="60"/>
        <v>D9Y</v>
      </c>
      <c r="L529" s="100" t="s">
        <v>150</v>
      </c>
      <c r="N529" s="85" t="str">
        <f>IF(OR($G$5=0, 9&gt;$G$5), "RESTRINGIDO", IF(ISNUMBER(K529), IF(K529=0, "RESTRINGIDO", "LIBRE"), "LIBRE"))</f>
        <v>RESTRINGIDO</v>
      </c>
    </row>
    <row r="530" spans="1:43" ht="26.4" x14ac:dyDescent="0.3">
      <c r="B530" s="99" t="s">
        <v>323</v>
      </c>
      <c r="C530" s="100" t="s">
        <v>151</v>
      </c>
      <c r="D530" s="83" t="s">
        <v>190</v>
      </c>
      <c r="E530" s="101">
        <v>0</v>
      </c>
      <c r="F530" s="100" t="s">
        <v>151</v>
      </c>
      <c r="H530" s="99" t="s">
        <v>324</v>
      </c>
      <c r="I530" s="100" t="s">
        <v>151</v>
      </c>
      <c r="J530" s="83" t="s">
        <v>190</v>
      </c>
      <c r="K530" s="102" t="str">
        <f t="shared" si="60"/>
        <v>D9θ</v>
      </c>
      <c r="L530" s="100" t="s">
        <v>151</v>
      </c>
      <c r="N530" s="85" t="str">
        <f>IF(OR($G$5=0, 9&gt;$G$5), "RESTRINGIDO", IF(ISNUMBER(K530), IF(K530=0, "RESTRINGIDO", "LIBRE"), "LIBRE"))</f>
        <v>RESTRINGIDO</v>
      </c>
    </row>
    <row r="531" spans="1:43" ht="26.4" x14ac:dyDescent="0.3">
      <c r="B531" s="99" t="s">
        <v>325</v>
      </c>
      <c r="C531" s="100" t="s">
        <v>152</v>
      </c>
      <c r="D531" s="83" t="s">
        <v>190</v>
      </c>
      <c r="E531" s="101">
        <v>0</v>
      </c>
      <c r="F531" s="100" t="s">
        <v>152</v>
      </c>
      <c r="H531" s="99" t="s">
        <v>326</v>
      </c>
      <c r="I531" s="100" t="s">
        <v>152</v>
      </c>
      <c r="J531" s="83" t="s">
        <v>190</v>
      </c>
      <c r="K531" s="102" t="str">
        <f t="shared" si="60"/>
        <v>D10X</v>
      </c>
      <c r="L531" s="100" t="s">
        <v>152</v>
      </c>
      <c r="N531" s="85" t="str">
        <f>IF(OR($G$5=0, 10&gt;$G$5), "RESTRINGIDO", IF(ISNUMBER(K531), IF(K531=0, "RESTRINGIDO", "LIBRE"), "LIBRE"))</f>
        <v>RESTRINGIDO</v>
      </c>
    </row>
    <row r="532" spans="1:43" ht="26.4" x14ac:dyDescent="0.3">
      <c r="B532" s="99" t="s">
        <v>327</v>
      </c>
      <c r="C532" s="100" t="s">
        <v>153</v>
      </c>
      <c r="D532" s="83" t="s">
        <v>190</v>
      </c>
      <c r="E532" s="101">
        <v>0</v>
      </c>
      <c r="F532" s="100" t="s">
        <v>153</v>
      </c>
      <c r="H532" s="99" t="s">
        <v>328</v>
      </c>
      <c r="I532" s="100" t="s">
        <v>153</v>
      </c>
      <c r="J532" s="83" t="s">
        <v>190</v>
      </c>
      <c r="K532" s="102" t="str">
        <f t="shared" si="60"/>
        <v>D10Y</v>
      </c>
      <c r="L532" s="100" t="s">
        <v>153</v>
      </c>
      <c r="N532" s="85" t="str">
        <f>IF(OR($G$5=0, 10&gt;$G$5), "RESTRINGIDO", IF(ISNUMBER(K532), IF(K532=0, "RESTRINGIDO", "LIBRE"), "LIBRE"))</f>
        <v>RESTRINGIDO</v>
      </c>
    </row>
    <row r="533" spans="1:43" ht="26.4" x14ac:dyDescent="0.3">
      <c r="B533" s="99" t="s">
        <v>329</v>
      </c>
      <c r="C533" s="100" t="s">
        <v>154</v>
      </c>
      <c r="D533" s="83" t="s">
        <v>190</v>
      </c>
      <c r="E533" s="101">
        <v>0</v>
      </c>
      <c r="F533" s="100" t="s">
        <v>154</v>
      </c>
      <c r="H533" s="99" t="s">
        <v>330</v>
      </c>
      <c r="I533" s="100" t="s">
        <v>154</v>
      </c>
      <c r="J533" s="83" t="s">
        <v>190</v>
      </c>
      <c r="K533" s="102" t="str">
        <f t="shared" si="60"/>
        <v>D10θ</v>
      </c>
      <c r="L533" s="100" t="s">
        <v>154</v>
      </c>
      <c r="N533" s="85" t="str">
        <f>IF(OR($G$5=0, 10&gt;$G$5), "RESTRINGIDO", IF(ISNUMBER(K533), IF(K533=0, "RESTRINGIDO", "LIBRE"), "LIBRE"))</f>
        <v>RESTRINGIDO</v>
      </c>
    </row>
    <row r="534" spans="1:43" ht="26.4" x14ac:dyDescent="0.3">
      <c r="B534" s="99" t="s">
        <v>331</v>
      </c>
      <c r="C534" s="100" t="s">
        <v>155</v>
      </c>
      <c r="D534" s="83" t="s">
        <v>190</v>
      </c>
      <c r="E534" s="101">
        <v>0</v>
      </c>
      <c r="F534" s="100" t="s">
        <v>155</v>
      </c>
      <c r="H534" s="99" t="s">
        <v>332</v>
      </c>
      <c r="I534" s="100" t="s">
        <v>155</v>
      </c>
      <c r="J534" s="83" t="s">
        <v>190</v>
      </c>
      <c r="K534" s="102" t="str">
        <f t="shared" si="60"/>
        <v>D11X</v>
      </c>
      <c r="L534" s="100" t="s">
        <v>155</v>
      </c>
      <c r="N534" s="85" t="str">
        <f>IF(OR($G$5=0, 11&gt;$G$5), "RESTRINGIDO", IF(ISNUMBER(K534), IF(K534=0, "RESTRINGIDO", "LIBRE"), "LIBRE"))</f>
        <v>RESTRINGIDO</v>
      </c>
    </row>
    <row r="535" spans="1:43" ht="26.4" x14ac:dyDescent="0.3">
      <c r="B535" s="99" t="s">
        <v>333</v>
      </c>
      <c r="C535" s="100" t="s">
        <v>156</v>
      </c>
      <c r="D535" s="83" t="s">
        <v>190</v>
      </c>
      <c r="E535" s="101">
        <v>0</v>
      </c>
      <c r="F535" s="100" t="s">
        <v>156</v>
      </c>
      <c r="H535" s="99" t="s">
        <v>334</v>
      </c>
      <c r="I535" s="100" t="s">
        <v>156</v>
      </c>
      <c r="J535" s="83" t="s">
        <v>190</v>
      </c>
      <c r="K535" s="102" t="str">
        <f t="shared" si="60"/>
        <v>D11Y</v>
      </c>
      <c r="L535" s="100" t="s">
        <v>156</v>
      </c>
      <c r="N535" s="85" t="str">
        <f>IF(OR($G$5=0, 11&gt;$G$5), "RESTRINGIDO", IF(ISNUMBER(K535), IF(K535=0, "RESTRINGIDO", "LIBRE"), "LIBRE"))</f>
        <v>RESTRINGIDO</v>
      </c>
    </row>
    <row r="536" spans="1:43" ht="26.4" x14ac:dyDescent="0.3">
      <c r="B536" s="99" t="s">
        <v>335</v>
      </c>
      <c r="C536" s="100" t="s">
        <v>157</v>
      </c>
      <c r="D536" s="83" t="s">
        <v>190</v>
      </c>
      <c r="E536" s="101">
        <v>0</v>
      </c>
      <c r="F536" s="100" t="s">
        <v>157</v>
      </c>
      <c r="H536" s="99" t="s">
        <v>336</v>
      </c>
      <c r="I536" s="100" t="s">
        <v>157</v>
      </c>
      <c r="J536" s="83" t="s">
        <v>190</v>
      </c>
      <c r="K536" s="102" t="str">
        <f t="shared" si="60"/>
        <v>D11θ</v>
      </c>
      <c r="L536" s="100" t="s">
        <v>157</v>
      </c>
      <c r="N536" s="85" t="str">
        <f>IF(OR($G$5=0, 11&gt;$G$5), "RESTRINGIDO", IF(ISNUMBER(K536), IF(K536=0, "RESTRINGIDO", "LIBRE"), "LIBRE"))</f>
        <v>RESTRINGIDO</v>
      </c>
    </row>
    <row r="539" spans="1:43" x14ac:dyDescent="0.3">
      <c r="B539" s="95" t="s">
        <v>337</v>
      </c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</row>
    <row r="541" spans="1:43" x14ac:dyDescent="0.3">
      <c r="A541" s="93">
        <f t="shared" ref="A541:A573" si="61">E504</f>
        <v>0</v>
      </c>
      <c r="B541" s="94" t="s">
        <v>190</v>
      </c>
      <c r="C541" s="92">
        <f t="shared" ref="C541:AI548" si="62">B467</f>
        <v>0</v>
      </c>
      <c r="D541" s="93">
        <f t="shared" si="62"/>
        <v>0</v>
      </c>
      <c r="E541" s="93">
        <f t="shared" si="62"/>
        <v>0</v>
      </c>
      <c r="F541" s="93">
        <f t="shared" si="62"/>
        <v>0</v>
      </c>
      <c r="G541" s="93">
        <f t="shared" si="62"/>
        <v>0</v>
      </c>
      <c r="H541" s="93">
        <f t="shared" si="62"/>
        <v>0</v>
      </c>
      <c r="I541" s="93">
        <f t="shared" si="62"/>
        <v>0</v>
      </c>
      <c r="J541" s="93">
        <f t="shared" si="62"/>
        <v>0</v>
      </c>
      <c r="K541" s="93">
        <f t="shared" si="62"/>
        <v>0</v>
      </c>
      <c r="L541" s="93">
        <f t="shared" si="62"/>
        <v>0</v>
      </c>
      <c r="M541" s="93">
        <f t="shared" si="62"/>
        <v>0</v>
      </c>
      <c r="N541" s="93">
        <f t="shared" si="62"/>
        <v>0</v>
      </c>
      <c r="O541" s="93">
        <f t="shared" si="62"/>
        <v>0</v>
      </c>
      <c r="P541" s="93">
        <f t="shared" si="62"/>
        <v>0</v>
      </c>
      <c r="Q541" s="93">
        <f t="shared" si="62"/>
        <v>0</v>
      </c>
      <c r="R541" s="93">
        <f t="shared" si="62"/>
        <v>0</v>
      </c>
      <c r="S541" s="93">
        <f t="shared" si="62"/>
        <v>0</v>
      </c>
      <c r="T541" s="93">
        <f t="shared" si="62"/>
        <v>0</v>
      </c>
      <c r="U541" s="93">
        <f t="shared" si="62"/>
        <v>0</v>
      </c>
      <c r="V541" s="93">
        <f t="shared" si="62"/>
        <v>0</v>
      </c>
      <c r="W541" s="93">
        <f t="shared" si="62"/>
        <v>0</v>
      </c>
      <c r="X541" s="93">
        <f t="shared" si="62"/>
        <v>0</v>
      </c>
      <c r="Y541" s="93">
        <f t="shared" si="62"/>
        <v>0</v>
      </c>
      <c r="Z541" s="93">
        <f t="shared" si="62"/>
        <v>0</v>
      </c>
      <c r="AA541" s="93">
        <f t="shared" si="62"/>
        <v>0</v>
      </c>
      <c r="AB541" s="93">
        <f t="shared" si="62"/>
        <v>0</v>
      </c>
      <c r="AC541" s="93">
        <f t="shared" si="62"/>
        <v>0</v>
      </c>
      <c r="AD541" s="93">
        <f t="shared" si="62"/>
        <v>0</v>
      </c>
      <c r="AE541" s="93">
        <f t="shared" si="62"/>
        <v>0</v>
      </c>
      <c r="AF541" s="93">
        <f t="shared" si="62"/>
        <v>0</v>
      </c>
      <c r="AG541" s="93">
        <f t="shared" si="62"/>
        <v>0</v>
      </c>
      <c r="AH541" s="93">
        <f t="shared" si="62"/>
        <v>0</v>
      </c>
      <c r="AI541" s="93">
        <f t="shared" si="62"/>
        <v>0</v>
      </c>
      <c r="AQ541" s="83">
        <f t="shared" ref="AQ541:AQ573" si="63">K504</f>
        <v>0</v>
      </c>
    </row>
    <row r="542" spans="1:43" x14ac:dyDescent="0.3">
      <c r="A542" s="93">
        <f t="shared" si="61"/>
        <v>0</v>
      </c>
      <c r="B542" s="94" t="s">
        <v>190</v>
      </c>
      <c r="C542" s="93">
        <f t="shared" si="62"/>
        <v>0</v>
      </c>
      <c r="D542" s="92">
        <f t="shared" si="62"/>
        <v>0</v>
      </c>
      <c r="E542" s="93">
        <f t="shared" si="62"/>
        <v>0</v>
      </c>
      <c r="F542" s="93">
        <f t="shared" si="62"/>
        <v>0</v>
      </c>
      <c r="G542" s="93">
        <f t="shared" si="62"/>
        <v>0</v>
      </c>
      <c r="H542" s="93">
        <f t="shared" si="62"/>
        <v>0</v>
      </c>
      <c r="I542" s="93">
        <f t="shared" si="62"/>
        <v>0</v>
      </c>
      <c r="J542" s="93">
        <f t="shared" si="62"/>
        <v>0</v>
      </c>
      <c r="K542" s="93">
        <f t="shared" si="62"/>
        <v>0</v>
      </c>
      <c r="L542" s="93">
        <f t="shared" si="62"/>
        <v>0</v>
      </c>
      <c r="M542" s="93">
        <f t="shared" si="62"/>
        <v>0</v>
      </c>
      <c r="N542" s="93">
        <f t="shared" si="62"/>
        <v>0</v>
      </c>
      <c r="O542" s="93">
        <f t="shared" si="62"/>
        <v>0</v>
      </c>
      <c r="P542" s="93">
        <f t="shared" si="62"/>
        <v>0</v>
      </c>
      <c r="Q542" s="93">
        <f t="shared" si="62"/>
        <v>0</v>
      </c>
      <c r="R542" s="93">
        <f t="shared" si="62"/>
        <v>0</v>
      </c>
      <c r="S542" s="93">
        <f t="shared" si="62"/>
        <v>0</v>
      </c>
      <c r="T542" s="93">
        <f t="shared" si="62"/>
        <v>0</v>
      </c>
      <c r="U542" s="93">
        <f t="shared" si="62"/>
        <v>0</v>
      </c>
      <c r="V542" s="93">
        <f t="shared" si="62"/>
        <v>0</v>
      </c>
      <c r="W542" s="93">
        <f t="shared" si="62"/>
        <v>0</v>
      </c>
      <c r="X542" s="93">
        <f t="shared" si="62"/>
        <v>0</v>
      </c>
      <c r="Y542" s="93">
        <f t="shared" si="62"/>
        <v>0</v>
      </c>
      <c r="Z542" s="93">
        <f t="shared" si="62"/>
        <v>0</v>
      </c>
      <c r="AA542" s="93">
        <f t="shared" si="62"/>
        <v>0</v>
      </c>
      <c r="AB542" s="93">
        <f t="shared" si="62"/>
        <v>0</v>
      </c>
      <c r="AC542" s="93">
        <f t="shared" si="62"/>
        <v>0</v>
      </c>
      <c r="AD542" s="93">
        <f t="shared" si="62"/>
        <v>0</v>
      </c>
      <c r="AE542" s="93">
        <f t="shared" si="62"/>
        <v>0</v>
      </c>
      <c r="AF542" s="93">
        <f t="shared" si="62"/>
        <v>0</v>
      </c>
      <c r="AG542" s="93">
        <f t="shared" si="62"/>
        <v>0</v>
      </c>
      <c r="AH542" s="93">
        <f t="shared" si="62"/>
        <v>0</v>
      </c>
      <c r="AI542" s="93">
        <f t="shared" si="62"/>
        <v>0</v>
      </c>
      <c r="AQ542" s="83">
        <f t="shared" si="63"/>
        <v>0</v>
      </c>
    </row>
    <row r="543" spans="1:43" x14ac:dyDescent="0.3">
      <c r="A543" s="93">
        <f t="shared" si="61"/>
        <v>0</v>
      </c>
      <c r="B543" s="94" t="s">
        <v>190</v>
      </c>
      <c r="C543" s="93">
        <f t="shared" si="62"/>
        <v>0</v>
      </c>
      <c r="D543" s="93">
        <f t="shared" si="62"/>
        <v>0</v>
      </c>
      <c r="E543" s="92">
        <f t="shared" si="62"/>
        <v>0</v>
      </c>
      <c r="F543" s="93">
        <f t="shared" si="62"/>
        <v>0</v>
      </c>
      <c r="G543" s="93">
        <f t="shared" si="62"/>
        <v>0</v>
      </c>
      <c r="H543" s="93">
        <f t="shared" si="62"/>
        <v>0</v>
      </c>
      <c r="I543" s="93">
        <f t="shared" si="62"/>
        <v>0</v>
      </c>
      <c r="J543" s="93">
        <f t="shared" si="62"/>
        <v>0</v>
      </c>
      <c r="K543" s="93">
        <f t="shared" si="62"/>
        <v>0</v>
      </c>
      <c r="L543" s="93">
        <f t="shared" si="62"/>
        <v>0</v>
      </c>
      <c r="M543" s="93">
        <f t="shared" si="62"/>
        <v>0</v>
      </c>
      <c r="N543" s="93">
        <f t="shared" si="62"/>
        <v>0</v>
      </c>
      <c r="O543" s="93">
        <f t="shared" si="62"/>
        <v>0</v>
      </c>
      <c r="P543" s="93">
        <f t="shared" si="62"/>
        <v>0</v>
      </c>
      <c r="Q543" s="93">
        <f t="shared" si="62"/>
        <v>0</v>
      </c>
      <c r="R543" s="93">
        <f t="shared" si="62"/>
        <v>0</v>
      </c>
      <c r="S543" s="93">
        <f t="shared" si="62"/>
        <v>0</v>
      </c>
      <c r="T543" s="93">
        <f t="shared" si="62"/>
        <v>0</v>
      </c>
      <c r="U543" s="93">
        <f t="shared" si="62"/>
        <v>0</v>
      </c>
      <c r="V543" s="93">
        <f t="shared" si="62"/>
        <v>0</v>
      </c>
      <c r="W543" s="93">
        <f t="shared" si="62"/>
        <v>0</v>
      </c>
      <c r="X543" s="93">
        <f t="shared" si="62"/>
        <v>0</v>
      </c>
      <c r="Y543" s="93">
        <f t="shared" si="62"/>
        <v>0</v>
      </c>
      <c r="Z543" s="93">
        <f t="shared" si="62"/>
        <v>0</v>
      </c>
      <c r="AA543" s="93">
        <f t="shared" si="62"/>
        <v>0</v>
      </c>
      <c r="AB543" s="93">
        <f t="shared" si="62"/>
        <v>0</v>
      </c>
      <c r="AC543" s="93">
        <f t="shared" si="62"/>
        <v>0</v>
      </c>
      <c r="AD543" s="93">
        <f t="shared" si="62"/>
        <v>0</v>
      </c>
      <c r="AE543" s="93">
        <f t="shared" si="62"/>
        <v>0</v>
      </c>
      <c r="AF543" s="93">
        <f t="shared" si="62"/>
        <v>0</v>
      </c>
      <c r="AG543" s="93">
        <f t="shared" si="62"/>
        <v>0</v>
      </c>
      <c r="AH543" s="93">
        <f t="shared" si="62"/>
        <v>0</v>
      </c>
      <c r="AI543" s="93">
        <f t="shared" si="62"/>
        <v>0</v>
      </c>
      <c r="AQ543" s="83" t="str">
        <f t="shared" si="63"/>
        <v>D1θ</v>
      </c>
    </row>
    <row r="544" spans="1:43" x14ac:dyDescent="0.3">
      <c r="A544" s="93">
        <f t="shared" si="61"/>
        <v>0</v>
      </c>
      <c r="B544" s="94" t="s">
        <v>190</v>
      </c>
      <c r="C544" s="93">
        <f t="shared" si="62"/>
        <v>0</v>
      </c>
      <c r="D544" s="93">
        <f t="shared" si="62"/>
        <v>0</v>
      </c>
      <c r="E544" s="93">
        <f t="shared" si="62"/>
        <v>0</v>
      </c>
      <c r="F544" s="92">
        <f t="shared" si="62"/>
        <v>0</v>
      </c>
      <c r="G544" s="93">
        <f t="shared" si="62"/>
        <v>0</v>
      </c>
      <c r="H544" s="93">
        <f t="shared" si="62"/>
        <v>0</v>
      </c>
      <c r="I544" s="93">
        <f t="shared" si="62"/>
        <v>0</v>
      </c>
      <c r="J544" s="93">
        <f t="shared" si="62"/>
        <v>0</v>
      </c>
      <c r="K544" s="93">
        <f t="shared" si="62"/>
        <v>0</v>
      </c>
      <c r="L544" s="93">
        <f t="shared" si="62"/>
        <v>0</v>
      </c>
      <c r="M544" s="93">
        <f t="shared" si="62"/>
        <v>0</v>
      </c>
      <c r="N544" s="93">
        <f t="shared" si="62"/>
        <v>0</v>
      </c>
      <c r="O544" s="93">
        <f t="shared" si="62"/>
        <v>0</v>
      </c>
      <c r="P544" s="93">
        <f t="shared" si="62"/>
        <v>0</v>
      </c>
      <c r="Q544" s="93">
        <f t="shared" si="62"/>
        <v>0</v>
      </c>
      <c r="R544" s="93">
        <f t="shared" si="62"/>
        <v>0</v>
      </c>
      <c r="S544" s="93">
        <f t="shared" si="62"/>
        <v>0</v>
      </c>
      <c r="T544" s="93">
        <f t="shared" si="62"/>
        <v>0</v>
      </c>
      <c r="U544" s="93">
        <f t="shared" si="62"/>
        <v>0</v>
      </c>
      <c r="V544" s="93">
        <f t="shared" si="62"/>
        <v>0</v>
      </c>
      <c r="W544" s="93">
        <f t="shared" si="62"/>
        <v>0</v>
      </c>
      <c r="X544" s="93">
        <f t="shared" si="62"/>
        <v>0</v>
      </c>
      <c r="Y544" s="93">
        <f t="shared" si="62"/>
        <v>0</v>
      </c>
      <c r="Z544" s="93">
        <f t="shared" si="62"/>
        <v>0</v>
      </c>
      <c r="AA544" s="93">
        <f t="shared" si="62"/>
        <v>0</v>
      </c>
      <c r="AB544" s="93">
        <f t="shared" si="62"/>
        <v>0</v>
      </c>
      <c r="AC544" s="93">
        <f t="shared" si="62"/>
        <v>0</v>
      </c>
      <c r="AD544" s="93">
        <f t="shared" si="62"/>
        <v>0</v>
      </c>
      <c r="AE544" s="93">
        <f t="shared" si="62"/>
        <v>0</v>
      </c>
      <c r="AF544" s="93">
        <f t="shared" si="62"/>
        <v>0</v>
      </c>
      <c r="AG544" s="93">
        <f t="shared" si="62"/>
        <v>0</v>
      </c>
      <c r="AH544" s="93">
        <f t="shared" si="62"/>
        <v>0</v>
      </c>
      <c r="AI544" s="93">
        <f t="shared" si="62"/>
        <v>0</v>
      </c>
      <c r="AQ544" s="83" t="str">
        <f t="shared" si="63"/>
        <v>D2X</v>
      </c>
    </row>
    <row r="545" spans="1:43" x14ac:dyDescent="0.3">
      <c r="A545" s="93">
        <f t="shared" si="61"/>
        <v>0</v>
      </c>
      <c r="B545" s="94" t="s">
        <v>190</v>
      </c>
      <c r="C545" s="93">
        <f t="shared" si="62"/>
        <v>0</v>
      </c>
      <c r="D545" s="93">
        <f t="shared" si="62"/>
        <v>0</v>
      </c>
      <c r="E545" s="93">
        <f t="shared" si="62"/>
        <v>0</v>
      </c>
      <c r="F545" s="93">
        <f t="shared" si="62"/>
        <v>0</v>
      </c>
      <c r="G545" s="92">
        <f t="shared" si="62"/>
        <v>0</v>
      </c>
      <c r="H545" s="93">
        <f t="shared" si="62"/>
        <v>0</v>
      </c>
      <c r="I545" s="93">
        <f t="shared" si="62"/>
        <v>0</v>
      </c>
      <c r="J545" s="93">
        <f t="shared" si="62"/>
        <v>0</v>
      </c>
      <c r="K545" s="93">
        <f t="shared" si="62"/>
        <v>0</v>
      </c>
      <c r="L545" s="93">
        <f t="shared" si="62"/>
        <v>0</v>
      </c>
      <c r="M545" s="93">
        <f t="shared" si="62"/>
        <v>0</v>
      </c>
      <c r="N545" s="93">
        <f t="shared" si="62"/>
        <v>0</v>
      </c>
      <c r="O545" s="93">
        <f t="shared" si="62"/>
        <v>0</v>
      </c>
      <c r="P545" s="93">
        <f t="shared" si="62"/>
        <v>0</v>
      </c>
      <c r="Q545" s="93">
        <f t="shared" si="62"/>
        <v>0</v>
      </c>
      <c r="R545" s="93">
        <f t="shared" si="62"/>
        <v>0</v>
      </c>
      <c r="S545" s="93">
        <f t="shared" si="62"/>
        <v>0</v>
      </c>
      <c r="T545" s="93">
        <f t="shared" si="62"/>
        <v>0</v>
      </c>
      <c r="U545" s="93">
        <f t="shared" si="62"/>
        <v>0</v>
      </c>
      <c r="V545" s="93">
        <f t="shared" si="62"/>
        <v>0</v>
      </c>
      <c r="W545" s="93">
        <f t="shared" si="62"/>
        <v>0</v>
      </c>
      <c r="X545" s="93">
        <f t="shared" si="62"/>
        <v>0</v>
      </c>
      <c r="Y545" s="93">
        <f t="shared" si="62"/>
        <v>0</v>
      </c>
      <c r="Z545" s="93">
        <f t="shared" si="62"/>
        <v>0</v>
      </c>
      <c r="AA545" s="93">
        <f t="shared" si="62"/>
        <v>0</v>
      </c>
      <c r="AB545" s="93">
        <f t="shared" si="62"/>
        <v>0</v>
      </c>
      <c r="AC545" s="93">
        <f t="shared" si="62"/>
        <v>0</v>
      </c>
      <c r="AD545" s="93">
        <f t="shared" si="62"/>
        <v>0</v>
      </c>
      <c r="AE545" s="93">
        <f t="shared" si="62"/>
        <v>0</v>
      </c>
      <c r="AF545" s="93">
        <f t="shared" si="62"/>
        <v>0</v>
      </c>
      <c r="AG545" s="93">
        <f t="shared" si="62"/>
        <v>0</v>
      </c>
      <c r="AH545" s="93">
        <f t="shared" si="62"/>
        <v>0</v>
      </c>
      <c r="AI545" s="93">
        <f t="shared" si="62"/>
        <v>0</v>
      </c>
      <c r="AQ545" s="83" t="str">
        <f t="shared" si="63"/>
        <v>D2Y</v>
      </c>
    </row>
    <row r="546" spans="1:43" x14ac:dyDescent="0.3">
      <c r="A546" s="93">
        <f t="shared" si="61"/>
        <v>0</v>
      </c>
      <c r="B546" s="94" t="s">
        <v>190</v>
      </c>
      <c r="C546" s="93">
        <f t="shared" si="62"/>
        <v>0</v>
      </c>
      <c r="D546" s="93">
        <f t="shared" si="62"/>
        <v>0</v>
      </c>
      <c r="E546" s="93">
        <f t="shared" si="62"/>
        <v>0</v>
      </c>
      <c r="F546" s="93">
        <f t="shared" si="62"/>
        <v>0</v>
      </c>
      <c r="G546" s="93">
        <f t="shared" si="62"/>
        <v>0</v>
      </c>
      <c r="H546" s="92">
        <f t="shared" si="62"/>
        <v>0</v>
      </c>
      <c r="I546" s="93">
        <f t="shared" si="62"/>
        <v>0</v>
      </c>
      <c r="J546" s="93">
        <f t="shared" si="62"/>
        <v>0</v>
      </c>
      <c r="K546" s="93">
        <f t="shared" si="62"/>
        <v>0</v>
      </c>
      <c r="L546" s="93">
        <f t="shared" si="62"/>
        <v>0</v>
      </c>
      <c r="M546" s="93">
        <f t="shared" si="62"/>
        <v>0</v>
      </c>
      <c r="N546" s="93">
        <f t="shared" si="62"/>
        <v>0</v>
      </c>
      <c r="O546" s="93">
        <f t="shared" si="62"/>
        <v>0</v>
      </c>
      <c r="P546" s="93">
        <f t="shared" si="62"/>
        <v>0</v>
      </c>
      <c r="Q546" s="93">
        <f t="shared" si="62"/>
        <v>0</v>
      </c>
      <c r="R546" s="93">
        <f t="shared" si="62"/>
        <v>0</v>
      </c>
      <c r="S546" s="93">
        <f t="shared" si="62"/>
        <v>0</v>
      </c>
      <c r="T546" s="93">
        <f t="shared" si="62"/>
        <v>0</v>
      </c>
      <c r="U546" s="93">
        <f t="shared" si="62"/>
        <v>0</v>
      </c>
      <c r="V546" s="93">
        <f t="shared" si="62"/>
        <v>0</v>
      </c>
      <c r="W546" s="93">
        <f t="shared" si="62"/>
        <v>0</v>
      </c>
      <c r="X546" s="93">
        <f t="shared" si="62"/>
        <v>0</v>
      </c>
      <c r="Y546" s="93">
        <f t="shared" si="62"/>
        <v>0</v>
      </c>
      <c r="Z546" s="93">
        <f t="shared" si="62"/>
        <v>0</v>
      </c>
      <c r="AA546" s="93">
        <f t="shared" si="62"/>
        <v>0</v>
      </c>
      <c r="AB546" s="93">
        <f t="shared" si="62"/>
        <v>0</v>
      </c>
      <c r="AC546" s="93">
        <f t="shared" si="62"/>
        <v>0</v>
      </c>
      <c r="AD546" s="93">
        <f t="shared" si="62"/>
        <v>0</v>
      </c>
      <c r="AE546" s="93">
        <f t="shared" si="62"/>
        <v>0</v>
      </c>
      <c r="AF546" s="93">
        <f t="shared" si="62"/>
        <v>0</v>
      </c>
      <c r="AG546" s="93">
        <f t="shared" si="62"/>
        <v>0</v>
      </c>
      <c r="AH546" s="93">
        <f t="shared" si="62"/>
        <v>0</v>
      </c>
      <c r="AI546" s="93">
        <f t="shared" si="62"/>
        <v>0</v>
      </c>
      <c r="AQ546" s="83" t="str">
        <f t="shared" si="63"/>
        <v>D2θ</v>
      </c>
    </row>
    <row r="547" spans="1:43" x14ac:dyDescent="0.3">
      <c r="A547" s="93">
        <f t="shared" si="61"/>
        <v>0</v>
      </c>
      <c r="B547" s="94" t="s">
        <v>190</v>
      </c>
      <c r="C547" s="93">
        <f t="shared" si="62"/>
        <v>0</v>
      </c>
      <c r="D547" s="93">
        <f t="shared" si="62"/>
        <v>0</v>
      </c>
      <c r="E547" s="93">
        <f t="shared" si="62"/>
        <v>0</v>
      </c>
      <c r="F547" s="93">
        <f t="shared" si="62"/>
        <v>0</v>
      </c>
      <c r="G547" s="93">
        <f t="shared" si="62"/>
        <v>0</v>
      </c>
      <c r="H547" s="93">
        <f t="shared" si="62"/>
        <v>0</v>
      </c>
      <c r="I547" s="92">
        <f t="shared" si="62"/>
        <v>0</v>
      </c>
      <c r="J547" s="93">
        <f t="shared" si="62"/>
        <v>0</v>
      </c>
      <c r="K547" s="93">
        <f t="shared" si="62"/>
        <v>0</v>
      </c>
      <c r="L547" s="93">
        <f t="shared" si="62"/>
        <v>0</v>
      </c>
      <c r="M547" s="93">
        <f t="shared" si="62"/>
        <v>0</v>
      </c>
      <c r="N547" s="93">
        <f t="shared" si="62"/>
        <v>0</v>
      </c>
      <c r="O547" s="93">
        <f t="shared" si="62"/>
        <v>0</v>
      </c>
      <c r="P547" s="93">
        <f t="shared" si="62"/>
        <v>0</v>
      </c>
      <c r="Q547" s="93">
        <f t="shared" si="62"/>
        <v>0</v>
      </c>
      <c r="R547" s="93">
        <f t="shared" si="62"/>
        <v>0</v>
      </c>
      <c r="S547" s="93">
        <f t="shared" si="62"/>
        <v>0</v>
      </c>
      <c r="T547" s="93">
        <f t="shared" si="62"/>
        <v>0</v>
      </c>
      <c r="U547" s="93">
        <f t="shared" si="62"/>
        <v>0</v>
      </c>
      <c r="V547" s="93">
        <f t="shared" si="62"/>
        <v>0</v>
      </c>
      <c r="W547" s="93">
        <f t="shared" si="62"/>
        <v>0</v>
      </c>
      <c r="X547" s="93">
        <f t="shared" si="62"/>
        <v>0</v>
      </c>
      <c r="Y547" s="93">
        <f t="shared" si="62"/>
        <v>0</v>
      </c>
      <c r="Z547" s="93">
        <f t="shared" si="62"/>
        <v>0</v>
      </c>
      <c r="AA547" s="93">
        <f t="shared" si="62"/>
        <v>0</v>
      </c>
      <c r="AB547" s="93">
        <f t="shared" si="62"/>
        <v>0</v>
      </c>
      <c r="AC547" s="93">
        <f t="shared" si="62"/>
        <v>0</v>
      </c>
      <c r="AD547" s="93">
        <f t="shared" si="62"/>
        <v>0</v>
      </c>
      <c r="AE547" s="93">
        <f t="shared" si="62"/>
        <v>0</v>
      </c>
      <c r="AF547" s="93">
        <f t="shared" si="62"/>
        <v>0</v>
      </c>
      <c r="AG547" s="93">
        <f t="shared" si="62"/>
        <v>0</v>
      </c>
      <c r="AH547" s="93">
        <f t="shared" si="62"/>
        <v>0</v>
      </c>
      <c r="AI547" s="93">
        <f t="shared" si="62"/>
        <v>0</v>
      </c>
      <c r="AQ547" s="83" t="str">
        <f t="shared" si="63"/>
        <v>D3X</v>
      </c>
    </row>
    <row r="548" spans="1:43" x14ac:dyDescent="0.3">
      <c r="A548" s="93">
        <f t="shared" si="61"/>
        <v>0</v>
      </c>
      <c r="B548" s="94" t="s">
        <v>190</v>
      </c>
      <c r="C548" s="93">
        <f t="shared" si="62"/>
        <v>0</v>
      </c>
      <c r="D548" s="93">
        <f t="shared" si="62"/>
        <v>0</v>
      </c>
      <c r="E548" s="93">
        <f t="shared" si="62"/>
        <v>0</v>
      </c>
      <c r="F548" s="93">
        <f t="shared" si="62"/>
        <v>0</v>
      </c>
      <c r="G548" s="93">
        <f t="shared" si="62"/>
        <v>0</v>
      </c>
      <c r="H548" s="93">
        <f t="shared" si="62"/>
        <v>0</v>
      </c>
      <c r="I548" s="93">
        <f t="shared" si="62"/>
        <v>0</v>
      </c>
      <c r="J548" s="92">
        <f t="shared" si="62"/>
        <v>0</v>
      </c>
      <c r="K548" s="93">
        <f t="shared" si="62"/>
        <v>0</v>
      </c>
      <c r="L548" s="93">
        <f t="shared" si="62"/>
        <v>0</v>
      </c>
      <c r="M548" s="93">
        <f t="shared" si="62"/>
        <v>0</v>
      </c>
      <c r="N548" s="93">
        <f t="shared" si="62"/>
        <v>0</v>
      </c>
      <c r="O548" s="93">
        <f t="shared" si="62"/>
        <v>0</v>
      </c>
      <c r="P548" s="93">
        <f t="shared" si="62"/>
        <v>0</v>
      </c>
      <c r="Q548" s="93">
        <f t="shared" si="62"/>
        <v>0</v>
      </c>
      <c r="R548" s="93">
        <f t="shared" si="62"/>
        <v>0</v>
      </c>
      <c r="S548" s="93">
        <f t="shared" si="62"/>
        <v>0</v>
      </c>
      <c r="T548" s="93">
        <f t="shared" si="62"/>
        <v>0</v>
      </c>
      <c r="U548" s="93">
        <f t="shared" si="62"/>
        <v>0</v>
      </c>
      <c r="V548" s="93">
        <f t="shared" si="62"/>
        <v>0</v>
      </c>
      <c r="W548" s="93">
        <f t="shared" si="62"/>
        <v>0</v>
      </c>
      <c r="X548" s="93">
        <f t="shared" si="62"/>
        <v>0</v>
      </c>
      <c r="Y548" s="93">
        <f t="shared" si="62"/>
        <v>0</v>
      </c>
      <c r="Z548" s="93">
        <f t="shared" si="62"/>
        <v>0</v>
      </c>
      <c r="AA548" s="93">
        <f t="shared" ref="AA548:AI548" si="64">Z474</f>
        <v>0</v>
      </c>
      <c r="AB548" s="93">
        <f t="shared" si="64"/>
        <v>0</v>
      </c>
      <c r="AC548" s="93">
        <f t="shared" si="64"/>
        <v>0</v>
      </c>
      <c r="AD548" s="93">
        <f t="shared" si="64"/>
        <v>0</v>
      </c>
      <c r="AE548" s="93">
        <f t="shared" si="64"/>
        <v>0</v>
      </c>
      <c r="AF548" s="93">
        <f t="shared" si="64"/>
        <v>0</v>
      </c>
      <c r="AG548" s="93">
        <f t="shared" si="64"/>
        <v>0</v>
      </c>
      <c r="AH548" s="93">
        <f t="shared" si="64"/>
        <v>0</v>
      </c>
      <c r="AI548" s="93">
        <f t="shared" si="64"/>
        <v>0</v>
      </c>
      <c r="AQ548" s="83" t="str">
        <f t="shared" si="63"/>
        <v>D3Y</v>
      </c>
    </row>
    <row r="549" spans="1:43" x14ac:dyDescent="0.3">
      <c r="A549" s="93">
        <f t="shared" si="61"/>
        <v>0</v>
      </c>
      <c r="B549" s="94" t="s">
        <v>190</v>
      </c>
      <c r="C549" s="93">
        <f t="shared" ref="C549:AI556" si="65">B475</f>
        <v>0</v>
      </c>
      <c r="D549" s="93">
        <f t="shared" si="65"/>
        <v>0</v>
      </c>
      <c r="E549" s="93">
        <f t="shared" si="65"/>
        <v>0</v>
      </c>
      <c r="F549" s="93">
        <f t="shared" si="65"/>
        <v>0</v>
      </c>
      <c r="G549" s="93">
        <f t="shared" si="65"/>
        <v>0</v>
      </c>
      <c r="H549" s="93">
        <f t="shared" si="65"/>
        <v>0</v>
      </c>
      <c r="I549" s="93">
        <f t="shared" si="65"/>
        <v>0</v>
      </c>
      <c r="J549" s="93">
        <f t="shared" si="65"/>
        <v>0</v>
      </c>
      <c r="K549" s="92">
        <f t="shared" si="65"/>
        <v>0</v>
      </c>
      <c r="L549" s="93">
        <f t="shared" si="65"/>
        <v>0</v>
      </c>
      <c r="M549" s="93">
        <f t="shared" si="65"/>
        <v>0</v>
      </c>
      <c r="N549" s="93">
        <f t="shared" si="65"/>
        <v>0</v>
      </c>
      <c r="O549" s="93">
        <f t="shared" si="65"/>
        <v>0</v>
      </c>
      <c r="P549" s="93">
        <f t="shared" si="65"/>
        <v>0</v>
      </c>
      <c r="Q549" s="93">
        <f t="shared" si="65"/>
        <v>0</v>
      </c>
      <c r="R549" s="93">
        <f t="shared" si="65"/>
        <v>0</v>
      </c>
      <c r="S549" s="93">
        <f t="shared" si="65"/>
        <v>0</v>
      </c>
      <c r="T549" s="93">
        <f t="shared" si="65"/>
        <v>0</v>
      </c>
      <c r="U549" s="93">
        <f t="shared" si="65"/>
        <v>0</v>
      </c>
      <c r="V549" s="93">
        <f t="shared" si="65"/>
        <v>0</v>
      </c>
      <c r="W549" s="93">
        <f t="shared" si="65"/>
        <v>0</v>
      </c>
      <c r="X549" s="93">
        <f t="shared" si="65"/>
        <v>0</v>
      </c>
      <c r="Y549" s="93">
        <f t="shared" si="65"/>
        <v>0</v>
      </c>
      <c r="Z549" s="93">
        <f t="shared" si="65"/>
        <v>0</v>
      </c>
      <c r="AA549" s="93">
        <f t="shared" si="65"/>
        <v>0</v>
      </c>
      <c r="AB549" s="93">
        <f t="shared" si="65"/>
        <v>0</v>
      </c>
      <c r="AC549" s="93">
        <f t="shared" si="65"/>
        <v>0</v>
      </c>
      <c r="AD549" s="93">
        <f t="shared" si="65"/>
        <v>0</v>
      </c>
      <c r="AE549" s="93">
        <f t="shared" si="65"/>
        <v>0</v>
      </c>
      <c r="AF549" s="93">
        <f t="shared" si="65"/>
        <v>0</v>
      </c>
      <c r="AG549" s="93">
        <f t="shared" si="65"/>
        <v>0</v>
      </c>
      <c r="AH549" s="93">
        <f t="shared" si="65"/>
        <v>0</v>
      </c>
      <c r="AI549" s="93">
        <f t="shared" si="65"/>
        <v>0</v>
      </c>
      <c r="AQ549" s="83" t="str">
        <f t="shared" si="63"/>
        <v>D3θ</v>
      </c>
    </row>
    <row r="550" spans="1:43" x14ac:dyDescent="0.3">
      <c r="A550" s="93">
        <f t="shared" si="61"/>
        <v>0</v>
      </c>
      <c r="B550" s="94" t="s">
        <v>190</v>
      </c>
      <c r="C550" s="93">
        <f t="shared" si="65"/>
        <v>0</v>
      </c>
      <c r="D550" s="93">
        <f t="shared" si="65"/>
        <v>0</v>
      </c>
      <c r="E550" s="93">
        <f t="shared" si="65"/>
        <v>0</v>
      </c>
      <c r="F550" s="93">
        <f t="shared" si="65"/>
        <v>0</v>
      </c>
      <c r="G550" s="93">
        <f t="shared" si="65"/>
        <v>0</v>
      </c>
      <c r="H550" s="93">
        <f t="shared" si="65"/>
        <v>0</v>
      </c>
      <c r="I550" s="93">
        <f t="shared" si="65"/>
        <v>0</v>
      </c>
      <c r="J550" s="93">
        <f t="shared" si="65"/>
        <v>0</v>
      </c>
      <c r="K550" s="93">
        <f t="shared" si="65"/>
        <v>0</v>
      </c>
      <c r="L550" s="92">
        <f t="shared" si="65"/>
        <v>0</v>
      </c>
      <c r="M550" s="93">
        <f t="shared" si="65"/>
        <v>0</v>
      </c>
      <c r="N550" s="93">
        <f t="shared" si="65"/>
        <v>0</v>
      </c>
      <c r="O550" s="93">
        <f t="shared" si="65"/>
        <v>0</v>
      </c>
      <c r="P550" s="93">
        <f t="shared" si="65"/>
        <v>0</v>
      </c>
      <c r="Q550" s="93">
        <f t="shared" si="65"/>
        <v>0</v>
      </c>
      <c r="R550" s="93">
        <f t="shared" si="65"/>
        <v>0</v>
      </c>
      <c r="S550" s="93">
        <f t="shared" si="65"/>
        <v>0</v>
      </c>
      <c r="T550" s="93">
        <f t="shared" si="65"/>
        <v>0</v>
      </c>
      <c r="U550" s="93">
        <f t="shared" si="65"/>
        <v>0</v>
      </c>
      <c r="V550" s="93">
        <f t="shared" si="65"/>
        <v>0</v>
      </c>
      <c r="W550" s="93">
        <f t="shared" si="65"/>
        <v>0</v>
      </c>
      <c r="X550" s="93">
        <f t="shared" si="65"/>
        <v>0</v>
      </c>
      <c r="Y550" s="93">
        <f t="shared" si="65"/>
        <v>0</v>
      </c>
      <c r="Z550" s="93">
        <f t="shared" si="65"/>
        <v>0</v>
      </c>
      <c r="AA550" s="93">
        <f t="shared" si="65"/>
        <v>0</v>
      </c>
      <c r="AB550" s="93">
        <f t="shared" si="65"/>
        <v>0</v>
      </c>
      <c r="AC550" s="93">
        <f t="shared" si="65"/>
        <v>0</v>
      </c>
      <c r="AD550" s="93">
        <f t="shared" si="65"/>
        <v>0</v>
      </c>
      <c r="AE550" s="93">
        <f t="shared" si="65"/>
        <v>0</v>
      </c>
      <c r="AF550" s="93">
        <f t="shared" si="65"/>
        <v>0</v>
      </c>
      <c r="AG550" s="93">
        <f t="shared" si="65"/>
        <v>0</v>
      </c>
      <c r="AH550" s="93">
        <f t="shared" si="65"/>
        <v>0</v>
      </c>
      <c r="AI550" s="93">
        <f t="shared" si="65"/>
        <v>0</v>
      </c>
      <c r="AQ550" s="83" t="str">
        <f t="shared" si="63"/>
        <v>D4X</v>
      </c>
    </row>
    <row r="551" spans="1:43" x14ac:dyDescent="0.3">
      <c r="A551" s="93">
        <f t="shared" si="61"/>
        <v>0</v>
      </c>
      <c r="B551" s="94" t="s">
        <v>190</v>
      </c>
      <c r="C551" s="93">
        <f t="shared" si="65"/>
        <v>0</v>
      </c>
      <c r="D551" s="93">
        <f t="shared" si="65"/>
        <v>0</v>
      </c>
      <c r="E551" s="93">
        <f t="shared" si="65"/>
        <v>0</v>
      </c>
      <c r="F551" s="93">
        <f t="shared" si="65"/>
        <v>0</v>
      </c>
      <c r="G551" s="93">
        <f t="shared" si="65"/>
        <v>0</v>
      </c>
      <c r="H551" s="93">
        <f t="shared" si="65"/>
        <v>0</v>
      </c>
      <c r="I551" s="93">
        <f t="shared" si="65"/>
        <v>0</v>
      </c>
      <c r="J551" s="93">
        <f t="shared" si="65"/>
        <v>0</v>
      </c>
      <c r="K551" s="93">
        <f t="shared" si="65"/>
        <v>0</v>
      </c>
      <c r="L551" s="93">
        <f t="shared" si="65"/>
        <v>0</v>
      </c>
      <c r="M551" s="92">
        <f t="shared" si="65"/>
        <v>0</v>
      </c>
      <c r="N551" s="93">
        <f t="shared" si="65"/>
        <v>0</v>
      </c>
      <c r="O551" s="93">
        <f t="shared" si="65"/>
        <v>0</v>
      </c>
      <c r="P551" s="93">
        <f t="shared" si="65"/>
        <v>0</v>
      </c>
      <c r="Q551" s="93">
        <f t="shared" si="65"/>
        <v>0</v>
      </c>
      <c r="R551" s="93">
        <f t="shared" si="65"/>
        <v>0</v>
      </c>
      <c r="S551" s="93">
        <f t="shared" si="65"/>
        <v>0</v>
      </c>
      <c r="T551" s="93">
        <f t="shared" si="65"/>
        <v>0</v>
      </c>
      <c r="U551" s="93">
        <f t="shared" si="65"/>
        <v>0</v>
      </c>
      <c r="V551" s="93">
        <f t="shared" si="65"/>
        <v>0</v>
      </c>
      <c r="W551" s="93">
        <f t="shared" si="65"/>
        <v>0</v>
      </c>
      <c r="X551" s="93">
        <f t="shared" si="65"/>
        <v>0</v>
      </c>
      <c r="Y551" s="93">
        <f t="shared" si="65"/>
        <v>0</v>
      </c>
      <c r="Z551" s="93">
        <f t="shared" si="65"/>
        <v>0</v>
      </c>
      <c r="AA551" s="93">
        <f t="shared" si="65"/>
        <v>0</v>
      </c>
      <c r="AB551" s="93">
        <f t="shared" si="65"/>
        <v>0</v>
      </c>
      <c r="AC551" s="93">
        <f t="shared" si="65"/>
        <v>0</v>
      </c>
      <c r="AD551" s="93">
        <f t="shared" si="65"/>
        <v>0</v>
      </c>
      <c r="AE551" s="93">
        <f t="shared" si="65"/>
        <v>0</v>
      </c>
      <c r="AF551" s="93">
        <f t="shared" si="65"/>
        <v>0</v>
      </c>
      <c r="AG551" s="93">
        <f t="shared" si="65"/>
        <v>0</v>
      </c>
      <c r="AH551" s="93">
        <f t="shared" si="65"/>
        <v>0</v>
      </c>
      <c r="AI551" s="93">
        <f t="shared" si="65"/>
        <v>0</v>
      </c>
      <c r="AQ551" s="83" t="str">
        <f t="shared" si="63"/>
        <v>D4Y</v>
      </c>
    </row>
    <row r="552" spans="1:43" x14ac:dyDescent="0.3">
      <c r="A552" s="93">
        <f t="shared" si="61"/>
        <v>0</v>
      </c>
      <c r="B552" s="94" t="s">
        <v>190</v>
      </c>
      <c r="C552" s="93">
        <f t="shared" si="65"/>
        <v>0</v>
      </c>
      <c r="D552" s="93">
        <f t="shared" si="65"/>
        <v>0</v>
      </c>
      <c r="E552" s="93">
        <f t="shared" si="65"/>
        <v>0</v>
      </c>
      <c r="F552" s="93">
        <f t="shared" si="65"/>
        <v>0</v>
      </c>
      <c r="G552" s="93">
        <f t="shared" si="65"/>
        <v>0</v>
      </c>
      <c r="H552" s="93">
        <f t="shared" si="65"/>
        <v>0</v>
      </c>
      <c r="I552" s="93">
        <f t="shared" si="65"/>
        <v>0</v>
      </c>
      <c r="J552" s="93">
        <f t="shared" si="65"/>
        <v>0</v>
      </c>
      <c r="K552" s="93">
        <f t="shared" si="65"/>
        <v>0</v>
      </c>
      <c r="L552" s="93">
        <f t="shared" si="65"/>
        <v>0</v>
      </c>
      <c r="M552" s="93">
        <f t="shared" si="65"/>
        <v>0</v>
      </c>
      <c r="N552" s="92">
        <f t="shared" si="65"/>
        <v>0</v>
      </c>
      <c r="O552" s="93">
        <f t="shared" si="65"/>
        <v>0</v>
      </c>
      <c r="P552" s="93">
        <f t="shared" si="65"/>
        <v>0</v>
      </c>
      <c r="Q552" s="93">
        <f t="shared" si="65"/>
        <v>0</v>
      </c>
      <c r="R552" s="93">
        <f t="shared" si="65"/>
        <v>0</v>
      </c>
      <c r="S552" s="93">
        <f t="shared" si="65"/>
        <v>0</v>
      </c>
      <c r="T552" s="93">
        <f t="shared" si="65"/>
        <v>0</v>
      </c>
      <c r="U552" s="93">
        <f t="shared" si="65"/>
        <v>0</v>
      </c>
      <c r="V552" s="93">
        <f t="shared" si="65"/>
        <v>0</v>
      </c>
      <c r="W552" s="93">
        <f t="shared" si="65"/>
        <v>0</v>
      </c>
      <c r="X552" s="93">
        <f t="shared" si="65"/>
        <v>0</v>
      </c>
      <c r="Y552" s="93">
        <f t="shared" si="65"/>
        <v>0</v>
      </c>
      <c r="Z552" s="93">
        <f t="shared" si="65"/>
        <v>0</v>
      </c>
      <c r="AA552" s="93">
        <f t="shared" si="65"/>
        <v>0</v>
      </c>
      <c r="AB552" s="93">
        <f t="shared" si="65"/>
        <v>0</v>
      </c>
      <c r="AC552" s="93">
        <f t="shared" si="65"/>
        <v>0</v>
      </c>
      <c r="AD552" s="93">
        <f t="shared" si="65"/>
        <v>0</v>
      </c>
      <c r="AE552" s="93">
        <f t="shared" si="65"/>
        <v>0</v>
      </c>
      <c r="AF552" s="93">
        <f t="shared" si="65"/>
        <v>0</v>
      </c>
      <c r="AG552" s="93">
        <f t="shared" si="65"/>
        <v>0</v>
      </c>
      <c r="AH552" s="93">
        <f t="shared" si="65"/>
        <v>0</v>
      </c>
      <c r="AI552" s="93">
        <f t="shared" si="65"/>
        <v>0</v>
      </c>
      <c r="AQ552" s="83" t="str">
        <f t="shared" si="63"/>
        <v>D4θ</v>
      </c>
    </row>
    <row r="553" spans="1:43" x14ac:dyDescent="0.3">
      <c r="A553" s="93">
        <f t="shared" si="61"/>
        <v>0</v>
      </c>
      <c r="B553" s="94" t="s">
        <v>190</v>
      </c>
      <c r="C553" s="93">
        <f t="shared" si="65"/>
        <v>0</v>
      </c>
      <c r="D553" s="93">
        <f t="shared" si="65"/>
        <v>0</v>
      </c>
      <c r="E553" s="93">
        <f t="shared" si="65"/>
        <v>0</v>
      </c>
      <c r="F553" s="93">
        <f t="shared" si="65"/>
        <v>0</v>
      </c>
      <c r="G553" s="93">
        <f t="shared" si="65"/>
        <v>0</v>
      </c>
      <c r="H553" s="93">
        <f t="shared" si="65"/>
        <v>0</v>
      </c>
      <c r="I553" s="93">
        <f t="shared" si="65"/>
        <v>0</v>
      </c>
      <c r="J553" s="93">
        <f t="shared" si="65"/>
        <v>0</v>
      </c>
      <c r="K553" s="93">
        <f t="shared" si="65"/>
        <v>0</v>
      </c>
      <c r="L553" s="93">
        <f t="shared" si="65"/>
        <v>0</v>
      </c>
      <c r="M553" s="93">
        <f t="shared" si="65"/>
        <v>0</v>
      </c>
      <c r="N553" s="93">
        <f t="shared" si="65"/>
        <v>0</v>
      </c>
      <c r="O553" s="92">
        <f t="shared" si="65"/>
        <v>0</v>
      </c>
      <c r="P553" s="93">
        <f t="shared" si="65"/>
        <v>0</v>
      </c>
      <c r="Q553" s="93">
        <f t="shared" si="65"/>
        <v>0</v>
      </c>
      <c r="R553" s="93">
        <f t="shared" si="65"/>
        <v>0</v>
      </c>
      <c r="S553" s="93">
        <f t="shared" si="65"/>
        <v>0</v>
      </c>
      <c r="T553" s="93">
        <f t="shared" si="65"/>
        <v>0</v>
      </c>
      <c r="U553" s="93">
        <f t="shared" si="65"/>
        <v>0</v>
      </c>
      <c r="V553" s="93">
        <f t="shared" si="65"/>
        <v>0</v>
      </c>
      <c r="W553" s="93">
        <f t="shared" si="65"/>
        <v>0</v>
      </c>
      <c r="X553" s="93">
        <f t="shared" si="65"/>
        <v>0</v>
      </c>
      <c r="Y553" s="93">
        <f t="shared" si="65"/>
        <v>0</v>
      </c>
      <c r="Z553" s="93">
        <f t="shared" si="65"/>
        <v>0</v>
      </c>
      <c r="AA553" s="93">
        <f t="shared" si="65"/>
        <v>0</v>
      </c>
      <c r="AB553" s="93">
        <f t="shared" si="65"/>
        <v>0</v>
      </c>
      <c r="AC553" s="93">
        <f t="shared" si="65"/>
        <v>0</v>
      </c>
      <c r="AD553" s="93">
        <f t="shared" si="65"/>
        <v>0</v>
      </c>
      <c r="AE553" s="93">
        <f t="shared" si="65"/>
        <v>0</v>
      </c>
      <c r="AF553" s="93">
        <f t="shared" si="65"/>
        <v>0</v>
      </c>
      <c r="AG553" s="93">
        <f t="shared" si="65"/>
        <v>0</v>
      </c>
      <c r="AH553" s="93">
        <f t="shared" si="65"/>
        <v>0</v>
      </c>
      <c r="AI553" s="93">
        <f t="shared" si="65"/>
        <v>0</v>
      </c>
      <c r="AQ553" s="83" t="str">
        <f t="shared" si="63"/>
        <v>D5X</v>
      </c>
    </row>
    <row r="554" spans="1:43" x14ac:dyDescent="0.3">
      <c r="A554" s="93">
        <f t="shared" si="61"/>
        <v>0</v>
      </c>
      <c r="B554" s="94" t="s">
        <v>190</v>
      </c>
      <c r="C554" s="93">
        <f t="shared" si="65"/>
        <v>0</v>
      </c>
      <c r="D554" s="93">
        <f t="shared" si="65"/>
        <v>0</v>
      </c>
      <c r="E554" s="93">
        <f t="shared" si="65"/>
        <v>0</v>
      </c>
      <c r="F554" s="93">
        <f t="shared" si="65"/>
        <v>0</v>
      </c>
      <c r="G554" s="93">
        <f t="shared" si="65"/>
        <v>0</v>
      </c>
      <c r="H554" s="93">
        <f t="shared" si="65"/>
        <v>0</v>
      </c>
      <c r="I554" s="93">
        <f t="shared" si="65"/>
        <v>0</v>
      </c>
      <c r="J554" s="93">
        <f t="shared" si="65"/>
        <v>0</v>
      </c>
      <c r="K554" s="93">
        <f t="shared" si="65"/>
        <v>0</v>
      </c>
      <c r="L554" s="93">
        <f t="shared" si="65"/>
        <v>0</v>
      </c>
      <c r="M554" s="93">
        <f t="shared" si="65"/>
        <v>0</v>
      </c>
      <c r="N554" s="93">
        <f t="shared" si="65"/>
        <v>0</v>
      </c>
      <c r="O554" s="93">
        <f t="shared" si="65"/>
        <v>0</v>
      </c>
      <c r="P554" s="92">
        <f t="shared" si="65"/>
        <v>0</v>
      </c>
      <c r="Q554" s="93">
        <f t="shared" si="65"/>
        <v>0</v>
      </c>
      <c r="R554" s="93">
        <f t="shared" si="65"/>
        <v>0</v>
      </c>
      <c r="S554" s="93">
        <f t="shared" si="65"/>
        <v>0</v>
      </c>
      <c r="T554" s="93">
        <f t="shared" si="65"/>
        <v>0</v>
      </c>
      <c r="U554" s="93">
        <f t="shared" si="65"/>
        <v>0</v>
      </c>
      <c r="V554" s="93">
        <f t="shared" si="65"/>
        <v>0</v>
      </c>
      <c r="W554" s="93">
        <f t="shared" si="65"/>
        <v>0</v>
      </c>
      <c r="X554" s="93">
        <f t="shared" si="65"/>
        <v>0</v>
      </c>
      <c r="Y554" s="93">
        <f t="shared" si="65"/>
        <v>0</v>
      </c>
      <c r="Z554" s="93">
        <f t="shared" si="65"/>
        <v>0</v>
      </c>
      <c r="AA554" s="93">
        <f t="shared" si="65"/>
        <v>0</v>
      </c>
      <c r="AB554" s="93">
        <f t="shared" si="65"/>
        <v>0</v>
      </c>
      <c r="AC554" s="93">
        <f t="shared" si="65"/>
        <v>0</v>
      </c>
      <c r="AD554" s="93">
        <f t="shared" si="65"/>
        <v>0</v>
      </c>
      <c r="AE554" s="93">
        <f t="shared" si="65"/>
        <v>0</v>
      </c>
      <c r="AF554" s="93">
        <f t="shared" si="65"/>
        <v>0</v>
      </c>
      <c r="AG554" s="93">
        <f t="shared" si="65"/>
        <v>0</v>
      </c>
      <c r="AH554" s="93">
        <f t="shared" si="65"/>
        <v>0</v>
      </c>
      <c r="AI554" s="93">
        <f t="shared" si="65"/>
        <v>0</v>
      </c>
      <c r="AQ554" s="83" t="str">
        <f t="shared" si="63"/>
        <v>D5Y</v>
      </c>
    </row>
    <row r="555" spans="1:43" x14ac:dyDescent="0.3">
      <c r="A555" s="93">
        <f t="shared" si="61"/>
        <v>0</v>
      </c>
      <c r="B555" s="94" t="s">
        <v>190</v>
      </c>
      <c r="C555" s="93">
        <f t="shared" si="65"/>
        <v>0</v>
      </c>
      <c r="D555" s="93">
        <f t="shared" si="65"/>
        <v>0</v>
      </c>
      <c r="E555" s="93">
        <f t="shared" si="65"/>
        <v>0</v>
      </c>
      <c r="F555" s="93">
        <f t="shared" si="65"/>
        <v>0</v>
      </c>
      <c r="G555" s="93">
        <f t="shared" si="65"/>
        <v>0</v>
      </c>
      <c r="H555" s="93">
        <f t="shared" si="65"/>
        <v>0</v>
      </c>
      <c r="I555" s="93">
        <f t="shared" si="65"/>
        <v>0</v>
      </c>
      <c r="J555" s="93">
        <f t="shared" si="65"/>
        <v>0</v>
      </c>
      <c r="K555" s="93">
        <f t="shared" si="65"/>
        <v>0</v>
      </c>
      <c r="L555" s="93">
        <f t="shared" si="65"/>
        <v>0</v>
      </c>
      <c r="M555" s="93">
        <f t="shared" si="65"/>
        <v>0</v>
      </c>
      <c r="N555" s="93">
        <f t="shared" si="65"/>
        <v>0</v>
      </c>
      <c r="O555" s="93">
        <f t="shared" si="65"/>
        <v>0</v>
      </c>
      <c r="P555" s="93">
        <f t="shared" si="65"/>
        <v>0</v>
      </c>
      <c r="Q555" s="92">
        <f t="shared" si="65"/>
        <v>0</v>
      </c>
      <c r="R555" s="93">
        <f t="shared" si="65"/>
        <v>0</v>
      </c>
      <c r="S555" s="93">
        <f t="shared" si="65"/>
        <v>0</v>
      </c>
      <c r="T555" s="93">
        <f t="shared" si="65"/>
        <v>0</v>
      </c>
      <c r="U555" s="93">
        <f t="shared" si="65"/>
        <v>0</v>
      </c>
      <c r="V555" s="93">
        <f t="shared" si="65"/>
        <v>0</v>
      </c>
      <c r="W555" s="93">
        <f t="shared" si="65"/>
        <v>0</v>
      </c>
      <c r="X555" s="93">
        <f t="shared" si="65"/>
        <v>0</v>
      </c>
      <c r="Y555" s="93">
        <f t="shared" si="65"/>
        <v>0</v>
      </c>
      <c r="Z555" s="93">
        <f t="shared" si="65"/>
        <v>0</v>
      </c>
      <c r="AA555" s="93">
        <f t="shared" si="65"/>
        <v>0</v>
      </c>
      <c r="AB555" s="93">
        <f t="shared" si="65"/>
        <v>0</v>
      </c>
      <c r="AC555" s="93">
        <f t="shared" si="65"/>
        <v>0</v>
      </c>
      <c r="AD555" s="93">
        <f t="shared" si="65"/>
        <v>0</v>
      </c>
      <c r="AE555" s="93">
        <f t="shared" si="65"/>
        <v>0</v>
      </c>
      <c r="AF555" s="93">
        <f t="shared" si="65"/>
        <v>0</v>
      </c>
      <c r="AG555" s="93">
        <f t="shared" si="65"/>
        <v>0</v>
      </c>
      <c r="AH555" s="93">
        <f t="shared" si="65"/>
        <v>0</v>
      </c>
      <c r="AI555" s="93">
        <f t="shared" si="65"/>
        <v>0</v>
      </c>
      <c r="AQ555" s="83" t="str">
        <f t="shared" si="63"/>
        <v>D5θ</v>
      </c>
    </row>
    <row r="556" spans="1:43" x14ac:dyDescent="0.3">
      <c r="A556" s="93">
        <f t="shared" si="61"/>
        <v>0</v>
      </c>
      <c r="B556" s="94" t="s">
        <v>190</v>
      </c>
      <c r="C556" s="93">
        <f t="shared" si="65"/>
        <v>0</v>
      </c>
      <c r="D556" s="93">
        <f t="shared" si="65"/>
        <v>0</v>
      </c>
      <c r="E556" s="93">
        <f t="shared" si="65"/>
        <v>0</v>
      </c>
      <c r="F556" s="93">
        <f t="shared" si="65"/>
        <v>0</v>
      </c>
      <c r="G556" s="93">
        <f t="shared" si="65"/>
        <v>0</v>
      </c>
      <c r="H556" s="93">
        <f t="shared" si="65"/>
        <v>0</v>
      </c>
      <c r="I556" s="93">
        <f t="shared" si="65"/>
        <v>0</v>
      </c>
      <c r="J556" s="93">
        <f t="shared" si="65"/>
        <v>0</v>
      </c>
      <c r="K556" s="93">
        <f t="shared" si="65"/>
        <v>0</v>
      </c>
      <c r="L556" s="93">
        <f t="shared" si="65"/>
        <v>0</v>
      </c>
      <c r="M556" s="93">
        <f t="shared" si="65"/>
        <v>0</v>
      </c>
      <c r="N556" s="93">
        <f t="shared" si="65"/>
        <v>0</v>
      </c>
      <c r="O556" s="93">
        <f t="shared" si="65"/>
        <v>0</v>
      </c>
      <c r="P556" s="93">
        <f t="shared" si="65"/>
        <v>0</v>
      </c>
      <c r="Q556" s="93">
        <f t="shared" si="65"/>
        <v>0</v>
      </c>
      <c r="R556" s="92">
        <f t="shared" si="65"/>
        <v>0</v>
      </c>
      <c r="S556" s="93">
        <f t="shared" si="65"/>
        <v>0</v>
      </c>
      <c r="T556" s="93">
        <f t="shared" si="65"/>
        <v>0</v>
      </c>
      <c r="U556" s="93">
        <f t="shared" si="65"/>
        <v>0</v>
      </c>
      <c r="V556" s="93">
        <f t="shared" si="65"/>
        <v>0</v>
      </c>
      <c r="W556" s="93">
        <f t="shared" si="65"/>
        <v>0</v>
      </c>
      <c r="X556" s="93">
        <f t="shared" si="65"/>
        <v>0</v>
      </c>
      <c r="Y556" s="93">
        <f t="shared" si="65"/>
        <v>0</v>
      </c>
      <c r="Z556" s="93">
        <f t="shared" si="65"/>
        <v>0</v>
      </c>
      <c r="AA556" s="93">
        <f t="shared" ref="AA556:AI556" si="66">Z482</f>
        <v>0</v>
      </c>
      <c r="AB556" s="93">
        <f t="shared" si="66"/>
        <v>0</v>
      </c>
      <c r="AC556" s="93">
        <f t="shared" si="66"/>
        <v>0</v>
      </c>
      <c r="AD556" s="93">
        <f t="shared" si="66"/>
        <v>0</v>
      </c>
      <c r="AE556" s="93">
        <f t="shared" si="66"/>
        <v>0</v>
      </c>
      <c r="AF556" s="93">
        <f t="shared" si="66"/>
        <v>0</v>
      </c>
      <c r="AG556" s="93">
        <f t="shared" si="66"/>
        <v>0</v>
      </c>
      <c r="AH556" s="93">
        <f t="shared" si="66"/>
        <v>0</v>
      </c>
      <c r="AI556" s="93">
        <f t="shared" si="66"/>
        <v>0</v>
      </c>
      <c r="AQ556" s="83" t="str">
        <f t="shared" si="63"/>
        <v>D6X</v>
      </c>
    </row>
    <row r="557" spans="1:43" x14ac:dyDescent="0.3">
      <c r="A557" s="93">
        <f t="shared" si="61"/>
        <v>0</v>
      </c>
      <c r="B557" s="94" t="s">
        <v>190</v>
      </c>
      <c r="C557" s="93">
        <f t="shared" ref="C557:AI564" si="67">B483</f>
        <v>0</v>
      </c>
      <c r="D557" s="93">
        <f t="shared" si="67"/>
        <v>0</v>
      </c>
      <c r="E557" s="93">
        <f t="shared" si="67"/>
        <v>0</v>
      </c>
      <c r="F557" s="93">
        <f t="shared" si="67"/>
        <v>0</v>
      </c>
      <c r="G557" s="93">
        <f t="shared" si="67"/>
        <v>0</v>
      </c>
      <c r="H557" s="93">
        <f t="shared" si="67"/>
        <v>0</v>
      </c>
      <c r="I557" s="93">
        <f t="shared" si="67"/>
        <v>0</v>
      </c>
      <c r="J557" s="93">
        <f t="shared" si="67"/>
        <v>0</v>
      </c>
      <c r="K557" s="93">
        <f t="shared" si="67"/>
        <v>0</v>
      </c>
      <c r="L557" s="93">
        <f t="shared" si="67"/>
        <v>0</v>
      </c>
      <c r="M557" s="93">
        <f t="shared" si="67"/>
        <v>0</v>
      </c>
      <c r="N557" s="93">
        <f t="shared" si="67"/>
        <v>0</v>
      </c>
      <c r="O557" s="93">
        <f t="shared" si="67"/>
        <v>0</v>
      </c>
      <c r="P557" s="93">
        <f t="shared" si="67"/>
        <v>0</v>
      </c>
      <c r="Q557" s="93">
        <f t="shared" si="67"/>
        <v>0</v>
      </c>
      <c r="R557" s="93">
        <f t="shared" si="67"/>
        <v>0</v>
      </c>
      <c r="S557" s="92">
        <f t="shared" si="67"/>
        <v>0</v>
      </c>
      <c r="T557" s="93">
        <f t="shared" si="67"/>
        <v>0</v>
      </c>
      <c r="U557" s="93">
        <f t="shared" si="67"/>
        <v>0</v>
      </c>
      <c r="V557" s="93">
        <f t="shared" si="67"/>
        <v>0</v>
      </c>
      <c r="W557" s="93">
        <f t="shared" si="67"/>
        <v>0</v>
      </c>
      <c r="X557" s="93">
        <f t="shared" si="67"/>
        <v>0</v>
      </c>
      <c r="Y557" s="93">
        <f t="shared" si="67"/>
        <v>0</v>
      </c>
      <c r="Z557" s="93">
        <f t="shared" si="67"/>
        <v>0</v>
      </c>
      <c r="AA557" s="93">
        <f t="shared" si="67"/>
        <v>0</v>
      </c>
      <c r="AB557" s="93">
        <f t="shared" si="67"/>
        <v>0</v>
      </c>
      <c r="AC557" s="93">
        <f t="shared" si="67"/>
        <v>0</v>
      </c>
      <c r="AD557" s="93">
        <f t="shared" si="67"/>
        <v>0</v>
      </c>
      <c r="AE557" s="93">
        <f t="shared" si="67"/>
        <v>0</v>
      </c>
      <c r="AF557" s="93">
        <f t="shared" si="67"/>
        <v>0</v>
      </c>
      <c r="AG557" s="93">
        <f t="shared" si="67"/>
        <v>0</v>
      </c>
      <c r="AH557" s="93">
        <f t="shared" si="67"/>
        <v>0</v>
      </c>
      <c r="AI557" s="93">
        <f t="shared" si="67"/>
        <v>0</v>
      </c>
      <c r="AQ557" s="83" t="str">
        <f t="shared" si="63"/>
        <v>D6Y</v>
      </c>
    </row>
    <row r="558" spans="1:43" x14ac:dyDescent="0.3">
      <c r="A558" s="93">
        <f t="shared" si="61"/>
        <v>0</v>
      </c>
      <c r="B558" s="94" t="s">
        <v>190</v>
      </c>
      <c r="C558" s="93">
        <f t="shared" si="67"/>
        <v>0</v>
      </c>
      <c r="D558" s="93">
        <f t="shared" si="67"/>
        <v>0</v>
      </c>
      <c r="E558" s="93">
        <f t="shared" si="67"/>
        <v>0</v>
      </c>
      <c r="F558" s="93">
        <f t="shared" si="67"/>
        <v>0</v>
      </c>
      <c r="G558" s="93">
        <f t="shared" si="67"/>
        <v>0</v>
      </c>
      <c r="H558" s="93">
        <f t="shared" si="67"/>
        <v>0</v>
      </c>
      <c r="I558" s="93">
        <f t="shared" si="67"/>
        <v>0</v>
      </c>
      <c r="J558" s="93">
        <f t="shared" si="67"/>
        <v>0</v>
      </c>
      <c r="K558" s="93">
        <f t="shared" si="67"/>
        <v>0</v>
      </c>
      <c r="L558" s="93">
        <f t="shared" si="67"/>
        <v>0</v>
      </c>
      <c r="M558" s="93">
        <f t="shared" si="67"/>
        <v>0</v>
      </c>
      <c r="N558" s="93">
        <f t="shared" si="67"/>
        <v>0</v>
      </c>
      <c r="O558" s="93">
        <f t="shared" si="67"/>
        <v>0</v>
      </c>
      <c r="P558" s="93">
        <f t="shared" si="67"/>
        <v>0</v>
      </c>
      <c r="Q558" s="93">
        <f t="shared" si="67"/>
        <v>0</v>
      </c>
      <c r="R558" s="93">
        <f t="shared" si="67"/>
        <v>0</v>
      </c>
      <c r="S558" s="93">
        <f t="shared" si="67"/>
        <v>0</v>
      </c>
      <c r="T558" s="92">
        <f t="shared" si="67"/>
        <v>0</v>
      </c>
      <c r="U558" s="93">
        <f t="shared" si="67"/>
        <v>0</v>
      </c>
      <c r="V558" s="93">
        <f t="shared" si="67"/>
        <v>0</v>
      </c>
      <c r="W558" s="93">
        <f t="shared" si="67"/>
        <v>0</v>
      </c>
      <c r="X558" s="93">
        <f t="shared" si="67"/>
        <v>0</v>
      </c>
      <c r="Y558" s="93">
        <f t="shared" si="67"/>
        <v>0</v>
      </c>
      <c r="Z558" s="93">
        <f t="shared" si="67"/>
        <v>0</v>
      </c>
      <c r="AA558" s="93">
        <f t="shared" si="67"/>
        <v>0</v>
      </c>
      <c r="AB558" s="93">
        <f t="shared" si="67"/>
        <v>0</v>
      </c>
      <c r="AC558" s="93">
        <f t="shared" si="67"/>
        <v>0</v>
      </c>
      <c r="AD558" s="93">
        <f t="shared" si="67"/>
        <v>0</v>
      </c>
      <c r="AE558" s="93">
        <f t="shared" si="67"/>
        <v>0</v>
      </c>
      <c r="AF558" s="93">
        <f t="shared" si="67"/>
        <v>0</v>
      </c>
      <c r="AG558" s="93">
        <f t="shared" si="67"/>
        <v>0</v>
      </c>
      <c r="AH558" s="93">
        <f t="shared" si="67"/>
        <v>0</v>
      </c>
      <c r="AI558" s="93">
        <f t="shared" si="67"/>
        <v>0</v>
      </c>
      <c r="AQ558" s="83" t="str">
        <f t="shared" si="63"/>
        <v>D6θ</v>
      </c>
    </row>
    <row r="559" spans="1:43" x14ac:dyDescent="0.3">
      <c r="A559" s="93">
        <f t="shared" si="61"/>
        <v>0</v>
      </c>
      <c r="B559" s="94" t="s">
        <v>190</v>
      </c>
      <c r="C559" s="93">
        <f t="shared" si="67"/>
        <v>0</v>
      </c>
      <c r="D559" s="93">
        <f t="shared" si="67"/>
        <v>0</v>
      </c>
      <c r="E559" s="93">
        <f t="shared" si="67"/>
        <v>0</v>
      </c>
      <c r="F559" s="93">
        <f t="shared" si="67"/>
        <v>0</v>
      </c>
      <c r="G559" s="93">
        <f t="shared" si="67"/>
        <v>0</v>
      </c>
      <c r="H559" s="93">
        <f t="shared" si="67"/>
        <v>0</v>
      </c>
      <c r="I559" s="93">
        <f t="shared" si="67"/>
        <v>0</v>
      </c>
      <c r="J559" s="93">
        <f t="shared" si="67"/>
        <v>0</v>
      </c>
      <c r="K559" s="93">
        <f t="shared" si="67"/>
        <v>0</v>
      </c>
      <c r="L559" s="93">
        <f t="shared" si="67"/>
        <v>0</v>
      </c>
      <c r="M559" s="93">
        <f t="shared" si="67"/>
        <v>0</v>
      </c>
      <c r="N559" s="93">
        <f t="shared" si="67"/>
        <v>0</v>
      </c>
      <c r="O559" s="93">
        <f t="shared" si="67"/>
        <v>0</v>
      </c>
      <c r="P559" s="93">
        <f t="shared" si="67"/>
        <v>0</v>
      </c>
      <c r="Q559" s="93">
        <f t="shared" si="67"/>
        <v>0</v>
      </c>
      <c r="R559" s="93">
        <f t="shared" si="67"/>
        <v>0</v>
      </c>
      <c r="S559" s="93">
        <f t="shared" si="67"/>
        <v>0</v>
      </c>
      <c r="T559" s="93">
        <f t="shared" si="67"/>
        <v>0</v>
      </c>
      <c r="U559" s="92">
        <f t="shared" si="67"/>
        <v>0</v>
      </c>
      <c r="V559" s="93">
        <f t="shared" si="67"/>
        <v>0</v>
      </c>
      <c r="W559" s="93">
        <f t="shared" si="67"/>
        <v>0</v>
      </c>
      <c r="X559" s="93">
        <f t="shared" si="67"/>
        <v>0</v>
      </c>
      <c r="Y559" s="93">
        <f t="shared" si="67"/>
        <v>0</v>
      </c>
      <c r="Z559" s="93">
        <f t="shared" si="67"/>
        <v>0</v>
      </c>
      <c r="AA559" s="93">
        <f t="shared" si="67"/>
        <v>0</v>
      </c>
      <c r="AB559" s="93">
        <f t="shared" si="67"/>
        <v>0</v>
      </c>
      <c r="AC559" s="93">
        <f t="shared" si="67"/>
        <v>0</v>
      </c>
      <c r="AD559" s="93">
        <f t="shared" si="67"/>
        <v>0</v>
      </c>
      <c r="AE559" s="93">
        <f t="shared" si="67"/>
        <v>0</v>
      </c>
      <c r="AF559" s="93">
        <f t="shared" si="67"/>
        <v>0</v>
      </c>
      <c r="AG559" s="93">
        <f t="shared" si="67"/>
        <v>0</v>
      </c>
      <c r="AH559" s="93">
        <f t="shared" si="67"/>
        <v>0</v>
      </c>
      <c r="AI559" s="93">
        <f t="shared" si="67"/>
        <v>0</v>
      </c>
      <c r="AQ559" s="83" t="str">
        <f t="shared" si="63"/>
        <v>D7X</v>
      </c>
    </row>
    <row r="560" spans="1:43" x14ac:dyDescent="0.3">
      <c r="A560" s="93">
        <f t="shared" si="61"/>
        <v>0</v>
      </c>
      <c r="B560" s="94" t="s">
        <v>190</v>
      </c>
      <c r="C560" s="93">
        <f t="shared" si="67"/>
        <v>0</v>
      </c>
      <c r="D560" s="93">
        <f t="shared" si="67"/>
        <v>0</v>
      </c>
      <c r="E560" s="93">
        <f t="shared" si="67"/>
        <v>0</v>
      </c>
      <c r="F560" s="93">
        <f t="shared" si="67"/>
        <v>0</v>
      </c>
      <c r="G560" s="93">
        <f t="shared" si="67"/>
        <v>0</v>
      </c>
      <c r="H560" s="93">
        <f t="shared" si="67"/>
        <v>0</v>
      </c>
      <c r="I560" s="93">
        <f t="shared" si="67"/>
        <v>0</v>
      </c>
      <c r="J560" s="93">
        <f t="shared" si="67"/>
        <v>0</v>
      </c>
      <c r="K560" s="93">
        <f t="shared" si="67"/>
        <v>0</v>
      </c>
      <c r="L560" s="93">
        <f t="shared" si="67"/>
        <v>0</v>
      </c>
      <c r="M560" s="93">
        <f t="shared" si="67"/>
        <v>0</v>
      </c>
      <c r="N560" s="93">
        <f t="shared" si="67"/>
        <v>0</v>
      </c>
      <c r="O560" s="93">
        <f t="shared" si="67"/>
        <v>0</v>
      </c>
      <c r="P560" s="93">
        <f t="shared" si="67"/>
        <v>0</v>
      </c>
      <c r="Q560" s="93">
        <f t="shared" si="67"/>
        <v>0</v>
      </c>
      <c r="R560" s="93">
        <f t="shared" si="67"/>
        <v>0</v>
      </c>
      <c r="S560" s="93">
        <f t="shared" si="67"/>
        <v>0</v>
      </c>
      <c r="T560" s="93">
        <f t="shared" si="67"/>
        <v>0</v>
      </c>
      <c r="U560" s="93">
        <f t="shared" si="67"/>
        <v>0</v>
      </c>
      <c r="V560" s="92">
        <f t="shared" si="67"/>
        <v>0</v>
      </c>
      <c r="W560" s="93">
        <f t="shared" si="67"/>
        <v>0</v>
      </c>
      <c r="X560" s="93">
        <f t="shared" si="67"/>
        <v>0</v>
      </c>
      <c r="Y560" s="93">
        <f t="shared" si="67"/>
        <v>0</v>
      </c>
      <c r="Z560" s="93">
        <f t="shared" si="67"/>
        <v>0</v>
      </c>
      <c r="AA560" s="93">
        <f t="shared" si="67"/>
        <v>0</v>
      </c>
      <c r="AB560" s="93">
        <f t="shared" si="67"/>
        <v>0</v>
      </c>
      <c r="AC560" s="93">
        <f t="shared" si="67"/>
        <v>0</v>
      </c>
      <c r="AD560" s="93">
        <f t="shared" si="67"/>
        <v>0</v>
      </c>
      <c r="AE560" s="93">
        <f t="shared" si="67"/>
        <v>0</v>
      </c>
      <c r="AF560" s="93">
        <f t="shared" si="67"/>
        <v>0</v>
      </c>
      <c r="AG560" s="93">
        <f t="shared" si="67"/>
        <v>0</v>
      </c>
      <c r="AH560" s="93">
        <f t="shared" si="67"/>
        <v>0</v>
      </c>
      <c r="AI560" s="93">
        <f t="shared" si="67"/>
        <v>0</v>
      </c>
      <c r="AQ560" s="83" t="str">
        <f t="shared" si="63"/>
        <v>D7Y</v>
      </c>
    </row>
    <row r="561" spans="1:43" x14ac:dyDescent="0.3">
      <c r="A561" s="93">
        <f t="shared" si="61"/>
        <v>0</v>
      </c>
      <c r="B561" s="94" t="s">
        <v>190</v>
      </c>
      <c r="C561" s="93">
        <f t="shared" si="67"/>
        <v>0</v>
      </c>
      <c r="D561" s="93">
        <f t="shared" si="67"/>
        <v>0</v>
      </c>
      <c r="E561" s="93">
        <f t="shared" si="67"/>
        <v>0</v>
      </c>
      <c r="F561" s="93">
        <f t="shared" si="67"/>
        <v>0</v>
      </c>
      <c r="G561" s="93">
        <f t="shared" si="67"/>
        <v>0</v>
      </c>
      <c r="H561" s="93">
        <f t="shared" si="67"/>
        <v>0</v>
      </c>
      <c r="I561" s="93">
        <f t="shared" si="67"/>
        <v>0</v>
      </c>
      <c r="J561" s="93">
        <f t="shared" si="67"/>
        <v>0</v>
      </c>
      <c r="K561" s="93">
        <f t="shared" si="67"/>
        <v>0</v>
      </c>
      <c r="L561" s="93">
        <f t="shared" si="67"/>
        <v>0</v>
      </c>
      <c r="M561" s="93">
        <f t="shared" si="67"/>
        <v>0</v>
      </c>
      <c r="N561" s="93">
        <f t="shared" si="67"/>
        <v>0</v>
      </c>
      <c r="O561" s="93">
        <f t="shared" si="67"/>
        <v>0</v>
      </c>
      <c r="P561" s="93">
        <f t="shared" si="67"/>
        <v>0</v>
      </c>
      <c r="Q561" s="93">
        <f t="shared" si="67"/>
        <v>0</v>
      </c>
      <c r="R561" s="93">
        <f t="shared" si="67"/>
        <v>0</v>
      </c>
      <c r="S561" s="93">
        <f t="shared" si="67"/>
        <v>0</v>
      </c>
      <c r="T561" s="93">
        <f t="shared" si="67"/>
        <v>0</v>
      </c>
      <c r="U561" s="93">
        <f t="shared" si="67"/>
        <v>0</v>
      </c>
      <c r="V561" s="93">
        <f t="shared" si="67"/>
        <v>0</v>
      </c>
      <c r="W561" s="92">
        <f t="shared" si="67"/>
        <v>0</v>
      </c>
      <c r="X561" s="93">
        <f t="shared" si="67"/>
        <v>0</v>
      </c>
      <c r="Y561" s="93">
        <f t="shared" si="67"/>
        <v>0</v>
      </c>
      <c r="Z561" s="93">
        <f t="shared" si="67"/>
        <v>0</v>
      </c>
      <c r="AA561" s="93">
        <f t="shared" si="67"/>
        <v>0</v>
      </c>
      <c r="AB561" s="93">
        <f t="shared" si="67"/>
        <v>0</v>
      </c>
      <c r="AC561" s="93">
        <f t="shared" si="67"/>
        <v>0</v>
      </c>
      <c r="AD561" s="93">
        <f t="shared" si="67"/>
        <v>0</v>
      </c>
      <c r="AE561" s="93">
        <f t="shared" si="67"/>
        <v>0</v>
      </c>
      <c r="AF561" s="93">
        <f t="shared" si="67"/>
        <v>0</v>
      </c>
      <c r="AG561" s="93">
        <f t="shared" si="67"/>
        <v>0</v>
      </c>
      <c r="AH561" s="93">
        <f t="shared" si="67"/>
        <v>0</v>
      </c>
      <c r="AI561" s="93">
        <f t="shared" si="67"/>
        <v>0</v>
      </c>
      <c r="AQ561" s="83" t="str">
        <f t="shared" si="63"/>
        <v>D7θ</v>
      </c>
    </row>
    <row r="562" spans="1:43" x14ac:dyDescent="0.3">
      <c r="A562" s="93">
        <f t="shared" si="61"/>
        <v>0</v>
      </c>
      <c r="B562" s="94" t="s">
        <v>190</v>
      </c>
      <c r="C562" s="93">
        <f t="shared" si="67"/>
        <v>0</v>
      </c>
      <c r="D562" s="93">
        <f t="shared" si="67"/>
        <v>0</v>
      </c>
      <c r="E562" s="93">
        <f t="shared" si="67"/>
        <v>0</v>
      </c>
      <c r="F562" s="93">
        <f t="shared" si="67"/>
        <v>0</v>
      </c>
      <c r="G562" s="93">
        <f t="shared" si="67"/>
        <v>0</v>
      </c>
      <c r="H562" s="93">
        <f t="shared" si="67"/>
        <v>0</v>
      </c>
      <c r="I562" s="93">
        <f t="shared" si="67"/>
        <v>0</v>
      </c>
      <c r="J562" s="93">
        <f t="shared" si="67"/>
        <v>0</v>
      </c>
      <c r="K562" s="93">
        <f t="shared" si="67"/>
        <v>0</v>
      </c>
      <c r="L562" s="93">
        <f t="shared" si="67"/>
        <v>0</v>
      </c>
      <c r="M562" s="93">
        <f t="shared" si="67"/>
        <v>0</v>
      </c>
      <c r="N562" s="93">
        <f t="shared" si="67"/>
        <v>0</v>
      </c>
      <c r="O562" s="93">
        <f t="shared" si="67"/>
        <v>0</v>
      </c>
      <c r="P562" s="93">
        <f t="shared" si="67"/>
        <v>0</v>
      </c>
      <c r="Q562" s="93">
        <f t="shared" si="67"/>
        <v>0</v>
      </c>
      <c r="R562" s="93">
        <f t="shared" si="67"/>
        <v>0</v>
      </c>
      <c r="S562" s="93">
        <f t="shared" si="67"/>
        <v>0</v>
      </c>
      <c r="T562" s="93">
        <f t="shared" si="67"/>
        <v>0</v>
      </c>
      <c r="U562" s="93">
        <f t="shared" si="67"/>
        <v>0</v>
      </c>
      <c r="V562" s="93">
        <f t="shared" si="67"/>
        <v>0</v>
      </c>
      <c r="W562" s="93">
        <f t="shared" si="67"/>
        <v>0</v>
      </c>
      <c r="X562" s="92">
        <f t="shared" si="67"/>
        <v>0</v>
      </c>
      <c r="Y562" s="93">
        <f t="shared" si="67"/>
        <v>0</v>
      </c>
      <c r="Z562" s="93">
        <f t="shared" si="67"/>
        <v>0</v>
      </c>
      <c r="AA562" s="93">
        <f t="shared" si="67"/>
        <v>0</v>
      </c>
      <c r="AB562" s="93">
        <f t="shared" si="67"/>
        <v>0</v>
      </c>
      <c r="AC562" s="93">
        <f t="shared" si="67"/>
        <v>0</v>
      </c>
      <c r="AD562" s="93">
        <f t="shared" si="67"/>
        <v>0</v>
      </c>
      <c r="AE562" s="93">
        <f t="shared" si="67"/>
        <v>0</v>
      </c>
      <c r="AF562" s="93">
        <f t="shared" si="67"/>
        <v>0</v>
      </c>
      <c r="AG562" s="93">
        <f t="shared" si="67"/>
        <v>0</v>
      </c>
      <c r="AH562" s="93">
        <f t="shared" si="67"/>
        <v>0</v>
      </c>
      <c r="AI562" s="93">
        <f t="shared" si="67"/>
        <v>0</v>
      </c>
      <c r="AQ562" s="83" t="str">
        <f t="shared" si="63"/>
        <v>D8X</v>
      </c>
    </row>
    <row r="563" spans="1:43" x14ac:dyDescent="0.3">
      <c r="A563" s="93">
        <f t="shared" si="61"/>
        <v>0</v>
      </c>
      <c r="B563" s="94" t="s">
        <v>190</v>
      </c>
      <c r="C563" s="93">
        <f t="shared" si="67"/>
        <v>0</v>
      </c>
      <c r="D563" s="93">
        <f t="shared" si="67"/>
        <v>0</v>
      </c>
      <c r="E563" s="93">
        <f t="shared" si="67"/>
        <v>0</v>
      </c>
      <c r="F563" s="93">
        <f t="shared" si="67"/>
        <v>0</v>
      </c>
      <c r="G563" s="93">
        <f t="shared" si="67"/>
        <v>0</v>
      </c>
      <c r="H563" s="93">
        <f t="shared" si="67"/>
        <v>0</v>
      </c>
      <c r="I563" s="93">
        <f t="shared" si="67"/>
        <v>0</v>
      </c>
      <c r="J563" s="93">
        <f t="shared" si="67"/>
        <v>0</v>
      </c>
      <c r="K563" s="93">
        <f t="shared" si="67"/>
        <v>0</v>
      </c>
      <c r="L563" s="93">
        <f t="shared" si="67"/>
        <v>0</v>
      </c>
      <c r="M563" s="93">
        <f t="shared" si="67"/>
        <v>0</v>
      </c>
      <c r="N563" s="93">
        <f t="shared" si="67"/>
        <v>0</v>
      </c>
      <c r="O563" s="93">
        <f t="shared" si="67"/>
        <v>0</v>
      </c>
      <c r="P563" s="93">
        <f t="shared" si="67"/>
        <v>0</v>
      </c>
      <c r="Q563" s="93">
        <f t="shared" si="67"/>
        <v>0</v>
      </c>
      <c r="R563" s="93">
        <f t="shared" si="67"/>
        <v>0</v>
      </c>
      <c r="S563" s="93">
        <f t="shared" si="67"/>
        <v>0</v>
      </c>
      <c r="T563" s="93">
        <f t="shared" si="67"/>
        <v>0</v>
      </c>
      <c r="U563" s="93">
        <f t="shared" si="67"/>
        <v>0</v>
      </c>
      <c r="V563" s="93">
        <f t="shared" si="67"/>
        <v>0</v>
      </c>
      <c r="W563" s="93">
        <f t="shared" si="67"/>
        <v>0</v>
      </c>
      <c r="X563" s="93">
        <f t="shared" si="67"/>
        <v>0</v>
      </c>
      <c r="Y563" s="92">
        <f t="shared" si="67"/>
        <v>0</v>
      </c>
      <c r="Z563" s="93">
        <f t="shared" si="67"/>
        <v>0</v>
      </c>
      <c r="AA563" s="93">
        <f t="shared" si="67"/>
        <v>0</v>
      </c>
      <c r="AB563" s="93">
        <f t="shared" si="67"/>
        <v>0</v>
      </c>
      <c r="AC563" s="93">
        <f t="shared" si="67"/>
        <v>0</v>
      </c>
      <c r="AD563" s="93">
        <f t="shared" si="67"/>
        <v>0</v>
      </c>
      <c r="AE563" s="93">
        <f t="shared" si="67"/>
        <v>0</v>
      </c>
      <c r="AF563" s="93">
        <f t="shared" si="67"/>
        <v>0</v>
      </c>
      <c r="AG563" s="93">
        <f t="shared" si="67"/>
        <v>0</v>
      </c>
      <c r="AH563" s="93">
        <f t="shared" si="67"/>
        <v>0</v>
      </c>
      <c r="AI563" s="93">
        <f t="shared" si="67"/>
        <v>0</v>
      </c>
      <c r="AQ563" s="83" t="str">
        <f t="shared" si="63"/>
        <v>D8Y</v>
      </c>
    </row>
    <row r="564" spans="1:43" x14ac:dyDescent="0.3">
      <c r="A564" s="93">
        <f t="shared" si="61"/>
        <v>0</v>
      </c>
      <c r="B564" s="94" t="s">
        <v>190</v>
      </c>
      <c r="C564" s="93">
        <f t="shared" si="67"/>
        <v>0</v>
      </c>
      <c r="D564" s="93">
        <f t="shared" si="67"/>
        <v>0</v>
      </c>
      <c r="E564" s="93">
        <f t="shared" si="67"/>
        <v>0</v>
      </c>
      <c r="F564" s="93">
        <f t="shared" si="67"/>
        <v>0</v>
      </c>
      <c r="G564" s="93">
        <f t="shared" si="67"/>
        <v>0</v>
      </c>
      <c r="H564" s="93">
        <f t="shared" si="67"/>
        <v>0</v>
      </c>
      <c r="I564" s="93">
        <f t="shared" si="67"/>
        <v>0</v>
      </c>
      <c r="J564" s="93">
        <f t="shared" si="67"/>
        <v>0</v>
      </c>
      <c r="K564" s="93">
        <f t="shared" si="67"/>
        <v>0</v>
      </c>
      <c r="L564" s="93">
        <f t="shared" si="67"/>
        <v>0</v>
      </c>
      <c r="M564" s="93">
        <f t="shared" si="67"/>
        <v>0</v>
      </c>
      <c r="N564" s="93">
        <f t="shared" si="67"/>
        <v>0</v>
      </c>
      <c r="O564" s="93">
        <f t="shared" si="67"/>
        <v>0</v>
      </c>
      <c r="P564" s="93">
        <f t="shared" si="67"/>
        <v>0</v>
      </c>
      <c r="Q564" s="93">
        <f t="shared" si="67"/>
        <v>0</v>
      </c>
      <c r="R564" s="93">
        <f t="shared" si="67"/>
        <v>0</v>
      </c>
      <c r="S564" s="93">
        <f t="shared" si="67"/>
        <v>0</v>
      </c>
      <c r="T564" s="93">
        <f t="shared" si="67"/>
        <v>0</v>
      </c>
      <c r="U564" s="93">
        <f t="shared" si="67"/>
        <v>0</v>
      </c>
      <c r="V564" s="93">
        <f t="shared" si="67"/>
        <v>0</v>
      </c>
      <c r="W564" s="93">
        <f t="shared" si="67"/>
        <v>0</v>
      </c>
      <c r="X564" s="93">
        <f t="shared" si="67"/>
        <v>0</v>
      </c>
      <c r="Y564" s="93">
        <f t="shared" si="67"/>
        <v>0</v>
      </c>
      <c r="Z564" s="92">
        <f t="shared" si="67"/>
        <v>0</v>
      </c>
      <c r="AA564" s="93">
        <f t="shared" ref="AA564:AI564" si="68">Z490</f>
        <v>0</v>
      </c>
      <c r="AB564" s="93">
        <f t="shared" si="68"/>
        <v>0</v>
      </c>
      <c r="AC564" s="93">
        <f t="shared" si="68"/>
        <v>0</v>
      </c>
      <c r="AD564" s="93">
        <f t="shared" si="68"/>
        <v>0</v>
      </c>
      <c r="AE564" s="93">
        <f t="shared" si="68"/>
        <v>0</v>
      </c>
      <c r="AF564" s="93">
        <f t="shared" si="68"/>
        <v>0</v>
      </c>
      <c r="AG564" s="93">
        <f t="shared" si="68"/>
        <v>0</v>
      </c>
      <c r="AH564" s="93">
        <f t="shared" si="68"/>
        <v>0</v>
      </c>
      <c r="AI564" s="93">
        <f t="shared" si="68"/>
        <v>0</v>
      </c>
      <c r="AQ564" s="83" t="str">
        <f t="shared" si="63"/>
        <v>D8θ</v>
      </c>
    </row>
    <row r="565" spans="1:43" x14ac:dyDescent="0.3">
      <c r="A565" s="93">
        <f t="shared" si="61"/>
        <v>0</v>
      </c>
      <c r="B565" s="94" t="s">
        <v>190</v>
      </c>
      <c r="C565" s="93">
        <f t="shared" ref="C565:AI572" si="69">B491</f>
        <v>0</v>
      </c>
      <c r="D565" s="93">
        <f t="shared" si="69"/>
        <v>0</v>
      </c>
      <c r="E565" s="93">
        <f t="shared" si="69"/>
        <v>0</v>
      </c>
      <c r="F565" s="93">
        <f t="shared" si="69"/>
        <v>0</v>
      </c>
      <c r="G565" s="93">
        <f t="shared" si="69"/>
        <v>0</v>
      </c>
      <c r="H565" s="93">
        <f t="shared" si="69"/>
        <v>0</v>
      </c>
      <c r="I565" s="93">
        <f t="shared" si="69"/>
        <v>0</v>
      </c>
      <c r="J565" s="93">
        <f t="shared" si="69"/>
        <v>0</v>
      </c>
      <c r="K565" s="93">
        <f t="shared" si="69"/>
        <v>0</v>
      </c>
      <c r="L565" s="93">
        <f t="shared" si="69"/>
        <v>0</v>
      </c>
      <c r="M565" s="93">
        <f t="shared" si="69"/>
        <v>0</v>
      </c>
      <c r="N565" s="93">
        <f t="shared" si="69"/>
        <v>0</v>
      </c>
      <c r="O565" s="93">
        <f t="shared" si="69"/>
        <v>0</v>
      </c>
      <c r="P565" s="93">
        <f t="shared" si="69"/>
        <v>0</v>
      </c>
      <c r="Q565" s="93">
        <f t="shared" si="69"/>
        <v>0</v>
      </c>
      <c r="R565" s="93">
        <f t="shared" si="69"/>
        <v>0</v>
      </c>
      <c r="S565" s="93">
        <f t="shared" si="69"/>
        <v>0</v>
      </c>
      <c r="T565" s="93">
        <f t="shared" si="69"/>
        <v>0</v>
      </c>
      <c r="U565" s="93">
        <f t="shared" si="69"/>
        <v>0</v>
      </c>
      <c r="V565" s="93">
        <f t="shared" si="69"/>
        <v>0</v>
      </c>
      <c r="W565" s="93">
        <f t="shared" si="69"/>
        <v>0</v>
      </c>
      <c r="X565" s="93">
        <f t="shared" si="69"/>
        <v>0</v>
      </c>
      <c r="Y565" s="93">
        <f t="shared" si="69"/>
        <v>0</v>
      </c>
      <c r="Z565" s="93">
        <f t="shared" si="69"/>
        <v>0</v>
      </c>
      <c r="AA565" s="92">
        <f t="shared" si="69"/>
        <v>0</v>
      </c>
      <c r="AB565" s="93">
        <f t="shared" si="69"/>
        <v>0</v>
      </c>
      <c r="AC565" s="93">
        <f t="shared" si="69"/>
        <v>0</v>
      </c>
      <c r="AD565" s="93">
        <f t="shared" si="69"/>
        <v>0</v>
      </c>
      <c r="AE565" s="93">
        <f t="shared" si="69"/>
        <v>0</v>
      </c>
      <c r="AF565" s="93">
        <f t="shared" si="69"/>
        <v>0</v>
      </c>
      <c r="AG565" s="93">
        <f t="shared" si="69"/>
        <v>0</v>
      </c>
      <c r="AH565" s="93">
        <f t="shared" si="69"/>
        <v>0</v>
      </c>
      <c r="AI565" s="93">
        <f t="shared" si="69"/>
        <v>0</v>
      </c>
      <c r="AQ565" s="83" t="str">
        <f t="shared" si="63"/>
        <v>D9X</v>
      </c>
    </row>
    <row r="566" spans="1:43" x14ac:dyDescent="0.3">
      <c r="A566" s="93">
        <f t="shared" si="61"/>
        <v>0</v>
      </c>
      <c r="B566" s="94" t="s">
        <v>190</v>
      </c>
      <c r="C566" s="93">
        <f t="shared" si="69"/>
        <v>0</v>
      </c>
      <c r="D566" s="93">
        <f t="shared" si="69"/>
        <v>0</v>
      </c>
      <c r="E566" s="93">
        <f t="shared" si="69"/>
        <v>0</v>
      </c>
      <c r="F566" s="93">
        <f t="shared" si="69"/>
        <v>0</v>
      </c>
      <c r="G566" s="93">
        <f t="shared" si="69"/>
        <v>0</v>
      </c>
      <c r="H566" s="93">
        <f t="shared" si="69"/>
        <v>0</v>
      </c>
      <c r="I566" s="93">
        <f t="shared" si="69"/>
        <v>0</v>
      </c>
      <c r="J566" s="93">
        <f t="shared" si="69"/>
        <v>0</v>
      </c>
      <c r="K566" s="93">
        <f t="shared" si="69"/>
        <v>0</v>
      </c>
      <c r="L566" s="93">
        <f t="shared" si="69"/>
        <v>0</v>
      </c>
      <c r="M566" s="93">
        <f t="shared" si="69"/>
        <v>0</v>
      </c>
      <c r="N566" s="93">
        <f t="shared" si="69"/>
        <v>0</v>
      </c>
      <c r="O566" s="93">
        <f t="shared" si="69"/>
        <v>0</v>
      </c>
      <c r="P566" s="93">
        <f t="shared" si="69"/>
        <v>0</v>
      </c>
      <c r="Q566" s="93">
        <f t="shared" si="69"/>
        <v>0</v>
      </c>
      <c r="R566" s="93">
        <f t="shared" si="69"/>
        <v>0</v>
      </c>
      <c r="S566" s="93">
        <f t="shared" si="69"/>
        <v>0</v>
      </c>
      <c r="T566" s="93">
        <f t="shared" si="69"/>
        <v>0</v>
      </c>
      <c r="U566" s="93">
        <f t="shared" si="69"/>
        <v>0</v>
      </c>
      <c r="V566" s="93">
        <f t="shared" si="69"/>
        <v>0</v>
      </c>
      <c r="W566" s="93">
        <f t="shared" si="69"/>
        <v>0</v>
      </c>
      <c r="X566" s="93">
        <f t="shared" si="69"/>
        <v>0</v>
      </c>
      <c r="Y566" s="93">
        <f t="shared" si="69"/>
        <v>0</v>
      </c>
      <c r="Z566" s="93">
        <f t="shared" si="69"/>
        <v>0</v>
      </c>
      <c r="AA566" s="93">
        <f t="shared" si="69"/>
        <v>0</v>
      </c>
      <c r="AB566" s="92">
        <f t="shared" si="69"/>
        <v>0</v>
      </c>
      <c r="AC566" s="93">
        <f t="shared" si="69"/>
        <v>0</v>
      </c>
      <c r="AD566" s="93">
        <f t="shared" si="69"/>
        <v>0</v>
      </c>
      <c r="AE566" s="93">
        <f t="shared" si="69"/>
        <v>0</v>
      </c>
      <c r="AF566" s="93">
        <f t="shared" si="69"/>
        <v>0</v>
      </c>
      <c r="AG566" s="93">
        <f t="shared" si="69"/>
        <v>0</v>
      </c>
      <c r="AH566" s="93">
        <f t="shared" si="69"/>
        <v>0</v>
      </c>
      <c r="AI566" s="93">
        <f t="shared" si="69"/>
        <v>0</v>
      </c>
      <c r="AQ566" s="83" t="str">
        <f t="shared" si="63"/>
        <v>D9Y</v>
      </c>
    </row>
    <row r="567" spans="1:43" x14ac:dyDescent="0.3">
      <c r="A567" s="93">
        <f t="shared" si="61"/>
        <v>0</v>
      </c>
      <c r="B567" s="94" t="s">
        <v>190</v>
      </c>
      <c r="C567" s="93">
        <f t="shared" si="69"/>
        <v>0</v>
      </c>
      <c r="D567" s="93">
        <f t="shared" si="69"/>
        <v>0</v>
      </c>
      <c r="E567" s="93">
        <f t="shared" si="69"/>
        <v>0</v>
      </c>
      <c r="F567" s="93">
        <f t="shared" si="69"/>
        <v>0</v>
      </c>
      <c r="G567" s="93">
        <f t="shared" si="69"/>
        <v>0</v>
      </c>
      <c r="H567" s="93">
        <f t="shared" si="69"/>
        <v>0</v>
      </c>
      <c r="I567" s="93">
        <f t="shared" si="69"/>
        <v>0</v>
      </c>
      <c r="J567" s="93">
        <f t="shared" si="69"/>
        <v>0</v>
      </c>
      <c r="K567" s="93">
        <f t="shared" si="69"/>
        <v>0</v>
      </c>
      <c r="L567" s="93">
        <f t="shared" si="69"/>
        <v>0</v>
      </c>
      <c r="M567" s="93">
        <f t="shared" si="69"/>
        <v>0</v>
      </c>
      <c r="N567" s="93">
        <f t="shared" si="69"/>
        <v>0</v>
      </c>
      <c r="O567" s="93">
        <f t="shared" si="69"/>
        <v>0</v>
      </c>
      <c r="P567" s="93">
        <f t="shared" si="69"/>
        <v>0</v>
      </c>
      <c r="Q567" s="93">
        <f t="shared" si="69"/>
        <v>0</v>
      </c>
      <c r="R567" s="93">
        <f t="shared" si="69"/>
        <v>0</v>
      </c>
      <c r="S567" s="93">
        <f t="shared" si="69"/>
        <v>0</v>
      </c>
      <c r="T567" s="93">
        <f t="shared" si="69"/>
        <v>0</v>
      </c>
      <c r="U567" s="93">
        <f t="shared" si="69"/>
        <v>0</v>
      </c>
      <c r="V567" s="93">
        <f t="shared" si="69"/>
        <v>0</v>
      </c>
      <c r="W567" s="93">
        <f t="shared" si="69"/>
        <v>0</v>
      </c>
      <c r="X567" s="93">
        <f t="shared" si="69"/>
        <v>0</v>
      </c>
      <c r="Y567" s="93">
        <f t="shared" si="69"/>
        <v>0</v>
      </c>
      <c r="Z567" s="93">
        <f t="shared" si="69"/>
        <v>0</v>
      </c>
      <c r="AA567" s="93">
        <f t="shared" si="69"/>
        <v>0</v>
      </c>
      <c r="AB567" s="93">
        <f t="shared" si="69"/>
        <v>0</v>
      </c>
      <c r="AC567" s="92">
        <f t="shared" si="69"/>
        <v>0</v>
      </c>
      <c r="AD567" s="93">
        <f t="shared" si="69"/>
        <v>0</v>
      </c>
      <c r="AE567" s="93">
        <f t="shared" si="69"/>
        <v>0</v>
      </c>
      <c r="AF567" s="93">
        <f t="shared" si="69"/>
        <v>0</v>
      </c>
      <c r="AG567" s="93">
        <f t="shared" si="69"/>
        <v>0</v>
      </c>
      <c r="AH567" s="93">
        <f t="shared" si="69"/>
        <v>0</v>
      </c>
      <c r="AI567" s="93">
        <f t="shared" si="69"/>
        <v>0</v>
      </c>
      <c r="AQ567" s="83" t="str">
        <f t="shared" si="63"/>
        <v>D9θ</v>
      </c>
    </row>
    <row r="568" spans="1:43" x14ac:dyDescent="0.3">
      <c r="A568" s="93">
        <f t="shared" si="61"/>
        <v>0</v>
      </c>
      <c r="B568" s="94" t="s">
        <v>190</v>
      </c>
      <c r="C568" s="93">
        <f t="shared" si="69"/>
        <v>0</v>
      </c>
      <c r="D568" s="93">
        <f t="shared" si="69"/>
        <v>0</v>
      </c>
      <c r="E568" s="93">
        <f t="shared" si="69"/>
        <v>0</v>
      </c>
      <c r="F568" s="93">
        <f t="shared" si="69"/>
        <v>0</v>
      </c>
      <c r="G568" s="93">
        <f t="shared" si="69"/>
        <v>0</v>
      </c>
      <c r="H568" s="93">
        <f t="shared" si="69"/>
        <v>0</v>
      </c>
      <c r="I568" s="93">
        <f t="shared" si="69"/>
        <v>0</v>
      </c>
      <c r="J568" s="93">
        <f t="shared" si="69"/>
        <v>0</v>
      </c>
      <c r="K568" s="93">
        <f t="shared" si="69"/>
        <v>0</v>
      </c>
      <c r="L568" s="93">
        <f t="shared" si="69"/>
        <v>0</v>
      </c>
      <c r="M568" s="93">
        <f t="shared" si="69"/>
        <v>0</v>
      </c>
      <c r="N568" s="93">
        <f t="shared" si="69"/>
        <v>0</v>
      </c>
      <c r="O568" s="93">
        <f t="shared" si="69"/>
        <v>0</v>
      </c>
      <c r="P568" s="93">
        <f t="shared" si="69"/>
        <v>0</v>
      </c>
      <c r="Q568" s="93">
        <f t="shared" si="69"/>
        <v>0</v>
      </c>
      <c r="R568" s="93">
        <f t="shared" si="69"/>
        <v>0</v>
      </c>
      <c r="S568" s="93">
        <f t="shared" si="69"/>
        <v>0</v>
      </c>
      <c r="T568" s="93">
        <f t="shared" si="69"/>
        <v>0</v>
      </c>
      <c r="U568" s="93">
        <f t="shared" si="69"/>
        <v>0</v>
      </c>
      <c r="V568" s="93">
        <f t="shared" si="69"/>
        <v>0</v>
      </c>
      <c r="W568" s="93">
        <f t="shared" si="69"/>
        <v>0</v>
      </c>
      <c r="X568" s="93">
        <f t="shared" si="69"/>
        <v>0</v>
      </c>
      <c r="Y568" s="93">
        <f t="shared" si="69"/>
        <v>0</v>
      </c>
      <c r="Z568" s="93">
        <f t="shared" si="69"/>
        <v>0</v>
      </c>
      <c r="AA568" s="93">
        <f t="shared" si="69"/>
        <v>0</v>
      </c>
      <c r="AB568" s="93">
        <f t="shared" si="69"/>
        <v>0</v>
      </c>
      <c r="AC568" s="93">
        <f t="shared" si="69"/>
        <v>0</v>
      </c>
      <c r="AD568" s="92">
        <f t="shared" si="69"/>
        <v>0</v>
      </c>
      <c r="AE568" s="93">
        <f t="shared" si="69"/>
        <v>0</v>
      </c>
      <c r="AF568" s="93">
        <f t="shared" si="69"/>
        <v>0</v>
      </c>
      <c r="AG568" s="93">
        <f t="shared" si="69"/>
        <v>0</v>
      </c>
      <c r="AH568" s="93">
        <f t="shared" si="69"/>
        <v>0</v>
      </c>
      <c r="AI568" s="93">
        <f t="shared" si="69"/>
        <v>0</v>
      </c>
      <c r="AQ568" s="83" t="str">
        <f t="shared" si="63"/>
        <v>D10X</v>
      </c>
    </row>
    <row r="569" spans="1:43" x14ac:dyDescent="0.3">
      <c r="A569" s="93">
        <f t="shared" si="61"/>
        <v>0</v>
      </c>
      <c r="B569" s="94" t="s">
        <v>190</v>
      </c>
      <c r="C569" s="93">
        <f t="shared" si="69"/>
        <v>0</v>
      </c>
      <c r="D569" s="93">
        <f t="shared" si="69"/>
        <v>0</v>
      </c>
      <c r="E569" s="93">
        <f t="shared" si="69"/>
        <v>0</v>
      </c>
      <c r="F569" s="93">
        <f t="shared" si="69"/>
        <v>0</v>
      </c>
      <c r="G569" s="93">
        <f t="shared" si="69"/>
        <v>0</v>
      </c>
      <c r="H569" s="93">
        <f t="shared" si="69"/>
        <v>0</v>
      </c>
      <c r="I569" s="93">
        <f t="shared" si="69"/>
        <v>0</v>
      </c>
      <c r="J569" s="93">
        <f t="shared" si="69"/>
        <v>0</v>
      </c>
      <c r="K569" s="93">
        <f t="shared" si="69"/>
        <v>0</v>
      </c>
      <c r="L569" s="93">
        <f t="shared" si="69"/>
        <v>0</v>
      </c>
      <c r="M569" s="93">
        <f t="shared" si="69"/>
        <v>0</v>
      </c>
      <c r="N569" s="93">
        <f t="shared" si="69"/>
        <v>0</v>
      </c>
      <c r="O569" s="93">
        <f t="shared" si="69"/>
        <v>0</v>
      </c>
      <c r="P569" s="93">
        <f t="shared" si="69"/>
        <v>0</v>
      </c>
      <c r="Q569" s="93">
        <f t="shared" si="69"/>
        <v>0</v>
      </c>
      <c r="R569" s="93">
        <f t="shared" si="69"/>
        <v>0</v>
      </c>
      <c r="S569" s="93">
        <f t="shared" si="69"/>
        <v>0</v>
      </c>
      <c r="T569" s="93">
        <f t="shared" si="69"/>
        <v>0</v>
      </c>
      <c r="U569" s="93">
        <f t="shared" si="69"/>
        <v>0</v>
      </c>
      <c r="V569" s="93">
        <f t="shared" si="69"/>
        <v>0</v>
      </c>
      <c r="W569" s="93">
        <f t="shared" si="69"/>
        <v>0</v>
      </c>
      <c r="X569" s="93">
        <f t="shared" si="69"/>
        <v>0</v>
      </c>
      <c r="Y569" s="93">
        <f t="shared" si="69"/>
        <v>0</v>
      </c>
      <c r="Z569" s="93">
        <f t="shared" si="69"/>
        <v>0</v>
      </c>
      <c r="AA569" s="93">
        <f t="shared" si="69"/>
        <v>0</v>
      </c>
      <c r="AB569" s="93">
        <f t="shared" si="69"/>
        <v>0</v>
      </c>
      <c r="AC569" s="93">
        <f t="shared" si="69"/>
        <v>0</v>
      </c>
      <c r="AD569" s="93">
        <f t="shared" si="69"/>
        <v>0</v>
      </c>
      <c r="AE569" s="92">
        <f t="shared" si="69"/>
        <v>0</v>
      </c>
      <c r="AF569" s="93">
        <f t="shared" si="69"/>
        <v>0</v>
      </c>
      <c r="AG569" s="93">
        <f t="shared" si="69"/>
        <v>0</v>
      </c>
      <c r="AH569" s="93">
        <f t="shared" si="69"/>
        <v>0</v>
      </c>
      <c r="AI569" s="93">
        <f t="shared" si="69"/>
        <v>0</v>
      </c>
      <c r="AQ569" s="83" t="str">
        <f t="shared" si="63"/>
        <v>D10Y</v>
      </c>
    </row>
    <row r="570" spans="1:43" x14ac:dyDescent="0.3">
      <c r="A570" s="93">
        <f t="shared" si="61"/>
        <v>0</v>
      </c>
      <c r="B570" s="94" t="s">
        <v>190</v>
      </c>
      <c r="C570" s="93">
        <f t="shared" si="69"/>
        <v>0</v>
      </c>
      <c r="D570" s="93">
        <f t="shared" si="69"/>
        <v>0</v>
      </c>
      <c r="E570" s="93">
        <f t="shared" si="69"/>
        <v>0</v>
      </c>
      <c r="F570" s="93">
        <f t="shared" si="69"/>
        <v>0</v>
      </c>
      <c r="G570" s="93">
        <f t="shared" si="69"/>
        <v>0</v>
      </c>
      <c r="H570" s="93">
        <f t="shared" si="69"/>
        <v>0</v>
      </c>
      <c r="I570" s="93">
        <f t="shared" si="69"/>
        <v>0</v>
      </c>
      <c r="J570" s="93">
        <f t="shared" si="69"/>
        <v>0</v>
      </c>
      <c r="K570" s="93">
        <f t="shared" si="69"/>
        <v>0</v>
      </c>
      <c r="L570" s="93">
        <f t="shared" si="69"/>
        <v>0</v>
      </c>
      <c r="M570" s="93">
        <f t="shared" si="69"/>
        <v>0</v>
      </c>
      <c r="N570" s="93">
        <f t="shared" si="69"/>
        <v>0</v>
      </c>
      <c r="O570" s="93">
        <f t="shared" si="69"/>
        <v>0</v>
      </c>
      <c r="P570" s="93">
        <f t="shared" si="69"/>
        <v>0</v>
      </c>
      <c r="Q570" s="93">
        <f t="shared" si="69"/>
        <v>0</v>
      </c>
      <c r="R570" s="93">
        <f t="shared" si="69"/>
        <v>0</v>
      </c>
      <c r="S570" s="93">
        <f t="shared" si="69"/>
        <v>0</v>
      </c>
      <c r="T570" s="93">
        <f t="shared" si="69"/>
        <v>0</v>
      </c>
      <c r="U570" s="93">
        <f t="shared" si="69"/>
        <v>0</v>
      </c>
      <c r="V570" s="93">
        <f t="shared" si="69"/>
        <v>0</v>
      </c>
      <c r="W570" s="93">
        <f t="shared" si="69"/>
        <v>0</v>
      </c>
      <c r="X570" s="93">
        <f t="shared" si="69"/>
        <v>0</v>
      </c>
      <c r="Y570" s="93">
        <f t="shared" si="69"/>
        <v>0</v>
      </c>
      <c r="Z570" s="93">
        <f t="shared" si="69"/>
        <v>0</v>
      </c>
      <c r="AA570" s="93">
        <f t="shared" si="69"/>
        <v>0</v>
      </c>
      <c r="AB570" s="93">
        <f t="shared" si="69"/>
        <v>0</v>
      </c>
      <c r="AC570" s="93">
        <f t="shared" si="69"/>
        <v>0</v>
      </c>
      <c r="AD570" s="93">
        <f t="shared" si="69"/>
        <v>0</v>
      </c>
      <c r="AE570" s="93">
        <f t="shared" si="69"/>
        <v>0</v>
      </c>
      <c r="AF570" s="92">
        <f t="shared" si="69"/>
        <v>0</v>
      </c>
      <c r="AG570" s="93">
        <f t="shared" si="69"/>
        <v>0</v>
      </c>
      <c r="AH570" s="93">
        <f t="shared" si="69"/>
        <v>0</v>
      </c>
      <c r="AI570" s="93">
        <f t="shared" si="69"/>
        <v>0</v>
      </c>
      <c r="AQ570" s="83" t="str">
        <f t="shared" si="63"/>
        <v>D10θ</v>
      </c>
    </row>
    <row r="571" spans="1:43" x14ac:dyDescent="0.3">
      <c r="A571" s="93">
        <f t="shared" si="61"/>
        <v>0</v>
      </c>
      <c r="B571" s="94" t="s">
        <v>190</v>
      </c>
      <c r="C571" s="93">
        <f t="shared" si="69"/>
        <v>0</v>
      </c>
      <c r="D571" s="93">
        <f t="shared" si="69"/>
        <v>0</v>
      </c>
      <c r="E571" s="93">
        <f t="shared" si="69"/>
        <v>0</v>
      </c>
      <c r="F571" s="93">
        <f t="shared" si="69"/>
        <v>0</v>
      </c>
      <c r="G571" s="93">
        <f t="shared" si="69"/>
        <v>0</v>
      </c>
      <c r="H571" s="93">
        <f t="shared" si="69"/>
        <v>0</v>
      </c>
      <c r="I571" s="93">
        <f t="shared" si="69"/>
        <v>0</v>
      </c>
      <c r="J571" s="93">
        <f t="shared" si="69"/>
        <v>0</v>
      </c>
      <c r="K571" s="93">
        <f t="shared" si="69"/>
        <v>0</v>
      </c>
      <c r="L571" s="93">
        <f t="shared" si="69"/>
        <v>0</v>
      </c>
      <c r="M571" s="93">
        <f t="shared" si="69"/>
        <v>0</v>
      </c>
      <c r="N571" s="93">
        <f t="shared" si="69"/>
        <v>0</v>
      </c>
      <c r="O571" s="93">
        <f t="shared" si="69"/>
        <v>0</v>
      </c>
      <c r="P571" s="93">
        <f t="shared" si="69"/>
        <v>0</v>
      </c>
      <c r="Q571" s="93">
        <f t="shared" si="69"/>
        <v>0</v>
      </c>
      <c r="R571" s="93">
        <f t="shared" si="69"/>
        <v>0</v>
      </c>
      <c r="S571" s="93">
        <f t="shared" si="69"/>
        <v>0</v>
      </c>
      <c r="T571" s="93">
        <f t="shared" si="69"/>
        <v>0</v>
      </c>
      <c r="U571" s="93">
        <f t="shared" si="69"/>
        <v>0</v>
      </c>
      <c r="V571" s="93">
        <f t="shared" si="69"/>
        <v>0</v>
      </c>
      <c r="W571" s="93">
        <f t="shared" si="69"/>
        <v>0</v>
      </c>
      <c r="X571" s="93">
        <f t="shared" si="69"/>
        <v>0</v>
      </c>
      <c r="Y571" s="93">
        <f t="shared" si="69"/>
        <v>0</v>
      </c>
      <c r="Z571" s="93">
        <f t="shared" si="69"/>
        <v>0</v>
      </c>
      <c r="AA571" s="93">
        <f t="shared" si="69"/>
        <v>0</v>
      </c>
      <c r="AB571" s="93">
        <f t="shared" si="69"/>
        <v>0</v>
      </c>
      <c r="AC571" s="93">
        <f t="shared" si="69"/>
        <v>0</v>
      </c>
      <c r="AD571" s="93">
        <f t="shared" si="69"/>
        <v>0</v>
      </c>
      <c r="AE571" s="93">
        <f t="shared" si="69"/>
        <v>0</v>
      </c>
      <c r="AF571" s="93">
        <f t="shared" si="69"/>
        <v>0</v>
      </c>
      <c r="AG571" s="92">
        <f t="shared" si="69"/>
        <v>0</v>
      </c>
      <c r="AH571" s="93">
        <f t="shared" si="69"/>
        <v>0</v>
      </c>
      <c r="AI571" s="93">
        <f t="shared" si="69"/>
        <v>0</v>
      </c>
      <c r="AQ571" s="83" t="str">
        <f t="shared" si="63"/>
        <v>D11X</v>
      </c>
    </row>
    <row r="572" spans="1:43" x14ac:dyDescent="0.3">
      <c r="A572" s="93">
        <f t="shared" si="61"/>
        <v>0</v>
      </c>
      <c r="B572" s="94" t="s">
        <v>190</v>
      </c>
      <c r="C572" s="93">
        <f t="shared" si="69"/>
        <v>0</v>
      </c>
      <c r="D572" s="93">
        <f t="shared" si="69"/>
        <v>0</v>
      </c>
      <c r="E572" s="93">
        <f t="shared" si="69"/>
        <v>0</v>
      </c>
      <c r="F572" s="93">
        <f t="shared" si="69"/>
        <v>0</v>
      </c>
      <c r="G572" s="93">
        <f t="shared" si="69"/>
        <v>0</v>
      </c>
      <c r="H572" s="93">
        <f t="shared" si="69"/>
        <v>0</v>
      </c>
      <c r="I572" s="93">
        <f t="shared" si="69"/>
        <v>0</v>
      </c>
      <c r="J572" s="93">
        <f t="shared" si="69"/>
        <v>0</v>
      </c>
      <c r="K572" s="93">
        <f t="shared" si="69"/>
        <v>0</v>
      </c>
      <c r="L572" s="93">
        <f t="shared" si="69"/>
        <v>0</v>
      </c>
      <c r="M572" s="93">
        <f t="shared" si="69"/>
        <v>0</v>
      </c>
      <c r="N572" s="93">
        <f t="shared" si="69"/>
        <v>0</v>
      </c>
      <c r="O572" s="93">
        <f t="shared" si="69"/>
        <v>0</v>
      </c>
      <c r="P572" s="93">
        <f t="shared" si="69"/>
        <v>0</v>
      </c>
      <c r="Q572" s="93">
        <f t="shared" si="69"/>
        <v>0</v>
      </c>
      <c r="R572" s="93">
        <f t="shared" si="69"/>
        <v>0</v>
      </c>
      <c r="S572" s="93">
        <f t="shared" si="69"/>
        <v>0</v>
      </c>
      <c r="T572" s="93">
        <f t="shared" si="69"/>
        <v>0</v>
      </c>
      <c r="U572" s="93">
        <f t="shared" si="69"/>
        <v>0</v>
      </c>
      <c r="V572" s="93">
        <f t="shared" si="69"/>
        <v>0</v>
      </c>
      <c r="W572" s="93">
        <f t="shared" si="69"/>
        <v>0</v>
      </c>
      <c r="X572" s="93">
        <f t="shared" si="69"/>
        <v>0</v>
      </c>
      <c r="Y572" s="93">
        <f t="shared" si="69"/>
        <v>0</v>
      </c>
      <c r="Z572" s="93">
        <f t="shared" si="69"/>
        <v>0</v>
      </c>
      <c r="AA572" s="93">
        <f t="shared" ref="AA572:AI572" si="70">Z498</f>
        <v>0</v>
      </c>
      <c r="AB572" s="93">
        <f t="shared" si="70"/>
        <v>0</v>
      </c>
      <c r="AC572" s="93">
        <f t="shared" si="70"/>
        <v>0</v>
      </c>
      <c r="AD572" s="93">
        <f t="shared" si="70"/>
        <v>0</v>
      </c>
      <c r="AE572" s="93">
        <f t="shared" si="70"/>
        <v>0</v>
      </c>
      <c r="AF572" s="93">
        <f t="shared" si="70"/>
        <v>0</v>
      </c>
      <c r="AG572" s="93">
        <f t="shared" si="70"/>
        <v>0</v>
      </c>
      <c r="AH572" s="92">
        <f t="shared" si="70"/>
        <v>0</v>
      </c>
      <c r="AI572" s="93">
        <f t="shared" si="70"/>
        <v>0</v>
      </c>
      <c r="AQ572" s="83" t="str">
        <f t="shared" si="63"/>
        <v>D11Y</v>
      </c>
    </row>
    <row r="573" spans="1:43" x14ac:dyDescent="0.3">
      <c r="A573" s="93">
        <f t="shared" si="61"/>
        <v>0</v>
      </c>
      <c r="B573" s="94" t="s">
        <v>190</v>
      </c>
      <c r="C573" s="93">
        <f t="shared" ref="C573:AI573" si="71">B499</f>
        <v>0</v>
      </c>
      <c r="D573" s="93">
        <f t="shared" si="71"/>
        <v>0</v>
      </c>
      <c r="E573" s="93">
        <f t="shared" si="71"/>
        <v>0</v>
      </c>
      <c r="F573" s="93">
        <f t="shared" si="71"/>
        <v>0</v>
      </c>
      <c r="G573" s="93">
        <f t="shared" si="71"/>
        <v>0</v>
      </c>
      <c r="H573" s="93">
        <f t="shared" si="71"/>
        <v>0</v>
      </c>
      <c r="I573" s="93">
        <f t="shared" si="71"/>
        <v>0</v>
      </c>
      <c r="J573" s="93">
        <f t="shared" si="71"/>
        <v>0</v>
      </c>
      <c r="K573" s="93">
        <f t="shared" si="71"/>
        <v>0</v>
      </c>
      <c r="L573" s="93">
        <f t="shared" si="71"/>
        <v>0</v>
      </c>
      <c r="M573" s="93">
        <f t="shared" si="71"/>
        <v>0</v>
      </c>
      <c r="N573" s="93">
        <f t="shared" si="71"/>
        <v>0</v>
      </c>
      <c r="O573" s="93">
        <f t="shared" si="71"/>
        <v>0</v>
      </c>
      <c r="P573" s="93">
        <f t="shared" si="71"/>
        <v>0</v>
      </c>
      <c r="Q573" s="93">
        <f t="shared" si="71"/>
        <v>0</v>
      </c>
      <c r="R573" s="93">
        <f t="shared" si="71"/>
        <v>0</v>
      </c>
      <c r="S573" s="93">
        <f t="shared" si="71"/>
        <v>0</v>
      </c>
      <c r="T573" s="93">
        <f t="shared" si="71"/>
        <v>0</v>
      </c>
      <c r="U573" s="93">
        <f t="shared" si="71"/>
        <v>0</v>
      </c>
      <c r="V573" s="93">
        <f t="shared" si="71"/>
        <v>0</v>
      </c>
      <c r="W573" s="93">
        <f t="shared" si="71"/>
        <v>0</v>
      </c>
      <c r="X573" s="93">
        <f t="shared" si="71"/>
        <v>0</v>
      </c>
      <c r="Y573" s="93">
        <f t="shared" si="71"/>
        <v>0</v>
      </c>
      <c r="Z573" s="93">
        <f t="shared" si="71"/>
        <v>0</v>
      </c>
      <c r="AA573" s="93">
        <f t="shared" si="71"/>
        <v>0</v>
      </c>
      <c r="AB573" s="93">
        <f t="shared" si="71"/>
        <v>0</v>
      </c>
      <c r="AC573" s="93">
        <f t="shared" si="71"/>
        <v>0</v>
      </c>
      <c r="AD573" s="93">
        <f t="shared" si="71"/>
        <v>0</v>
      </c>
      <c r="AE573" s="93">
        <f t="shared" si="71"/>
        <v>0</v>
      </c>
      <c r="AF573" s="93">
        <f t="shared" si="71"/>
        <v>0</v>
      </c>
      <c r="AG573" s="93">
        <f t="shared" si="71"/>
        <v>0</v>
      </c>
      <c r="AH573" s="93">
        <f t="shared" si="71"/>
        <v>0</v>
      </c>
      <c r="AI573" s="92">
        <f t="shared" si="71"/>
        <v>0</v>
      </c>
      <c r="AQ573" s="83" t="str">
        <f t="shared" si="63"/>
        <v>D11θ</v>
      </c>
    </row>
    <row r="576" spans="1:43" x14ac:dyDescent="0.3">
      <c r="B576" s="103" t="s">
        <v>338</v>
      </c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</row>
    <row r="577" spans="2:40" x14ac:dyDescent="0.3">
      <c r="AL577" s="82" t="s">
        <v>339</v>
      </c>
      <c r="AN577" s="82" t="s">
        <v>340</v>
      </c>
    </row>
    <row r="578" spans="2:40" x14ac:dyDescent="0.3">
      <c r="B578" s="93">
        <f>IF($N504="RESTRINGIDO", 1, IF(OR($N504="", $C467=""), 1, B467))</f>
        <v>1</v>
      </c>
      <c r="C578" s="93">
        <f>IF(OR($N504="RESTRINGIDO", $N505="RESTRINGIDO"), 0, C467)</f>
        <v>0</v>
      </c>
      <c r="D578" s="93">
        <f>IF(OR($N504="RESTRINGIDO", $N506="RESTRINGIDO"), 0, D467)</f>
        <v>0</v>
      </c>
      <c r="E578" s="93">
        <f>IF(OR($N504="RESTRINGIDO", $N507="RESTRINGIDO"), 0, E467)</f>
        <v>0</v>
      </c>
      <c r="F578" s="93">
        <f>IF(OR($N504="RESTRINGIDO", $N508="RESTRINGIDO"), 0, F467)</f>
        <v>0</v>
      </c>
      <c r="G578" s="93">
        <f>IF(OR($N504="RESTRINGIDO", $N509="RESTRINGIDO"), 0, G467)</f>
        <v>0</v>
      </c>
      <c r="H578" s="93">
        <f>IF(OR($N504="RESTRINGIDO", $N510="RESTRINGIDO"), 0, H467)</f>
        <v>0</v>
      </c>
      <c r="I578" s="93">
        <f>IF(OR($N504="RESTRINGIDO", $N511="RESTRINGIDO"), 0, I467)</f>
        <v>0</v>
      </c>
      <c r="J578" s="93">
        <f>IF(OR($N504="RESTRINGIDO", $N512="RESTRINGIDO"), 0, J467)</f>
        <v>0</v>
      </c>
      <c r="K578" s="93">
        <f>IF(OR($N504="RESTRINGIDO", $N513="RESTRINGIDO"), 0, K467)</f>
        <v>0</v>
      </c>
      <c r="L578" s="93">
        <f>IF(OR($N504="RESTRINGIDO", $N514="RESTRINGIDO"), 0, L467)</f>
        <v>0</v>
      </c>
      <c r="M578" s="93">
        <f>IF(OR($N504="RESTRINGIDO", $N515="RESTRINGIDO"), 0, M467)</f>
        <v>0</v>
      </c>
      <c r="N578" s="93">
        <f>IF(OR($N504="RESTRINGIDO", $N516="RESTRINGIDO"), 0, N467)</f>
        <v>0</v>
      </c>
      <c r="O578" s="93">
        <f>IF(OR($N504="RESTRINGIDO", $N517="RESTRINGIDO"), 0, O467)</f>
        <v>0</v>
      </c>
      <c r="P578" s="93">
        <f>IF(OR($N504="RESTRINGIDO", $N518="RESTRINGIDO"), 0, P467)</f>
        <v>0</v>
      </c>
      <c r="Q578" s="93">
        <f>IF(OR($N504="RESTRINGIDO", $N519="RESTRINGIDO"), 0, Q467)</f>
        <v>0</v>
      </c>
      <c r="R578" s="93">
        <f>IF(OR($N504="RESTRINGIDO", $N520="RESTRINGIDO"), 0, R467)</f>
        <v>0</v>
      </c>
      <c r="S578" s="93">
        <f>IF(OR($N504="RESTRINGIDO", $N521="RESTRINGIDO"), 0, S467)</f>
        <v>0</v>
      </c>
      <c r="T578" s="93">
        <f>IF(OR($N504="RESTRINGIDO", $N522="RESTRINGIDO"), 0, T467)</f>
        <v>0</v>
      </c>
      <c r="U578" s="93">
        <f>IF(OR($N504="RESTRINGIDO", $N523="RESTRINGIDO"), 0, U467)</f>
        <v>0</v>
      </c>
      <c r="V578" s="93">
        <f>IF(OR($N504="RESTRINGIDO", $N524="RESTRINGIDO"), 0, V467)</f>
        <v>0</v>
      </c>
      <c r="W578" s="93">
        <f>IF(OR($N504="RESTRINGIDO", $N525="RESTRINGIDO"), 0, W467)</f>
        <v>0</v>
      </c>
      <c r="X578" s="93">
        <f>IF(OR($N504="RESTRINGIDO", $N526="RESTRINGIDO"), 0, X467)</f>
        <v>0</v>
      </c>
      <c r="Y578" s="93">
        <f>IF(OR($N504="RESTRINGIDO", $N527="RESTRINGIDO"), 0, Y467)</f>
        <v>0</v>
      </c>
      <c r="Z578" s="93">
        <f>IF(OR($N504="RESTRINGIDO", $N528="RESTRINGIDO"), 0, Z467)</f>
        <v>0</v>
      </c>
      <c r="AA578" s="93">
        <f>IF(OR($N504="RESTRINGIDO", $N529="RESTRINGIDO"), 0, AA467)</f>
        <v>0</v>
      </c>
      <c r="AB578" s="93">
        <f>IF(OR($N504="RESTRINGIDO", $N530="RESTRINGIDO"), 0, AB467)</f>
        <v>0</v>
      </c>
      <c r="AC578" s="93">
        <f>IF(OR($N504="RESTRINGIDO", $N531="RESTRINGIDO"), 0, AC467)</f>
        <v>0</v>
      </c>
      <c r="AD578" s="93">
        <f>IF(OR($N504="RESTRINGIDO", $N532="RESTRINGIDO"), 0, AD467)</f>
        <v>0</v>
      </c>
      <c r="AE578" s="93">
        <f>IF(OR($N504="RESTRINGIDO", $N533="RESTRINGIDO"), 0, AE467)</f>
        <v>0</v>
      </c>
      <c r="AF578" s="93">
        <f>IF(OR($N504="RESTRINGIDO", $N534="RESTRINGIDO"), 0, AF467)</f>
        <v>0</v>
      </c>
      <c r="AG578" s="93">
        <f>IF(OR($N504="RESTRINGIDO", $N535="RESTRINGIDO"), 0, AG467)</f>
        <v>0</v>
      </c>
      <c r="AH578" s="93">
        <f>IF(OR($N504="RESTRINGIDO", $N536="RESTRINGIDO"), 0, AH467)</f>
        <v>0</v>
      </c>
      <c r="AJ578" s="93">
        <f t="shared" ref="AJ578:AJ610" si="72">IF($N504="LIBRE", IF(ISNUMBER(E504), E504, 0), 0)</f>
        <v>0</v>
      </c>
      <c r="AL578" s="104">
        <f t="array" ref="AL578:AL610">MMULT(MINVERSE(B578:AH610), AJ578:AJ610)</f>
        <v>0</v>
      </c>
      <c r="AN578" s="104">
        <f t="array" ref="AN578:AN610">MMULT(B467:AH499, AL578:AL610) - IF(ISNUMBER(E504:E536), E504:E536, 0)</f>
        <v>0</v>
      </c>
    </row>
    <row r="579" spans="2:40" x14ac:dyDescent="0.3">
      <c r="B579" s="93">
        <f>IF(OR($N505="RESTRINGIDO", $N504="RESTRINGIDO"), 0, B468)</f>
        <v>0</v>
      </c>
      <c r="C579" s="93">
        <f>IF($N505="RESTRINGIDO", 1, IF(OR($N505="", $C468=""), 1, C468))</f>
        <v>1</v>
      </c>
      <c r="D579" s="93">
        <f>IF(OR($N505="RESTRINGIDO", $N506="RESTRINGIDO"), 0, D468)</f>
        <v>0</v>
      </c>
      <c r="E579" s="93">
        <f>IF(OR($N505="RESTRINGIDO", $N507="RESTRINGIDO"), 0, E468)</f>
        <v>0</v>
      </c>
      <c r="F579" s="93">
        <f>IF(OR($N505="RESTRINGIDO", $N508="RESTRINGIDO"), 0, F468)</f>
        <v>0</v>
      </c>
      <c r="G579" s="93">
        <f>IF(OR($N505="RESTRINGIDO", $N509="RESTRINGIDO"), 0, G468)</f>
        <v>0</v>
      </c>
      <c r="H579" s="93">
        <f>IF(OR($N505="RESTRINGIDO", $N510="RESTRINGIDO"), 0, H468)</f>
        <v>0</v>
      </c>
      <c r="I579" s="93">
        <f>IF(OR($N505="RESTRINGIDO", $N511="RESTRINGIDO"), 0, I468)</f>
        <v>0</v>
      </c>
      <c r="J579" s="93">
        <f>IF(OR($N505="RESTRINGIDO", $N512="RESTRINGIDO"), 0, J468)</f>
        <v>0</v>
      </c>
      <c r="K579" s="93">
        <f>IF(OR($N505="RESTRINGIDO", $N513="RESTRINGIDO"), 0, K468)</f>
        <v>0</v>
      </c>
      <c r="L579" s="93">
        <f>IF(OR($N505="RESTRINGIDO", $N514="RESTRINGIDO"), 0, L468)</f>
        <v>0</v>
      </c>
      <c r="M579" s="93">
        <f>IF(OR($N505="RESTRINGIDO", $N515="RESTRINGIDO"), 0, M468)</f>
        <v>0</v>
      </c>
      <c r="N579" s="93">
        <f>IF(OR($N505="RESTRINGIDO", $N516="RESTRINGIDO"), 0, N468)</f>
        <v>0</v>
      </c>
      <c r="O579" s="93">
        <f>IF(OR($N505="RESTRINGIDO", $N517="RESTRINGIDO"), 0, O468)</f>
        <v>0</v>
      </c>
      <c r="P579" s="93">
        <f>IF(OR($N505="RESTRINGIDO", $N518="RESTRINGIDO"), 0, P468)</f>
        <v>0</v>
      </c>
      <c r="Q579" s="93">
        <f>IF(OR($N505="RESTRINGIDO", $N519="RESTRINGIDO"), 0, Q468)</f>
        <v>0</v>
      </c>
      <c r="R579" s="93">
        <f>IF(OR($N505="RESTRINGIDO", $N520="RESTRINGIDO"), 0, R468)</f>
        <v>0</v>
      </c>
      <c r="S579" s="93">
        <f>IF(OR($N505="RESTRINGIDO", $N521="RESTRINGIDO"), 0, S468)</f>
        <v>0</v>
      </c>
      <c r="T579" s="93">
        <f>IF(OR($N505="RESTRINGIDO", $N522="RESTRINGIDO"), 0, T468)</f>
        <v>0</v>
      </c>
      <c r="U579" s="93">
        <f>IF(OR($N505="RESTRINGIDO", $N523="RESTRINGIDO"), 0, U468)</f>
        <v>0</v>
      </c>
      <c r="V579" s="93">
        <f>IF(OR($N505="RESTRINGIDO", $N524="RESTRINGIDO"), 0, V468)</f>
        <v>0</v>
      </c>
      <c r="W579" s="93">
        <f>IF(OR($N505="RESTRINGIDO", $N525="RESTRINGIDO"), 0, W468)</f>
        <v>0</v>
      </c>
      <c r="X579" s="93">
        <f>IF(OR($N505="RESTRINGIDO", $N526="RESTRINGIDO"), 0, X468)</f>
        <v>0</v>
      </c>
      <c r="Y579" s="93">
        <f>IF(OR($N505="RESTRINGIDO", $N527="RESTRINGIDO"), 0, Y468)</f>
        <v>0</v>
      </c>
      <c r="Z579" s="93">
        <f>IF(OR($N505="RESTRINGIDO", $N528="RESTRINGIDO"), 0, Z468)</f>
        <v>0</v>
      </c>
      <c r="AA579" s="93">
        <f>IF(OR($N505="RESTRINGIDO", $N529="RESTRINGIDO"), 0, AA468)</f>
        <v>0</v>
      </c>
      <c r="AB579" s="93">
        <f>IF(OR($N505="RESTRINGIDO", $N530="RESTRINGIDO"), 0, AB468)</f>
        <v>0</v>
      </c>
      <c r="AC579" s="93">
        <f>IF(OR($N505="RESTRINGIDO", $N531="RESTRINGIDO"), 0, AC468)</f>
        <v>0</v>
      </c>
      <c r="AD579" s="93">
        <f>IF(OR($N505="RESTRINGIDO", $N532="RESTRINGIDO"), 0, AD468)</f>
        <v>0</v>
      </c>
      <c r="AE579" s="93">
        <f>IF(OR($N505="RESTRINGIDO", $N533="RESTRINGIDO"), 0, AE468)</f>
        <v>0</v>
      </c>
      <c r="AF579" s="93">
        <f>IF(OR($N505="RESTRINGIDO", $N534="RESTRINGIDO"), 0, AF468)</f>
        <v>0</v>
      </c>
      <c r="AG579" s="93">
        <f>IF(OR($N505="RESTRINGIDO", $N535="RESTRINGIDO"), 0, AG468)</f>
        <v>0</v>
      </c>
      <c r="AH579" s="93">
        <f>IF(OR($N505="RESTRINGIDO", $N536="RESTRINGIDO"), 0, AH468)</f>
        <v>0</v>
      </c>
      <c r="AJ579" s="93">
        <f t="shared" si="72"/>
        <v>0</v>
      </c>
      <c r="AL579" s="104">
        <v>0</v>
      </c>
      <c r="AN579" s="104">
        <v>0</v>
      </c>
    </row>
    <row r="580" spans="2:40" x14ac:dyDescent="0.3">
      <c r="B580" s="93">
        <f>IF(OR($N506="RESTRINGIDO", $N504="RESTRINGIDO"), 0, B469)</f>
        <v>0</v>
      </c>
      <c r="C580" s="93">
        <f>IF(OR($N506="RESTRINGIDO", $N505="RESTRINGIDO"), 0, C469)</f>
        <v>0</v>
      </c>
      <c r="D580" s="93">
        <f>IF($N506="RESTRINGIDO", 1, IF(OR($N506="", $C469=""), 1, D469))</f>
        <v>1</v>
      </c>
      <c r="E580" s="93">
        <f>IF(OR($N506="RESTRINGIDO", $N507="RESTRINGIDO"), 0, E469)</f>
        <v>0</v>
      </c>
      <c r="F580" s="93">
        <f>IF(OR($N506="RESTRINGIDO", $N508="RESTRINGIDO"), 0, F469)</f>
        <v>0</v>
      </c>
      <c r="G580" s="93">
        <f>IF(OR($N506="RESTRINGIDO", $N509="RESTRINGIDO"), 0, G469)</f>
        <v>0</v>
      </c>
      <c r="H580" s="93">
        <f>IF(OR($N506="RESTRINGIDO", $N510="RESTRINGIDO"), 0, H469)</f>
        <v>0</v>
      </c>
      <c r="I580" s="93">
        <f>IF(OR($N506="RESTRINGIDO", $N511="RESTRINGIDO"), 0, I469)</f>
        <v>0</v>
      </c>
      <c r="J580" s="93">
        <f>IF(OR($N506="RESTRINGIDO", $N512="RESTRINGIDO"), 0, J469)</f>
        <v>0</v>
      </c>
      <c r="K580" s="93">
        <f>IF(OR($N506="RESTRINGIDO", $N513="RESTRINGIDO"), 0, K469)</f>
        <v>0</v>
      </c>
      <c r="L580" s="93">
        <f>IF(OR($N506="RESTRINGIDO", $N514="RESTRINGIDO"), 0, L469)</f>
        <v>0</v>
      </c>
      <c r="M580" s="93">
        <f>IF(OR($N506="RESTRINGIDO", $N515="RESTRINGIDO"), 0, M469)</f>
        <v>0</v>
      </c>
      <c r="N580" s="93">
        <f>IF(OR($N506="RESTRINGIDO", $N516="RESTRINGIDO"), 0, N469)</f>
        <v>0</v>
      </c>
      <c r="O580" s="93">
        <f>IF(OR($N506="RESTRINGIDO", $N517="RESTRINGIDO"), 0, O469)</f>
        <v>0</v>
      </c>
      <c r="P580" s="93">
        <f>IF(OR($N506="RESTRINGIDO", $N518="RESTRINGIDO"), 0, P469)</f>
        <v>0</v>
      </c>
      <c r="Q580" s="93">
        <f>IF(OR($N506="RESTRINGIDO", $N519="RESTRINGIDO"), 0, Q469)</f>
        <v>0</v>
      </c>
      <c r="R580" s="93">
        <f>IF(OR($N506="RESTRINGIDO", $N520="RESTRINGIDO"), 0, R469)</f>
        <v>0</v>
      </c>
      <c r="S580" s="93">
        <f>IF(OR($N506="RESTRINGIDO", $N521="RESTRINGIDO"), 0, S469)</f>
        <v>0</v>
      </c>
      <c r="T580" s="93">
        <f>IF(OR($N506="RESTRINGIDO", $N522="RESTRINGIDO"), 0, T469)</f>
        <v>0</v>
      </c>
      <c r="U580" s="93">
        <f>IF(OR($N506="RESTRINGIDO", $N523="RESTRINGIDO"), 0, U469)</f>
        <v>0</v>
      </c>
      <c r="V580" s="93">
        <f>IF(OR($N506="RESTRINGIDO", $N524="RESTRINGIDO"), 0, V469)</f>
        <v>0</v>
      </c>
      <c r="W580" s="93">
        <f>IF(OR($N506="RESTRINGIDO", $N525="RESTRINGIDO"), 0, W469)</f>
        <v>0</v>
      </c>
      <c r="X580" s="93">
        <f>IF(OR($N506="RESTRINGIDO", $N526="RESTRINGIDO"), 0, X469)</f>
        <v>0</v>
      </c>
      <c r="Y580" s="93">
        <f>IF(OR($N506="RESTRINGIDO", $N527="RESTRINGIDO"), 0, Y469)</f>
        <v>0</v>
      </c>
      <c r="Z580" s="93">
        <f>IF(OR($N506="RESTRINGIDO", $N528="RESTRINGIDO"), 0, Z469)</f>
        <v>0</v>
      </c>
      <c r="AA580" s="93">
        <f>IF(OR($N506="RESTRINGIDO", $N529="RESTRINGIDO"), 0, AA469)</f>
        <v>0</v>
      </c>
      <c r="AB580" s="93">
        <f>IF(OR($N506="RESTRINGIDO", $N530="RESTRINGIDO"), 0, AB469)</f>
        <v>0</v>
      </c>
      <c r="AC580" s="93">
        <f>IF(OR($N506="RESTRINGIDO", $N531="RESTRINGIDO"), 0, AC469)</f>
        <v>0</v>
      </c>
      <c r="AD580" s="93">
        <f>IF(OR($N506="RESTRINGIDO", $N532="RESTRINGIDO"), 0, AD469)</f>
        <v>0</v>
      </c>
      <c r="AE580" s="93">
        <f>IF(OR($N506="RESTRINGIDO", $N533="RESTRINGIDO"), 0, AE469)</f>
        <v>0</v>
      </c>
      <c r="AF580" s="93">
        <f>IF(OR($N506="RESTRINGIDO", $N534="RESTRINGIDO"), 0, AF469)</f>
        <v>0</v>
      </c>
      <c r="AG580" s="93">
        <f>IF(OR($N506="RESTRINGIDO", $N535="RESTRINGIDO"), 0, AG469)</f>
        <v>0</v>
      </c>
      <c r="AH580" s="93">
        <f>IF(OR($N506="RESTRINGIDO", $N536="RESTRINGIDO"), 0, AH469)</f>
        <v>0</v>
      </c>
      <c r="AJ580" s="93">
        <f t="shared" si="72"/>
        <v>0</v>
      </c>
      <c r="AL580" s="104">
        <v>0</v>
      </c>
      <c r="AN580" s="104">
        <v>0</v>
      </c>
    </row>
    <row r="581" spans="2:40" x14ac:dyDescent="0.3">
      <c r="B581" s="93">
        <f>IF(OR($N507="RESTRINGIDO", $N504="RESTRINGIDO"), 0, B470)</f>
        <v>0</v>
      </c>
      <c r="C581" s="93">
        <f>IF(OR($N507="RESTRINGIDO", $N505="RESTRINGIDO"), 0, C470)</f>
        <v>0</v>
      </c>
      <c r="D581" s="93">
        <f>IF(OR($N507="RESTRINGIDO", $N506="RESTRINGIDO"), 0, D470)</f>
        <v>0</v>
      </c>
      <c r="E581" s="93">
        <f>IF($N507="RESTRINGIDO", 1, IF(OR($N507="", $C470=""), 1, E470))</f>
        <v>1</v>
      </c>
      <c r="F581" s="93">
        <f>IF(OR($N507="RESTRINGIDO", $N508="RESTRINGIDO"), 0, F470)</f>
        <v>0</v>
      </c>
      <c r="G581" s="93">
        <f>IF(OR($N507="RESTRINGIDO", $N509="RESTRINGIDO"), 0, G470)</f>
        <v>0</v>
      </c>
      <c r="H581" s="93">
        <f>IF(OR($N507="RESTRINGIDO", $N510="RESTRINGIDO"), 0, H470)</f>
        <v>0</v>
      </c>
      <c r="I581" s="93">
        <f>IF(OR($N507="RESTRINGIDO", $N511="RESTRINGIDO"), 0, I470)</f>
        <v>0</v>
      </c>
      <c r="J581" s="93">
        <f>IF(OR($N507="RESTRINGIDO", $N512="RESTRINGIDO"), 0, J470)</f>
        <v>0</v>
      </c>
      <c r="K581" s="93">
        <f>IF(OR($N507="RESTRINGIDO", $N513="RESTRINGIDO"), 0, K470)</f>
        <v>0</v>
      </c>
      <c r="L581" s="93">
        <f>IF(OR($N507="RESTRINGIDO", $N514="RESTRINGIDO"), 0, L470)</f>
        <v>0</v>
      </c>
      <c r="M581" s="93">
        <f>IF(OR($N507="RESTRINGIDO", $N515="RESTRINGIDO"), 0, M470)</f>
        <v>0</v>
      </c>
      <c r="N581" s="93">
        <f>IF(OR($N507="RESTRINGIDO", $N516="RESTRINGIDO"), 0, N470)</f>
        <v>0</v>
      </c>
      <c r="O581" s="93">
        <f>IF(OR($N507="RESTRINGIDO", $N517="RESTRINGIDO"), 0, O470)</f>
        <v>0</v>
      </c>
      <c r="P581" s="93">
        <f>IF(OR($N507="RESTRINGIDO", $N518="RESTRINGIDO"), 0, P470)</f>
        <v>0</v>
      </c>
      <c r="Q581" s="93">
        <f>IF(OR($N507="RESTRINGIDO", $N519="RESTRINGIDO"), 0, Q470)</f>
        <v>0</v>
      </c>
      <c r="R581" s="93">
        <f>IF(OR($N507="RESTRINGIDO", $N520="RESTRINGIDO"), 0, R470)</f>
        <v>0</v>
      </c>
      <c r="S581" s="93">
        <f>IF(OR($N507="RESTRINGIDO", $N521="RESTRINGIDO"), 0, S470)</f>
        <v>0</v>
      </c>
      <c r="T581" s="93">
        <f>IF(OR($N507="RESTRINGIDO", $N522="RESTRINGIDO"), 0, T470)</f>
        <v>0</v>
      </c>
      <c r="U581" s="93">
        <f>IF(OR($N507="RESTRINGIDO", $N523="RESTRINGIDO"), 0, U470)</f>
        <v>0</v>
      </c>
      <c r="V581" s="93">
        <f>IF(OR($N507="RESTRINGIDO", $N524="RESTRINGIDO"), 0, V470)</f>
        <v>0</v>
      </c>
      <c r="W581" s="93">
        <f>IF(OR($N507="RESTRINGIDO", $N525="RESTRINGIDO"), 0, W470)</f>
        <v>0</v>
      </c>
      <c r="X581" s="93">
        <f>IF(OR($N507="RESTRINGIDO", $N526="RESTRINGIDO"), 0, X470)</f>
        <v>0</v>
      </c>
      <c r="Y581" s="93">
        <f>IF(OR($N507="RESTRINGIDO", $N527="RESTRINGIDO"), 0, Y470)</f>
        <v>0</v>
      </c>
      <c r="Z581" s="93">
        <f>IF(OR($N507="RESTRINGIDO", $N528="RESTRINGIDO"), 0, Z470)</f>
        <v>0</v>
      </c>
      <c r="AA581" s="93">
        <f>IF(OR($N507="RESTRINGIDO", $N529="RESTRINGIDO"), 0, AA470)</f>
        <v>0</v>
      </c>
      <c r="AB581" s="93">
        <f>IF(OR($N507="RESTRINGIDO", $N530="RESTRINGIDO"), 0, AB470)</f>
        <v>0</v>
      </c>
      <c r="AC581" s="93">
        <f>IF(OR($N507="RESTRINGIDO", $N531="RESTRINGIDO"), 0, AC470)</f>
        <v>0</v>
      </c>
      <c r="AD581" s="93">
        <f>IF(OR($N507="RESTRINGIDO", $N532="RESTRINGIDO"), 0, AD470)</f>
        <v>0</v>
      </c>
      <c r="AE581" s="93">
        <f>IF(OR($N507="RESTRINGIDO", $N533="RESTRINGIDO"), 0, AE470)</f>
        <v>0</v>
      </c>
      <c r="AF581" s="93">
        <f>IF(OR($N507="RESTRINGIDO", $N534="RESTRINGIDO"), 0, AF470)</f>
        <v>0</v>
      </c>
      <c r="AG581" s="93">
        <f>IF(OR($N507="RESTRINGIDO", $N535="RESTRINGIDO"), 0, AG470)</f>
        <v>0</v>
      </c>
      <c r="AH581" s="93">
        <f>IF(OR($N507="RESTRINGIDO", $N536="RESTRINGIDO"), 0, AH470)</f>
        <v>0</v>
      </c>
      <c r="AJ581" s="93">
        <f t="shared" si="72"/>
        <v>0</v>
      </c>
      <c r="AL581" s="104">
        <v>0</v>
      </c>
      <c r="AN581" s="104">
        <v>0</v>
      </c>
    </row>
    <row r="582" spans="2:40" x14ac:dyDescent="0.3">
      <c r="B582" s="93">
        <f>IF(OR($N508="RESTRINGIDO", $N504="RESTRINGIDO"), 0, B471)</f>
        <v>0</v>
      </c>
      <c r="C582" s="93">
        <f>IF(OR($N508="RESTRINGIDO", $N505="RESTRINGIDO"), 0, C471)</f>
        <v>0</v>
      </c>
      <c r="D582" s="93">
        <f>IF(OR($N508="RESTRINGIDO", $N506="RESTRINGIDO"), 0, D471)</f>
        <v>0</v>
      </c>
      <c r="E582" s="93">
        <f>IF(OR($N508="RESTRINGIDO", $N507="RESTRINGIDO"), 0, E471)</f>
        <v>0</v>
      </c>
      <c r="F582" s="93">
        <f>IF($N508="RESTRINGIDO", 1, IF(OR($N508="", $C471=""), 1, F471))</f>
        <v>1</v>
      </c>
      <c r="G582" s="93">
        <f>IF(OR($N508="RESTRINGIDO", $N509="RESTRINGIDO"), 0, G471)</f>
        <v>0</v>
      </c>
      <c r="H582" s="93">
        <f>IF(OR($N508="RESTRINGIDO", $N510="RESTRINGIDO"), 0, H471)</f>
        <v>0</v>
      </c>
      <c r="I582" s="93">
        <f>IF(OR($N508="RESTRINGIDO", $N511="RESTRINGIDO"), 0, I471)</f>
        <v>0</v>
      </c>
      <c r="J582" s="93">
        <f>IF(OR($N508="RESTRINGIDO", $N512="RESTRINGIDO"), 0, J471)</f>
        <v>0</v>
      </c>
      <c r="K582" s="93">
        <f>IF(OR($N508="RESTRINGIDO", $N513="RESTRINGIDO"), 0, K471)</f>
        <v>0</v>
      </c>
      <c r="L582" s="93">
        <f>IF(OR($N508="RESTRINGIDO", $N514="RESTRINGIDO"), 0, L471)</f>
        <v>0</v>
      </c>
      <c r="M582" s="93">
        <f>IF(OR($N508="RESTRINGIDO", $N515="RESTRINGIDO"), 0, M471)</f>
        <v>0</v>
      </c>
      <c r="N582" s="93">
        <f>IF(OR($N508="RESTRINGIDO", $N516="RESTRINGIDO"), 0, N471)</f>
        <v>0</v>
      </c>
      <c r="O582" s="93">
        <f>IF(OR($N508="RESTRINGIDO", $N517="RESTRINGIDO"), 0, O471)</f>
        <v>0</v>
      </c>
      <c r="P582" s="93">
        <f>IF(OR($N508="RESTRINGIDO", $N518="RESTRINGIDO"), 0, P471)</f>
        <v>0</v>
      </c>
      <c r="Q582" s="93">
        <f>IF(OR($N508="RESTRINGIDO", $N519="RESTRINGIDO"), 0, Q471)</f>
        <v>0</v>
      </c>
      <c r="R582" s="93">
        <f>IF(OR($N508="RESTRINGIDO", $N520="RESTRINGIDO"), 0, R471)</f>
        <v>0</v>
      </c>
      <c r="S582" s="93">
        <f>IF(OR($N508="RESTRINGIDO", $N521="RESTRINGIDO"), 0, S471)</f>
        <v>0</v>
      </c>
      <c r="T582" s="93">
        <f>IF(OR($N508="RESTRINGIDO", $N522="RESTRINGIDO"), 0, T471)</f>
        <v>0</v>
      </c>
      <c r="U582" s="93">
        <f>IF(OR($N508="RESTRINGIDO", $N523="RESTRINGIDO"), 0, U471)</f>
        <v>0</v>
      </c>
      <c r="V582" s="93">
        <f>IF(OR($N508="RESTRINGIDO", $N524="RESTRINGIDO"), 0, V471)</f>
        <v>0</v>
      </c>
      <c r="W582" s="93">
        <f>IF(OR($N508="RESTRINGIDO", $N525="RESTRINGIDO"), 0, W471)</f>
        <v>0</v>
      </c>
      <c r="X582" s="93">
        <f>IF(OR($N508="RESTRINGIDO", $N526="RESTRINGIDO"), 0, X471)</f>
        <v>0</v>
      </c>
      <c r="Y582" s="93">
        <f>IF(OR($N508="RESTRINGIDO", $N527="RESTRINGIDO"), 0, Y471)</f>
        <v>0</v>
      </c>
      <c r="Z582" s="93">
        <f>IF(OR($N508="RESTRINGIDO", $N528="RESTRINGIDO"), 0, Z471)</f>
        <v>0</v>
      </c>
      <c r="AA582" s="93">
        <f>IF(OR($N508="RESTRINGIDO", $N529="RESTRINGIDO"), 0, AA471)</f>
        <v>0</v>
      </c>
      <c r="AB582" s="93">
        <f>IF(OR($N508="RESTRINGIDO", $N530="RESTRINGIDO"), 0, AB471)</f>
        <v>0</v>
      </c>
      <c r="AC582" s="93">
        <f>IF(OR($N508="RESTRINGIDO", $N531="RESTRINGIDO"), 0, AC471)</f>
        <v>0</v>
      </c>
      <c r="AD582" s="93">
        <f>IF(OR($N508="RESTRINGIDO", $N532="RESTRINGIDO"), 0, AD471)</f>
        <v>0</v>
      </c>
      <c r="AE582" s="93">
        <f>IF(OR($N508="RESTRINGIDO", $N533="RESTRINGIDO"), 0, AE471)</f>
        <v>0</v>
      </c>
      <c r="AF582" s="93">
        <f>IF(OR($N508="RESTRINGIDO", $N534="RESTRINGIDO"), 0, AF471)</f>
        <v>0</v>
      </c>
      <c r="AG582" s="93">
        <f>IF(OR($N508="RESTRINGIDO", $N535="RESTRINGIDO"), 0, AG471)</f>
        <v>0</v>
      </c>
      <c r="AH582" s="93">
        <f>IF(OR($N508="RESTRINGIDO", $N536="RESTRINGIDO"), 0, AH471)</f>
        <v>0</v>
      </c>
      <c r="AJ582" s="93">
        <f t="shared" si="72"/>
        <v>0</v>
      </c>
      <c r="AL582" s="104">
        <v>0</v>
      </c>
      <c r="AN582" s="104">
        <v>0</v>
      </c>
    </row>
    <row r="583" spans="2:40" x14ac:dyDescent="0.3">
      <c r="B583" s="93">
        <f>IF(OR($N509="RESTRINGIDO", $N504="RESTRINGIDO"), 0, B472)</f>
        <v>0</v>
      </c>
      <c r="C583" s="93">
        <f>IF(OR($N509="RESTRINGIDO", $N505="RESTRINGIDO"), 0, C472)</f>
        <v>0</v>
      </c>
      <c r="D583" s="93">
        <f>IF(OR($N509="RESTRINGIDO", $N506="RESTRINGIDO"), 0, D472)</f>
        <v>0</v>
      </c>
      <c r="E583" s="93">
        <f>IF(OR($N509="RESTRINGIDO", $N507="RESTRINGIDO"), 0, E472)</f>
        <v>0</v>
      </c>
      <c r="F583" s="93">
        <f>IF(OR($N509="RESTRINGIDO", $N508="RESTRINGIDO"), 0, F472)</f>
        <v>0</v>
      </c>
      <c r="G583" s="93">
        <f>IF($N509="RESTRINGIDO", 1, IF(OR($N509="", $C472=""), 1, G472))</f>
        <v>1</v>
      </c>
      <c r="H583" s="93">
        <f>IF(OR($N509="RESTRINGIDO", $N510="RESTRINGIDO"), 0, H472)</f>
        <v>0</v>
      </c>
      <c r="I583" s="93">
        <f>IF(OR($N509="RESTRINGIDO", $N511="RESTRINGIDO"), 0, I472)</f>
        <v>0</v>
      </c>
      <c r="J583" s="93">
        <f>IF(OR($N509="RESTRINGIDO", $N512="RESTRINGIDO"), 0, J472)</f>
        <v>0</v>
      </c>
      <c r="K583" s="93">
        <f>IF(OR($N509="RESTRINGIDO", $N513="RESTRINGIDO"), 0, K472)</f>
        <v>0</v>
      </c>
      <c r="L583" s="93">
        <f>IF(OR($N509="RESTRINGIDO", $N514="RESTRINGIDO"), 0, L472)</f>
        <v>0</v>
      </c>
      <c r="M583" s="93">
        <f>IF(OR($N509="RESTRINGIDO", $N515="RESTRINGIDO"), 0, M472)</f>
        <v>0</v>
      </c>
      <c r="N583" s="93">
        <f>IF(OR($N509="RESTRINGIDO", $N516="RESTRINGIDO"), 0, N472)</f>
        <v>0</v>
      </c>
      <c r="O583" s="93">
        <f>IF(OR($N509="RESTRINGIDO", $N517="RESTRINGIDO"), 0, O472)</f>
        <v>0</v>
      </c>
      <c r="P583" s="93">
        <f>IF(OR($N509="RESTRINGIDO", $N518="RESTRINGIDO"), 0, P472)</f>
        <v>0</v>
      </c>
      <c r="Q583" s="93">
        <f>IF(OR($N509="RESTRINGIDO", $N519="RESTRINGIDO"), 0, Q472)</f>
        <v>0</v>
      </c>
      <c r="R583" s="93">
        <f>IF(OR($N509="RESTRINGIDO", $N520="RESTRINGIDO"), 0, R472)</f>
        <v>0</v>
      </c>
      <c r="S583" s="93">
        <f>IF(OR($N509="RESTRINGIDO", $N521="RESTRINGIDO"), 0, S472)</f>
        <v>0</v>
      </c>
      <c r="T583" s="93">
        <f>IF(OR($N509="RESTRINGIDO", $N522="RESTRINGIDO"), 0, T472)</f>
        <v>0</v>
      </c>
      <c r="U583" s="93">
        <f>IF(OR($N509="RESTRINGIDO", $N523="RESTRINGIDO"), 0, U472)</f>
        <v>0</v>
      </c>
      <c r="V583" s="93">
        <f>IF(OR($N509="RESTRINGIDO", $N524="RESTRINGIDO"), 0, V472)</f>
        <v>0</v>
      </c>
      <c r="W583" s="93">
        <f>IF(OR($N509="RESTRINGIDO", $N525="RESTRINGIDO"), 0, W472)</f>
        <v>0</v>
      </c>
      <c r="X583" s="93">
        <f>IF(OR($N509="RESTRINGIDO", $N526="RESTRINGIDO"), 0, X472)</f>
        <v>0</v>
      </c>
      <c r="Y583" s="93">
        <f>IF(OR($N509="RESTRINGIDO", $N527="RESTRINGIDO"), 0, Y472)</f>
        <v>0</v>
      </c>
      <c r="Z583" s="93">
        <f>IF(OR($N509="RESTRINGIDO", $N528="RESTRINGIDO"), 0, Z472)</f>
        <v>0</v>
      </c>
      <c r="AA583" s="93">
        <f>IF(OR($N509="RESTRINGIDO", $N529="RESTRINGIDO"), 0, AA472)</f>
        <v>0</v>
      </c>
      <c r="AB583" s="93">
        <f>IF(OR($N509="RESTRINGIDO", $N530="RESTRINGIDO"), 0, AB472)</f>
        <v>0</v>
      </c>
      <c r="AC583" s="93">
        <f>IF(OR($N509="RESTRINGIDO", $N531="RESTRINGIDO"), 0, AC472)</f>
        <v>0</v>
      </c>
      <c r="AD583" s="93">
        <f>IF(OR($N509="RESTRINGIDO", $N532="RESTRINGIDO"), 0, AD472)</f>
        <v>0</v>
      </c>
      <c r="AE583" s="93">
        <f>IF(OR($N509="RESTRINGIDO", $N533="RESTRINGIDO"), 0, AE472)</f>
        <v>0</v>
      </c>
      <c r="AF583" s="93">
        <f>IF(OR($N509="RESTRINGIDO", $N534="RESTRINGIDO"), 0, AF472)</f>
        <v>0</v>
      </c>
      <c r="AG583" s="93">
        <f>IF(OR($N509="RESTRINGIDO", $N535="RESTRINGIDO"), 0, AG472)</f>
        <v>0</v>
      </c>
      <c r="AH583" s="93">
        <f>IF(OR($N509="RESTRINGIDO", $N536="RESTRINGIDO"), 0, AH472)</f>
        <v>0</v>
      </c>
      <c r="AJ583" s="93">
        <f t="shared" si="72"/>
        <v>0</v>
      </c>
      <c r="AL583" s="104">
        <v>0</v>
      </c>
      <c r="AN583" s="104">
        <v>0</v>
      </c>
    </row>
    <row r="584" spans="2:40" x14ac:dyDescent="0.3">
      <c r="B584" s="93">
        <f>IF(OR($N510="RESTRINGIDO", $N504="RESTRINGIDO"), 0, B473)</f>
        <v>0</v>
      </c>
      <c r="C584" s="93">
        <f>IF(OR($N510="RESTRINGIDO", $N505="RESTRINGIDO"), 0, C473)</f>
        <v>0</v>
      </c>
      <c r="D584" s="93">
        <f>IF(OR($N510="RESTRINGIDO", $N506="RESTRINGIDO"), 0, D473)</f>
        <v>0</v>
      </c>
      <c r="E584" s="93">
        <f>IF(OR($N510="RESTRINGIDO", $N507="RESTRINGIDO"), 0, E473)</f>
        <v>0</v>
      </c>
      <c r="F584" s="93">
        <f>IF(OR($N510="RESTRINGIDO", $N508="RESTRINGIDO"), 0, F473)</f>
        <v>0</v>
      </c>
      <c r="G584" s="93">
        <f>IF(OR($N510="RESTRINGIDO", $N509="RESTRINGIDO"), 0, G473)</f>
        <v>0</v>
      </c>
      <c r="H584" s="93">
        <f>IF($N510="RESTRINGIDO", 1, IF(OR($N510="", $C473=""), 1, H473))</f>
        <v>1</v>
      </c>
      <c r="I584" s="93">
        <f>IF(OR($N510="RESTRINGIDO", $N511="RESTRINGIDO"), 0, I473)</f>
        <v>0</v>
      </c>
      <c r="J584" s="93">
        <f>IF(OR($N510="RESTRINGIDO", $N512="RESTRINGIDO"), 0, J473)</f>
        <v>0</v>
      </c>
      <c r="K584" s="93">
        <f>IF(OR($N510="RESTRINGIDO", $N513="RESTRINGIDO"), 0, K473)</f>
        <v>0</v>
      </c>
      <c r="L584" s="93">
        <f>IF(OR($N510="RESTRINGIDO", $N514="RESTRINGIDO"), 0, L473)</f>
        <v>0</v>
      </c>
      <c r="M584" s="93">
        <f>IF(OR($N510="RESTRINGIDO", $N515="RESTRINGIDO"), 0, M473)</f>
        <v>0</v>
      </c>
      <c r="N584" s="93">
        <f>IF(OR($N510="RESTRINGIDO", $N516="RESTRINGIDO"), 0, N473)</f>
        <v>0</v>
      </c>
      <c r="O584" s="93">
        <f>IF(OR($N510="RESTRINGIDO", $N517="RESTRINGIDO"), 0, O473)</f>
        <v>0</v>
      </c>
      <c r="P584" s="93">
        <f>IF(OR($N510="RESTRINGIDO", $N518="RESTRINGIDO"), 0, P473)</f>
        <v>0</v>
      </c>
      <c r="Q584" s="93">
        <f>IF(OR($N510="RESTRINGIDO", $N519="RESTRINGIDO"), 0, Q473)</f>
        <v>0</v>
      </c>
      <c r="R584" s="93">
        <f>IF(OR($N510="RESTRINGIDO", $N520="RESTRINGIDO"), 0, R473)</f>
        <v>0</v>
      </c>
      <c r="S584" s="93">
        <f>IF(OR($N510="RESTRINGIDO", $N521="RESTRINGIDO"), 0, S473)</f>
        <v>0</v>
      </c>
      <c r="T584" s="93">
        <f>IF(OR($N510="RESTRINGIDO", $N522="RESTRINGIDO"), 0, T473)</f>
        <v>0</v>
      </c>
      <c r="U584" s="93">
        <f>IF(OR($N510="RESTRINGIDO", $N523="RESTRINGIDO"), 0, U473)</f>
        <v>0</v>
      </c>
      <c r="V584" s="93">
        <f>IF(OR($N510="RESTRINGIDO", $N524="RESTRINGIDO"), 0, V473)</f>
        <v>0</v>
      </c>
      <c r="W584" s="93">
        <f>IF(OR($N510="RESTRINGIDO", $N525="RESTRINGIDO"), 0, W473)</f>
        <v>0</v>
      </c>
      <c r="X584" s="93">
        <f>IF(OR($N510="RESTRINGIDO", $N526="RESTRINGIDO"), 0, X473)</f>
        <v>0</v>
      </c>
      <c r="Y584" s="93">
        <f>IF(OR($N510="RESTRINGIDO", $N527="RESTRINGIDO"), 0, Y473)</f>
        <v>0</v>
      </c>
      <c r="Z584" s="93">
        <f>IF(OR($N510="RESTRINGIDO", $N528="RESTRINGIDO"), 0, Z473)</f>
        <v>0</v>
      </c>
      <c r="AA584" s="93">
        <f>IF(OR($N510="RESTRINGIDO", $N529="RESTRINGIDO"), 0, AA473)</f>
        <v>0</v>
      </c>
      <c r="AB584" s="93">
        <f>IF(OR($N510="RESTRINGIDO", $N530="RESTRINGIDO"), 0, AB473)</f>
        <v>0</v>
      </c>
      <c r="AC584" s="93">
        <f>IF(OR($N510="RESTRINGIDO", $N531="RESTRINGIDO"), 0, AC473)</f>
        <v>0</v>
      </c>
      <c r="AD584" s="93">
        <f>IF(OR($N510="RESTRINGIDO", $N532="RESTRINGIDO"), 0, AD473)</f>
        <v>0</v>
      </c>
      <c r="AE584" s="93">
        <f>IF(OR($N510="RESTRINGIDO", $N533="RESTRINGIDO"), 0, AE473)</f>
        <v>0</v>
      </c>
      <c r="AF584" s="93">
        <f>IF(OR($N510="RESTRINGIDO", $N534="RESTRINGIDO"), 0, AF473)</f>
        <v>0</v>
      </c>
      <c r="AG584" s="93">
        <f>IF(OR($N510="RESTRINGIDO", $N535="RESTRINGIDO"), 0, AG473)</f>
        <v>0</v>
      </c>
      <c r="AH584" s="93">
        <f>IF(OR($N510="RESTRINGIDO", $N536="RESTRINGIDO"), 0, AH473)</f>
        <v>0</v>
      </c>
      <c r="AJ584" s="93">
        <f t="shared" si="72"/>
        <v>0</v>
      </c>
      <c r="AL584" s="104">
        <v>0</v>
      </c>
      <c r="AN584" s="104">
        <v>0</v>
      </c>
    </row>
    <row r="585" spans="2:40" x14ac:dyDescent="0.3">
      <c r="B585" s="93">
        <f>IF(OR($N511="RESTRINGIDO", $N504="RESTRINGIDO"), 0, B474)</f>
        <v>0</v>
      </c>
      <c r="C585" s="93">
        <f>IF(OR($N511="RESTRINGIDO", $N505="RESTRINGIDO"), 0, C474)</f>
        <v>0</v>
      </c>
      <c r="D585" s="93">
        <f>IF(OR($N511="RESTRINGIDO", $N506="RESTRINGIDO"), 0, D474)</f>
        <v>0</v>
      </c>
      <c r="E585" s="93">
        <f>IF(OR($N511="RESTRINGIDO", $N507="RESTRINGIDO"), 0, E474)</f>
        <v>0</v>
      </c>
      <c r="F585" s="93">
        <f>IF(OR($N511="RESTRINGIDO", $N508="RESTRINGIDO"), 0, F474)</f>
        <v>0</v>
      </c>
      <c r="G585" s="93">
        <f>IF(OR($N511="RESTRINGIDO", $N509="RESTRINGIDO"), 0, G474)</f>
        <v>0</v>
      </c>
      <c r="H585" s="93">
        <f>IF(OR($N511="RESTRINGIDO", $N510="RESTRINGIDO"), 0, H474)</f>
        <v>0</v>
      </c>
      <c r="I585" s="93">
        <f>IF($N511="RESTRINGIDO", 1, IF(OR($N511="", $C474=""), 1, I474))</f>
        <v>1</v>
      </c>
      <c r="J585" s="93">
        <f>IF(OR($N511="RESTRINGIDO", $N512="RESTRINGIDO"), 0, J474)</f>
        <v>0</v>
      </c>
      <c r="K585" s="93">
        <f>IF(OR($N511="RESTRINGIDO", $N513="RESTRINGIDO"), 0, K474)</f>
        <v>0</v>
      </c>
      <c r="L585" s="93">
        <f>IF(OR($N511="RESTRINGIDO", $N514="RESTRINGIDO"), 0, L474)</f>
        <v>0</v>
      </c>
      <c r="M585" s="93">
        <f>IF(OR($N511="RESTRINGIDO", $N515="RESTRINGIDO"), 0, M474)</f>
        <v>0</v>
      </c>
      <c r="N585" s="93">
        <f>IF(OR($N511="RESTRINGIDO", $N516="RESTRINGIDO"), 0, N474)</f>
        <v>0</v>
      </c>
      <c r="O585" s="93">
        <f>IF(OR($N511="RESTRINGIDO", $N517="RESTRINGIDO"), 0, O474)</f>
        <v>0</v>
      </c>
      <c r="P585" s="93">
        <f>IF(OR($N511="RESTRINGIDO", $N518="RESTRINGIDO"), 0, P474)</f>
        <v>0</v>
      </c>
      <c r="Q585" s="93">
        <f>IF(OR($N511="RESTRINGIDO", $N519="RESTRINGIDO"), 0, Q474)</f>
        <v>0</v>
      </c>
      <c r="R585" s="93">
        <f>IF(OR($N511="RESTRINGIDO", $N520="RESTRINGIDO"), 0, R474)</f>
        <v>0</v>
      </c>
      <c r="S585" s="93">
        <f>IF(OR($N511="RESTRINGIDO", $N521="RESTRINGIDO"), 0, S474)</f>
        <v>0</v>
      </c>
      <c r="T585" s="93">
        <f>IF(OR($N511="RESTRINGIDO", $N522="RESTRINGIDO"), 0, T474)</f>
        <v>0</v>
      </c>
      <c r="U585" s="93">
        <f>IF(OR($N511="RESTRINGIDO", $N523="RESTRINGIDO"), 0, U474)</f>
        <v>0</v>
      </c>
      <c r="V585" s="93">
        <f>IF(OR($N511="RESTRINGIDO", $N524="RESTRINGIDO"), 0, V474)</f>
        <v>0</v>
      </c>
      <c r="W585" s="93">
        <f>IF(OR($N511="RESTRINGIDO", $N525="RESTRINGIDO"), 0, W474)</f>
        <v>0</v>
      </c>
      <c r="X585" s="93">
        <f>IF(OR($N511="RESTRINGIDO", $N526="RESTRINGIDO"), 0, X474)</f>
        <v>0</v>
      </c>
      <c r="Y585" s="93">
        <f>IF(OR($N511="RESTRINGIDO", $N527="RESTRINGIDO"), 0, Y474)</f>
        <v>0</v>
      </c>
      <c r="Z585" s="93">
        <f>IF(OR($N511="RESTRINGIDO", $N528="RESTRINGIDO"), 0, Z474)</f>
        <v>0</v>
      </c>
      <c r="AA585" s="93">
        <f>IF(OR($N511="RESTRINGIDO", $N529="RESTRINGIDO"), 0, AA474)</f>
        <v>0</v>
      </c>
      <c r="AB585" s="93">
        <f>IF(OR($N511="RESTRINGIDO", $N530="RESTRINGIDO"), 0, AB474)</f>
        <v>0</v>
      </c>
      <c r="AC585" s="93">
        <f>IF(OR($N511="RESTRINGIDO", $N531="RESTRINGIDO"), 0, AC474)</f>
        <v>0</v>
      </c>
      <c r="AD585" s="93">
        <f>IF(OR($N511="RESTRINGIDO", $N532="RESTRINGIDO"), 0, AD474)</f>
        <v>0</v>
      </c>
      <c r="AE585" s="93">
        <f>IF(OR($N511="RESTRINGIDO", $N533="RESTRINGIDO"), 0, AE474)</f>
        <v>0</v>
      </c>
      <c r="AF585" s="93">
        <f>IF(OR($N511="RESTRINGIDO", $N534="RESTRINGIDO"), 0, AF474)</f>
        <v>0</v>
      </c>
      <c r="AG585" s="93">
        <f>IF(OR($N511="RESTRINGIDO", $N535="RESTRINGIDO"), 0, AG474)</f>
        <v>0</v>
      </c>
      <c r="AH585" s="93">
        <f>IF(OR($N511="RESTRINGIDO", $N536="RESTRINGIDO"), 0, AH474)</f>
        <v>0</v>
      </c>
      <c r="AJ585" s="93">
        <f t="shared" si="72"/>
        <v>0</v>
      </c>
      <c r="AL585" s="104">
        <v>0</v>
      </c>
      <c r="AN585" s="104">
        <v>0</v>
      </c>
    </row>
    <row r="586" spans="2:40" x14ac:dyDescent="0.3">
      <c r="B586" s="93">
        <f>IF(OR($N512="RESTRINGIDO", $N504="RESTRINGIDO"), 0, B475)</f>
        <v>0</v>
      </c>
      <c r="C586" s="93">
        <f>IF(OR($N512="RESTRINGIDO", $N505="RESTRINGIDO"), 0, C475)</f>
        <v>0</v>
      </c>
      <c r="D586" s="93">
        <f>IF(OR($N512="RESTRINGIDO", $N506="RESTRINGIDO"), 0, D475)</f>
        <v>0</v>
      </c>
      <c r="E586" s="93">
        <f>IF(OR($N512="RESTRINGIDO", $N507="RESTRINGIDO"), 0, E475)</f>
        <v>0</v>
      </c>
      <c r="F586" s="93">
        <f>IF(OR($N512="RESTRINGIDO", $N508="RESTRINGIDO"), 0, F475)</f>
        <v>0</v>
      </c>
      <c r="G586" s="93">
        <f>IF(OR($N512="RESTRINGIDO", $N509="RESTRINGIDO"), 0, G475)</f>
        <v>0</v>
      </c>
      <c r="H586" s="93">
        <f>IF(OR($N512="RESTRINGIDO", $N510="RESTRINGIDO"), 0, H475)</f>
        <v>0</v>
      </c>
      <c r="I586" s="93">
        <f>IF(OR($N512="RESTRINGIDO", $N511="RESTRINGIDO"), 0, I475)</f>
        <v>0</v>
      </c>
      <c r="J586" s="93">
        <f>IF($N512="RESTRINGIDO", 1, IF(OR($N512="", $C475=""), 1, J475))</f>
        <v>1</v>
      </c>
      <c r="K586" s="93">
        <f>IF(OR($N512="RESTRINGIDO", $N513="RESTRINGIDO"), 0, K475)</f>
        <v>0</v>
      </c>
      <c r="L586" s="93">
        <f>IF(OR($N512="RESTRINGIDO", $N514="RESTRINGIDO"), 0, L475)</f>
        <v>0</v>
      </c>
      <c r="M586" s="93">
        <f>IF(OR($N512="RESTRINGIDO", $N515="RESTRINGIDO"), 0, M475)</f>
        <v>0</v>
      </c>
      <c r="N586" s="93">
        <f>IF(OR($N512="RESTRINGIDO", $N516="RESTRINGIDO"), 0, N475)</f>
        <v>0</v>
      </c>
      <c r="O586" s="93">
        <f>IF(OR($N512="RESTRINGIDO", $N517="RESTRINGIDO"), 0, O475)</f>
        <v>0</v>
      </c>
      <c r="P586" s="93">
        <f>IF(OR($N512="RESTRINGIDO", $N518="RESTRINGIDO"), 0, P475)</f>
        <v>0</v>
      </c>
      <c r="Q586" s="93">
        <f>IF(OR($N512="RESTRINGIDO", $N519="RESTRINGIDO"), 0, Q475)</f>
        <v>0</v>
      </c>
      <c r="R586" s="93">
        <f>IF(OR($N512="RESTRINGIDO", $N520="RESTRINGIDO"), 0, R475)</f>
        <v>0</v>
      </c>
      <c r="S586" s="93">
        <f>IF(OR($N512="RESTRINGIDO", $N521="RESTRINGIDO"), 0, S475)</f>
        <v>0</v>
      </c>
      <c r="T586" s="93">
        <f>IF(OR($N512="RESTRINGIDO", $N522="RESTRINGIDO"), 0, T475)</f>
        <v>0</v>
      </c>
      <c r="U586" s="93">
        <f>IF(OR($N512="RESTRINGIDO", $N523="RESTRINGIDO"), 0, U475)</f>
        <v>0</v>
      </c>
      <c r="V586" s="93">
        <f>IF(OR($N512="RESTRINGIDO", $N524="RESTRINGIDO"), 0, V475)</f>
        <v>0</v>
      </c>
      <c r="W586" s="93">
        <f>IF(OR($N512="RESTRINGIDO", $N525="RESTRINGIDO"), 0, W475)</f>
        <v>0</v>
      </c>
      <c r="X586" s="93">
        <f>IF(OR($N512="RESTRINGIDO", $N526="RESTRINGIDO"), 0, X475)</f>
        <v>0</v>
      </c>
      <c r="Y586" s="93">
        <f>IF(OR($N512="RESTRINGIDO", $N527="RESTRINGIDO"), 0, Y475)</f>
        <v>0</v>
      </c>
      <c r="Z586" s="93">
        <f>IF(OR($N512="RESTRINGIDO", $N528="RESTRINGIDO"), 0, Z475)</f>
        <v>0</v>
      </c>
      <c r="AA586" s="93">
        <f>IF(OR($N512="RESTRINGIDO", $N529="RESTRINGIDO"), 0, AA475)</f>
        <v>0</v>
      </c>
      <c r="AB586" s="93">
        <f>IF(OR($N512="RESTRINGIDO", $N530="RESTRINGIDO"), 0, AB475)</f>
        <v>0</v>
      </c>
      <c r="AC586" s="93">
        <f>IF(OR($N512="RESTRINGIDO", $N531="RESTRINGIDO"), 0, AC475)</f>
        <v>0</v>
      </c>
      <c r="AD586" s="93">
        <f>IF(OR($N512="RESTRINGIDO", $N532="RESTRINGIDO"), 0, AD475)</f>
        <v>0</v>
      </c>
      <c r="AE586" s="93">
        <f>IF(OR($N512="RESTRINGIDO", $N533="RESTRINGIDO"), 0, AE475)</f>
        <v>0</v>
      </c>
      <c r="AF586" s="93">
        <f>IF(OR($N512="RESTRINGIDO", $N534="RESTRINGIDO"), 0, AF475)</f>
        <v>0</v>
      </c>
      <c r="AG586" s="93">
        <f>IF(OR($N512="RESTRINGIDO", $N535="RESTRINGIDO"), 0, AG475)</f>
        <v>0</v>
      </c>
      <c r="AH586" s="93">
        <f>IF(OR($N512="RESTRINGIDO", $N536="RESTRINGIDO"), 0, AH475)</f>
        <v>0</v>
      </c>
      <c r="AJ586" s="93">
        <f t="shared" si="72"/>
        <v>0</v>
      </c>
      <c r="AL586" s="104">
        <v>0</v>
      </c>
      <c r="AN586" s="104">
        <v>0</v>
      </c>
    </row>
    <row r="587" spans="2:40" x14ac:dyDescent="0.3">
      <c r="B587" s="93">
        <f>IF(OR($N513="RESTRINGIDO", $N504="RESTRINGIDO"), 0, B476)</f>
        <v>0</v>
      </c>
      <c r="C587" s="93">
        <f>IF(OR($N513="RESTRINGIDO", $N505="RESTRINGIDO"), 0, C476)</f>
        <v>0</v>
      </c>
      <c r="D587" s="93">
        <f>IF(OR($N513="RESTRINGIDO", $N506="RESTRINGIDO"), 0, D476)</f>
        <v>0</v>
      </c>
      <c r="E587" s="93">
        <f>IF(OR($N513="RESTRINGIDO", $N507="RESTRINGIDO"), 0, E476)</f>
        <v>0</v>
      </c>
      <c r="F587" s="93">
        <f>IF(OR($N513="RESTRINGIDO", $N508="RESTRINGIDO"), 0, F476)</f>
        <v>0</v>
      </c>
      <c r="G587" s="93">
        <f>IF(OR($N513="RESTRINGIDO", $N509="RESTRINGIDO"), 0, G476)</f>
        <v>0</v>
      </c>
      <c r="H587" s="93">
        <f>IF(OR($N513="RESTRINGIDO", $N510="RESTRINGIDO"), 0, H476)</f>
        <v>0</v>
      </c>
      <c r="I587" s="93">
        <f>IF(OR($N513="RESTRINGIDO", $N511="RESTRINGIDO"), 0, I476)</f>
        <v>0</v>
      </c>
      <c r="J587" s="93">
        <f>IF(OR($N513="RESTRINGIDO", $N512="RESTRINGIDO"), 0, J476)</f>
        <v>0</v>
      </c>
      <c r="K587" s="93">
        <f>IF($N513="RESTRINGIDO", 1, IF(OR($N513="", $C476=""), 1, K476))</f>
        <v>1</v>
      </c>
      <c r="L587" s="93">
        <f>IF(OR($N513="RESTRINGIDO", $N514="RESTRINGIDO"), 0, L476)</f>
        <v>0</v>
      </c>
      <c r="M587" s="93">
        <f>IF(OR($N513="RESTRINGIDO", $N515="RESTRINGIDO"), 0, M476)</f>
        <v>0</v>
      </c>
      <c r="N587" s="93">
        <f>IF(OR($N513="RESTRINGIDO", $N516="RESTRINGIDO"), 0, N476)</f>
        <v>0</v>
      </c>
      <c r="O587" s="93">
        <f>IF(OR($N513="RESTRINGIDO", $N517="RESTRINGIDO"), 0, O476)</f>
        <v>0</v>
      </c>
      <c r="P587" s="93">
        <f>IF(OR($N513="RESTRINGIDO", $N518="RESTRINGIDO"), 0, P476)</f>
        <v>0</v>
      </c>
      <c r="Q587" s="93">
        <f>IF(OR($N513="RESTRINGIDO", $N519="RESTRINGIDO"), 0, Q476)</f>
        <v>0</v>
      </c>
      <c r="R587" s="93">
        <f>IF(OR($N513="RESTRINGIDO", $N520="RESTRINGIDO"), 0, R476)</f>
        <v>0</v>
      </c>
      <c r="S587" s="93">
        <f>IF(OR($N513="RESTRINGIDO", $N521="RESTRINGIDO"), 0, S476)</f>
        <v>0</v>
      </c>
      <c r="T587" s="93">
        <f>IF(OR($N513="RESTRINGIDO", $N522="RESTRINGIDO"), 0, T476)</f>
        <v>0</v>
      </c>
      <c r="U587" s="93">
        <f>IF(OR($N513="RESTRINGIDO", $N523="RESTRINGIDO"), 0, U476)</f>
        <v>0</v>
      </c>
      <c r="V587" s="93">
        <f>IF(OR($N513="RESTRINGIDO", $N524="RESTRINGIDO"), 0, V476)</f>
        <v>0</v>
      </c>
      <c r="W587" s="93">
        <f>IF(OR($N513="RESTRINGIDO", $N525="RESTRINGIDO"), 0, W476)</f>
        <v>0</v>
      </c>
      <c r="X587" s="93">
        <f>IF(OR($N513="RESTRINGIDO", $N526="RESTRINGIDO"), 0, X476)</f>
        <v>0</v>
      </c>
      <c r="Y587" s="93">
        <f>IF(OR($N513="RESTRINGIDO", $N527="RESTRINGIDO"), 0, Y476)</f>
        <v>0</v>
      </c>
      <c r="Z587" s="93">
        <f>IF(OR($N513="RESTRINGIDO", $N528="RESTRINGIDO"), 0, Z476)</f>
        <v>0</v>
      </c>
      <c r="AA587" s="93">
        <f>IF(OR($N513="RESTRINGIDO", $N529="RESTRINGIDO"), 0, AA476)</f>
        <v>0</v>
      </c>
      <c r="AB587" s="93">
        <f>IF(OR($N513="RESTRINGIDO", $N530="RESTRINGIDO"), 0, AB476)</f>
        <v>0</v>
      </c>
      <c r="AC587" s="93">
        <f>IF(OR($N513="RESTRINGIDO", $N531="RESTRINGIDO"), 0, AC476)</f>
        <v>0</v>
      </c>
      <c r="AD587" s="93">
        <f>IF(OR($N513="RESTRINGIDO", $N532="RESTRINGIDO"), 0, AD476)</f>
        <v>0</v>
      </c>
      <c r="AE587" s="93">
        <f>IF(OR($N513="RESTRINGIDO", $N533="RESTRINGIDO"), 0, AE476)</f>
        <v>0</v>
      </c>
      <c r="AF587" s="93">
        <f>IF(OR($N513="RESTRINGIDO", $N534="RESTRINGIDO"), 0, AF476)</f>
        <v>0</v>
      </c>
      <c r="AG587" s="93">
        <f>IF(OR($N513="RESTRINGIDO", $N535="RESTRINGIDO"), 0, AG476)</f>
        <v>0</v>
      </c>
      <c r="AH587" s="93">
        <f>IF(OR($N513="RESTRINGIDO", $N536="RESTRINGIDO"), 0, AH476)</f>
        <v>0</v>
      </c>
      <c r="AJ587" s="93">
        <f t="shared" si="72"/>
        <v>0</v>
      </c>
      <c r="AL587" s="104">
        <v>0</v>
      </c>
      <c r="AN587" s="104">
        <v>0</v>
      </c>
    </row>
    <row r="588" spans="2:40" x14ac:dyDescent="0.3">
      <c r="B588" s="93">
        <f>IF(OR($N514="RESTRINGIDO", $N504="RESTRINGIDO"), 0, B477)</f>
        <v>0</v>
      </c>
      <c r="C588" s="93">
        <f>IF(OR($N514="RESTRINGIDO", $N505="RESTRINGIDO"), 0, C477)</f>
        <v>0</v>
      </c>
      <c r="D588" s="93">
        <f>IF(OR($N514="RESTRINGIDO", $N506="RESTRINGIDO"), 0, D477)</f>
        <v>0</v>
      </c>
      <c r="E588" s="93">
        <f>IF(OR($N514="RESTRINGIDO", $N507="RESTRINGIDO"), 0, E477)</f>
        <v>0</v>
      </c>
      <c r="F588" s="93">
        <f>IF(OR($N514="RESTRINGIDO", $N508="RESTRINGIDO"), 0, F477)</f>
        <v>0</v>
      </c>
      <c r="G588" s="93">
        <f>IF(OR($N514="RESTRINGIDO", $N509="RESTRINGIDO"), 0, G477)</f>
        <v>0</v>
      </c>
      <c r="H588" s="93">
        <f>IF(OR($N514="RESTRINGIDO", $N510="RESTRINGIDO"), 0, H477)</f>
        <v>0</v>
      </c>
      <c r="I588" s="93">
        <f>IF(OR($N514="RESTRINGIDO", $N511="RESTRINGIDO"), 0, I477)</f>
        <v>0</v>
      </c>
      <c r="J588" s="93">
        <f>IF(OR($N514="RESTRINGIDO", $N512="RESTRINGIDO"), 0, J477)</f>
        <v>0</v>
      </c>
      <c r="K588" s="93">
        <f>IF(OR($N514="RESTRINGIDO", $N513="RESTRINGIDO"), 0, K477)</f>
        <v>0</v>
      </c>
      <c r="L588" s="93">
        <f>IF($N514="RESTRINGIDO", 1, IF(OR($N514="", $C477=""), 1, L477))</f>
        <v>1</v>
      </c>
      <c r="M588" s="93">
        <f>IF(OR($N514="RESTRINGIDO", $N515="RESTRINGIDO"), 0, M477)</f>
        <v>0</v>
      </c>
      <c r="N588" s="93">
        <f>IF(OR($N514="RESTRINGIDO", $N516="RESTRINGIDO"), 0, N477)</f>
        <v>0</v>
      </c>
      <c r="O588" s="93">
        <f>IF(OR($N514="RESTRINGIDO", $N517="RESTRINGIDO"), 0, O477)</f>
        <v>0</v>
      </c>
      <c r="P588" s="93">
        <f>IF(OR($N514="RESTRINGIDO", $N518="RESTRINGIDO"), 0, P477)</f>
        <v>0</v>
      </c>
      <c r="Q588" s="93">
        <f>IF(OR($N514="RESTRINGIDO", $N519="RESTRINGIDO"), 0, Q477)</f>
        <v>0</v>
      </c>
      <c r="R588" s="93">
        <f>IF(OR($N514="RESTRINGIDO", $N520="RESTRINGIDO"), 0, R477)</f>
        <v>0</v>
      </c>
      <c r="S588" s="93">
        <f>IF(OR($N514="RESTRINGIDO", $N521="RESTRINGIDO"), 0, S477)</f>
        <v>0</v>
      </c>
      <c r="T588" s="93">
        <f>IF(OR($N514="RESTRINGIDO", $N522="RESTRINGIDO"), 0, T477)</f>
        <v>0</v>
      </c>
      <c r="U588" s="93">
        <f>IF(OR($N514="RESTRINGIDO", $N523="RESTRINGIDO"), 0, U477)</f>
        <v>0</v>
      </c>
      <c r="V588" s="93">
        <f>IF(OR($N514="RESTRINGIDO", $N524="RESTRINGIDO"), 0, V477)</f>
        <v>0</v>
      </c>
      <c r="W588" s="93">
        <f>IF(OR($N514="RESTRINGIDO", $N525="RESTRINGIDO"), 0, W477)</f>
        <v>0</v>
      </c>
      <c r="X588" s="93">
        <f>IF(OR($N514="RESTRINGIDO", $N526="RESTRINGIDO"), 0, X477)</f>
        <v>0</v>
      </c>
      <c r="Y588" s="93">
        <f>IF(OR($N514="RESTRINGIDO", $N527="RESTRINGIDO"), 0, Y477)</f>
        <v>0</v>
      </c>
      <c r="Z588" s="93">
        <f>IF(OR($N514="RESTRINGIDO", $N528="RESTRINGIDO"), 0, Z477)</f>
        <v>0</v>
      </c>
      <c r="AA588" s="93">
        <f>IF(OR($N514="RESTRINGIDO", $N529="RESTRINGIDO"), 0, AA477)</f>
        <v>0</v>
      </c>
      <c r="AB588" s="93">
        <f>IF(OR($N514="RESTRINGIDO", $N530="RESTRINGIDO"), 0, AB477)</f>
        <v>0</v>
      </c>
      <c r="AC588" s="93">
        <f>IF(OR($N514="RESTRINGIDO", $N531="RESTRINGIDO"), 0, AC477)</f>
        <v>0</v>
      </c>
      <c r="AD588" s="93">
        <f>IF(OR($N514="RESTRINGIDO", $N532="RESTRINGIDO"), 0, AD477)</f>
        <v>0</v>
      </c>
      <c r="AE588" s="93">
        <f>IF(OR($N514="RESTRINGIDO", $N533="RESTRINGIDO"), 0, AE477)</f>
        <v>0</v>
      </c>
      <c r="AF588" s="93">
        <f>IF(OR($N514="RESTRINGIDO", $N534="RESTRINGIDO"), 0, AF477)</f>
        <v>0</v>
      </c>
      <c r="AG588" s="93">
        <f>IF(OR($N514="RESTRINGIDO", $N535="RESTRINGIDO"), 0, AG477)</f>
        <v>0</v>
      </c>
      <c r="AH588" s="93">
        <f>IF(OR($N514="RESTRINGIDO", $N536="RESTRINGIDO"), 0, AH477)</f>
        <v>0</v>
      </c>
      <c r="AJ588" s="93">
        <f t="shared" si="72"/>
        <v>0</v>
      </c>
      <c r="AL588" s="104">
        <v>0</v>
      </c>
      <c r="AN588" s="104">
        <v>0</v>
      </c>
    </row>
    <row r="589" spans="2:40" x14ac:dyDescent="0.3">
      <c r="B589" s="93">
        <f>IF(OR($N515="RESTRINGIDO", $N504="RESTRINGIDO"), 0, B478)</f>
        <v>0</v>
      </c>
      <c r="C589" s="93">
        <f>IF(OR($N515="RESTRINGIDO", $N505="RESTRINGIDO"), 0, C478)</f>
        <v>0</v>
      </c>
      <c r="D589" s="93">
        <f>IF(OR($N515="RESTRINGIDO", $N506="RESTRINGIDO"), 0, D478)</f>
        <v>0</v>
      </c>
      <c r="E589" s="93">
        <f>IF(OR($N515="RESTRINGIDO", $N507="RESTRINGIDO"), 0, E478)</f>
        <v>0</v>
      </c>
      <c r="F589" s="93">
        <f>IF(OR($N515="RESTRINGIDO", $N508="RESTRINGIDO"), 0, F478)</f>
        <v>0</v>
      </c>
      <c r="G589" s="93">
        <f>IF(OR($N515="RESTRINGIDO", $N509="RESTRINGIDO"), 0, G478)</f>
        <v>0</v>
      </c>
      <c r="H589" s="93">
        <f>IF(OR($N515="RESTRINGIDO", $N510="RESTRINGIDO"), 0, H478)</f>
        <v>0</v>
      </c>
      <c r="I589" s="93">
        <f>IF(OR($N515="RESTRINGIDO", $N511="RESTRINGIDO"), 0, I478)</f>
        <v>0</v>
      </c>
      <c r="J589" s="93">
        <f>IF(OR($N515="RESTRINGIDO", $N512="RESTRINGIDO"), 0, J478)</f>
        <v>0</v>
      </c>
      <c r="K589" s="93">
        <f>IF(OR($N515="RESTRINGIDO", $N513="RESTRINGIDO"), 0, K478)</f>
        <v>0</v>
      </c>
      <c r="L589" s="93">
        <f>IF(OR($N515="RESTRINGIDO", $N514="RESTRINGIDO"), 0, L478)</f>
        <v>0</v>
      </c>
      <c r="M589" s="93">
        <f>IF($N515="RESTRINGIDO", 1, IF(OR($N515="", $C478=""), 1, M478))</f>
        <v>1</v>
      </c>
      <c r="N589" s="93">
        <f>IF(OR($N515="RESTRINGIDO", $N516="RESTRINGIDO"), 0, N478)</f>
        <v>0</v>
      </c>
      <c r="O589" s="93">
        <f>IF(OR($N515="RESTRINGIDO", $N517="RESTRINGIDO"), 0, O478)</f>
        <v>0</v>
      </c>
      <c r="P589" s="93">
        <f>IF(OR($N515="RESTRINGIDO", $N518="RESTRINGIDO"), 0, P478)</f>
        <v>0</v>
      </c>
      <c r="Q589" s="93">
        <f>IF(OR($N515="RESTRINGIDO", $N519="RESTRINGIDO"), 0, Q478)</f>
        <v>0</v>
      </c>
      <c r="R589" s="93">
        <f>IF(OR($N515="RESTRINGIDO", $N520="RESTRINGIDO"), 0, R478)</f>
        <v>0</v>
      </c>
      <c r="S589" s="93">
        <f>IF(OR($N515="RESTRINGIDO", $N521="RESTRINGIDO"), 0, S478)</f>
        <v>0</v>
      </c>
      <c r="T589" s="93">
        <f>IF(OR($N515="RESTRINGIDO", $N522="RESTRINGIDO"), 0, T478)</f>
        <v>0</v>
      </c>
      <c r="U589" s="93">
        <f>IF(OR($N515="RESTRINGIDO", $N523="RESTRINGIDO"), 0, U478)</f>
        <v>0</v>
      </c>
      <c r="V589" s="93">
        <f>IF(OR($N515="RESTRINGIDO", $N524="RESTRINGIDO"), 0, V478)</f>
        <v>0</v>
      </c>
      <c r="W589" s="93">
        <f>IF(OR($N515="RESTRINGIDO", $N525="RESTRINGIDO"), 0, W478)</f>
        <v>0</v>
      </c>
      <c r="X589" s="93">
        <f>IF(OR($N515="RESTRINGIDO", $N526="RESTRINGIDO"), 0, X478)</f>
        <v>0</v>
      </c>
      <c r="Y589" s="93">
        <f>IF(OR($N515="RESTRINGIDO", $N527="RESTRINGIDO"), 0, Y478)</f>
        <v>0</v>
      </c>
      <c r="Z589" s="93">
        <f>IF(OR($N515="RESTRINGIDO", $N528="RESTRINGIDO"), 0, Z478)</f>
        <v>0</v>
      </c>
      <c r="AA589" s="93">
        <f>IF(OR($N515="RESTRINGIDO", $N529="RESTRINGIDO"), 0, AA478)</f>
        <v>0</v>
      </c>
      <c r="AB589" s="93">
        <f>IF(OR($N515="RESTRINGIDO", $N530="RESTRINGIDO"), 0, AB478)</f>
        <v>0</v>
      </c>
      <c r="AC589" s="93">
        <f>IF(OR($N515="RESTRINGIDO", $N531="RESTRINGIDO"), 0, AC478)</f>
        <v>0</v>
      </c>
      <c r="AD589" s="93">
        <f>IF(OR($N515="RESTRINGIDO", $N532="RESTRINGIDO"), 0, AD478)</f>
        <v>0</v>
      </c>
      <c r="AE589" s="93">
        <f>IF(OR($N515="RESTRINGIDO", $N533="RESTRINGIDO"), 0, AE478)</f>
        <v>0</v>
      </c>
      <c r="AF589" s="93">
        <f>IF(OR($N515="RESTRINGIDO", $N534="RESTRINGIDO"), 0, AF478)</f>
        <v>0</v>
      </c>
      <c r="AG589" s="93">
        <f>IF(OR($N515="RESTRINGIDO", $N535="RESTRINGIDO"), 0, AG478)</f>
        <v>0</v>
      </c>
      <c r="AH589" s="93">
        <f>IF(OR($N515="RESTRINGIDO", $N536="RESTRINGIDO"), 0, AH478)</f>
        <v>0</v>
      </c>
      <c r="AJ589" s="93">
        <f t="shared" si="72"/>
        <v>0</v>
      </c>
      <c r="AL589" s="104">
        <v>0</v>
      </c>
      <c r="AN589" s="104">
        <v>0</v>
      </c>
    </row>
    <row r="590" spans="2:40" x14ac:dyDescent="0.3">
      <c r="B590" s="93">
        <f>IF(OR($N516="RESTRINGIDO", $N504="RESTRINGIDO"), 0, B479)</f>
        <v>0</v>
      </c>
      <c r="C590" s="93">
        <f>IF(OR($N516="RESTRINGIDO", $N505="RESTRINGIDO"), 0, C479)</f>
        <v>0</v>
      </c>
      <c r="D590" s="93">
        <f>IF(OR($N516="RESTRINGIDO", $N506="RESTRINGIDO"), 0, D479)</f>
        <v>0</v>
      </c>
      <c r="E590" s="93">
        <f>IF(OR($N516="RESTRINGIDO", $N507="RESTRINGIDO"), 0, E479)</f>
        <v>0</v>
      </c>
      <c r="F590" s="93">
        <f>IF(OR($N516="RESTRINGIDO", $N508="RESTRINGIDO"), 0, F479)</f>
        <v>0</v>
      </c>
      <c r="G590" s="93">
        <f>IF(OR($N516="RESTRINGIDO", $N509="RESTRINGIDO"), 0, G479)</f>
        <v>0</v>
      </c>
      <c r="H590" s="93">
        <f>IF(OR($N516="RESTRINGIDO", $N510="RESTRINGIDO"), 0, H479)</f>
        <v>0</v>
      </c>
      <c r="I590" s="93">
        <f>IF(OR($N516="RESTRINGIDO", $N511="RESTRINGIDO"), 0, I479)</f>
        <v>0</v>
      </c>
      <c r="J590" s="93">
        <f>IF(OR($N516="RESTRINGIDO", $N512="RESTRINGIDO"), 0, J479)</f>
        <v>0</v>
      </c>
      <c r="K590" s="93">
        <f>IF(OR($N516="RESTRINGIDO", $N513="RESTRINGIDO"), 0, K479)</f>
        <v>0</v>
      </c>
      <c r="L590" s="93">
        <f>IF(OR($N516="RESTRINGIDO", $N514="RESTRINGIDO"), 0, L479)</f>
        <v>0</v>
      </c>
      <c r="M590" s="93">
        <f>IF(OR($N516="RESTRINGIDO", $N515="RESTRINGIDO"), 0, M479)</f>
        <v>0</v>
      </c>
      <c r="N590" s="93">
        <f>IF($N516="RESTRINGIDO", 1, IF(OR($N516="", $C479=""), 1, N479))</f>
        <v>1</v>
      </c>
      <c r="O590" s="93">
        <f>IF(OR($N516="RESTRINGIDO", $N517="RESTRINGIDO"), 0, O479)</f>
        <v>0</v>
      </c>
      <c r="P590" s="93">
        <f>IF(OR($N516="RESTRINGIDO", $N518="RESTRINGIDO"), 0, P479)</f>
        <v>0</v>
      </c>
      <c r="Q590" s="93">
        <f>IF(OR($N516="RESTRINGIDO", $N519="RESTRINGIDO"), 0, Q479)</f>
        <v>0</v>
      </c>
      <c r="R590" s="93">
        <f>IF(OR($N516="RESTRINGIDO", $N520="RESTRINGIDO"), 0, R479)</f>
        <v>0</v>
      </c>
      <c r="S590" s="93">
        <f>IF(OR($N516="RESTRINGIDO", $N521="RESTRINGIDO"), 0, S479)</f>
        <v>0</v>
      </c>
      <c r="T590" s="93">
        <f>IF(OR($N516="RESTRINGIDO", $N522="RESTRINGIDO"), 0, T479)</f>
        <v>0</v>
      </c>
      <c r="U590" s="93">
        <f>IF(OR($N516="RESTRINGIDO", $N523="RESTRINGIDO"), 0, U479)</f>
        <v>0</v>
      </c>
      <c r="V590" s="93">
        <f>IF(OR($N516="RESTRINGIDO", $N524="RESTRINGIDO"), 0, V479)</f>
        <v>0</v>
      </c>
      <c r="W590" s="93">
        <f>IF(OR($N516="RESTRINGIDO", $N525="RESTRINGIDO"), 0, W479)</f>
        <v>0</v>
      </c>
      <c r="X590" s="93">
        <f>IF(OR($N516="RESTRINGIDO", $N526="RESTRINGIDO"), 0, X479)</f>
        <v>0</v>
      </c>
      <c r="Y590" s="93">
        <f>IF(OR($N516="RESTRINGIDO", $N527="RESTRINGIDO"), 0, Y479)</f>
        <v>0</v>
      </c>
      <c r="Z590" s="93">
        <f>IF(OR($N516="RESTRINGIDO", $N528="RESTRINGIDO"), 0, Z479)</f>
        <v>0</v>
      </c>
      <c r="AA590" s="93">
        <f>IF(OR($N516="RESTRINGIDO", $N529="RESTRINGIDO"), 0, AA479)</f>
        <v>0</v>
      </c>
      <c r="AB590" s="93">
        <f>IF(OR($N516="RESTRINGIDO", $N530="RESTRINGIDO"), 0, AB479)</f>
        <v>0</v>
      </c>
      <c r="AC590" s="93">
        <f>IF(OR($N516="RESTRINGIDO", $N531="RESTRINGIDO"), 0, AC479)</f>
        <v>0</v>
      </c>
      <c r="AD590" s="93">
        <f>IF(OR($N516="RESTRINGIDO", $N532="RESTRINGIDO"), 0, AD479)</f>
        <v>0</v>
      </c>
      <c r="AE590" s="93">
        <f>IF(OR($N516="RESTRINGIDO", $N533="RESTRINGIDO"), 0, AE479)</f>
        <v>0</v>
      </c>
      <c r="AF590" s="93">
        <f>IF(OR($N516="RESTRINGIDO", $N534="RESTRINGIDO"), 0, AF479)</f>
        <v>0</v>
      </c>
      <c r="AG590" s="93">
        <f>IF(OR($N516="RESTRINGIDO", $N535="RESTRINGIDO"), 0, AG479)</f>
        <v>0</v>
      </c>
      <c r="AH590" s="93">
        <f>IF(OR($N516="RESTRINGIDO", $N536="RESTRINGIDO"), 0, AH479)</f>
        <v>0</v>
      </c>
      <c r="AJ590" s="93">
        <f t="shared" si="72"/>
        <v>0</v>
      </c>
      <c r="AL590" s="104">
        <v>0</v>
      </c>
      <c r="AN590" s="104">
        <v>0</v>
      </c>
    </row>
    <row r="591" spans="2:40" x14ac:dyDescent="0.3">
      <c r="B591" s="93">
        <f>IF(OR($N517="RESTRINGIDO", $N504="RESTRINGIDO"), 0, B480)</f>
        <v>0</v>
      </c>
      <c r="C591" s="93">
        <f>IF(OR($N517="RESTRINGIDO", $N505="RESTRINGIDO"), 0, C480)</f>
        <v>0</v>
      </c>
      <c r="D591" s="93">
        <f>IF(OR($N517="RESTRINGIDO", $N506="RESTRINGIDO"), 0, D480)</f>
        <v>0</v>
      </c>
      <c r="E591" s="93">
        <f>IF(OR($N517="RESTRINGIDO", $N507="RESTRINGIDO"), 0, E480)</f>
        <v>0</v>
      </c>
      <c r="F591" s="93">
        <f>IF(OR($N517="RESTRINGIDO", $N508="RESTRINGIDO"), 0, F480)</f>
        <v>0</v>
      </c>
      <c r="G591" s="93">
        <f>IF(OR($N517="RESTRINGIDO", $N509="RESTRINGIDO"), 0, G480)</f>
        <v>0</v>
      </c>
      <c r="H591" s="93">
        <f>IF(OR($N517="RESTRINGIDO", $N510="RESTRINGIDO"), 0, H480)</f>
        <v>0</v>
      </c>
      <c r="I591" s="93">
        <f>IF(OR($N517="RESTRINGIDO", $N511="RESTRINGIDO"), 0, I480)</f>
        <v>0</v>
      </c>
      <c r="J591" s="93">
        <f>IF(OR($N517="RESTRINGIDO", $N512="RESTRINGIDO"), 0, J480)</f>
        <v>0</v>
      </c>
      <c r="K591" s="93">
        <f>IF(OR($N517="RESTRINGIDO", $N513="RESTRINGIDO"), 0, K480)</f>
        <v>0</v>
      </c>
      <c r="L591" s="93">
        <f>IF(OR($N517="RESTRINGIDO", $N514="RESTRINGIDO"), 0, L480)</f>
        <v>0</v>
      </c>
      <c r="M591" s="93">
        <f>IF(OR($N517="RESTRINGIDO", $N515="RESTRINGIDO"), 0, M480)</f>
        <v>0</v>
      </c>
      <c r="N591" s="93">
        <f>IF(OR($N517="RESTRINGIDO", $N516="RESTRINGIDO"), 0, N480)</f>
        <v>0</v>
      </c>
      <c r="O591" s="93">
        <f>IF($N517="RESTRINGIDO", 1, IF(OR($N517="", $C480=""), 1, O480))</f>
        <v>1</v>
      </c>
      <c r="P591" s="93">
        <f>IF(OR($N517="RESTRINGIDO", $N518="RESTRINGIDO"), 0, P480)</f>
        <v>0</v>
      </c>
      <c r="Q591" s="93">
        <f>IF(OR($N517="RESTRINGIDO", $N519="RESTRINGIDO"), 0, Q480)</f>
        <v>0</v>
      </c>
      <c r="R591" s="93">
        <f>IF(OR($N517="RESTRINGIDO", $N520="RESTRINGIDO"), 0, R480)</f>
        <v>0</v>
      </c>
      <c r="S591" s="93">
        <f>IF(OR($N517="RESTRINGIDO", $N521="RESTRINGIDO"), 0, S480)</f>
        <v>0</v>
      </c>
      <c r="T591" s="93">
        <f>IF(OR($N517="RESTRINGIDO", $N522="RESTRINGIDO"), 0, T480)</f>
        <v>0</v>
      </c>
      <c r="U591" s="93">
        <f>IF(OR($N517="RESTRINGIDO", $N523="RESTRINGIDO"), 0, U480)</f>
        <v>0</v>
      </c>
      <c r="V591" s="93">
        <f>IF(OR($N517="RESTRINGIDO", $N524="RESTRINGIDO"), 0, V480)</f>
        <v>0</v>
      </c>
      <c r="W591" s="93">
        <f>IF(OR($N517="RESTRINGIDO", $N525="RESTRINGIDO"), 0, W480)</f>
        <v>0</v>
      </c>
      <c r="X591" s="93">
        <f>IF(OR($N517="RESTRINGIDO", $N526="RESTRINGIDO"), 0, X480)</f>
        <v>0</v>
      </c>
      <c r="Y591" s="93">
        <f>IF(OR($N517="RESTRINGIDO", $N527="RESTRINGIDO"), 0, Y480)</f>
        <v>0</v>
      </c>
      <c r="Z591" s="93">
        <f>IF(OR($N517="RESTRINGIDO", $N528="RESTRINGIDO"), 0, Z480)</f>
        <v>0</v>
      </c>
      <c r="AA591" s="93">
        <f>IF(OR($N517="RESTRINGIDO", $N529="RESTRINGIDO"), 0, AA480)</f>
        <v>0</v>
      </c>
      <c r="AB591" s="93">
        <f>IF(OR($N517="RESTRINGIDO", $N530="RESTRINGIDO"), 0, AB480)</f>
        <v>0</v>
      </c>
      <c r="AC591" s="93">
        <f>IF(OR($N517="RESTRINGIDO", $N531="RESTRINGIDO"), 0, AC480)</f>
        <v>0</v>
      </c>
      <c r="AD591" s="93">
        <f>IF(OR($N517="RESTRINGIDO", $N532="RESTRINGIDO"), 0, AD480)</f>
        <v>0</v>
      </c>
      <c r="AE591" s="93">
        <f>IF(OR($N517="RESTRINGIDO", $N533="RESTRINGIDO"), 0, AE480)</f>
        <v>0</v>
      </c>
      <c r="AF591" s="93">
        <f>IF(OR($N517="RESTRINGIDO", $N534="RESTRINGIDO"), 0, AF480)</f>
        <v>0</v>
      </c>
      <c r="AG591" s="93">
        <f>IF(OR($N517="RESTRINGIDO", $N535="RESTRINGIDO"), 0, AG480)</f>
        <v>0</v>
      </c>
      <c r="AH591" s="93">
        <f>IF(OR($N517="RESTRINGIDO", $N536="RESTRINGIDO"), 0, AH480)</f>
        <v>0</v>
      </c>
      <c r="AJ591" s="93">
        <f t="shared" si="72"/>
        <v>0</v>
      </c>
      <c r="AL591" s="104">
        <v>0</v>
      </c>
      <c r="AN591" s="104">
        <v>0</v>
      </c>
    </row>
    <row r="592" spans="2:40" x14ac:dyDescent="0.3">
      <c r="B592" s="93">
        <f>IF(OR($N518="RESTRINGIDO", $N504="RESTRINGIDO"), 0, B481)</f>
        <v>0</v>
      </c>
      <c r="C592" s="93">
        <f>IF(OR($N518="RESTRINGIDO", $N505="RESTRINGIDO"), 0, C481)</f>
        <v>0</v>
      </c>
      <c r="D592" s="93">
        <f>IF(OR($N518="RESTRINGIDO", $N506="RESTRINGIDO"), 0, D481)</f>
        <v>0</v>
      </c>
      <c r="E592" s="93">
        <f>IF(OR($N518="RESTRINGIDO", $N507="RESTRINGIDO"), 0, E481)</f>
        <v>0</v>
      </c>
      <c r="F592" s="93">
        <f>IF(OR($N518="RESTRINGIDO", $N508="RESTRINGIDO"), 0, F481)</f>
        <v>0</v>
      </c>
      <c r="G592" s="93">
        <f>IF(OR($N518="RESTRINGIDO", $N509="RESTRINGIDO"), 0, G481)</f>
        <v>0</v>
      </c>
      <c r="H592" s="93">
        <f>IF(OR($N518="RESTRINGIDO", $N510="RESTRINGIDO"), 0, H481)</f>
        <v>0</v>
      </c>
      <c r="I592" s="93">
        <f>IF(OR($N518="RESTRINGIDO", $N511="RESTRINGIDO"), 0, I481)</f>
        <v>0</v>
      </c>
      <c r="J592" s="93">
        <f>IF(OR($N518="RESTRINGIDO", $N512="RESTRINGIDO"), 0, J481)</f>
        <v>0</v>
      </c>
      <c r="K592" s="93">
        <f>IF(OR($N518="RESTRINGIDO", $N513="RESTRINGIDO"), 0, K481)</f>
        <v>0</v>
      </c>
      <c r="L592" s="93">
        <f>IF(OR($N518="RESTRINGIDO", $N514="RESTRINGIDO"), 0, L481)</f>
        <v>0</v>
      </c>
      <c r="M592" s="93">
        <f>IF(OR($N518="RESTRINGIDO", $N515="RESTRINGIDO"), 0, M481)</f>
        <v>0</v>
      </c>
      <c r="N592" s="93">
        <f>IF(OR($N518="RESTRINGIDO", $N516="RESTRINGIDO"), 0, N481)</f>
        <v>0</v>
      </c>
      <c r="O592" s="93">
        <f>IF(OR($N518="RESTRINGIDO", $N517="RESTRINGIDO"), 0, O481)</f>
        <v>0</v>
      </c>
      <c r="P592" s="93">
        <f>IF($N518="RESTRINGIDO", 1, IF(OR($N518="", $C481=""), 1, P481))</f>
        <v>1</v>
      </c>
      <c r="Q592" s="93">
        <f>IF(OR($N518="RESTRINGIDO", $N519="RESTRINGIDO"), 0, Q481)</f>
        <v>0</v>
      </c>
      <c r="R592" s="93">
        <f>IF(OR($N518="RESTRINGIDO", $N520="RESTRINGIDO"), 0, R481)</f>
        <v>0</v>
      </c>
      <c r="S592" s="93">
        <f>IF(OR($N518="RESTRINGIDO", $N521="RESTRINGIDO"), 0, S481)</f>
        <v>0</v>
      </c>
      <c r="T592" s="93">
        <f>IF(OR($N518="RESTRINGIDO", $N522="RESTRINGIDO"), 0, T481)</f>
        <v>0</v>
      </c>
      <c r="U592" s="93">
        <f>IF(OR($N518="RESTRINGIDO", $N523="RESTRINGIDO"), 0, U481)</f>
        <v>0</v>
      </c>
      <c r="V592" s="93">
        <f>IF(OR($N518="RESTRINGIDO", $N524="RESTRINGIDO"), 0, V481)</f>
        <v>0</v>
      </c>
      <c r="W592" s="93">
        <f>IF(OR($N518="RESTRINGIDO", $N525="RESTRINGIDO"), 0, W481)</f>
        <v>0</v>
      </c>
      <c r="X592" s="93">
        <f>IF(OR($N518="RESTRINGIDO", $N526="RESTRINGIDO"), 0, X481)</f>
        <v>0</v>
      </c>
      <c r="Y592" s="93">
        <f>IF(OR($N518="RESTRINGIDO", $N527="RESTRINGIDO"), 0, Y481)</f>
        <v>0</v>
      </c>
      <c r="Z592" s="93">
        <f>IF(OR($N518="RESTRINGIDO", $N528="RESTRINGIDO"), 0, Z481)</f>
        <v>0</v>
      </c>
      <c r="AA592" s="93">
        <f>IF(OR($N518="RESTRINGIDO", $N529="RESTRINGIDO"), 0, AA481)</f>
        <v>0</v>
      </c>
      <c r="AB592" s="93">
        <f>IF(OR($N518="RESTRINGIDO", $N530="RESTRINGIDO"), 0, AB481)</f>
        <v>0</v>
      </c>
      <c r="AC592" s="93">
        <f>IF(OR($N518="RESTRINGIDO", $N531="RESTRINGIDO"), 0, AC481)</f>
        <v>0</v>
      </c>
      <c r="AD592" s="93">
        <f>IF(OR($N518="RESTRINGIDO", $N532="RESTRINGIDO"), 0, AD481)</f>
        <v>0</v>
      </c>
      <c r="AE592" s="93">
        <f>IF(OR($N518="RESTRINGIDO", $N533="RESTRINGIDO"), 0, AE481)</f>
        <v>0</v>
      </c>
      <c r="AF592" s="93">
        <f>IF(OR($N518="RESTRINGIDO", $N534="RESTRINGIDO"), 0, AF481)</f>
        <v>0</v>
      </c>
      <c r="AG592" s="93">
        <f>IF(OR($N518="RESTRINGIDO", $N535="RESTRINGIDO"), 0, AG481)</f>
        <v>0</v>
      </c>
      <c r="AH592" s="93">
        <f>IF(OR($N518="RESTRINGIDO", $N536="RESTRINGIDO"), 0, AH481)</f>
        <v>0</v>
      </c>
      <c r="AJ592" s="93">
        <f t="shared" si="72"/>
        <v>0</v>
      </c>
      <c r="AL592" s="104">
        <v>0</v>
      </c>
      <c r="AN592" s="104">
        <v>0</v>
      </c>
    </row>
    <row r="593" spans="2:40" x14ac:dyDescent="0.3">
      <c r="B593" s="93">
        <f>IF(OR($N519="RESTRINGIDO", $N504="RESTRINGIDO"), 0, B482)</f>
        <v>0</v>
      </c>
      <c r="C593" s="93">
        <f>IF(OR($N519="RESTRINGIDO", $N505="RESTRINGIDO"), 0, C482)</f>
        <v>0</v>
      </c>
      <c r="D593" s="93">
        <f>IF(OR($N519="RESTRINGIDO", $N506="RESTRINGIDO"), 0, D482)</f>
        <v>0</v>
      </c>
      <c r="E593" s="93">
        <f>IF(OR($N519="RESTRINGIDO", $N507="RESTRINGIDO"), 0, E482)</f>
        <v>0</v>
      </c>
      <c r="F593" s="93">
        <f>IF(OR($N519="RESTRINGIDO", $N508="RESTRINGIDO"), 0, F482)</f>
        <v>0</v>
      </c>
      <c r="G593" s="93">
        <f>IF(OR($N519="RESTRINGIDO", $N509="RESTRINGIDO"), 0, G482)</f>
        <v>0</v>
      </c>
      <c r="H593" s="93">
        <f>IF(OR($N519="RESTRINGIDO", $N510="RESTRINGIDO"), 0, H482)</f>
        <v>0</v>
      </c>
      <c r="I593" s="93">
        <f>IF(OR($N519="RESTRINGIDO", $N511="RESTRINGIDO"), 0, I482)</f>
        <v>0</v>
      </c>
      <c r="J593" s="93">
        <f>IF(OR($N519="RESTRINGIDO", $N512="RESTRINGIDO"), 0, J482)</f>
        <v>0</v>
      </c>
      <c r="K593" s="93">
        <f>IF(OR($N519="RESTRINGIDO", $N513="RESTRINGIDO"), 0, K482)</f>
        <v>0</v>
      </c>
      <c r="L593" s="93">
        <f>IF(OR($N519="RESTRINGIDO", $N514="RESTRINGIDO"), 0, L482)</f>
        <v>0</v>
      </c>
      <c r="M593" s="93">
        <f>IF(OR($N519="RESTRINGIDO", $N515="RESTRINGIDO"), 0, M482)</f>
        <v>0</v>
      </c>
      <c r="N593" s="93">
        <f>IF(OR($N519="RESTRINGIDO", $N516="RESTRINGIDO"), 0, N482)</f>
        <v>0</v>
      </c>
      <c r="O593" s="93">
        <f>IF(OR($N519="RESTRINGIDO", $N517="RESTRINGIDO"), 0, O482)</f>
        <v>0</v>
      </c>
      <c r="P593" s="93">
        <f>IF(OR($N519="RESTRINGIDO", $N518="RESTRINGIDO"), 0, P482)</f>
        <v>0</v>
      </c>
      <c r="Q593" s="93">
        <f>IF($N519="RESTRINGIDO", 1, IF(OR($N519="", $C482=""), 1, Q482))</f>
        <v>1</v>
      </c>
      <c r="R593" s="93">
        <f>IF(OR($N519="RESTRINGIDO", $N520="RESTRINGIDO"), 0, R482)</f>
        <v>0</v>
      </c>
      <c r="S593" s="93">
        <f>IF(OR($N519="RESTRINGIDO", $N521="RESTRINGIDO"), 0, S482)</f>
        <v>0</v>
      </c>
      <c r="T593" s="93">
        <f>IF(OR($N519="RESTRINGIDO", $N522="RESTRINGIDO"), 0, T482)</f>
        <v>0</v>
      </c>
      <c r="U593" s="93">
        <f>IF(OR($N519="RESTRINGIDO", $N523="RESTRINGIDO"), 0, U482)</f>
        <v>0</v>
      </c>
      <c r="V593" s="93">
        <f>IF(OR($N519="RESTRINGIDO", $N524="RESTRINGIDO"), 0, V482)</f>
        <v>0</v>
      </c>
      <c r="W593" s="93">
        <f>IF(OR($N519="RESTRINGIDO", $N525="RESTRINGIDO"), 0, W482)</f>
        <v>0</v>
      </c>
      <c r="X593" s="93">
        <f>IF(OR($N519="RESTRINGIDO", $N526="RESTRINGIDO"), 0, X482)</f>
        <v>0</v>
      </c>
      <c r="Y593" s="93">
        <f>IF(OR($N519="RESTRINGIDO", $N527="RESTRINGIDO"), 0, Y482)</f>
        <v>0</v>
      </c>
      <c r="Z593" s="93">
        <f>IF(OR($N519="RESTRINGIDO", $N528="RESTRINGIDO"), 0, Z482)</f>
        <v>0</v>
      </c>
      <c r="AA593" s="93">
        <f>IF(OR($N519="RESTRINGIDO", $N529="RESTRINGIDO"), 0, AA482)</f>
        <v>0</v>
      </c>
      <c r="AB593" s="93">
        <f>IF(OR($N519="RESTRINGIDO", $N530="RESTRINGIDO"), 0, AB482)</f>
        <v>0</v>
      </c>
      <c r="AC593" s="93">
        <f>IF(OR($N519="RESTRINGIDO", $N531="RESTRINGIDO"), 0, AC482)</f>
        <v>0</v>
      </c>
      <c r="AD593" s="93">
        <f>IF(OR($N519="RESTRINGIDO", $N532="RESTRINGIDO"), 0, AD482)</f>
        <v>0</v>
      </c>
      <c r="AE593" s="93">
        <f>IF(OR($N519="RESTRINGIDO", $N533="RESTRINGIDO"), 0, AE482)</f>
        <v>0</v>
      </c>
      <c r="AF593" s="93">
        <f>IF(OR($N519="RESTRINGIDO", $N534="RESTRINGIDO"), 0, AF482)</f>
        <v>0</v>
      </c>
      <c r="AG593" s="93">
        <f>IF(OR($N519="RESTRINGIDO", $N535="RESTRINGIDO"), 0, AG482)</f>
        <v>0</v>
      </c>
      <c r="AH593" s="93">
        <f>IF(OR($N519="RESTRINGIDO", $N536="RESTRINGIDO"), 0, AH482)</f>
        <v>0</v>
      </c>
      <c r="AJ593" s="93">
        <f t="shared" si="72"/>
        <v>0</v>
      </c>
      <c r="AL593" s="104">
        <v>0</v>
      </c>
      <c r="AN593" s="104">
        <v>0</v>
      </c>
    </row>
    <row r="594" spans="2:40" x14ac:dyDescent="0.3">
      <c r="B594" s="93">
        <f>IF(OR($N520="RESTRINGIDO", $N504="RESTRINGIDO"), 0, B483)</f>
        <v>0</v>
      </c>
      <c r="C594" s="93">
        <f>IF(OR($N520="RESTRINGIDO", $N505="RESTRINGIDO"), 0, C483)</f>
        <v>0</v>
      </c>
      <c r="D594" s="93">
        <f>IF(OR($N520="RESTRINGIDO", $N506="RESTRINGIDO"), 0, D483)</f>
        <v>0</v>
      </c>
      <c r="E594" s="93">
        <f>IF(OR($N520="RESTRINGIDO", $N507="RESTRINGIDO"), 0, E483)</f>
        <v>0</v>
      </c>
      <c r="F594" s="93">
        <f>IF(OR($N520="RESTRINGIDO", $N508="RESTRINGIDO"), 0, F483)</f>
        <v>0</v>
      </c>
      <c r="G594" s="93">
        <f>IF(OR($N520="RESTRINGIDO", $N509="RESTRINGIDO"), 0, G483)</f>
        <v>0</v>
      </c>
      <c r="H594" s="93">
        <f>IF(OR($N520="RESTRINGIDO", $N510="RESTRINGIDO"), 0, H483)</f>
        <v>0</v>
      </c>
      <c r="I594" s="93">
        <f>IF(OR($N520="RESTRINGIDO", $N511="RESTRINGIDO"), 0, I483)</f>
        <v>0</v>
      </c>
      <c r="J594" s="93">
        <f>IF(OR($N520="RESTRINGIDO", $N512="RESTRINGIDO"), 0, J483)</f>
        <v>0</v>
      </c>
      <c r="K594" s="93">
        <f>IF(OR($N520="RESTRINGIDO", $N513="RESTRINGIDO"), 0, K483)</f>
        <v>0</v>
      </c>
      <c r="L594" s="93">
        <f>IF(OR($N520="RESTRINGIDO", $N514="RESTRINGIDO"), 0, L483)</f>
        <v>0</v>
      </c>
      <c r="M594" s="93">
        <f>IF(OR($N520="RESTRINGIDO", $N515="RESTRINGIDO"), 0, M483)</f>
        <v>0</v>
      </c>
      <c r="N594" s="93">
        <f>IF(OR($N520="RESTRINGIDO", $N516="RESTRINGIDO"), 0, N483)</f>
        <v>0</v>
      </c>
      <c r="O594" s="93">
        <f>IF(OR($N520="RESTRINGIDO", $N517="RESTRINGIDO"), 0, O483)</f>
        <v>0</v>
      </c>
      <c r="P594" s="93">
        <f>IF(OR($N520="RESTRINGIDO", $N518="RESTRINGIDO"), 0, P483)</f>
        <v>0</v>
      </c>
      <c r="Q594" s="93">
        <f>IF(OR($N520="RESTRINGIDO", $N519="RESTRINGIDO"), 0, Q483)</f>
        <v>0</v>
      </c>
      <c r="R594" s="93">
        <f>IF($N520="RESTRINGIDO", 1, IF(OR($N520="", $C483=""), 1, R483))</f>
        <v>1</v>
      </c>
      <c r="S594" s="93">
        <f>IF(OR($N520="RESTRINGIDO", $N521="RESTRINGIDO"), 0, S483)</f>
        <v>0</v>
      </c>
      <c r="T594" s="93">
        <f>IF(OR($N520="RESTRINGIDO", $N522="RESTRINGIDO"), 0, T483)</f>
        <v>0</v>
      </c>
      <c r="U594" s="93">
        <f>IF(OR($N520="RESTRINGIDO", $N523="RESTRINGIDO"), 0, U483)</f>
        <v>0</v>
      </c>
      <c r="V594" s="93">
        <f>IF(OR($N520="RESTRINGIDO", $N524="RESTRINGIDO"), 0, V483)</f>
        <v>0</v>
      </c>
      <c r="W594" s="93">
        <f>IF(OR($N520="RESTRINGIDO", $N525="RESTRINGIDO"), 0, W483)</f>
        <v>0</v>
      </c>
      <c r="X594" s="93">
        <f>IF(OR($N520="RESTRINGIDO", $N526="RESTRINGIDO"), 0, X483)</f>
        <v>0</v>
      </c>
      <c r="Y594" s="93">
        <f>IF(OR($N520="RESTRINGIDO", $N527="RESTRINGIDO"), 0, Y483)</f>
        <v>0</v>
      </c>
      <c r="Z594" s="93">
        <f>IF(OR($N520="RESTRINGIDO", $N528="RESTRINGIDO"), 0, Z483)</f>
        <v>0</v>
      </c>
      <c r="AA594" s="93">
        <f>IF(OR($N520="RESTRINGIDO", $N529="RESTRINGIDO"), 0, AA483)</f>
        <v>0</v>
      </c>
      <c r="AB594" s="93">
        <f>IF(OR($N520="RESTRINGIDO", $N530="RESTRINGIDO"), 0, AB483)</f>
        <v>0</v>
      </c>
      <c r="AC594" s="93">
        <f>IF(OR($N520="RESTRINGIDO", $N531="RESTRINGIDO"), 0, AC483)</f>
        <v>0</v>
      </c>
      <c r="AD594" s="93">
        <f>IF(OR($N520="RESTRINGIDO", $N532="RESTRINGIDO"), 0, AD483)</f>
        <v>0</v>
      </c>
      <c r="AE594" s="93">
        <f>IF(OR($N520="RESTRINGIDO", $N533="RESTRINGIDO"), 0, AE483)</f>
        <v>0</v>
      </c>
      <c r="AF594" s="93">
        <f>IF(OR($N520="RESTRINGIDO", $N534="RESTRINGIDO"), 0, AF483)</f>
        <v>0</v>
      </c>
      <c r="AG594" s="93">
        <f>IF(OR($N520="RESTRINGIDO", $N535="RESTRINGIDO"), 0, AG483)</f>
        <v>0</v>
      </c>
      <c r="AH594" s="93">
        <f>IF(OR($N520="RESTRINGIDO", $N536="RESTRINGIDO"), 0, AH483)</f>
        <v>0</v>
      </c>
      <c r="AJ594" s="93">
        <f t="shared" si="72"/>
        <v>0</v>
      </c>
      <c r="AL594" s="104">
        <v>0</v>
      </c>
      <c r="AN594" s="104">
        <v>0</v>
      </c>
    </row>
    <row r="595" spans="2:40" x14ac:dyDescent="0.3">
      <c r="B595" s="93">
        <f>IF(OR($N521="RESTRINGIDO", $N504="RESTRINGIDO"), 0, B484)</f>
        <v>0</v>
      </c>
      <c r="C595" s="93">
        <f>IF(OR($N521="RESTRINGIDO", $N505="RESTRINGIDO"), 0, C484)</f>
        <v>0</v>
      </c>
      <c r="D595" s="93">
        <f>IF(OR($N521="RESTRINGIDO", $N506="RESTRINGIDO"), 0, D484)</f>
        <v>0</v>
      </c>
      <c r="E595" s="93">
        <f>IF(OR($N521="RESTRINGIDO", $N507="RESTRINGIDO"), 0, E484)</f>
        <v>0</v>
      </c>
      <c r="F595" s="93">
        <f>IF(OR($N521="RESTRINGIDO", $N508="RESTRINGIDO"), 0, F484)</f>
        <v>0</v>
      </c>
      <c r="G595" s="93">
        <f>IF(OR($N521="RESTRINGIDO", $N509="RESTRINGIDO"), 0, G484)</f>
        <v>0</v>
      </c>
      <c r="H595" s="93">
        <f>IF(OR($N521="RESTRINGIDO", $N510="RESTRINGIDO"), 0, H484)</f>
        <v>0</v>
      </c>
      <c r="I595" s="93">
        <f>IF(OR($N521="RESTRINGIDO", $N511="RESTRINGIDO"), 0, I484)</f>
        <v>0</v>
      </c>
      <c r="J595" s="93">
        <f>IF(OR($N521="RESTRINGIDO", $N512="RESTRINGIDO"), 0, J484)</f>
        <v>0</v>
      </c>
      <c r="K595" s="93">
        <f>IF(OR($N521="RESTRINGIDO", $N513="RESTRINGIDO"), 0, K484)</f>
        <v>0</v>
      </c>
      <c r="L595" s="93">
        <f>IF(OR($N521="RESTRINGIDO", $N514="RESTRINGIDO"), 0, L484)</f>
        <v>0</v>
      </c>
      <c r="M595" s="93">
        <f>IF(OR($N521="RESTRINGIDO", $N515="RESTRINGIDO"), 0, M484)</f>
        <v>0</v>
      </c>
      <c r="N595" s="93">
        <f>IF(OR($N521="RESTRINGIDO", $N516="RESTRINGIDO"), 0, N484)</f>
        <v>0</v>
      </c>
      <c r="O595" s="93">
        <f>IF(OR($N521="RESTRINGIDO", $N517="RESTRINGIDO"), 0, O484)</f>
        <v>0</v>
      </c>
      <c r="P595" s="93">
        <f>IF(OR($N521="RESTRINGIDO", $N518="RESTRINGIDO"), 0, P484)</f>
        <v>0</v>
      </c>
      <c r="Q595" s="93">
        <f>IF(OR($N521="RESTRINGIDO", $N519="RESTRINGIDO"), 0, Q484)</f>
        <v>0</v>
      </c>
      <c r="R595" s="93">
        <f>IF(OR($N521="RESTRINGIDO", $N520="RESTRINGIDO"), 0, R484)</f>
        <v>0</v>
      </c>
      <c r="S595" s="93">
        <f>IF($N521="RESTRINGIDO", 1, IF(OR($N521="", $C484=""), 1, S484))</f>
        <v>1</v>
      </c>
      <c r="T595" s="93">
        <f>IF(OR($N521="RESTRINGIDO", $N522="RESTRINGIDO"), 0, T484)</f>
        <v>0</v>
      </c>
      <c r="U595" s="93">
        <f>IF(OR($N521="RESTRINGIDO", $N523="RESTRINGIDO"), 0, U484)</f>
        <v>0</v>
      </c>
      <c r="V595" s="93">
        <f>IF(OR($N521="RESTRINGIDO", $N524="RESTRINGIDO"), 0, V484)</f>
        <v>0</v>
      </c>
      <c r="W595" s="93">
        <f>IF(OR($N521="RESTRINGIDO", $N525="RESTRINGIDO"), 0, W484)</f>
        <v>0</v>
      </c>
      <c r="X595" s="93">
        <f>IF(OR($N521="RESTRINGIDO", $N526="RESTRINGIDO"), 0, X484)</f>
        <v>0</v>
      </c>
      <c r="Y595" s="93">
        <f>IF(OR($N521="RESTRINGIDO", $N527="RESTRINGIDO"), 0, Y484)</f>
        <v>0</v>
      </c>
      <c r="Z595" s="93">
        <f>IF(OR($N521="RESTRINGIDO", $N528="RESTRINGIDO"), 0, Z484)</f>
        <v>0</v>
      </c>
      <c r="AA595" s="93">
        <f>IF(OR($N521="RESTRINGIDO", $N529="RESTRINGIDO"), 0, AA484)</f>
        <v>0</v>
      </c>
      <c r="AB595" s="93">
        <f>IF(OR($N521="RESTRINGIDO", $N530="RESTRINGIDO"), 0, AB484)</f>
        <v>0</v>
      </c>
      <c r="AC595" s="93">
        <f>IF(OR($N521="RESTRINGIDO", $N531="RESTRINGIDO"), 0, AC484)</f>
        <v>0</v>
      </c>
      <c r="AD595" s="93">
        <f>IF(OR($N521="RESTRINGIDO", $N532="RESTRINGIDO"), 0, AD484)</f>
        <v>0</v>
      </c>
      <c r="AE595" s="93">
        <f>IF(OR($N521="RESTRINGIDO", $N533="RESTRINGIDO"), 0, AE484)</f>
        <v>0</v>
      </c>
      <c r="AF595" s="93">
        <f>IF(OR($N521="RESTRINGIDO", $N534="RESTRINGIDO"), 0, AF484)</f>
        <v>0</v>
      </c>
      <c r="AG595" s="93">
        <f>IF(OR($N521="RESTRINGIDO", $N535="RESTRINGIDO"), 0, AG484)</f>
        <v>0</v>
      </c>
      <c r="AH595" s="93">
        <f>IF(OR($N521="RESTRINGIDO", $N536="RESTRINGIDO"), 0, AH484)</f>
        <v>0</v>
      </c>
      <c r="AJ595" s="93">
        <f t="shared" si="72"/>
        <v>0</v>
      </c>
      <c r="AL595" s="104">
        <v>0</v>
      </c>
      <c r="AN595" s="104">
        <v>0</v>
      </c>
    </row>
    <row r="596" spans="2:40" x14ac:dyDescent="0.3">
      <c r="B596" s="93">
        <f>IF(OR($N522="RESTRINGIDO", $N504="RESTRINGIDO"), 0, B485)</f>
        <v>0</v>
      </c>
      <c r="C596" s="93">
        <f>IF(OR($N522="RESTRINGIDO", $N505="RESTRINGIDO"), 0, C485)</f>
        <v>0</v>
      </c>
      <c r="D596" s="93">
        <f>IF(OR($N522="RESTRINGIDO", $N506="RESTRINGIDO"), 0, D485)</f>
        <v>0</v>
      </c>
      <c r="E596" s="93">
        <f>IF(OR($N522="RESTRINGIDO", $N507="RESTRINGIDO"), 0, E485)</f>
        <v>0</v>
      </c>
      <c r="F596" s="93">
        <f>IF(OR($N522="RESTRINGIDO", $N508="RESTRINGIDO"), 0, F485)</f>
        <v>0</v>
      </c>
      <c r="G596" s="93">
        <f>IF(OR($N522="RESTRINGIDO", $N509="RESTRINGIDO"), 0, G485)</f>
        <v>0</v>
      </c>
      <c r="H596" s="93">
        <f>IF(OR($N522="RESTRINGIDO", $N510="RESTRINGIDO"), 0, H485)</f>
        <v>0</v>
      </c>
      <c r="I596" s="93">
        <f>IF(OR($N522="RESTRINGIDO", $N511="RESTRINGIDO"), 0, I485)</f>
        <v>0</v>
      </c>
      <c r="J596" s="93">
        <f>IF(OR($N522="RESTRINGIDO", $N512="RESTRINGIDO"), 0, J485)</f>
        <v>0</v>
      </c>
      <c r="K596" s="93">
        <f>IF(OR($N522="RESTRINGIDO", $N513="RESTRINGIDO"), 0, K485)</f>
        <v>0</v>
      </c>
      <c r="L596" s="93">
        <f>IF(OR($N522="RESTRINGIDO", $N514="RESTRINGIDO"), 0, L485)</f>
        <v>0</v>
      </c>
      <c r="M596" s="93">
        <f>IF(OR($N522="RESTRINGIDO", $N515="RESTRINGIDO"), 0, M485)</f>
        <v>0</v>
      </c>
      <c r="N596" s="93">
        <f>IF(OR($N522="RESTRINGIDO", $N516="RESTRINGIDO"), 0, N485)</f>
        <v>0</v>
      </c>
      <c r="O596" s="93">
        <f>IF(OR($N522="RESTRINGIDO", $N517="RESTRINGIDO"), 0, O485)</f>
        <v>0</v>
      </c>
      <c r="P596" s="93">
        <f>IF(OR($N522="RESTRINGIDO", $N518="RESTRINGIDO"), 0, P485)</f>
        <v>0</v>
      </c>
      <c r="Q596" s="93">
        <f>IF(OR($N522="RESTRINGIDO", $N519="RESTRINGIDO"), 0, Q485)</f>
        <v>0</v>
      </c>
      <c r="R596" s="93">
        <f>IF(OR($N522="RESTRINGIDO", $N520="RESTRINGIDO"), 0, R485)</f>
        <v>0</v>
      </c>
      <c r="S596" s="93">
        <f>IF(OR($N522="RESTRINGIDO", $N521="RESTRINGIDO"), 0, S485)</f>
        <v>0</v>
      </c>
      <c r="T596" s="93">
        <f>IF($N522="RESTRINGIDO", 1, IF(OR($N522="", $C485=""), 1, T485))</f>
        <v>1</v>
      </c>
      <c r="U596" s="93">
        <f>IF(OR($N522="RESTRINGIDO", $N523="RESTRINGIDO"), 0, U485)</f>
        <v>0</v>
      </c>
      <c r="V596" s="93">
        <f>IF(OR($N522="RESTRINGIDO", $N524="RESTRINGIDO"), 0, V485)</f>
        <v>0</v>
      </c>
      <c r="W596" s="93">
        <f>IF(OR($N522="RESTRINGIDO", $N525="RESTRINGIDO"), 0, W485)</f>
        <v>0</v>
      </c>
      <c r="X596" s="93">
        <f>IF(OR($N522="RESTRINGIDO", $N526="RESTRINGIDO"), 0, X485)</f>
        <v>0</v>
      </c>
      <c r="Y596" s="93">
        <f>IF(OR($N522="RESTRINGIDO", $N527="RESTRINGIDO"), 0, Y485)</f>
        <v>0</v>
      </c>
      <c r="Z596" s="93">
        <f>IF(OR($N522="RESTRINGIDO", $N528="RESTRINGIDO"), 0, Z485)</f>
        <v>0</v>
      </c>
      <c r="AA596" s="93">
        <f>IF(OR($N522="RESTRINGIDO", $N529="RESTRINGIDO"), 0, AA485)</f>
        <v>0</v>
      </c>
      <c r="AB596" s="93">
        <f>IF(OR($N522="RESTRINGIDO", $N530="RESTRINGIDO"), 0, AB485)</f>
        <v>0</v>
      </c>
      <c r="AC596" s="93">
        <f>IF(OR($N522="RESTRINGIDO", $N531="RESTRINGIDO"), 0, AC485)</f>
        <v>0</v>
      </c>
      <c r="AD596" s="93">
        <f>IF(OR($N522="RESTRINGIDO", $N532="RESTRINGIDO"), 0, AD485)</f>
        <v>0</v>
      </c>
      <c r="AE596" s="93">
        <f>IF(OR($N522="RESTRINGIDO", $N533="RESTRINGIDO"), 0, AE485)</f>
        <v>0</v>
      </c>
      <c r="AF596" s="93">
        <f>IF(OR($N522="RESTRINGIDO", $N534="RESTRINGIDO"), 0, AF485)</f>
        <v>0</v>
      </c>
      <c r="AG596" s="93">
        <f>IF(OR($N522="RESTRINGIDO", $N535="RESTRINGIDO"), 0, AG485)</f>
        <v>0</v>
      </c>
      <c r="AH596" s="93">
        <f>IF(OR($N522="RESTRINGIDO", $N536="RESTRINGIDO"), 0, AH485)</f>
        <v>0</v>
      </c>
      <c r="AJ596" s="93">
        <f t="shared" si="72"/>
        <v>0</v>
      </c>
      <c r="AL596" s="104">
        <v>0</v>
      </c>
      <c r="AN596" s="104">
        <v>0</v>
      </c>
    </row>
    <row r="597" spans="2:40" x14ac:dyDescent="0.3">
      <c r="B597" s="93">
        <f>IF(OR($N523="RESTRINGIDO", $N504="RESTRINGIDO"), 0, B486)</f>
        <v>0</v>
      </c>
      <c r="C597" s="93">
        <f>IF(OR($N523="RESTRINGIDO", $N505="RESTRINGIDO"), 0, C486)</f>
        <v>0</v>
      </c>
      <c r="D597" s="93">
        <f>IF(OR($N523="RESTRINGIDO", $N506="RESTRINGIDO"), 0, D486)</f>
        <v>0</v>
      </c>
      <c r="E597" s="93">
        <f>IF(OR($N523="RESTRINGIDO", $N507="RESTRINGIDO"), 0, E486)</f>
        <v>0</v>
      </c>
      <c r="F597" s="93">
        <f>IF(OR($N523="RESTRINGIDO", $N508="RESTRINGIDO"), 0, F486)</f>
        <v>0</v>
      </c>
      <c r="G597" s="93">
        <f>IF(OR($N523="RESTRINGIDO", $N509="RESTRINGIDO"), 0, G486)</f>
        <v>0</v>
      </c>
      <c r="H597" s="93">
        <f>IF(OR($N523="RESTRINGIDO", $N510="RESTRINGIDO"), 0, H486)</f>
        <v>0</v>
      </c>
      <c r="I597" s="93">
        <f>IF(OR($N523="RESTRINGIDO", $N511="RESTRINGIDO"), 0, I486)</f>
        <v>0</v>
      </c>
      <c r="J597" s="93">
        <f>IF(OR($N523="RESTRINGIDO", $N512="RESTRINGIDO"), 0, J486)</f>
        <v>0</v>
      </c>
      <c r="K597" s="93">
        <f>IF(OR($N523="RESTRINGIDO", $N513="RESTRINGIDO"), 0, K486)</f>
        <v>0</v>
      </c>
      <c r="L597" s="93">
        <f>IF(OR($N523="RESTRINGIDO", $N514="RESTRINGIDO"), 0, L486)</f>
        <v>0</v>
      </c>
      <c r="M597" s="93">
        <f>IF(OR($N523="RESTRINGIDO", $N515="RESTRINGIDO"), 0, M486)</f>
        <v>0</v>
      </c>
      <c r="N597" s="93">
        <f>IF(OR($N523="RESTRINGIDO", $N516="RESTRINGIDO"), 0, N486)</f>
        <v>0</v>
      </c>
      <c r="O597" s="93">
        <f>IF(OR($N523="RESTRINGIDO", $N517="RESTRINGIDO"), 0, O486)</f>
        <v>0</v>
      </c>
      <c r="P597" s="93">
        <f>IF(OR($N523="RESTRINGIDO", $N518="RESTRINGIDO"), 0, P486)</f>
        <v>0</v>
      </c>
      <c r="Q597" s="93">
        <f>IF(OR($N523="RESTRINGIDO", $N519="RESTRINGIDO"), 0, Q486)</f>
        <v>0</v>
      </c>
      <c r="R597" s="93">
        <f>IF(OR($N523="RESTRINGIDO", $N520="RESTRINGIDO"), 0, R486)</f>
        <v>0</v>
      </c>
      <c r="S597" s="93">
        <f>IF(OR($N523="RESTRINGIDO", $N521="RESTRINGIDO"), 0, S486)</f>
        <v>0</v>
      </c>
      <c r="T597" s="93">
        <f>IF(OR($N523="RESTRINGIDO", $N522="RESTRINGIDO"), 0, T486)</f>
        <v>0</v>
      </c>
      <c r="U597" s="93">
        <f>IF($N523="RESTRINGIDO", 1, IF(OR($N523="", $C486=""), 1, U486))</f>
        <v>1</v>
      </c>
      <c r="V597" s="93">
        <f>IF(OR($N523="RESTRINGIDO", $N524="RESTRINGIDO"), 0, V486)</f>
        <v>0</v>
      </c>
      <c r="W597" s="93">
        <f>IF(OR($N523="RESTRINGIDO", $N525="RESTRINGIDO"), 0, W486)</f>
        <v>0</v>
      </c>
      <c r="X597" s="93">
        <f>IF(OR($N523="RESTRINGIDO", $N526="RESTRINGIDO"), 0, X486)</f>
        <v>0</v>
      </c>
      <c r="Y597" s="93">
        <f>IF(OR($N523="RESTRINGIDO", $N527="RESTRINGIDO"), 0, Y486)</f>
        <v>0</v>
      </c>
      <c r="Z597" s="93">
        <f>IF(OR($N523="RESTRINGIDO", $N528="RESTRINGIDO"), 0, Z486)</f>
        <v>0</v>
      </c>
      <c r="AA597" s="93">
        <f>IF(OR($N523="RESTRINGIDO", $N529="RESTRINGIDO"), 0, AA486)</f>
        <v>0</v>
      </c>
      <c r="AB597" s="93">
        <f>IF(OR($N523="RESTRINGIDO", $N530="RESTRINGIDO"), 0, AB486)</f>
        <v>0</v>
      </c>
      <c r="AC597" s="93">
        <f>IF(OR($N523="RESTRINGIDO", $N531="RESTRINGIDO"), 0, AC486)</f>
        <v>0</v>
      </c>
      <c r="AD597" s="93">
        <f>IF(OR($N523="RESTRINGIDO", $N532="RESTRINGIDO"), 0, AD486)</f>
        <v>0</v>
      </c>
      <c r="AE597" s="93">
        <f>IF(OR($N523="RESTRINGIDO", $N533="RESTRINGIDO"), 0, AE486)</f>
        <v>0</v>
      </c>
      <c r="AF597" s="93">
        <f>IF(OR($N523="RESTRINGIDO", $N534="RESTRINGIDO"), 0, AF486)</f>
        <v>0</v>
      </c>
      <c r="AG597" s="93">
        <f>IF(OR($N523="RESTRINGIDO", $N535="RESTRINGIDO"), 0, AG486)</f>
        <v>0</v>
      </c>
      <c r="AH597" s="93">
        <f>IF(OR($N523="RESTRINGIDO", $N536="RESTRINGIDO"), 0, AH486)</f>
        <v>0</v>
      </c>
      <c r="AJ597" s="93">
        <f t="shared" si="72"/>
        <v>0</v>
      </c>
      <c r="AL597" s="104">
        <v>0</v>
      </c>
      <c r="AN597" s="104">
        <v>0</v>
      </c>
    </row>
    <row r="598" spans="2:40" x14ac:dyDescent="0.3">
      <c r="B598" s="93">
        <f>IF(OR($N524="RESTRINGIDO", $N504="RESTRINGIDO"), 0, B487)</f>
        <v>0</v>
      </c>
      <c r="C598" s="93">
        <f>IF(OR($N524="RESTRINGIDO", $N505="RESTRINGIDO"), 0, C487)</f>
        <v>0</v>
      </c>
      <c r="D598" s="93">
        <f>IF(OR($N524="RESTRINGIDO", $N506="RESTRINGIDO"), 0, D487)</f>
        <v>0</v>
      </c>
      <c r="E598" s="93">
        <f>IF(OR($N524="RESTRINGIDO", $N507="RESTRINGIDO"), 0, E487)</f>
        <v>0</v>
      </c>
      <c r="F598" s="93">
        <f>IF(OR($N524="RESTRINGIDO", $N508="RESTRINGIDO"), 0, F487)</f>
        <v>0</v>
      </c>
      <c r="G598" s="93">
        <f>IF(OR($N524="RESTRINGIDO", $N509="RESTRINGIDO"), 0, G487)</f>
        <v>0</v>
      </c>
      <c r="H598" s="93">
        <f>IF(OR($N524="RESTRINGIDO", $N510="RESTRINGIDO"), 0, H487)</f>
        <v>0</v>
      </c>
      <c r="I598" s="93">
        <f>IF(OR($N524="RESTRINGIDO", $N511="RESTRINGIDO"), 0, I487)</f>
        <v>0</v>
      </c>
      <c r="J598" s="93">
        <f>IF(OR($N524="RESTRINGIDO", $N512="RESTRINGIDO"), 0, J487)</f>
        <v>0</v>
      </c>
      <c r="K598" s="93">
        <f>IF(OR($N524="RESTRINGIDO", $N513="RESTRINGIDO"), 0, K487)</f>
        <v>0</v>
      </c>
      <c r="L598" s="93">
        <f>IF(OR($N524="RESTRINGIDO", $N514="RESTRINGIDO"), 0, L487)</f>
        <v>0</v>
      </c>
      <c r="M598" s="93">
        <f>IF(OR($N524="RESTRINGIDO", $N515="RESTRINGIDO"), 0, M487)</f>
        <v>0</v>
      </c>
      <c r="N598" s="93">
        <f>IF(OR($N524="RESTRINGIDO", $N516="RESTRINGIDO"), 0, N487)</f>
        <v>0</v>
      </c>
      <c r="O598" s="93">
        <f>IF(OR($N524="RESTRINGIDO", $N517="RESTRINGIDO"), 0, O487)</f>
        <v>0</v>
      </c>
      <c r="P598" s="93">
        <f>IF(OR($N524="RESTRINGIDO", $N518="RESTRINGIDO"), 0, P487)</f>
        <v>0</v>
      </c>
      <c r="Q598" s="93">
        <f>IF(OR($N524="RESTRINGIDO", $N519="RESTRINGIDO"), 0, Q487)</f>
        <v>0</v>
      </c>
      <c r="R598" s="93">
        <f>IF(OR($N524="RESTRINGIDO", $N520="RESTRINGIDO"), 0, R487)</f>
        <v>0</v>
      </c>
      <c r="S598" s="93">
        <f>IF(OR($N524="RESTRINGIDO", $N521="RESTRINGIDO"), 0, S487)</f>
        <v>0</v>
      </c>
      <c r="T598" s="93">
        <f>IF(OR($N524="RESTRINGIDO", $N522="RESTRINGIDO"), 0, T487)</f>
        <v>0</v>
      </c>
      <c r="U598" s="93">
        <f>IF(OR($N524="RESTRINGIDO", $N523="RESTRINGIDO"), 0, U487)</f>
        <v>0</v>
      </c>
      <c r="V598" s="93">
        <f>IF($N524="RESTRINGIDO", 1, IF(OR($N524="", $C487=""), 1, V487))</f>
        <v>1</v>
      </c>
      <c r="W598" s="93">
        <f>IF(OR($N524="RESTRINGIDO", $N525="RESTRINGIDO"), 0, W487)</f>
        <v>0</v>
      </c>
      <c r="X598" s="93">
        <f>IF(OR($N524="RESTRINGIDO", $N526="RESTRINGIDO"), 0, X487)</f>
        <v>0</v>
      </c>
      <c r="Y598" s="93">
        <f>IF(OR($N524="RESTRINGIDO", $N527="RESTRINGIDO"), 0, Y487)</f>
        <v>0</v>
      </c>
      <c r="Z598" s="93">
        <f>IF(OR($N524="RESTRINGIDO", $N528="RESTRINGIDO"), 0, Z487)</f>
        <v>0</v>
      </c>
      <c r="AA598" s="93">
        <f>IF(OR($N524="RESTRINGIDO", $N529="RESTRINGIDO"), 0, AA487)</f>
        <v>0</v>
      </c>
      <c r="AB598" s="93">
        <f>IF(OR($N524="RESTRINGIDO", $N530="RESTRINGIDO"), 0, AB487)</f>
        <v>0</v>
      </c>
      <c r="AC598" s="93">
        <f>IF(OR($N524="RESTRINGIDO", $N531="RESTRINGIDO"), 0, AC487)</f>
        <v>0</v>
      </c>
      <c r="AD598" s="93">
        <f>IF(OR($N524="RESTRINGIDO", $N532="RESTRINGIDO"), 0, AD487)</f>
        <v>0</v>
      </c>
      <c r="AE598" s="93">
        <f>IF(OR($N524="RESTRINGIDO", $N533="RESTRINGIDO"), 0, AE487)</f>
        <v>0</v>
      </c>
      <c r="AF598" s="93">
        <f>IF(OR($N524="RESTRINGIDO", $N534="RESTRINGIDO"), 0, AF487)</f>
        <v>0</v>
      </c>
      <c r="AG598" s="93">
        <f>IF(OR($N524="RESTRINGIDO", $N535="RESTRINGIDO"), 0, AG487)</f>
        <v>0</v>
      </c>
      <c r="AH598" s="93">
        <f>IF(OR($N524="RESTRINGIDO", $N536="RESTRINGIDO"), 0, AH487)</f>
        <v>0</v>
      </c>
      <c r="AJ598" s="93">
        <f t="shared" si="72"/>
        <v>0</v>
      </c>
      <c r="AL598" s="104">
        <v>0</v>
      </c>
      <c r="AN598" s="104">
        <v>0</v>
      </c>
    </row>
    <row r="599" spans="2:40" x14ac:dyDescent="0.3">
      <c r="B599" s="93">
        <f>IF(OR($N525="RESTRINGIDO", $N504="RESTRINGIDO"), 0, B488)</f>
        <v>0</v>
      </c>
      <c r="C599" s="93">
        <f>IF(OR($N525="RESTRINGIDO", $N505="RESTRINGIDO"), 0, C488)</f>
        <v>0</v>
      </c>
      <c r="D599" s="93">
        <f>IF(OR($N525="RESTRINGIDO", $N506="RESTRINGIDO"), 0, D488)</f>
        <v>0</v>
      </c>
      <c r="E599" s="93">
        <f>IF(OR($N525="RESTRINGIDO", $N507="RESTRINGIDO"), 0, E488)</f>
        <v>0</v>
      </c>
      <c r="F599" s="93">
        <f>IF(OR($N525="RESTRINGIDO", $N508="RESTRINGIDO"), 0, F488)</f>
        <v>0</v>
      </c>
      <c r="G599" s="93">
        <f>IF(OR($N525="RESTRINGIDO", $N509="RESTRINGIDO"), 0, G488)</f>
        <v>0</v>
      </c>
      <c r="H599" s="93">
        <f>IF(OR($N525="RESTRINGIDO", $N510="RESTRINGIDO"), 0, H488)</f>
        <v>0</v>
      </c>
      <c r="I599" s="93">
        <f>IF(OR($N525="RESTRINGIDO", $N511="RESTRINGIDO"), 0, I488)</f>
        <v>0</v>
      </c>
      <c r="J599" s="93">
        <f>IF(OR($N525="RESTRINGIDO", $N512="RESTRINGIDO"), 0, J488)</f>
        <v>0</v>
      </c>
      <c r="K599" s="93">
        <f>IF(OR($N525="RESTRINGIDO", $N513="RESTRINGIDO"), 0, K488)</f>
        <v>0</v>
      </c>
      <c r="L599" s="93">
        <f>IF(OR($N525="RESTRINGIDO", $N514="RESTRINGIDO"), 0, L488)</f>
        <v>0</v>
      </c>
      <c r="M599" s="93">
        <f>IF(OR($N525="RESTRINGIDO", $N515="RESTRINGIDO"), 0, M488)</f>
        <v>0</v>
      </c>
      <c r="N599" s="93">
        <f>IF(OR($N525="RESTRINGIDO", $N516="RESTRINGIDO"), 0, N488)</f>
        <v>0</v>
      </c>
      <c r="O599" s="93">
        <f>IF(OR($N525="RESTRINGIDO", $N517="RESTRINGIDO"), 0, O488)</f>
        <v>0</v>
      </c>
      <c r="P599" s="93">
        <f>IF(OR($N525="RESTRINGIDO", $N518="RESTRINGIDO"), 0, P488)</f>
        <v>0</v>
      </c>
      <c r="Q599" s="93">
        <f>IF(OR($N525="RESTRINGIDO", $N519="RESTRINGIDO"), 0, Q488)</f>
        <v>0</v>
      </c>
      <c r="R599" s="93">
        <f>IF(OR($N525="RESTRINGIDO", $N520="RESTRINGIDO"), 0, R488)</f>
        <v>0</v>
      </c>
      <c r="S599" s="93">
        <f>IF(OR($N525="RESTRINGIDO", $N521="RESTRINGIDO"), 0, S488)</f>
        <v>0</v>
      </c>
      <c r="T599" s="93">
        <f>IF(OR($N525="RESTRINGIDO", $N522="RESTRINGIDO"), 0, T488)</f>
        <v>0</v>
      </c>
      <c r="U599" s="93">
        <f>IF(OR($N525="RESTRINGIDO", $N523="RESTRINGIDO"), 0, U488)</f>
        <v>0</v>
      </c>
      <c r="V599" s="93">
        <f>IF(OR($N525="RESTRINGIDO", $N524="RESTRINGIDO"), 0, V488)</f>
        <v>0</v>
      </c>
      <c r="W599" s="93">
        <f>IF($N525="RESTRINGIDO", 1, IF(OR($N525="", $C488=""), 1, W488))</f>
        <v>1</v>
      </c>
      <c r="X599" s="93">
        <f>IF(OR($N525="RESTRINGIDO", $N526="RESTRINGIDO"), 0, X488)</f>
        <v>0</v>
      </c>
      <c r="Y599" s="93">
        <f>IF(OR($N525="RESTRINGIDO", $N527="RESTRINGIDO"), 0, Y488)</f>
        <v>0</v>
      </c>
      <c r="Z599" s="93">
        <f>IF(OR($N525="RESTRINGIDO", $N528="RESTRINGIDO"), 0, Z488)</f>
        <v>0</v>
      </c>
      <c r="AA599" s="93">
        <f>IF(OR($N525="RESTRINGIDO", $N529="RESTRINGIDO"), 0, AA488)</f>
        <v>0</v>
      </c>
      <c r="AB599" s="93">
        <f>IF(OR($N525="RESTRINGIDO", $N530="RESTRINGIDO"), 0, AB488)</f>
        <v>0</v>
      </c>
      <c r="AC599" s="93">
        <f>IF(OR($N525="RESTRINGIDO", $N531="RESTRINGIDO"), 0, AC488)</f>
        <v>0</v>
      </c>
      <c r="AD599" s="93">
        <f>IF(OR($N525="RESTRINGIDO", $N532="RESTRINGIDO"), 0, AD488)</f>
        <v>0</v>
      </c>
      <c r="AE599" s="93">
        <f>IF(OR($N525="RESTRINGIDO", $N533="RESTRINGIDO"), 0, AE488)</f>
        <v>0</v>
      </c>
      <c r="AF599" s="93">
        <f>IF(OR($N525="RESTRINGIDO", $N534="RESTRINGIDO"), 0, AF488)</f>
        <v>0</v>
      </c>
      <c r="AG599" s="93">
        <f>IF(OR($N525="RESTRINGIDO", $N535="RESTRINGIDO"), 0, AG488)</f>
        <v>0</v>
      </c>
      <c r="AH599" s="93">
        <f>IF(OR($N525="RESTRINGIDO", $N536="RESTRINGIDO"), 0, AH488)</f>
        <v>0</v>
      </c>
      <c r="AJ599" s="93">
        <f t="shared" si="72"/>
        <v>0</v>
      </c>
      <c r="AL599" s="104">
        <v>0</v>
      </c>
      <c r="AN599" s="104">
        <v>0</v>
      </c>
    </row>
    <row r="600" spans="2:40" x14ac:dyDescent="0.3">
      <c r="B600" s="93">
        <f>IF(OR($N526="RESTRINGIDO", $N504="RESTRINGIDO"), 0, B489)</f>
        <v>0</v>
      </c>
      <c r="C600" s="93">
        <f>IF(OR($N526="RESTRINGIDO", $N505="RESTRINGIDO"), 0, C489)</f>
        <v>0</v>
      </c>
      <c r="D600" s="93">
        <f>IF(OR($N526="RESTRINGIDO", $N506="RESTRINGIDO"), 0, D489)</f>
        <v>0</v>
      </c>
      <c r="E600" s="93">
        <f>IF(OR($N526="RESTRINGIDO", $N507="RESTRINGIDO"), 0, E489)</f>
        <v>0</v>
      </c>
      <c r="F600" s="93">
        <f>IF(OR($N526="RESTRINGIDO", $N508="RESTRINGIDO"), 0, F489)</f>
        <v>0</v>
      </c>
      <c r="G600" s="93">
        <f>IF(OR($N526="RESTRINGIDO", $N509="RESTRINGIDO"), 0, G489)</f>
        <v>0</v>
      </c>
      <c r="H600" s="93">
        <f>IF(OR($N526="RESTRINGIDO", $N510="RESTRINGIDO"), 0, H489)</f>
        <v>0</v>
      </c>
      <c r="I600" s="93">
        <f>IF(OR($N526="RESTRINGIDO", $N511="RESTRINGIDO"), 0, I489)</f>
        <v>0</v>
      </c>
      <c r="J600" s="93">
        <f>IF(OR($N526="RESTRINGIDO", $N512="RESTRINGIDO"), 0, J489)</f>
        <v>0</v>
      </c>
      <c r="K600" s="93">
        <f>IF(OR($N526="RESTRINGIDO", $N513="RESTRINGIDO"), 0, K489)</f>
        <v>0</v>
      </c>
      <c r="L600" s="93">
        <f>IF(OR($N526="RESTRINGIDO", $N514="RESTRINGIDO"), 0, L489)</f>
        <v>0</v>
      </c>
      <c r="M600" s="93">
        <f>IF(OR($N526="RESTRINGIDO", $N515="RESTRINGIDO"), 0, M489)</f>
        <v>0</v>
      </c>
      <c r="N600" s="93">
        <f>IF(OR($N526="RESTRINGIDO", $N516="RESTRINGIDO"), 0, N489)</f>
        <v>0</v>
      </c>
      <c r="O600" s="93">
        <f>IF(OR($N526="RESTRINGIDO", $N517="RESTRINGIDO"), 0, O489)</f>
        <v>0</v>
      </c>
      <c r="P600" s="93">
        <f>IF(OR($N526="RESTRINGIDO", $N518="RESTRINGIDO"), 0, P489)</f>
        <v>0</v>
      </c>
      <c r="Q600" s="93">
        <f>IF(OR($N526="RESTRINGIDO", $N519="RESTRINGIDO"), 0, Q489)</f>
        <v>0</v>
      </c>
      <c r="R600" s="93">
        <f>IF(OR($N526="RESTRINGIDO", $N520="RESTRINGIDO"), 0, R489)</f>
        <v>0</v>
      </c>
      <c r="S600" s="93">
        <f>IF(OR($N526="RESTRINGIDO", $N521="RESTRINGIDO"), 0, S489)</f>
        <v>0</v>
      </c>
      <c r="T600" s="93">
        <f>IF(OR($N526="RESTRINGIDO", $N522="RESTRINGIDO"), 0, T489)</f>
        <v>0</v>
      </c>
      <c r="U600" s="93">
        <f>IF(OR($N526="RESTRINGIDO", $N523="RESTRINGIDO"), 0, U489)</f>
        <v>0</v>
      </c>
      <c r="V600" s="93">
        <f>IF(OR($N526="RESTRINGIDO", $N524="RESTRINGIDO"), 0, V489)</f>
        <v>0</v>
      </c>
      <c r="W600" s="93">
        <f>IF(OR($N526="RESTRINGIDO", $N525="RESTRINGIDO"), 0, W489)</f>
        <v>0</v>
      </c>
      <c r="X600" s="93">
        <f>IF($N526="RESTRINGIDO", 1, IF(OR($N526="", $C489=""), 1, X489))</f>
        <v>1</v>
      </c>
      <c r="Y600" s="93">
        <f>IF(OR($N526="RESTRINGIDO", $N527="RESTRINGIDO"), 0, Y489)</f>
        <v>0</v>
      </c>
      <c r="Z600" s="93">
        <f>IF(OR($N526="RESTRINGIDO", $N528="RESTRINGIDO"), 0, Z489)</f>
        <v>0</v>
      </c>
      <c r="AA600" s="93">
        <f>IF(OR($N526="RESTRINGIDO", $N529="RESTRINGIDO"), 0, AA489)</f>
        <v>0</v>
      </c>
      <c r="AB600" s="93">
        <f>IF(OR($N526="RESTRINGIDO", $N530="RESTRINGIDO"), 0, AB489)</f>
        <v>0</v>
      </c>
      <c r="AC600" s="93">
        <f>IF(OR($N526="RESTRINGIDO", $N531="RESTRINGIDO"), 0, AC489)</f>
        <v>0</v>
      </c>
      <c r="AD600" s="93">
        <f>IF(OR($N526="RESTRINGIDO", $N532="RESTRINGIDO"), 0, AD489)</f>
        <v>0</v>
      </c>
      <c r="AE600" s="93">
        <f>IF(OR($N526="RESTRINGIDO", $N533="RESTRINGIDO"), 0, AE489)</f>
        <v>0</v>
      </c>
      <c r="AF600" s="93">
        <f>IF(OR($N526="RESTRINGIDO", $N534="RESTRINGIDO"), 0, AF489)</f>
        <v>0</v>
      </c>
      <c r="AG600" s="93">
        <f>IF(OR($N526="RESTRINGIDO", $N535="RESTRINGIDO"), 0, AG489)</f>
        <v>0</v>
      </c>
      <c r="AH600" s="93">
        <f>IF(OR($N526="RESTRINGIDO", $N536="RESTRINGIDO"), 0, AH489)</f>
        <v>0</v>
      </c>
      <c r="AJ600" s="93">
        <f t="shared" si="72"/>
        <v>0</v>
      </c>
      <c r="AL600" s="104">
        <v>0</v>
      </c>
      <c r="AN600" s="104">
        <v>0</v>
      </c>
    </row>
    <row r="601" spans="2:40" x14ac:dyDescent="0.3">
      <c r="B601" s="93">
        <f>IF(OR($N527="RESTRINGIDO", $N504="RESTRINGIDO"), 0, B490)</f>
        <v>0</v>
      </c>
      <c r="C601" s="93">
        <f>IF(OR($N527="RESTRINGIDO", $N505="RESTRINGIDO"), 0, C490)</f>
        <v>0</v>
      </c>
      <c r="D601" s="93">
        <f>IF(OR($N527="RESTRINGIDO", $N506="RESTRINGIDO"), 0, D490)</f>
        <v>0</v>
      </c>
      <c r="E601" s="93">
        <f>IF(OR($N527="RESTRINGIDO", $N507="RESTRINGIDO"), 0, E490)</f>
        <v>0</v>
      </c>
      <c r="F601" s="93">
        <f>IF(OR($N527="RESTRINGIDO", $N508="RESTRINGIDO"), 0, F490)</f>
        <v>0</v>
      </c>
      <c r="G601" s="93">
        <f>IF(OR($N527="RESTRINGIDO", $N509="RESTRINGIDO"), 0, G490)</f>
        <v>0</v>
      </c>
      <c r="H601" s="93">
        <f>IF(OR($N527="RESTRINGIDO", $N510="RESTRINGIDO"), 0, H490)</f>
        <v>0</v>
      </c>
      <c r="I601" s="93">
        <f>IF(OR($N527="RESTRINGIDO", $N511="RESTRINGIDO"), 0, I490)</f>
        <v>0</v>
      </c>
      <c r="J601" s="93">
        <f>IF(OR($N527="RESTRINGIDO", $N512="RESTRINGIDO"), 0, J490)</f>
        <v>0</v>
      </c>
      <c r="K601" s="93">
        <f>IF(OR($N527="RESTRINGIDO", $N513="RESTRINGIDO"), 0, K490)</f>
        <v>0</v>
      </c>
      <c r="L601" s="93">
        <f>IF(OR($N527="RESTRINGIDO", $N514="RESTRINGIDO"), 0, L490)</f>
        <v>0</v>
      </c>
      <c r="M601" s="93">
        <f>IF(OR($N527="RESTRINGIDO", $N515="RESTRINGIDO"), 0, M490)</f>
        <v>0</v>
      </c>
      <c r="N601" s="93">
        <f>IF(OR($N527="RESTRINGIDO", $N516="RESTRINGIDO"), 0, N490)</f>
        <v>0</v>
      </c>
      <c r="O601" s="93">
        <f>IF(OR($N527="RESTRINGIDO", $N517="RESTRINGIDO"), 0, O490)</f>
        <v>0</v>
      </c>
      <c r="P601" s="93">
        <f>IF(OR($N527="RESTRINGIDO", $N518="RESTRINGIDO"), 0, P490)</f>
        <v>0</v>
      </c>
      <c r="Q601" s="93">
        <f>IF(OR($N527="RESTRINGIDO", $N519="RESTRINGIDO"), 0, Q490)</f>
        <v>0</v>
      </c>
      <c r="R601" s="93">
        <f>IF(OR($N527="RESTRINGIDO", $N520="RESTRINGIDO"), 0, R490)</f>
        <v>0</v>
      </c>
      <c r="S601" s="93">
        <f>IF(OR($N527="RESTRINGIDO", $N521="RESTRINGIDO"), 0, S490)</f>
        <v>0</v>
      </c>
      <c r="T601" s="93">
        <f>IF(OR($N527="RESTRINGIDO", $N522="RESTRINGIDO"), 0, T490)</f>
        <v>0</v>
      </c>
      <c r="U601" s="93">
        <f>IF(OR($N527="RESTRINGIDO", $N523="RESTRINGIDO"), 0, U490)</f>
        <v>0</v>
      </c>
      <c r="V601" s="93">
        <f>IF(OR($N527="RESTRINGIDO", $N524="RESTRINGIDO"), 0, V490)</f>
        <v>0</v>
      </c>
      <c r="W601" s="93">
        <f>IF(OR($N527="RESTRINGIDO", $N525="RESTRINGIDO"), 0, W490)</f>
        <v>0</v>
      </c>
      <c r="X601" s="93">
        <f>IF(OR($N527="RESTRINGIDO", $N526="RESTRINGIDO"), 0, X490)</f>
        <v>0</v>
      </c>
      <c r="Y601" s="93">
        <f>IF($N527="RESTRINGIDO", 1, IF(OR($N527="", $C490=""), 1, Y490))</f>
        <v>1</v>
      </c>
      <c r="Z601" s="93">
        <f>IF(OR($N527="RESTRINGIDO", $N528="RESTRINGIDO"), 0, Z490)</f>
        <v>0</v>
      </c>
      <c r="AA601" s="93">
        <f>IF(OR($N527="RESTRINGIDO", $N529="RESTRINGIDO"), 0, AA490)</f>
        <v>0</v>
      </c>
      <c r="AB601" s="93">
        <f>IF(OR($N527="RESTRINGIDO", $N530="RESTRINGIDO"), 0, AB490)</f>
        <v>0</v>
      </c>
      <c r="AC601" s="93">
        <f>IF(OR($N527="RESTRINGIDO", $N531="RESTRINGIDO"), 0, AC490)</f>
        <v>0</v>
      </c>
      <c r="AD601" s="93">
        <f>IF(OR($N527="RESTRINGIDO", $N532="RESTRINGIDO"), 0, AD490)</f>
        <v>0</v>
      </c>
      <c r="AE601" s="93">
        <f>IF(OR($N527="RESTRINGIDO", $N533="RESTRINGIDO"), 0, AE490)</f>
        <v>0</v>
      </c>
      <c r="AF601" s="93">
        <f>IF(OR($N527="RESTRINGIDO", $N534="RESTRINGIDO"), 0, AF490)</f>
        <v>0</v>
      </c>
      <c r="AG601" s="93">
        <f>IF(OR($N527="RESTRINGIDO", $N535="RESTRINGIDO"), 0, AG490)</f>
        <v>0</v>
      </c>
      <c r="AH601" s="93">
        <f>IF(OR($N527="RESTRINGIDO", $N536="RESTRINGIDO"), 0, AH490)</f>
        <v>0</v>
      </c>
      <c r="AJ601" s="93">
        <f t="shared" si="72"/>
        <v>0</v>
      </c>
      <c r="AL601" s="104">
        <v>0</v>
      </c>
      <c r="AN601" s="104">
        <v>0</v>
      </c>
    </row>
    <row r="602" spans="2:40" x14ac:dyDescent="0.3">
      <c r="B602" s="93">
        <f>IF(OR($N528="RESTRINGIDO", $N504="RESTRINGIDO"), 0, B491)</f>
        <v>0</v>
      </c>
      <c r="C602" s="93">
        <f>IF(OR($N528="RESTRINGIDO", $N505="RESTRINGIDO"), 0, C491)</f>
        <v>0</v>
      </c>
      <c r="D602" s="93">
        <f>IF(OR($N528="RESTRINGIDO", $N506="RESTRINGIDO"), 0, D491)</f>
        <v>0</v>
      </c>
      <c r="E602" s="93">
        <f>IF(OR($N528="RESTRINGIDO", $N507="RESTRINGIDO"), 0, E491)</f>
        <v>0</v>
      </c>
      <c r="F602" s="93">
        <f>IF(OR($N528="RESTRINGIDO", $N508="RESTRINGIDO"), 0, F491)</f>
        <v>0</v>
      </c>
      <c r="G602" s="93">
        <f>IF(OR($N528="RESTRINGIDO", $N509="RESTRINGIDO"), 0, G491)</f>
        <v>0</v>
      </c>
      <c r="H602" s="93">
        <f>IF(OR($N528="RESTRINGIDO", $N510="RESTRINGIDO"), 0, H491)</f>
        <v>0</v>
      </c>
      <c r="I602" s="93">
        <f>IF(OR($N528="RESTRINGIDO", $N511="RESTRINGIDO"), 0, I491)</f>
        <v>0</v>
      </c>
      <c r="J602" s="93">
        <f>IF(OR($N528="RESTRINGIDO", $N512="RESTRINGIDO"), 0, J491)</f>
        <v>0</v>
      </c>
      <c r="K602" s="93">
        <f>IF(OR($N528="RESTRINGIDO", $N513="RESTRINGIDO"), 0, K491)</f>
        <v>0</v>
      </c>
      <c r="L602" s="93">
        <f>IF(OR($N528="RESTRINGIDO", $N514="RESTRINGIDO"), 0, L491)</f>
        <v>0</v>
      </c>
      <c r="M602" s="93">
        <f>IF(OR($N528="RESTRINGIDO", $N515="RESTRINGIDO"), 0, M491)</f>
        <v>0</v>
      </c>
      <c r="N602" s="93">
        <f>IF(OR($N528="RESTRINGIDO", $N516="RESTRINGIDO"), 0, N491)</f>
        <v>0</v>
      </c>
      <c r="O602" s="93">
        <f>IF(OR($N528="RESTRINGIDO", $N517="RESTRINGIDO"), 0, O491)</f>
        <v>0</v>
      </c>
      <c r="P602" s="93">
        <f>IF(OR($N528="RESTRINGIDO", $N518="RESTRINGIDO"), 0, P491)</f>
        <v>0</v>
      </c>
      <c r="Q602" s="93">
        <f>IF(OR($N528="RESTRINGIDO", $N519="RESTRINGIDO"), 0, Q491)</f>
        <v>0</v>
      </c>
      <c r="R602" s="93">
        <f>IF(OR($N528="RESTRINGIDO", $N520="RESTRINGIDO"), 0, R491)</f>
        <v>0</v>
      </c>
      <c r="S602" s="93">
        <f>IF(OR($N528="RESTRINGIDO", $N521="RESTRINGIDO"), 0, S491)</f>
        <v>0</v>
      </c>
      <c r="T602" s="93">
        <f>IF(OR($N528="RESTRINGIDO", $N522="RESTRINGIDO"), 0, T491)</f>
        <v>0</v>
      </c>
      <c r="U602" s="93">
        <f>IF(OR($N528="RESTRINGIDO", $N523="RESTRINGIDO"), 0, U491)</f>
        <v>0</v>
      </c>
      <c r="V602" s="93">
        <f>IF(OR($N528="RESTRINGIDO", $N524="RESTRINGIDO"), 0, V491)</f>
        <v>0</v>
      </c>
      <c r="W602" s="93">
        <f>IF(OR($N528="RESTRINGIDO", $N525="RESTRINGIDO"), 0, W491)</f>
        <v>0</v>
      </c>
      <c r="X602" s="93">
        <f>IF(OR($N528="RESTRINGIDO", $N526="RESTRINGIDO"), 0, X491)</f>
        <v>0</v>
      </c>
      <c r="Y602" s="93">
        <f>IF(OR($N528="RESTRINGIDO", $N527="RESTRINGIDO"), 0, Y491)</f>
        <v>0</v>
      </c>
      <c r="Z602" s="93">
        <f>IF($N528="RESTRINGIDO", 1, IF(OR($N528="", $C491=""), 1, Z491))</f>
        <v>1</v>
      </c>
      <c r="AA602" s="93">
        <f>IF(OR($N528="RESTRINGIDO", $N529="RESTRINGIDO"), 0, AA491)</f>
        <v>0</v>
      </c>
      <c r="AB602" s="93">
        <f>IF(OR($N528="RESTRINGIDO", $N530="RESTRINGIDO"), 0, AB491)</f>
        <v>0</v>
      </c>
      <c r="AC602" s="93">
        <f>IF(OR($N528="RESTRINGIDO", $N531="RESTRINGIDO"), 0, AC491)</f>
        <v>0</v>
      </c>
      <c r="AD602" s="93">
        <f>IF(OR($N528="RESTRINGIDO", $N532="RESTRINGIDO"), 0, AD491)</f>
        <v>0</v>
      </c>
      <c r="AE602" s="93">
        <f>IF(OR($N528="RESTRINGIDO", $N533="RESTRINGIDO"), 0, AE491)</f>
        <v>0</v>
      </c>
      <c r="AF602" s="93">
        <f>IF(OR($N528="RESTRINGIDO", $N534="RESTRINGIDO"), 0, AF491)</f>
        <v>0</v>
      </c>
      <c r="AG602" s="93">
        <f>IF(OR($N528="RESTRINGIDO", $N535="RESTRINGIDO"), 0, AG491)</f>
        <v>0</v>
      </c>
      <c r="AH602" s="93">
        <f>IF(OR($N528="RESTRINGIDO", $N536="RESTRINGIDO"), 0, AH491)</f>
        <v>0</v>
      </c>
      <c r="AJ602" s="93">
        <f t="shared" si="72"/>
        <v>0</v>
      </c>
      <c r="AL602" s="104">
        <v>0</v>
      </c>
      <c r="AN602" s="104">
        <v>0</v>
      </c>
    </row>
    <row r="603" spans="2:40" x14ac:dyDescent="0.3">
      <c r="B603" s="93">
        <f>IF(OR($N529="RESTRINGIDO", $N504="RESTRINGIDO"), 0, B492)</f>
        <v>0</v>
      </c>
      <c r="C603" s="93">
        <f>IF(OR($N529="RESTRINGIDO", $N505="RESTRINGIDO"), 0, C492)</f>
        <v>0</v>
      </c>
      <c r="D603" s="93">
        <f>IF(OR($N529="RESTRINGIDO", $N506="RESTRINGIDO"), 0, D492)</f>
        <v>0</v>
      </c>
      <c r="E603" s="93">
        <f>IF(OR($N529="RESTRINGIDO", $N507="RESTRINGIDO"), 0, E492)</f>
        <v>0</v>
      </c>
      <c r="F603" s="93">
        <f>IF(OR($N529="RESTRINGIDO", $N508="RESTRINGIDO"), 0, F492)</f>
        <v>0</v>
      </c>
      <c r="G603" s="93">
        <f>IF(OR($N529="RESTRINGIDO", $N509="RESTRINGIDO"), 0, G492)</f>
        <v>0</v>
      </c>
      <c r="H603" s="93">
        <f>IF(OR($N529="RESTRINGIDO", $N510="RESTRINGIDO"), 0, H492)</f>
        <v>0</v>
      </c>
      <c r="I603" s="93">
        <f>IF(OR($N529="RESTRINGIDO", $N511="RESTRINGIDO"), 0, I492)</f>
        <v>0</v>
      </c>
      <c r="J603" s="93">
        <f>IF(OR($N529="RESTRINGIDO", $N512="RESTRINGIDO"), 0, J492)</f>
        <v>0</v>
      </c>
      <c r="K603" s="93">
        <f>IF(OR($N529="RESTRINGIDO", $N513="RESTRINGIDO"), 0, K492)</f>
        <v>0</v>
      </c>
      <c r="L603" s="93">
        <f>IF(OR($N529="RESTRINGIDO", $N514="RESTRINGIDO"), 0, L492)</f>
        <v>0</v>
      </c>
      <c r="M603" s="93">
        <f>IF(OR($N529="RESTRINGIDO", $N515="RESTRINGIDO"), 0, M492)</f>
        <v>0</v>
      </c>
      <c r="N603" s="93">
        <f>IF(OR($N529="RESTRINGIDO", $N516="RESTRINGIDO"), 0, N492)</f>
        <v>0</v>
      </c>
      <c r="O603" s="93">
        <f>IF(OR($N529="RESTRINGIDO", $N517="RESTRINGIDO"), 0, O492)</f>
        <v>0</v>
      </c>
      <c r="P603" s="93">
        <f>IF(OR($N529="RESTRINGIDO", $N518="RESTRINGIDO"), 0, P492)</f>
        <v>0</v>
      </c>
      <c r="Q603" s="93">
        <f>IF(OR($N529="RESTRINGIDO", $N519="RESTRINGIDO"), 0, Q492)</f>
        <v>0</v>
      </c>
      <c r="R603" s="93">
        <f>IF(OR($N529="RESTRINGIDO", $N520="RESTRINGIDO"), 0, R492)</f>
        <v>0</v>
      </c>
      <c r="S603" s="93">
        <f>IF(OR($N529="RESTRINGIDO", $N521="RESTRINGIDO"), 0, S492)</f>
        <v>0</v>
      </c>
      <c r="T603" s="93">
        <f>IF(OR($N529="RESTRINGIDO", $N522="RESTRINGIDO"), 0, T492)</f>
        <v>0</v>
      </c>
      <c r="U603" s="93">
        <f>IF(OR($N529="RESTRINGIDO", $N523="RESTRINGIDO"), 0, U492)</f>
        <v>0</v>
      </c>
      <c r="V603" s="93">
        <f>IF(OR($N529="RESTRINGIDO", $N524="RESTRINGIDO"), 0, V492)</f>
        <v>0</v>
      </c>
      <c r="W603" s="93">
        <f>IF(OR($N529="RESTRINGIDO", $N525="RESTRINGIDO"), 0, W492)</f>
        <v>0</v>
      </c>
      <c r="X603" s="93">
        <f>IF(OR($N529="RESTRINGIDO", $N526="RESTRINGIDO"), 0, X492)</f>
        <v>0</v>
      </c>
      <c r="Y603" s="93">
        <f>IF(OR($N529="RESTRINGIDO", $N527="RESTRINGIDO"), 0, Y492)</f>
        <v>0</v>
      </c>
      <c r="Z603" s="93">
        <f>IF(OR($N529="RESTRINGIDO", $N528="RESTRINGIDO"), 0, Z492)</f>
        <v>0</v>
      </c>
      <c r="AA603" s="93">
        <f>IF($N529="RESTRINGIDO", 1, IF(OR($N529="", $C492=""), 1, AA492))</f>
        <v>1</v>
      </c>
      <c r="AB603" s="93">
        <f>IF(OR($N529="RESTRINGIDO", $N530="RESTRINGIDO"), 0, AB492)</f>
        <v>0</v>
      </c>
      <c r="AC603" s="93">
        <f>IF(OR($N529="RESTRINGIDO", $N531="RESTRINGIDO"), 0, AC492)</f>
        <v>0</v>
      </c>
      <c r="AD603" s="93">
        <f>IF(OR($N529="RESTRINGIDO", $N532="RESTRINGIDO"), 0, AD492)</f>
        <v>0</v>
      </c>
      <c r="AE603" s="93">
        <f>IF(OR($N529="RESTRINGIDO", $N533="RESTRINGIDO"), 0, AE492)</f>
        <v>0</v>
      </c>
      <c r="AF603" s="93">
        <f>IF(OR($N529="RESTRINGIDO", $N534="RESTRINGIDO"), 0, AF492)</f>
        <v>0</v>
      </c>
      <c r="AG603" s="93">
        <f>IF(OR($N529="RESTRINGIDO", $N535="RESTRINGIDO"), 0, AG492)</f>
        <v>0</v>
      </c>
      <c r="AH603" s="93">
        <f>IF(OR($N529="RESTRINGIDO", $N536="RESTRINGIDO"), 0, AH492)</f>
        <v>0</v>
      </c>
      <c r="AJ603" s="93">
        <f t="shared" si="72"/>
        <v>0</v>
      </c>
      <c r="AL603" s="104">
        <v>0</v>
      </c>
      <c r="AN603" s="104">
        <v>0</v>
      </c>
    </row>
    <row r="604" spans="2:40" x14ac:dyDescent="0.3">
      <c r="B604" s="93">
        <f>IF(OR($N530="RESTRINGIDO", $N504="RESTRINGIDO"), 0, B493)</f>
        <v>0</v>
      </c>
      <c r="C604" s="93">
        <f>IF(OR($N530="RESTRINGIDO", $N505="RESTRINGIDO"), 0, C493)</f>
        <v>0</v>
      </c>
      <c r="D604" s="93">
        <f>IF(OR($N530="RESTRINGIDO", $N506="RESTRINGIDO"), 0, D493)</f>
        <v>0</v>
      </c>
      <c r="E604" s="93">
        <f>IF(OR($N530="RESTRINGIDO", $N507="RESTRINGIDO"), 0, E493)</f>
        <v>0</v>
      </c>
      <c r="F604" s="93">
        <f>IF(OR($N530="RESTRINGIDO", $N508="RESTRINGIDO"), 0, F493)</f>
        <v>0</v>
      </c>
      <c r="G604" s="93">
        <f>IF(OR($N530="RESTRINGIDO", $N509="RESTRINGIDO"), 0, G493)</f>
        <v>0</v>
      </c>
      <c r="H604" s="93">
        <f>IF(OR($N530="RESTRINGIDO", $N510="RESTRINGIDO"), 0, H493)</f>
        <v>0</v>
      </c>
      <c r="I604" s="93">
        <f>IF(OR($N530="RESTRINGIDO", $N511="RESTRINGIDO"), 0, I493)</f>
        <v>0</v>
      </c>
      <c r="J604" s="93">
        <f>IF(OR($N530="RESTRINGIDO", $N512="RESTRINGIDO"), 0, J493)</f>
        <v>0</v>
      </c>
      <c r="K604" s="93">
        <f>IF(OR($N530="RESTRINGIDO", $N513="RESTRINGIDO"), 0, K493)</f>
        <v>0</v>
      </c>
      <c r="L604" s="93">
        <f>IF(OR($N530="RESTRINGIDO", $N514="RESTRINGIDO"), 0, L493)</f>
        <v>0</v>
      </c>
      <c r="M604" s="93">
        <f>IF(OR($N530="RESTRINGIDO", $N515="RESTRINGIDO"), 0, M493)</f>
        <v>0</v>
      </c>
      <c r="N604" s="93">
        <f>IF(OR($N530="RESTRINGIDO", $N516="RESTRINGIDO"), 0, N493)</f>
        <v>0</v>
      </c>
      <c r="O604" s="93">
        <f>IF(OR($N530="RESTRINGIDO", $N517="RESTRINGIDO"), 0, O493)</f>
        <v>0</v>
      </c>
      <c r="P604" s="93">
        <f>IF(OR($N530="RESTRINGIDO", $N518="RESTRINGIDO"), 0, P493)</f>
        <v>0</v>
      </c>
      <c r="Q604" s="93">
        <f>IF(OR($N530="RESTRINGIDO", $N519="RESTRINGIDO"), 0, Q493)</f>
        <v>0</v>
      </c>
      <c r="R604" s="93">
        <f>IF(OR($N530="RESTRINGIDO", $N520="RESTRINGIDO"), 0, R493)</f>
        <v>0</v>
      </c>
      <c r="S604" s="93">
        <f>IF(OR($N530="RESTRINGIDO", $N521="RESTRINGIDO"), 0, S493)</f>
        <v>0</v>
      </c>
      <c r="T604" s="93">
        <f>IF(OR($N530="RESTRINGIDO", $N522="RESTRINGIDO"), 0, T493)</f>
        <v>0</v>
      </c>
      <c r="U604" s="93">
        <f>IF(OR($N530="RESTRINGIDO", $N523="RESTRINGIDO"), 0, U493)</f>
        <v>0</v>
      </c>
      <c r="V604" s="93">
        <f>IF(OR($N530="RESTRINGIDO", $N524="RESTRINGIDO"), 0, V493)</f>
        <v>0</v>
      </c>
      <c r="W604" s="93">
        <f>IF(OR($N530="RESTRINGIDO", $N525="RESTRINGIDO"), 0, W493)</f>
        <v>0</v>
      </c>
      <c r="X604" s="93">
        <f>IF(OR($N530="RESTRINGIDO", $N526="RESTRINGIDO"), 0, X493)</f>
        <v>0</v>
      </c>
      <c r="Y604" s="93">
        <f>IF(OR($N530="RESTRINGIDO", $N527="RESTRINGIDO"), 0, Y493)</f>
        <v>0</v>
      </c>
      <c r="Z604" s="93">
        <f>IF(OR($N530="RESTRINGIDO", $N528="RESTRINGIDO"), 0, Z493)</f>
        <v>0</v>
      </c>
      <c r="AA604" s="93">
        <f>IF(OR($N530="RESTRINGIDO", $N529="RESTRINGIDO"), 0, AA493)</f>
        <v>0</v>
      </c>
      <c r="AB604" s="93">
        <f>IF($N530="RESTRINGIDO", 1, IF(OR($N530="", $C493=""), 1, AB493))</f>
        <v>1</v>
      </c>
      <c r="AC604" s="93">
        <f>IF(OR($N530="RESTRINGIDO", $N531="RESTRINGIDO"), 0, AC493)</f>
        <v>0</v>
      </c>
      <c r="AD604" s="93">
        <f>IF(OR($N530="RESTRINGIDO", $N532="RESTRINGIDO"), 0, AD493)</f>
        <v>0</v>
      </c>
      <c r="AE604" s="93">
        <f>IF(OR($N530="RESTRINGIDO", $N533="RESTRINGIDO"), 0, AE493)</f>
        <v>0</v>
      </c>
      <c r="AF604" s="93">
        <f>IF(OR($N530="RESTRINGIDO", $N534="RESTRINGIDO"), 0, AF493)</f>
        <v>0</v>
      </c>
      <c r="AG604" s="93">
        <f>IF(OR($N530="RESTRINGIDO", $N535="RESTRINGIDO"), 0, AG493)</f>
        <v>0</v>
      </c>
      <c r="AH604" s="93">
        <f>IF(OR($N530="RESTRINGIDO", $N536="RESTRINGIDO"), 0, AH493)</f>
        <v>0</v>
      </c>
      <c r="AJ604" s="93">
        <f t="shared" si="72"/>
        <v>0</v>
      </c>
      <c r="AL604" s="104">
        <v>0</v>
      </c>
      <c r="AN604" s="104">
        <v>0</v>
      </c>
    </row>
    <row r="605" spans="2:40" x14ac:dyDescent="0.3">
      <c r="B605" s="93">
        <f>IF(OR($N531="RESTRINGIDO", $N504="RESTRINGIDO"), 0, B494)</f>
        <v>0</v>
      </c>
      <c r="C605" s="93">
        <f>IF(OR($N531="RESTRINGIDO", $N505="RESTRINGIDO"), 0, C494)</f>
        <v>0</v>
      </c>
      <c r="D605" s="93">
        <f>IF(OR($N531="RESTRINGIDO", $N506="RESTRINGIDO"), 0, D494)</f>
        <v>0</v>
      </c>
      <c r="E605" s="93">
        <f>IF(OR($N531="RESTRINGIDO", $N507="RESTRINGIDO"), 0, E494)</f>
        <v>0</v>
      </c>
      <c r="F605" s="93">
        <f>IF(OR($N531="RESTRINGIDO", $N508="RESTRINGIDO"), 0, F494)</f>
        <v>0</v>
      </c>
      <c r="G605" s="93">
        <f>IF(OR($N531="RESTRINGIDO", $N509="RESTRINGIDO"), 0, G494)</f>
        <v>0</v>
      </c>
      <c r="H605" s="93">
        <f>IF(OR($N531="RESTRINGIDO", $N510="RESTRINGIDO"), 0, H494)</f>
        <v>0</v>
      </c>
      <c r="I605" s="93">
        <f>IF(OR($N531="RESTRINGIDO", $N511="RESTRINGIDO"), 0, I494)</f>
        <v>0</v>
      </c>
      <c r="J605" s="93">
        <f>IF(OR($N531="RESTRINGIDO", $N512="RESTRINGIDO"), 0, J494)</f>
        <v>0</v>
      </c>
      <c r="K605" s="93">
        <f>IF(OR($N531="RESTRINGIDO", $N513="RESTRINGIDO"), 0, K494)</f>
        <v>0</v>
      </c>
      <c r="L605" s="93">
        <f>IF(OR($N531="RESTRINGIDO", $N514="RESTRINGIDO"), 0, L494)</f>
        <v>0</v>
      </c>
      <c r="M605" s="93">
        <f>IF(OR($N531="RESTRINGIDO", $N515="RESTRINGIDO"), 0, M494)</f>
        <v>0</v>
      </c>
      <c r="N605" s="93">
        <f>IF(OR($N531="RESTRINGIDO", $N516="RESTRINGIDO"), 0, N494)</f>
        <v>0</v>
      </c>
      <c r="O605" s="93">
        <f>IF(OR($N531="RESTRINGIDO", $N517="RESTRINGIDO"), 0, O494)</f>
        <v>0</v>
      </c>
      <c r="P605" s="93">
        <f>IF(OR($N531="RESTRINGIDO", $N518="RESTRINGIDO"), 0, P494)</f>
        <v>0</v>
      </c>
      <c r="Q605" s="93">
        <f>IF(OR($N531="RESTRINGIDO", $N519="RESTRINGIDO"), 0, Q494)</f>
        <v>0</v>
      </c>
      <c r="R605" s="93">
        <f>IF(OR($N531="RESTRINGIDO", $N520="RESTRINGIDO"), 0, R494)</f>
        <v>0</v>
      </c>
      <c r="S605" s="93">
        <f>IF(OR($N531="RESTRINGIDO", $N521="RESTRINGIDO"), 0, S494)</f>
        <v>0</v>
      </c>
      <c r="T605" s="93">
        <f>IF(OR($N531="RESTRINGIDO", $N522="RESTRINGIDO"), 0, T494)</f>
        <v>0</v>
      </c>
      <c r="U605" s="93">
        <f>IF(OR($N531="RESTRINGIDO", $N523="RESTRINGIDO"), 0, U494)</f>
        <v>0</v>
      </c>
      <c r="V605" s="93">
        <f>IF(OR($N531="RESTRINGIDO", $N524="RESTRINGIDO"), 0, V494)</f>
        <v>0</v>
      </c>
      <c r="W605" s="93">
        <f>IF(OR($N531="RESTRINGIDO", $N525="RESTRINGIDO"), 0, W494)</f>
        <v>0</v>
      </c>
      <c r="X605" s="93">
        <f>IF(OR($N531="RESTRINGIDO", $N526="RESTRINGIDO"), 0, X494)</f>
        <v>0</v>
      </c>
      <c r="Y605" s="93">
        <f>IF(OR($N531="RESTRINGIDO", $N527="RESTRINGIDO"), 0, Y494)</f>
        <v>0</v>
      </c>
      <c r="Z605" s="93">
        <f>IF(OR($N531="RESTRINGIDO", $N528="RESTRINGIDO"), 0, Z494)</f>
        <v>0</v>
      </c>
      <c r="AA605" s="93">
        <f>IF(OR($N531="RESTRINGIDO", $N529="RESTRINGIDO"), 0, AA494)</f>
        <v>0</v>
      </c>
      <c r="AB605" s="93">
        <f>IF(OR($N531="RESTRINGIDO", $N530="RESTRINGIDO"), 0, AB494)</f>
        <v>0</v>
      </c>
      <c r="AC605" s="93">
        <f>IF($N531="RESTRINGIDO", 1, IF(OR($N531="", $C494=""), 1, AC494))</f>
        <v>1</v>
      </c>
      <c r="AD605" s="93">
        <f>IF(OR($N531="RESTRINGIDO", $N532="RESTRINGIDO"), 0, AD494)</f>
        <v>0</v>
      </c>
      <c r="AE605" s="93">
        <f>IF(OR($N531="RESTRINGIDO", $N533="RESTRINGIDO"), 0, AE494)</f>
        <v>0</v>
      </c>
      <c r="AF605" s="93">
        <f>IF(OR($N531="RESTRINGIDO", $N534="RESTRINGIDO"), 0, AF494)</f>
        <v>0</v>
      </c>
      <c r="AG605" s="93">
        <f>IF(OR($N531="RESTRINGIDO", $N535="RESTRINGIDO"), 0, AG494)</f>
        <v>0</v>
      </c>
      <c r="AH605" s="93">
        <f>IF(OR($N531="RESTRINGIDO", $N536="RESTRINGIDO"), 0, AH494)</f>
        <v>0</v>
      </c>
      <c r="AJ605" s="93">
        <f t="shared" si="72"/>
        <v>0</v>
      </c>
      <c r="AL605" s="104">
        <v>0</v>
      </c>
      <c r="AN605" s="104">
        <v>0</v>
      </c>
    </row>
    <row r="606" spans="2:40" x14ac:dyDescent="0.3">
      <c r="B606" s="93">
        <f>IF(OR($N532="RESTRINGIDO", $N504="RESTRINGIDO"), 0, B495)</f>
        <v>0</v>
      </c>
      <c r="C606" s="93">
        <f>IF(OR($N532="RESTRINGIDO", $N505="RESTRINGIDO"), 0, C495)</f>
        <v>0</v>
      </c>
      <c r="D606" s="93">
        <f>IF(OR($N532="RESTRINGIDO", $N506="RESTRINGIDO"), 0, D495)</f>
        <v>0</v>
      </c>
      <c r="E606" s="93">
        <f>IF(OR($N532="RESTRINGIDO", $N507="RESTRINGIDO"), 0, E495)</f>
        <v>0</v>
      </c>
      <c r="F606" s="93">
        <f>IF(OR($N532="RESTRINGIDO", $N508="RESTRINGIDO"), 0, F495)</f>
        <v>0</v>
      </c>
      <c r="G606" s="93">
        <f>IF(OR($N532="RESTRINGIDO", $N509="RESTRINGIDO"), 0, G495)</f>
        <v>0</v>
      </c>
      <c r="H606" s="93">
        <f>IF(OR($N532="RESTRINGIDO", $N510="RESTRINGIDO"), 0, H495)</f>
        <v>0</v>
      </c>
      <c r="I606" s="93">
        <f>IF(OR($N532="RESTRINGIDO", $N511="RESTRINGIDO"), 0, I495)</f>
        <v>0</v>
      </c>
      <c r="J606" s="93">
        <f>IF(OR($N532="RESTRINGIDO", $N512="RESTRINGIDO"), 0, J495)</f>
        <v>0</v>
      </c>
      <c r="K606" s="93">
        <f>IF(OR($N532="RESTRINGIDO", $N513="RESTRINGIDO"), 0, K495)</f>
        <v>0</v>
      </c>
      <c r="L606" s="93">
        <f>IF(OR($N532="RESTRINGIDO", $N514="RESTRINGIDO"), 0, L495)</f>
        <v>0</v>
      </c>
      <c r="M606" s="93">
        <f>IF(OR($N532="RESTRINGIDO", $N515="RESTRINGIDO"), 0, M495)</f>
        <v>0</v>
      </c>
      <c r="N606" s="93">
        <f>IF(OR($N532="RESTRINGIDO", $N516="RESTRINGIDO"), 0, N495)</f>
        <v>0</v>
      </c>
      <c r="O606" s="93">
        <f>IF(OR($N532="RESTRINGIDO", $N517="RESTRINGIDO"), 0, O495)</f>
        <v>0</v>
      </c>
      <c r="P606" s="93">
        <f>IF(OR($N532="RESTRINGIDO", $N518="RESTRINGIDO"), 0, P495)</f>
        <v>0</v>
      </c>
      <c r="Q606" s="93">
        <f>IF(OR($N532="RESTRINGIDO", $N519="RESTRINGIDO"), 0, Q495)</f>
        <v>0</v>
      </c>
      <c r="R606" s="93">
        <f>IF(OR($N532="RESTRINGIDO", $N520="RESTRINGIDO"), 0, R495)</f>
        <v>0</v>
      </c>
      <c r="S606" s="93">
        <f>IF(OR($N532="RESTRINGIDO", $N521="RESTRINGIDO"), 0, S495)</f>
        <v>0</v>
      </c>
      <c r="T606" s="93">
        <f>IF(OR($N532="RESTRINGIDO", $N522="RESTRINGIDO"), 0, T495)</f>
        <v>0</v>
      </c>
      <c r="U606" s="93">
        <f>IF(OR($N532="RESTRINGIDO", $N523="RESTRINGIDO"), 0, U495)</f>
        <v>0</v>
      </c>
      <c r="V606" s="93">
        <f>IF(OR($N532="RESTRINGIDO", $N524="RESTRINGIDO"), 0, V495)</f>
        <v>0</v>
      </c>
      <c r="W606" s="93">
        <f>IF(OR($N532="RESTRINGIDO", $N525="RESTRINGIDO"), 0, W495)</f>
        <v>0</v>
      </c>
      <c r="X606" s="93">
        <f>IF(OR($N532="RESTRINGIDO", $N526="RESTRINGIDO"), 0, X495)</f>
        <v>0</v>
      </c>
      <c r="Y606" s="93">
        <f>IF(OR($N532="RESTRINGIDO", $N527="RESTRINGIDO"), 0, Y495)</f>
        <v>0</v>
      </c>
      <c r="Z606" s="93">
        <f>IF(OR($N532="RESTRINGIDO", $N528="RESTRINGIDO"), 0, Z495)</f>
        <v>0</v>
      </c>
      <c r="AA606" s="93">
        <f>IF(OR($N532="RESTRINGIDO", $N529="RESTRINGIDO"), 0, AA495)</f>
        <v>0</v>
      </c>
      <c r="AB606" s="93">
        <f>IF(OR($N532="RESTRINGIDO", $N530="RESTRINGIDO"), 0, AB495)</f>
        <v>0</v>
      </c>
      <c r="AC606" s="93">
        <f>IF(OR($N532="RESTRINGIDO", $N531="RESTRINGIDO"), 0, AC495)</f>
        <v>0</v>
      </c>
      <c r="AD606" s="93">
        <f>IF($N532="RESTRINGIDO", 1, IF(OR($N532="", $C495=""), 1, AD495))</f>
        <v>1</v>
      </c>
      <c r="AE606" s="93">
        <f>IF(OR($N532="RESTRINGIDO", $N533="RESTRINGIDO"), 0, AE495)</f>
        <v>0</v>
      </c>
      <c r="AF606" s="93">
        <f>IF(OR($N532="RESTRINGIDO", $N534="RESTRINGIDO"), 0, AF495)</f>
        <v>0</v>
      </c>
      <c r="AG606" s="93">
        <f>IF(OR($N532="RESTRINGIDO", $N535="RESTRINGIDO"), 0, AG495)</f>
        <v>0</v>
      </c>
      <c r="AH606" s="93">
        <f>IF(OR($N532="RESTRINGIDO", $N536="RESTRINGIDO"), 0, AH495)</f>
        <v>0</v>
      </c>
      <c r="AJ606" s="93">
        <f t="shared" si="72"/>
        <v>0</v>
      </c>
      <c r="AL606" s="104">
        <v>0</v>
      </c>
      <c r="AN606" s="104">
        <v>0</v>
      </c>
    </row>
    <row r="607" spans="2:40" x14ac:dyDescent="0.3">
      <c r="B607" s="93">
        <f>IF(OR($N533="RESTRINGIDO", $N504="RESTRINGIDO"), 0, B496)</f>
        <v>0</v>
      </c>
      <c r="C607" s="93">
        <f>IF(OR($N533="RESTRINGIDO", $N505="RESTRINGIDO"), 0, C496)</f>
        <v>0</v>
      </c>
      <c r="D607" s="93">
        <f>IF(OR($N533="RESTRINGIDO", $N506="RESTRINGIDO"), 0, D496)</f>
        <v>0</v>
      </c>
      <c r="E607" s="93">
        <f>IF(OR($N533="RESTRINGIDO", $N507="RESTRINGIDO"), 0, E496)</f>
        <v>0</v>
      </c>
      <c r="F607" s="93">
        <f>IF(OR($N533="RESTRINGIDO", $N508="RESTRINGIDO"), 0, F496)</f>
        <v>0</v>
      </c>
      <c r="G607" s="93">
        <f>IF(OR($N533="RESTRINGIDO", $N509="RESTRINGIDO"), 0, G496)</f>
        <v>0</v>
      </c>
      <c r="H607" s="93">
        <f>IF(OR($N533="RESTRINGIDO", $N510="RESTRINGIDO"), 0, H496)</f>
        <v>0</v>
      </c>
      <c r="I607" s="93">
        <f>IF(OR($N533="RESTRINGIDO", $N511="RESTRINGIDO"), 0, I496)</f>
        <v>0</v>
      </c>
      <c r="J607" s="93">
        <f>IF(OR($N533="RESTRINGIDO", $N512="RESTRINGIDO"), 0, J496)</f>
        <v>0</v>
      </c>
      <c r="K607" s="93">
        <f>IF(OR($N533="RESTRINGIDO", $N513="RESTRINGIDO"), 0, K496)</f>
        <v>0</v>
      </c>
      <c r="L607" s="93">
        <f>IF(OR($N533="RESTRINGIDO", $N514="RESTRINGIDO"), 0, L496)</f>
        <v>0</v>
      </c>
      <c r="M607" s="93">
        <f>IF(OR($N533="RESTRINGIDO", $N515="RESTRINGIDO"), 0, M496)</f>
        <v>0</v>
      </c>
      <c r="N607" s="93">
        <f>IF(OR($N533="RESTRINGIDO", $N516="RESTRINGIDO"), 0, N496)</f>
        <v>0</v>
      </c>
      <c r="O607" s="93">
        <f>IF(OR($N533="RESTRINGIDO", $N517="RESTRINGIDO"), 0, O496)</f>
        <v>0</v>
      </c>
      <c r="P607" s="93">
        <f>IF(OR($N533="RESTRINGIDO", $N518="RESTRINGIDO"), 0, P496)</f>
        <v>0</v>
      </c>
      <c r="Q607" s="93">
        <f>IF(OR($N533="RESTRINGIDO", $N519="RESTRINGIDO"), 0, Q496)</f>
        <v>0</v>
      </c>
      <c r="R607" s="93">
        <f>IF(OR($N533="RESTRINGIDO", $N520="RESTRINGIDO"), 0, R496)</f>
        <v>0</v>
      </c>
      <c r="S607" s="93">
        <f>IF(OR($N533="RESTRINGIDO", $N521="RESTRINGIDO"), 0, S496)</f>
        <v>0</v>
      </c>
      <c r="T607" s="93">
        <f>IF(OR($N533="RESTRINGIDO", $N522="RESTRINGIDO"), 0, T496)</f>
        <v>0</v>
      </c>
      <c r="U607" s="93">
        <f>IF(OR($N533="RESTRINGIDO", $N523="RESTRINGIDO"), 0, U496)</f>
        <v>0</v>
      </c>
      <c r="V607" s="93">
        <f>IF(OR($N533="RESTRINGIDO", $N524="RESTRINGIDO"), 0, V496)</f>
        <v>0</v>
      </c>
      <c r="W607" s="93">
        <f>IF(OR($N533="RESTRINGIDO", $N525="RESTRINGIDO"), 0, W496)</f>
        <v>0</v>
      </c>
      <c r="X607" s="93">
        <f>IF(OR($N533="RESTRINGIDO", $N526="RESTRINGIDO"), 0, X496)</f>
        <v>0</v>
      </c>
      <c r="Y607" s="93">
        <f>IF(OR($N533="RESTRINGIDO", $N527="RESTRINGIDO"), 0, Y496)</f>
        <v>0</v>
      </c>
      <c r="Z607" s="93">
        <f>IF(OR($N533="RESTRINGIDO", $N528="RESTRINGIDO"), 0, Z496)</f>
        <v>0</v>
      </c>
      <c r="AA607" s="93">
        <f>IF(OR($N533="RESTRINGIDO", $N529="RESTRINGIDO"), 0, AA496)</f>
        <v>0</v>
      </c>
      <c r="AB607" s="93">
        <f>IF(OR($N533="RESTRINGIDO", $N530="RESTRINGIDO"), 0, AB496)</f>
        <v>0</v>
      </c>
      <c r="AC607" s="93">
        <f>IF(OR($N533="RESTRINGIDO", $N531="RESTRINGIDO"), 0, AC496)</f>
        <v>0</v>
      </c>
      <c r="AD607" s="93">
        <f>IF(OR($N533="RESTRINGIDO", $N532="RESTRINGIDO"), 0, AD496)</f>
        <v>0</v>
      </c>
      <c r="AE607" s="93">
        <f>IF($N533="RESTRINGIDO", 1, IF(OR($N533="", $C496=""), 1, AE496))</f>
        <v>1</v>
      </c>
      <c r="AF607" s="93">
        <f>IF(OR($N533="RESTRINGIDO", $N534="RESTRINGIDO"), 0, AF496)</f>
        <v>0</v>
      </c>
      <c r="AG607" s="93">
        <f>IF(OR($N533="RESTRINGIDO", $N535="RESTRINGIDO"), 0, AG496)</f>
        <v>0</v>
      </c>
      <c r="AH607" s="93">
        <f>IF(OR($N533="RESTRINGIDO", $N536="RESTRINGIDO"), 0, AH496)</f>
        <v>0</v>
      </c>
      <c r="AJ607" s="93">
        <f t="shared" si="72"/>
        <v>0</v>
      </c>
      <c r="AL607" s="104">
        <v>0</v>
      </c>
      <c r="AN607" s="104">
        <v>0</v>
      </c>
    </row>
    <row r="608" spans="2:40" x14ac:dyDescent="0.3">
      <c r="B608" s="93">
        <f>IF(OR($N534="RESTRINGIDO", $N504="RESTRINGIDO"), 0, B497)</f>
        <v>0</v>
      </c>
      <c r="C608" s="93">
        <f>IF(OR($N534="RESTRINGIDO", $N505="RESTRINGIDO"), 0, C497)</f>
        <v>0</v>
      </c>
      <c r="D608" s="93">
        <f>IF(OR($N534="RESTRINGIDO", $N506="RESTRINGIDO"), 0, D497)</f>
        <v>0</v>
      </c>
      <c r="E608" s="93">
        <f>IF(OR($N534="RESTRINGIDO", $N507="RESTRINGIDO"), 0, E497)</f>
        <v>0</v>
      </c>
      <c r="F608" s="93">
        <f>IF(OR($N534="RESTRINGIDO", $N508="RESTRINGIDO"), 0, F497)</f>
        <v>0</v>
      </c>
      <c r="G608" s="93">
        <f>IF(OR($N534="RESTRINGIDO", $N509="RESTRINGIDO"), 0, G497)</f>
        <v>0</v>
      </c>
      <c r="H608" s="93">
        <f>IF(OR($N534="RESTRINGIDO", $N510="RESTRINGIDO"), 0, H497)</f>
        <v>0</v>
      </c>
      <c r="I608" s="93">
        <f>IF(OR($N534="RESTRINGIDO", $N511="RESTRINGIDO"), 0, I497)</f>
        <v>0</v>
      </c>
      <c r="J608" s="93">
        <f>IF(OR($N534="RESTRINGIDO", $N512="RESTRINGIDO"), 0, J497)</f>
        <v>0</v>
      </c>
      <c r="K608" s="93">
        <f>IF(OR($N534="RESTRINGIDO", $N513="RESTRINGIDO"), 0, K497)</f>
        <v>0</v>
      </c>
      <c r="L608" s="93">
        <f>IF(OR($N534="RESTRINGIDO", $N514="RESTRINGIDO"), 0, L497)</f>
        <v>0</v>
      </c>
      <c r="M608" s="93">
        <f>IF(OR($N534="RESTRINGIDO", $N515="RESTRINGIDO"), 0, M497)</f>
        <v>0</v>
      </c>
      <c r="N608" s="93">
        <f>IF(OR($N534="RESTRINGIDO", $N516="RESTRINGIDO"), 0, N497)</f>
        <v>0</v>
      </c>
      <c r="O608" s="93">
        <f>IF(OR($N534="RESTRINGIDO", $N517="RESTRINGIDO"), 0, O497)</f>
        <v>0</v>
      </c>
      <c r="P608" s="93">
        <f>IF(OR($N534="RESTRINGIDO", $N518="RESTRINGIDO"), 0, P497)</f>
        <v>0</v>
      </c>
      <c r="Q608" s="93">
        <f>IF(OR($N534="RESTRINGIDO", $N519="RESTRINGIDO"), 0, Q497)</f>
        <v>0</v>
      </c>
      <c r="R608" s="93">
        <f>IF(OR($N534="RESTRINGIDO", $N520="RESTRINGIDO"), 0, R497)</f>
        <v>0</v>
      </c>
      <c r="S608" s="93">
        <f>IF(OR($N534="RESTRINGIDO", $N521="RESTRINGIDO"), 0, S497)</f>
        <v>0</v>
      </c>
      <c r="T608" s="93">
        <f>IF(OR($N534="RESTRINGIDO", $N522="RESTRINGIDO"), 0, T497)</f>
        <v>0</v>
      </c>
      <c r="U608" s="93">
        <f>IF(OR($N534="RESTRINGIDO", $N523="RESTRINGIDO"), 0, U497)</f>
        <v>0</v>
      </c>
      <c r="V608" s="93">
        <f>IF(OR($N534="RESTRINGIDO", $N524="RESTRINGIDO"), 0, V497)</f>
        <v>0</v>
      </c>
      <c r="W608" s="93">
        <f>IF(OR($N534="RESTRINGIDO", $N525="RESTRINGIDO"), 0, W497)</f>
        <v>0</v>
      </c>
      <c r="X608" s="93">
        <f>IF(OR($N534="RESTRINGIDO", $N526="RESTRINGIDO"), 0, X497)</f>
        <v>0</v>
      </c>
      <c r="Y608" s="93">
        <f>IF(OR($N534="RESTRINGIDO", $N527="RESTRINGIDO"), 0, Y497)</f>
        <v>0</v>
      </c>
      <c r="Z608" s="93">
        <f>IF(OR($N534="RESTRINGIDO", $N528="RESTRINGIDO"), 0, Z497)</f>
        <v>0</v>
      </c>
      <c r="AA608" s="93">
        <f>IF(OR($N534="RESTRINGIDO", $N529="RESTRINGIDO"), 0, AA497)</f>
        <v>0</v>
      </c>
      <c r="AB608" s="93">
        <f>IF(OR($N534="RESTRINGIDO", $N530="RESTRINGIDO"), 0, AB497)</f>
        <v>0</v>
      </c>
      <c r="AC608" s="93">
        <f>IF(OR($N534="RESTRINGIDO", $N531="RESTRINGIDO"), 0, AC497)</f>
        <v>0</v>
      </c>
      <c r="AD608" s="93">
        <f>IF(OR($N534="RESTRINGIDO", $N532="RESTRINGIDO"), 0, AD497)</f>
        <v>0</v>
      </c>
      <c r="AE608" s="93">
        <f>IF(OR($N534="RESTRINGIDO", $N533="RESTRINGIDO"), 0, AE497)</f>
        <v>0</v>
      </c>
      <c r="AF608" s="93">
        <f>IF($N534="RESTRINGIDO", 1, IF(OR($N534="", $C497=""), 1, AF497))</f>
        <v>1</v>
      </c>
      <c r="AG608" s="93">
        <f>IF(OR($N534="RESTRINGIDO", $N535="RESTRINGIDO"), 0, AG497)</f>
        <v>0</v>
      </c>
      <c r="AH608" s="93">
        <f>IF(OR($N534="RESTRINGIDO", $N536="RESTRINGIDO"), 0, AH497)</f>
        <v>0</v>
      </c>
      <c r="AJ608" s="93">
        <f t="shared" si="72"/>
        <v>0</v>
      </c>
      <c r="AL608" s="104">
        <v>0</v>
      </c>
      <c r="AN608" s="104">
        <v>0</v>
      </c>
    </row>
    <row r="609" spans="2:40" x14ac:dyDescent="0.3">
      <c r="B609" s="93">
        <f>IF(OR($N535="RESTRINGIDO", $N504="RESTRINGIDO"), 0, B498)</f>
        <v>0</v>
      </c>
      <c r="C609" s="93">
        <f>IF(OR($N535="RESTRINGIDO", $N505="RESTRINGIDO"), 0, C498)</f>
        <v>0</v>
      </c>
      <c r="D609" s="93">
        <f>IF(OR($N535="RESTRINGIDO", $N506="RESTRINGIDO"), 0, D498)</f>
        <v>0</v>
      </c>
      <c r="E609" s="93">
        <f>IF(OR($N535="RESTRINGIDO", $N507="RESTRINGIDO"), 0, E498)</f>
        <v>0</v>
      </c>
      <c r="F609" s="93">
        <f>IF(OR($N535="RESTRINGIDO", $N508="RESTRINGIDO"), 0, F498)</f>
        <v>0</v>
      </c>
      <c r="G609" s="93">
        <f>IF(OR($N535="RESTRINGIDO", $N509="RESTRINGIDO"), 0, G498)</f>
        <v>0</v>
      </c>
      <c r="H609" s="93">
        <f>IF(OR($N535="RESTRINGIDO", $N510="RESTRINGIDO"), 0, H498)</f>
        <v>0</v>
      </c>
      <c r="I609" s="93">
        <f>IF(OR($N535="RESTRINGIDO", $N511="RESTRINGIDO"), 0, I498)</f>
        <v>0</v>
      </c>
      <c r="J609" s="93">
        <f>IF(OR($N535="RESTRINGIDO", $N512="RESTRINGIDO"), 0, J498)</f>
        <v>0</v>
      </c>
      <c r="K609" s="93">
        <f>IF(OR($N535="RESTRINGIDO", $N513="RESTRINGIDO"), 0, K498)</f>
        <v>0</v>
      </c>
      <c r="L609" s="93">
        <f>IF(OR($N535="RESTRINGIDO", $N514="RESTRINGIDO"), 0, L498)</f>
        <v>0</v>
      </c>
      <c r="M609" s="93">
        <f>IF(OR($N535="RESTRINGIDO", $N515="RESTRINGIDO"), 0, M498)</f>
        <v>0</v>
      </c>
      <c r="N609" s="93">
        <f>IF(OR($N535="RESTRINGIDO", $N516="RESTRINGIDO"), 0, N498)</f>
        <v>0</v>
      </c>
      <c r="O609" s="93">
        <f>IF(OR($N535="RESTRINGIDO", $N517="RESTRINGIDO"), 0, O498)</f>
        <v>0</v>
      </c>
      <c r="P609" s="93">
        <f>IF(OR($N535="RESTRINGIDO", $N518="RESTRINGIDO"), 0, P498)</f>
        <v>0</v>
      </c>
      <c r="Q609" s="93">
        <f>IF(OR($N535="RESTRINGIDO", $N519="RESTRINGIDO"), 0, Q498)</f>
        <v>0</v>
      </c>
      <c r="R609" s="93">
        <f>IF(OR($N535="RESTRINGIDO", $N520="RESTRINGIDO"), 0, R498)</f>
        <v>0</v>
      </c>
      <c r="S609" s="93">
        <f>IF(OR($N535="RESTRINGIDO", $N521="RESTRINGIDO"), 0, S498)</f>
        <v>0</v>
      </c>
      <c r="T609" s="93">
        <f>IF(OR($N535="RESTRINGIDO", $N522="RESTRINGIDO"), 0, T498)</f>
        <v>0</v>
      </c>
      <c r="U609" s="93">
        <f>IF(OR($N535="RESTRINGIDO", $N523="RESTRINGIDO"), 0, U498)</f>
        <v>0</v>
      </c>
      <c r="V609" s="93">
        <f>IF(OR($N535="RESTRINGIDO", $N524="RESTRINGIDO"), 0, V498)</f>
        <v>0</v>
      </c>
      <c r="W609" s="93">
        <f>IF(OR($N535="RESTRINGIDO", $N525="RESTRINGIDO"), 0, W498)</f>
        <v>0</v>
      </c>
      <c r="X609" s="93">
        <f>IF(OR($N535="RESTRINGIDO", $N526="RESTRINGIDO"), 0, X498)</f>
        <v>0</v>
      </c>
      <c r="Y609" s="93">
        <f>IF(OR($N535="RESTRINGIDO", $N527="RESTRINGIDO"), 0, Y498)</f>
        <v>0</v>
      </c>
      <c r="Z609" s="93">
        <f>IF(OR($N535="RESTRINGIDO", $N528="RESTRINGIDO"), 0, Z498)</f>
        <v>0</v>
      </c>
      <c r="AA609" s="93">
        <f>IF(OR($N535="RESTRINGIDO", $N529="RESTRINGIDO"), 0, AA498)</f>
        <v>0</v>
      </c>
      <c r="AB609" s="93">
        <f>IF(OR($N535="RESTRINGIDO", $N530="RESTRINGIDO"), 0, AB498)</f>
        <v>0</v>
      </c>
      <c r="AC609" s="93">
        <f>IF(OR($N535="RESTRINGIDO", $N531="RESTRINGIDO"), 0, AC498)</f>
        <v>0</v>
      </c>
      <c r="AD609" s="93">
        <f>IF(OR($N535="RESTRINGIDO", $N532="RESTRINGIDO"), 0, AD498)</f>
        <v>0</v>
      </c>
      <c r="AE609" s="93">
        <f>IF(OR($N535="RESTRINGIDO", $N533="RESTRINGIDO"), 0, AE498)</f>
        <v>0</v>
      </c>
      <c r="AF609" s="93">
        <f>IF(OR($N535="RESTRINGIDO", $N534="RESTRINGIDO"), 0, AF498)</f>
        <v>0</v>
      </c>
      <c r="AG609" s="93">
        <f>IF($N535="RESTRINGIDO", 1, IF(OR($N535="", $C498=""), 1, AG498))</f>
        <v>1</v>
      </c>
      <c r="AH609" s="93">
        <f>IF(OR($N535="RESTRINGIDO", $N536="RESTRINGIDO"), 0, AH498)</f>
        <v>0</v>
      </c>
      <c r="AJ609" s="93">
        <f t="shared" si="72"/>
        <v>0</v>
      </c>
      <c r="AL609" s="104">
        <v>0</v>
      </c>
      <c r="AN609" s="104">
        <v>0</v>
      </c>
    </row>
    <row r="610" spans="2:40" x14ac:dyDescent="0.3">
      <c r="B610" s="93">
        <f>IF(OR($N536="RESTRINGIDO", $N504="RESTRINGIDO"), 0, B499)</f>
        <v>0</v>
      </c>
      <c r="C610" s="93">
        <f>IF(OR($N536="RESTRINGIDO", $N505="RESTRINGIDO"), 0, C499)</f>
        <v>0</v>
      </c>
      <c r="D610" s="93">
        <f>IF(OR($N536="RESTRINGIDO", $N506="RESTRINGIDO"), 0, D499)</f>
        <v>0</v>
      </c>
      <c r="E610" s="93">
        <f>IF(OR($N536="RESTRINGIDO", $N507="RESTRINGIDO"), 0, E499)</f>
        <v>0</v>
      </c>
      <c r="F610" s="93">
        <f>IF(OR($N536="RESTRINGIDO", $N508="RESTRINGIDO"), 0, F499)</f>
        <v>0</v>
      </c>
      <c r="G610" s="93">
        <f>IF(OR($N536="RESTRINGIDO", $N509="RESTRINGIDO"), 0, G499)</f>
        <v>0</v>
      </c>
      <c r="H610" s="93">
        <f>IF(OR($N536="RESTRINGIDO", $N510="RESTRINGIDO"), 0, H499)</f>
        <v>0</v>
      </c>
      <c r="I610" s="93">
        <f>IF(OR($N536="RESTRINGIDO", $N511="RESTRINGIDO"), 0, I499)</f>
        <v>0</v>
      </c>
      <c r="J610" s="93">
        <f>IF(OR($N536="RESTRINGIDO", $N512="RESTRINGIDO"), 0, J499)</f>
        <v>0</v>
      </c>
      <c r="K610" s="93">
        <f>IF(OR($N536="RESTRINGIDO", $N513="RESTRINGIDO"), 0, K499)</f>
        <v>0</v>
      </c>
      <c r="L610" s="93">
        <f>IF(OR($N536="RESTRINGIDO", $N514="RESTRINGIDO"), 0, L499)</f>
        <v>0</v>
      </c>
      <c r="M610" s="93">
        <f>IF(OR($N536="RESTRINGIDO", $N515="RESTRINGIDO"), 0, M499)</f>
        <v>0</v>
      </c>
      <c r="N610" s="93">
        <f>IF(OR($N536="RESTRINGIDO", $N516="RESTRINGIDO"), 0, N499)</f>
        <v>0</v>
      </c>
      <c r="O610" s="93">
        <f>IF(OR($N536="RESTRINGIDO", $N517="RESTRINGIDO"), 0, O499)</f>
        <v>0</v>
      </c>
      <c r="P610" s="93">
        <f>IF(OR($N536="RESTRINGIDO", $N518="RESTRINGIDO"), 0, P499)</f>
        <v>0</v>
      </c>
      <c r="Q610" s="93">
        <f>IF(OR($N536="RESTRINGIDO", $N519="RESTRINGIDO"), 0, Q499)</f>
        <v>0</v>
      </c>
      <c r="R610" s="93">
        <f>IF(OR($N536="RESTRINGIDO", $N520="RESTRINGIDO"), 0, R499)</f>
        <v>0</v>
      </c>
      <c r="S610" s="93">
        <f>IF(OR($N536="RESTRINGIDO", $N521="RESTRINGIDO"), 0, S499)</f>
        <v>0</v>
      </c>
      <c r="T610" s="93">
        <f>IF(OR($N536="RESTRINGIDO", $N522="RESTRINGIDO"), 0, T499)</f>
        <v>0</v>
      </c>
      <c r="U610" s="93">
        <f>IF(OR($N536="RESTRINGIDO", $N523="RESTRINGIDO"), 0, U499)</f>
        <v>0</v>
      </c>
      <c r="V610" s="93">
        <f>IF(OR($N536="RESTRINGIDO", $N524="RESTRINGIDO"), 0, V499)</f>
        <v>0</v>
      </c>
      <c r="W610" s="93">
        <f>IF(OR($N536="RESTRINGIDO", $N525="RESTRINGIDO"), 0, W499)</f>
        <v>0</v>
      </c>
      <c r="X610" s="93">
        <f>IF(OR($N536="RESTRINGIDO", $N526="RESTRINGIDO"), 0, X499)</f>
        <v>0</v>
      </c>
      <c r="Y610" s="93">
        <f>IF(OR($N536="RESTRINGIDO", $N527="RESTRINGIDO"), 0, Y499)</f>
        <v>0</v>
      </c>
      <c r="Z610" s="93">
        <f>IF(OR($N536="RESTRINGIDO", $N528="RESTRINGIDO"), 0, Z499)</f>
        <v>0</v>
      </c>
      <c r="AA610" s="93">
        <f>IF(OR($N536="RESTRINGIDO", $N529="RESTRINGIDO"), 0, AA499)</f>
        <v>0</v>
      </c>
      <c r="AB610" s="93">
        <f>IF(OR($N536="RESTRINGIDO", $N530="RESTRINGIDO"), 0, AB499)</f>
        <v>0</v>
      </c>
      <c r="AC610" s="93">
        <f>IF(OR($N536="RESTRINGIDO", $N531="RESTRINGIDO"), 0, AC499)</f>
        <v>0</v>
      </c>
      <c r="AD610" s="93">
        <f>IF(OR($N536="RESTRINGIDO", $N532="RESTRINGIDO"), 0, AD499)</f>
        <v>0</v>
      </c>
      <c r="AE610" s="93">
        <f>IF(OR($N536="RESTRINGIDO", $N533="RESTRINGIDO"), 0, AE499)</f>
        <v>0</v>
      </c>
      <c r="AF610" s="93">
        <f>IF(OR($N536="RESTRINGIDO", $N534="RESTRINGIDO"), 0, AF499)</f>
        <v>0</v>
      </c>
      <c r="AG610" s="93">
        <f>IF(OR($N536="RESTRINGIDO", $N535="RESTRINGIDO"), 0, AG499)</f>
        <v>0</v>
      </c>
      <c r="AH610" s="93">
        <f>IF($N536="RESTRINGIDO", 1, IF(OR($N536="", $C499=""), 1, AH499))</f>
        <v>1</v>
      </c>
      <c r="AJ610" s="93">
        <f t="shared" si="72"/>
        <v>0</v>
      </c>
      <c r="AL610" s="104">
        <v>0</v>
      </c>
      <c r="AN610" s="104">
        <v>0</v>
      </c>
    </row>
    <row r="615" spans="2:40" x14ac:dyDescent="0.3">
      <c r="B615" s="95" t="s">
        <v>341</v>
      </c>
      <c r="C615" s="96"/>
      <c r="D615" s="96"/>
      <c r="E615" s="96"/>
      <c r="F615" s="96"/>
      <c r="G615" s="96"/>
    </row>
    <row r="617" spans="2:40" x14ac:dyDescent="0.3">
      <c r="B617" s="99" t="s">
        <v>272</v>
      </c>
      <c r="C617" s="100" t="s">
        <v>125</v>
      </c>
      <c r="D617" s="83" t="s">
        <v>190</v>
      </c>
      <c r="E617" s="105">
        <f>IF(OR($G$5=0, 1&gt;$G$5), 0, IF(N504="RESTRINGIDO", 0, AL578))</f>
        <v>0</v>
      </c>
      <c r="F617" s="100" t="s">
        <v>125</v>
      </c>
      <c r="G617" s="83" t="s">
        <v>24</v>
      </c>
    </row>
    <row r="618" spans="2:40" x14ac:dyDescent="0.3">
      <c r="B618" s="99" t="s">
        <v>274</v>
      </c>
      <c r="C618" s="100" t="s">
        <v>126</v>
      </c>
      <c r="D618" s="83" t="s">
        <v>190</v>
      </c>
      <c r="E618" s="105">
        <f>IF(OR($G$5=0, 1&gt;$G$5), 0, IF(N505="RESTRINGIDO", 0, AL579))</f>
        <v>0</v>
      </c>
      <c r="F618" s="100" t="s">
        <v>126</v>
      </c>
      <c r="G618" s="83" t="s">
        <v>24</v>
      </c>
    </row>
    <row r="619" spans="2:40" x14ac:dyDescent="0.3">
      <c r="B619" s="99" t="s">
        <v>276</v>
      </c>
      <c r="C619" s="100" t="s">
        <v>127</v>
      </c>
      <c r="D619" s="83" t="s">
        <v>190</v>
      </c>
      <c r="E619" s="105">
        <f>IF(OR($G$5=0, 1&gt;$G$5), 0, IF(N506="RESTRINGIDO", 0, AL580))</f>
        <v>0</v>
      </c>
      <c r="F619" s="100" t="s">
        <v>127</v>
      </c>
      <c r="G619" s="83" t="s">
        <v>342</v>
      </c>
    </row>
    <row r="620" spans="2:40" x14ac:dyDescent="0.3">
      <c r="B620" s="99" t="s">
        <v>278</v>
      </c>
      <c r="C620" s="100" t="s">
        <v>128</v>
      </c>
      <c r="D620" s="83" t="s">
        <v>190</v>
      </c>
      <c r="E620" s="105">
        <f>IF(OR($G$5=0, 2&gt;$G$5), 0, IF(N507="RESTRINGIDO", 0, AL581))</f>
        <v>0</v>
      </c>
      <c r="F620" s="100" t="s">
        <v>128</v>
      </c>
      <c r="G620" s="83" t="s">
        <v>24</v>
      </c>
    </row>
    <row r="621" spans="2:40" x14ac:dyDescent="0.3">
      <c r="B621" s="99" t="s">
        <v>280</v>
      </c>
      <c r="C621" s="100" t="s">
        <v>129</v>
      </c>
      <c r="D621" s="83" t="s">
        <v>190</v>
      </c>
      <c r="E621" s="105">
        <f>IF(OR($G$5=0, 2&gt;$G$5), 0, IF(N508="RESTRINGIDO", 0, AL582))</f>
        <v>0</v>
      </c>
      <c r="F621" s="100" t="s">
        <v>129</v>
      </c>
      <c r="G621" s="83" t="s">
        <v>24</v>
      </c>
    </row>
    <row r="622" spans="2:40" x14ac:dyDescent="0.3">
      <c r="B622" s="99" t="s">
        <v>282</v>
      </c>
      <c r="C622" s="100" t="s">
        <v>130</v>
      </c>
      <c r="D622" s="83" t="s">
        <v>190</v>
      </c>
      <c r="E622" s="105">
        <f>IF(OR($G$5=0, 2&gt;$G$5), 0, IF(N509="RESTRINGIDO", 0, AL583))</f>
        <v>0</v>
      </c>
      <c r="F622" s="100" t="s">
        <v>130</v>
      </c>
      <c r="G622" s="83" t="s">
        <v>342</v>
      </c>
    </row>
    <row r="623" spans="2:40" x14ac:dyDescent="0.3">
      <c r="B623" s="99" t="s">
        <v>284</v>
      </c>
      <c r="C623" s="100" t="s">
        <v>131</v>
      </c>
      <c r="D623" s="83" t="s">
        <v>190</v>
      </c>
      <c r="E623" s="105">
        <f>IF(OR($G$5=0, 3&gt;$G$5), 0, IF(N510="RESTRINGIDO", 0, AL584))</f>
        <v>0</v>
      </c>
      <c r="F623" s="100" t="s">
        <v>131</v>
      </c>
      <c r="G623" s="83" t="s">
        <v>24</v>
      </c>
    </row>
    <row r="624" spans="2:40" x14ac:dyDescent="0.3">
      <c r="B624" s="99" t="s">
        <v>286</v>
      </c>
      <c r="C624" s="100" t="s">
        <v>132</v>
      </c>
      <c r="D624" s="83" t="s">
        <v>190</v>
      </c>
      <c r="E624" s="105">
        <f>IF(OR($G$5=0, 3&gt;$G$5), 0, IF(N511="RESTRINGIDO", 0, AL585))</f>
        <v>0</v>
      </c>
      <c r="F624" s="100" t="s">
        <v>132</v>
      </c>
      <c r="G624" s="83" t="s">
        <v>24</v>
      </c>
    </row>
    <row r="625" spans="2:7" x14ac:dyDescent="0.3">
      <c r="B625" s="99" t="s">
        <v>288</v>
      </c>
      <c r="C625" s="100" t="s">
        <v>133</v>
      </c>
      <c r="D625" s="83" t="s">
        <v>190</v>
      </c>
      <c r="E625" s="105">
        <f>IF(OR($G$5=0, 3&gt;$G$5), 0, IF(N512="RESTRINGIDO", 0, AL586))</f>
        <v>0</v>
      </c>
      <c r="F625" s="100" t="s">
        <v>133</v>
      </c>
      <c r="G625" s="83" t="s">
        <v>342</v>
      </c>
    </row>
    <row r="626" spans="2:7" x14ac:dyDescent="0.3">
      <c r="B626" s="99" t="s">
        <v>290</v>
      </c>
      <c r="C626" s="100" t="s">
        <v>134</v>
      </c>
      <c r="D626" s="83" t="s">
        <v>190</v>
      </c>
      <c r="E626" s="105">
        <f>IF(OR($G$5=0, 4&gt;$G$5), 0, IF(N513="RESTRINGIDO", 0, AL587))</f>
        <v>0</v>
      </c>
      <c r="F626" s="100" t="s">
        <v>134</v>
      </c>
      <c r="G626" s="83" t="s">
        <v>24</v>
      </c>
    </row>
    <row r="627" spans="2:7" x14ac:dyDescent="0.3">
      <c r="B627" s="99" t="s">
        <v>292</v>
      </c>
      <c r="C627" s="100" t="s">
        <v>135</v>
      </c>
      <c r="D627" s="83" t="s">
        <v>190</v>
      </c>
      <c r="E627" s="105">
        <f>IF(OR($G$5=0, 4&gt;$G$5), 0, IF(N514="RESTRINGIDO", 0, AL588))</f>
        <v>0</v>
      </c>
      <c r="F627" s="100" t="s">
        <v>135</v>
      </c>
      <c r="G627" s="83" t="s">
        <v>24</v>
      </c>
    </row>
    <row r="628" spans="2:7" x14ac:dyDescent="0.3">
      <c r="B628" s="99" t="s">
        <v>294</v>
      </c>
      <c r="C628" s="100" t="s">
        <v>136</v>
      </c>
      <c r="D628" s="83" t="s">
        <v>190</v>
      </c>
      <c r="E628" s="105">
        <f>IF(OR($G$5=0, 4&gt;$G$5), 0, IF(N515="RESTRINGIDO", 0, AL589))</f>
        <v>0</v>
      </c>
      <c r="F628" s="100" t="s">
        <v>136</v>
      </c>
      <c r="G628" s="83" t="s">
        <v>342</v>
      </c>
    </row>
    <row r="629" spans="2:7" x14ac:dyDescent="0.3">
      <c r="B629" s="99" t="s">
        <v>296</v>
      </c>
      <c r="C629" s="100" t="s">
        <v>137</v>
      </c>
      <c r="D629" s="83" t="s">
        <v>190</v>
      </c>
      <c r="E629" s="105">
        <f>IF(OR($G$5=0, 5&gt;$G$5), 0, IF(N516="RESTRINGIDO", 0, AL590))</f>
        <v>0</v>
      </c>
      <c r="F629" s="100" t="s">
        <v>137</v>
      </c>
      <c r="G629" s="83" t="s">
        <v>24</v>
      </c>
    </row>
    <row r="630" spans="2:7" x14ac:dyDescent="0.3">
      <c r="B630" s="99" t="s">
        <v>298</v>
      </c>
      <c r="C630" s="100" t="s">
        <v>138</v>
      </c>
      <c r="D630" s="83" t="s">
        <v>190</v>
      </c>
      <c r="E630" s="105">
        <f>IF(OR($G$5=0, 5&gt;$G$5), 0, IF(N517="RESTRINGIDO", 0, AL591))</f>
        <v>0</v>
      </c>
      <c r="F630" s="100" t="s">
        <v>138</v>
      </c>
      <c r="G630" s="83" t="s">
        <v>24</v>
      </c>
    </row>
    <row r="631" spans="2:7" x14ac:dyDescent="0.3">
      <c r="B631" s="99" t="s">
        <v>300</v>
      </c>
      <c r="C631" s="100" t="s">
        <v>139</v>
      </c>
      <c r="D631" s="83" t="s">
        <v>190</v>
      </c>
      <c r="E631" s="105">
        <f>IF(OR($G$5=0, 5&gt;$G$5), 0, IF(N518="RESTRINGIDO", 0, AL592))</f>
        <v>0</v>
      </c>
      <c r="F631" s="100" t="s">
        <v>139</v>
      </c>
      <c r="G631" s="83" t="s">
        <v>342</v>
      </c>
    </row>
    <row r="632" spans="2:7" x14ac:dyDescent="0.3">
      <c r="B632" s="99" t="s">
        <v>302</v>
      </c>
      <c r="C632" s="100" t="s">
        <v>140</v>
      </c>
      <c r="D632" s="83" t="s">
        <v>190</v>
      </c>
      <c r="E632" s="105">
        <f>IF(OR($G$5=0, 6&gt;$G$5), 0, IF(N519="RESTRINGIDO", 0, AL593))</f>
        <v>0</v>
      </c>
      <c r="F632" s="100" t="s">
        <v>140</v>
      </c>
      <c r="G632" s="83" t="s">
        <v>24</v>
      </c>
    </row>
    <row r="633" spans="2:7" x14ac:dyDescent="0.3">
      <c r="B633" s="99" t="s">
        <v>304</v>
      </c>
      <c r="C633" s="100" t="s">
        <v>141</v>
      </c>
      <c r="D633" s="83" t="s">
        <v>190</v>
      </c>
      <c r="E633" s="105">
        <f>IF(OR($G$5=0, 6&gt;$G$5), 0, IF(N520="RESTRINGIDO", 0, AL594))</f>
        <v>0</v>
      </c>
      <c r="F633" s="100" t="s">
        <v>141</v>
      </c>
      <c r="G633" s="83" t="s">
        <v>24</v>
      </c>
    </row>
    <row r="634" spans="2:7" x14ac:dyDescent="0.3">
      <c r="B634" s="99" t="s">
        <v>306</v>
      </c>
      <c r="C634" s="100" t="s">
        <v>142</v>
      </c>
      <c r="D634" s="83" t="s">
        <v>190</v>
      </c>
      <c r="E634" s="105">
        <f>IF(OR($G$5=0, 6&gt;$G$5), 0, IF(N521="RESTRINGIDO", 0, AL595))</f>
        <v>0</v>
      </c>
      <c r="F634" s="100" t="s">
        <v>142</v>
      </c>
      <c r="G634" s="83" t="s">
        <v>342</v>
      </c>
    </row>
    <row r="635" spans="2:7" x14ac:dyDescent="0.3">
      <c r="B635" s="99" t="s">
        <v>308</v>
      </c>
      <c r="C635" s="100" t="s">
        <v>143</v>
      </c>
      <c r="D635" s="83" t="s">
        <v>190</v>
      </c>
      <c r="E635" s="105">
        <f>IF(OR($G$5=0, 7&gt;$G$5), 0, IF(N522="RESTRINGIDO", 0, AL596))</f>
        <v>0</v>
      </c>
      <c r="F635" s="100" t="s">
        <v>143</v>
      </c>
      <c r="G635" s="83" t="s">
        <v>24</v>
      </c>
    </row>
    <row r="636" spans="2:7" x14ac:dyDescent="0.3">
      <c r="B636" s="99" t="s">
        <v>310</v>
      </c>
      <c r="C636" s="100" t="s">
        <v>144</v>
      </c>
      <c r="D636" s="83" t="s">
        <v>190</v>
      </c>
      <c r="E636" s="105">
        <f>IF(OR($G$5=0, 7&gt;$G$5), 0, IF(N523="RESTRINGIDO", 0, AL597))</f>
        <v>0</v>
      </c>
      <c r="F636" s="100" t="s">
        <v>144</v>
      </c>
      <c r="G636" s="83" t="s">
        <v>24</v>
      </c>
    </row>
    <row r="637" spans="2:7" x14ac:dyDescent="0.3">
      <c r="B637" s="99" t="s">
        <v>312</v>
      </c>
      <c r="C637" s="100" t="s">
        <v>145</v>
      </c>
      <c r="D637" s="83" t="s">
        <v>190</v>
      </c>
      <c r="E637" s="105">
        <f>IF(OR($G$5=0, 7&gt;$G$5), 0, IF(N524="RESTRINGIDO", 0, AL598))</f>
        <v>0</v>
      </c>
      <c r="F637" s="100" t="s">
        <v>145</v>
      </c>
      <c r="G637" s="83" t="s">
        <v>342</v>
      </c>
    </row>
    <row r="638" spans="2:7" x14ac:dyDescent="0.3">
      <c r="B638" s="99" t="s">
        <v>314</v>
      </c>
      <c r="C638" s="100" t="s">
        <v>146</v>
      </c>
      <c r="D638" s="83" t="s">
        <v>190</v>
      </c>
      <c r="E638" s="105">
        <f>IF(OR($G$5=0, 8&gt;$G$5), 0, IF(N525="RESTRINGIDO", 0, AL599))</f>
        <v>0</v>
      </c>
      <c r="F638" s="100" t="s">
        <v>146</v>
      </c>
      <c r="G638" s="83" t="s">
        <v>24</v>
      </c>
    </row>
    <row r="639" spans="2:7" x14ac:dyDescent="0.3">
      <c r="B639" s="99" t="s">
        <v>316</v>
      </c>
      <c r="C639" s="100" t="s">
        <v>147</v>
      </c>
      <c r="D639" s="83" t="s">
        <v>190</v>
      </c>
      <c r="E639" s="105">
        <f>IF(OR($G$5=0, 8&gt;$G$5), 0, IF(N526="RESTRINGIDO", 0, AL600))</f>
        <v>0</v>
      </c>
      <c r="F639" s="100" t="s">
        <v>147</v>
      </c>
      <c r="G639" s="83" t="s">
        <v>24</v>
      </c>
    </row>
    <row r="640" spans="2:7" x14ac:dyDescent="0.3">
      <c r="B640" s="99" t="s">
        <v>318</v>
      </c>
      <c r="C640" s="100" t="s">
        <v>148</v>
      </c>
      <c r="D640" s="83" t="s">
        <v>190</v>
      </c>
      <c r="E640" s="105">
        <f>IF(OR($G$5=0, 8&gt;$G$5), 0, IF(N527="RESTRINGIDO", 0, AL601))</f>
        <v>0</v>
      </c>
      <c r="F640" s="100" t="s">
        <v>148</v>
      </c>
      <c r="G640" s="83" t="s">
        <v>342</v>
      </c>
    </row>
    <row r="641" spans="2:7" x14ac:dyDescent="0.3">
      <c r="B641" s="99" t="s">
        <v>320</v>
      </c>
      <c r="C641" s="100" t="s">
        <v>149</v>
      </c>
      <c r="D641" s="83" t="s">
        <v>190</v>
      </c>
      <c r="E641" s="105">
        <f>IF(OR($G$5=0, 9&gt;$G$5), 0, IF(N528="RESTRINGIDO", 0, AL602))</f>
        <v>0</v>
      </c>
      <c r="F641" s="100" t="s">
        <v>149</v>
      </c>
      <c r="G641" s="83" t="s">
        <v>24</v>
      </c>
    </row>
    <row r="642" spans="2:7" x14ac:dyDescent="0.3">
      <c r="B642" s="99" t="s">
        <v>322</v>
      </c>
      <c r="C642" s="100" t="s">
        <v>150</v>
      </c>
      <c r="D642" s="83" t="s">
        <v>190</v>
      </c>
      <c r="E642" s="105">
        <f>IF(OR($G$5=0, 9&gt;$G$5), 0, IF(N529="RESTRINGIDO", 0, AL603))</f>
        <v>0</v>
      </c>
      <c r="F642" s="100" t="s">
        <v>150</v>
      </c>
      <c r="G642" s="83" t="s">
        <v>24</v>
      </c>
    </row>
    <row r="643" spans="2:7" x14ac:dyDescent="0.3">
      <c r="B643" s="99" t="s">
        <v>324</v>
      </c>
      <c r="C643" s="100" t="s">
        <v>151</v>
      </c>
      <c r="D643" s="83" t="s">
        <v>190</v>
      </c>
      <c r="E643" s="105">
        <f>IF(OR($G$5=0, 9&gt;$G$5), 0, IF(N530="RESTRINGIDO", 0, AL604))</f>
        <v>0</v>
      </c>
      <c r="F643" s="100" t="s">
        <v>151</v>
      </c>
      <c r="G643" s="83" t="s">
        <v>342</v>
      </c>
    </row>
    <row r="644" spans="2:7" x14ac:dyDescent="0.3">
      <c r="B644" s="99" t="s">
        <v>326</v>
      </c>
      <c r="C644" s="100" t="s">
        <v>152</v>
      </c>
      <c r="D644" s="83" t="s">
        <v>190</v>
      </c>
      <c r="E644" s="105">
        <f>IF(OR($G$5=0, 10&gt;$G$5), 0, IF(N531="RESTRINGIDO", 0, AL605))</f>
        <v>0</v>
      </c>
      <c r="F644" s="100" t="s">
        <v>152</v>
      </c>
      <c r="G644" s="83" t="s">
        <v>24</v>
      </c>
    </row>
    <row r="645" spans="2:7" x14ac:dyDescent="0.3">
      <c r="B645" s="99" t="s">
        <v>328</v>
      </c>
      <c r="C645" s="100" t="s">
        <v>153</v>
      </c>
      <c r="D645" s="83" t="s">
        <v>190</v>
      </c>
      <c r="E645" s="105">
        <f>IF(OR($G$5=0, 10&gt;$G$5), 0, IF(N532="RESTRINGIDO", 0, AL606))</f>
        <v>0</v>
      </c>
      <c r="F645" s="100" t="s">
        <v>153</v>
      </c>
      <c r="G645" s="83" t="s">
        <v>24</v>
      </c>
    </row>
    <row r="646" spans="2:7" x14ac:dyDescent="0.3">
      <c r="B646" s="99" t="s">
        <v>330</v>
      </c>
      <c r="C646" s="100" t="s">
        <v>154</v>
      </c>
      <c r="D646" s="83" t="s">
        <v>190</v>
      </c>
      <c r="E646" s="105">
        <f>IF(OR($G$5=0, 10&gt;$G$5), 0, IF(N533="RESTRINGIDO", 0, AL607))</f>
        <v>0</v>
      </c>
      <c r="F646" s="100" t="s">
        <v>154</v>
      </c>
      <c r="G646" s="83" t="s">
        <v>342</v>
      </c>
    </row>
    <row r="647" spans="2:7" x14ac:dyDescent="0.3">
      <c r="B647" s="99" t="s">
        <v>332</v>
      </c>
      <c r="C647" s="100" t="s">
        <v>155</v>
      </c>
      <c r="D647" s="83" t="s">
        <v>190</v>
      </c>
      <c r="E647" s="105">
        <f>IF(OR($G$5=0, 11&gt;$G$5), 0, IF(N534="RESTRINGIDO", 0, AL608))</f>
        <v>0</v>
      </c>
      <c r="F647" s="100" t="s">
        <v>155</v>
      </c>
      <c r="G647" s="83" t="s">
        <v>24</v>
      </c>
    </row>
    <row r="648" spans="2:7" x14ac:dyDescent="0.3">
      <c r="B648" s="99" t="s">
        <v>334</v>
      </c>
      <c r="C648" s="100" t="s">
        <v>156</v>
      </c>
      <c r="D648" s="83" t="s">
        <v>190</v>
      </c>
      <c r="E648" s="105">
        <f>IF(OR($G$5=0, 11&gt;$G$5), 0, IF(N535="RESTRINGIDO", 0, AL609))</f>
        <v>0</v>
      </c>
      <c r="F648" s="100" t="s">
        <v>156</v>
      </c>
      <c r="G648" s="83" t="s">
        <v>24</v>
      </c>
    </row>
    <row r="649" spans="2:7" x14ac:dyDescent="0.3">
      <c r="B649" s="99" t="s">
        <v>336</v>
      </c>
      <c r="C649" s="100" t="s">
        <v>157</v>
      </c>
      <c r="D649" s="83" t="s">
        <v>190</v>
      </c>
      <c r="E649" s="105">
        <f>IF(OR($G$5=0, 11&gt;$G$5), 0, IF(N536="RESTRINGIDO", 0, AL610))</f>
        <v>0</v>
      </c>
      <c r="F649" s="100" t="s">
        <v>157</v>
      </c>
      <c r="G649" s="83" t="s">
        <v>342</v>
      </c>
    </row>
    <row r="653" spans="2:7" x14ac:dyDescent="0.3">
      <c r="B653" s="95" t="s">
        <v>343</v>
      </c>
      <c r="C653" s="96"/>
      <c r="D653" s="96"/>
    </row>
    <row r="654" spans="2:7" x14ac:dyDescent="0.3">
      <c r="B654" s="106" t="s">
        <v>344</v>
      </c>
      <c r="C654" s="106" t="s">
        <v>345</v>
      </c>
      <c r="D654" s="106" t="s">
        <v>346</v>
      </c>
    </row>
    <row r="655" spans="2:7" x14ac:dyDescent="0.3">
      <c r="B655" s="83">
        <v>1</v>
      </c>
      <c r="C655" s="93">
        <v>0</v>
      </c>
      <c r="D655" s="104">
        <f>IF(E618="","", E618)</f>
        <v>0</v>
      </c>
    </row>
    <row r="656" spans="2:7" x14ac:dyDescent="0.3">
      <c r="B656" s="83">
        <v>2</v>
      </c>
      <c r="C656" s="93" t="str">
        <f t="shared" ref="C656:C665" si="73">IF(I9="","", C655+I9)</f>
        <v/>
      </c>
      <c r="D656" s="104" t="str">
        <f>IF(I9="","", E621)</f>
        <v/>
      </c>
    </row>
    <row r="657" spans="2:4" x14ac:dyDescent="0.3">
      <c r="B657" s="83">
        <v>3</v>
      </c>
      <c r="C657" s="93" t="str">
        <f t="shared" si="73"/>
        <v/>
      </c>
      <c r="D657" s="104" t="str">
        <f>IF(I10="","", E624)</f>
        <v/>
      </c>
    </row>
    <row r="658" spans="2:4" x14ac:dyDescent="0.3">
      <c r="B658" s="83">
        <v>4</v>
      </c>
      <c r="C658" s="93" t="str">
        <f t="shared" si="73"/>
        <v/>
      </c>
      <c r="D658" s="104" t="str">
        <f>IF(I11="","", E627)</f>
        <v/>
      </c>
    </row>
    <row r="659" spans="2:4" x14ac:dyDescent="0.3">
      <c r="B659" s="83">
        <v>5</v>
      </c>
      <c r="C659" s="93" t="str">
        <f t="shared" si="73"/>
        <v/>
      </c>
      <c r="D659" s="104" t="str">
        <f>IF(I12="","", E630)</f>
        <v/>
      </c>
    </row>
    <row r="660" spans="2:4" x14ac:dyDescent="0.3">
      <c r="B660" s="83">
        <v>6</v>
      </c>
      <c r="C660" s="93" t="str">
        <f t="shared" si="73"/>
        <v/>
      </c>
      <c r="D660" s="104" t="str">
        <f>IF(I13="","", E633)</f>
        <v/>
      </c>
    </row>
    <row r="661" spans="2:4" x14ac:dyDescent="0.3">
      <c r="B661" s="83">
        <v>7</v>
      </c>
      <c r="C661" s="93" t="str">
        <f t="shared" si="73"/>
        <v/>
      </c>
      <c r="D661" s="104" t="str">
        <f>IF(I14="","", E636)</f>
        <v/>
      </c>
    </row>
    <row r="662" spans="2:4" x14ac:dyDescent="0.3">
      <c r="B662" s="83">
        <v>8</v>
      </c>
      <c r="C662" s="93" t="str">
        <f t="shared" si="73"/>
        <v/>
      </c>
      <c r="D662" s="104" t="str">
        <f>IF(I15="","", E639)</f>
        <v/>
      </c>
    </row>
    <row r="663" spans="2:4" x14ac:dyDescent="0.3">
      <c r="B663" s="83">
        <v>9</v>
      </c>
      <c r="C663" s="93" t="str">
        <f t="shared" si="73"/>
        <v/>
      </c>
      <c r="D663" s="104" t="str">
        <f>IF(I16="","", E642)</f>
        <v/>
      </c>
    </row>
    <row r="664" spans="2:4" x14ac:dyDescent="0.3">
      <c r="B664" s="83">
        <v>10</v>
      </c>
      <c r="C664" s="93" t="str">
        <f t="shared" si="73"/>
        <v/>
      </c>
      <c r="D664" s="104" t="str">
        <f>IF(I17="","", E645)</f>
        <v/>
      </c>
    </row>
    <row r="665" spans="2:4" x14ac:dyDescent="0.3">
      <c r="B665" s="83">
        <v>11</v>
      </c>
      <c r="C665" s="93" t="str">
        <f t="shared" si="73"/>
        <v/>
      </c>
      <c r="D665" s="104" t="str">
        <f>IF(I18="","", E648)</f>
        <v/>
      </c>
    </row>
  </sheetData>
  <mergeCells count="29">
    <mergeCell ref="B653:D653"/>
    <mergeCell ref="B502:AH502"/>
    <mergeCell ref="B503:F503"/>
    <mergeCell ref="H503:L503"/>
    <mergeCell ref="B539:AH539"/>
    <mergeCell ref="B576:AH576"/>
    <mergeCell ref="B615:G615"/>
    <mergeCell ref="S7:S8"/>
    <mergeCell ref="AK14:AS14"/>
    <mergeCell ref="B20:B21"/>
    <mergeCell ref="C20:E20"/>
    <mergeCell ref="F20:H20"/>
    <mergeCell ref="B465:AH465"/>
    <mergeCell ref="M7:M8"/>
    <mergeCell ref="N7:N8"/>
    <mergeCell ref="O7:O8"/>
    <mergeCell ref="P7:P8"/>
    <mergeCell ref="Q7:Q8"/>
    <mergeCell ref="R7:R8"/>
    <mergeCell ref="AK1:AR1"/>
    <mergeCell ref="B7:B8"/>
    <mergeCell ref="C7:D7"/>
    <mergeCell ref="E7:F7"/>
    <mergeCell ref="G7:G8"/>
    <mergeCell ref="H7:H8"/>
    <mergeCell ref="I7:I8"/>
    <mergeCell ref="J7:J8"/>
    <mergeCell ref="K7:K8"/>
    <mergeCell ref="L7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1F68-9494-449B-9E45-663BCB510587}">
  <dimension ref="A1:AY665"/>
  <sheetViews>
    <sheetView workbookViewId="0"/>
  </sheetViews>
  <sheetFormatPr baseColWidth="10" defaultColWidth="8.88671875" defaultRowHeight="14.4" x14ac:dyDescent="0.3"/>
  <cols>
    <col min="1" max="1" width="11" customWidth="1"/>
    <col min="2" max="34" width="13" customWidth="1"/>
    <col min="35" max="35" width="10" customWidth="1"/>
    <col min="36" max="36" width="4" customWidth="1"/>
    <col min="37" max="59" width="15" customWidth="1"/>
  </cols>
  <sheetData>
    <row r="1" spans="2:51" x14ac:dyDescent="0.3">
      <c r="B1" s="79" t="s">
        <v>50</v>
      </c>
      <c r="C1" s="79">
        <v>150000</v>
      </c>
      <c r="D1" s="79" t="s">
        <v>212</v>
      </c>
      <c r="AK1" s="80" t="s">
        <v>347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</row>
    <row r="2" spans="2:51" x14ac:dyDescent="0.3">
      <c r="B2" s="79" t="s">
        <v>214</v>
      </c>
      <c r="C2" s="79">
        <v>5</v>
      </c>
      <c r="D2" s="79" t="s">
        <v>24</v>
      </c>
      <c r="AK2" s="107" t="s">
        <v>348</v>
      </c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</row>
    <row r="3" spans="2:51" x14ac:dyDescent="0.3">
      <c r="B3" s="79" t="s">
        <v>223</v>
      </c>
      <c r="C3" s="79">
        <v>10</v>
      </c>
      <c r="D3" s="79" t="s">
        <v>24</v>
      </c>
      <c r="AP3" s="108" t="s">
        <v>349</v>
      </c>
      <c r="AQ3" s="81"/>
      <c r="AR3" s="81"/>
      <c r="AS3" s="81"/>
      <c r="AT3" s="81"/>
      <c r="AU3" s="109" t="s">
        <v>350</v>
      </c>
      <c r="AV3" s="81"/>
      <c r="AW3" s="81"/>
      <c r="AX3" s="81"/>
      <c r="AY3" s="81"/>
    </row>
    <row r="4" spans="2:51" ht="26.4" x14ac:dyDescent="0.3">
      <c r="B4" s="79" t="s">
        <v>49</v>
      </c>
      <c r="C4" s="79">
        <f>C2*C3</f>
        <v>50</v>
      </c>
      <c r="D4" s="79" t="s">
        <v>225</v>
      </c>
      <c r="F4" s="84" t="s">
        <v>226</v>
      </c>
      <c r="G4" s="85">
        <f>COUNT(I9:I18)</f>
        <v>0</v>
      </c>
      <c r="AK4" s="82" t="s">
        <v>91</v>
      </c>
      <c r="AL4" s="82" t="s">
        <v>351</v>
      </c>
      <c r="AM4" s="82" t="s">
        <v>352</v>
      </c>
      <c r="AN4" s="82" t="s">
        <v>353</v>
      </c>
      <c r="AO4" s="82" t="s">
        <v>354</v>
      </c>
      <c r="AP4" s="82" t="s">
        <v>251</v>
      </c>
      <c r="AQ4" s="82" t="s">
        <v>355</v>
      </c>
      <c r="AR4" s="82" t="s">
        <v>356</v>
      </c>
      <c r="AS4" s="82" t="s">
        <v>357</v>
      </c>
      <c r="AT4" s="82" t="s">
        <v>358</v>
      </c>
      <c r="AU4" s="82" t="s">
        <v>253</v>
      </c>
      <c r="AV4" s="82" t="s">
        <v>355</v>
      </c>
      <c r="AW4" s="82" t="s">
        <v>359</v>
      </c>
      <c r="AX4" s="82" t="s">
        <v>360</v>
      </c>
      <c r="AY4" s="82" t="s">
        <v>358</v>
      </c>
    </row>
    <row r="5" spans="2:51" ht="26.4" x14ac:dyDescent="0.3">
      <c r="B5" s="79" t="s">
        <v>51</v>
      </c>
      <c r="C5" s="79">
        <f>(C2*(C3*C3*C3))/12</f>
        <v>416.66666666666669</v>
      </c>
      <c r="D5" s="79" t="s">
        <v>228</v>
      </c>
      <c r="F5" s="84" t="s">
        <v>229</v>
      </c>
      <c r="G5" s="85">
        <f>IF(G4&gt;0, G4+1, 0)</f>
        <v>0</v>
      </c>
      <c r="AK5" s="83">
        <v>1</v>
      </c>
      <c r="AL5" s="83"/>
      <c r="AM5" s="83" t="str">
        <f t="shared" ref="AM5:AM14" si="0">IF(AN5="","", AN5/100)</f>
        <v/>
      </c>
      <c r="AN5" s="83" t="str">
        <f t="shared" ref="AN5:AN14" si="1">IF(I9="","", I9)</f>
        <v/>
      </c>
      <c r="AO5" s="83" t="str">
        <f t="shared" ref="AO5:AO14" si="2">IF(AL5="","", AL5/100)</f>
        <v/>
      </c>
      <c r="AP5" s="83" t="str">
        <f t="shared" ref="AP5:AP14" si="3">IF(AO5="","", (AO5*AN5)/2)</f>
        <v/>
      </c>
      <c r="AQ5" s="83" t="s">
        <v>361</v>
      </c>
      <c r="AR5" s="83" t="str">
        <f t="shared" ref="AR5:AR14" si="4">IF(AO5="","", +(AO5*(AN5^2))/12)</f>
        <v/>
      </c>
      <c r="AS5" s="83" t="str">
        <f t="shared" ref="AS5:AS14" si="5">IF(AR5="","", AR5/100)</f>
        <v/>
      </c>
      <c r="AT5" s="83" t="s">
        <v>362</v>
      </c>
      <c r="AU5" s="83" t="str">
        <f t="shared" ref="AU5:AU14" si="6">IF(AO5="","", (AO5*AN5)/2)</f>
        <v/>
      </c>
      <c r="AV5" s="83" t="s">
        <v>361</v>
      </c>
      <c r="AW5" s="83" t="str">
        <f t="shared" ref="AW5:AW14" si="7">IF(AO5="","", -(AO5*(AN5^2))/12)</f>
        <v/>
      </c>
      <c r="AX5" s="83" t="str">
        <f t="shared" ref="AX5:AX14" si="8">IF(AW5="","", AW5/100)</f>
        <v/>
      </c>
      <c r="AY5" s="83" t="s">
        <v>363</v>
      </c>
    </row>
    <row r="6" spans="2:51" x14ac:dyDescent="0.3">
      <c r="AK6" s="83">
        <v>2</v>
      </c>
      <c r="AL6" s="83"/>
      <c r="AM6" s="83" t="str">
        <f t="shared" si="0"/>
        <v/>
      </c>
      <c r="AN6" s="83" t="str">
        <f t="shared" si="1"/>
        <v/>
      </c>
      <c r="AO6" s="83" t="str">
        <f t="shared" si="2"/>
        <v/>
      </c>
      <c r="AP6" s="83" t="str">
        <f t="shared" si="3"/>
        <v/>
      </c>
      <c r="AQ6" s="83" t="s">
        <v>361</v>
      </c>
      <c r="AR6" s="83" t="str">
        <f t="shared" si="4"/>
        <v/>
      </c>
      <c r="AS6" s="83" t="str">
        <f t="shared" si="5"/>
        <v/>
      </c>
      <c r="AT6" s="83" t="s">
        <v>362</v>
      </c>
      <c r="AU6" s="83" t="str">
        <f t="shared" si="6"/>
        <v/>
      </c>
      <c r="AV6" s="83" t="s">
        <v>361</v>
      </c>
      <c r="AW6" s="83" t="str">
        <f t="shared" si="7"/>
        <v/>
      </c>
      <c r="AX6" s="83" t="str">
        <f t="shared" si="8"/>
        <v/>
      </c>
      <c r="AY6" s="83" t="s">
        <v>363</v>
      </c>
    </row>
    <row r="7" spans="2:51" x14ac:dyDescent="0.3">
      <c r="B7" s="86" t="s">
        <v>91</v>
      </c>
      <c r="C7" s="86" t="s">
        <v>232</v>
      </c>
      <c r="D7" s="87"/>
      <c r="E7" s="86" t="s">
        <v>233</v>
      </c>
      <c r="F7" s="87"/>
      <c r="G7" s="86" t="s">
        <v>234</v>
      </c>
      <c r="H7" s="86" t="s">
        <v>235</v>
      </c>
      <c r="I7" s="86" t="s">
        <v>46</v>
      </c>
      <c r="J7" s="86" t="s">
        <v>236</v>
      </c>
      <c r="K7" s="86" t="s">
        <v>237</v>
      </c>
      <c r="L7" s="86" t="s">
        <v>50</v>
      </c>
      <c r="M7" s="86" t="s">
        <v>49</v>
      </c>
      <c r="N7" s="86" t="s">
        <v>51</v>
      </c>
      <c r="O7" s="86" t="s">
        <v>56</v>
      </c>
      <c r="P7" s="86" t="s">
        <v>238</v>
      </c>
      <c r="Q7" s="86" t="s">
        <v>239</v>
      </c>
      <c r="R7" s="86" t="s">
        <v>54</v>
      </c>
      <c r="S7" s="86" t="s">
        <v>55</v>
      </c>
      <c r="AK7" s="83">
        <v>3</v>
      </c>
      <c r="AL7" s="83"/>
      <c r="AM7" s="83" t="str">
        <f t="shared" si="0"/>
        <v/>
      </c>
      <c r="AN7" s="83" t="str">
        <f t="shared" si="1"/>
        <v/>
      </c>
      <c r="AO7" s="83" t="str">
        <f t="shared" si="2"/>
        <v/>
      </c>
      <c r="AP7" s="83" t="str">
        <f t="shared" si="3"/>
        <v/>
      </c>
      <c r="AQ7" s="83" t="s">
        <v>361</v>
      </c>
      <c r="AR7" s="83" t="str">
        <f t="shared" si="4"/>
        <v/>
      </c>
      <c r="AS7" s="83" t="str">
        <f t="shared" si="5"/>
        <v/>
      </c>
      <c r="AT7" s="83" t="s">
        <v>362</v>
      </c>
      <c r="AU7" s="83" t="str">
        <f t="shared" si="6"/>
        <v/>
      </c>
      <c r="AV7" s="83" t="s">
        <v>361</v>
      </c>
      <c r="AW7" s="83" t="str">
        <f t="shared" si="7"/>
        <v/>
      </c>
      <c r="AX7" s="83" t="str">
        <f t="shared" si="8"/>
        <v/>
      </c>
      <c r="AY7" s="83" t="s">
        <v>363</v>
      </c>
    </row>
    <row r="8" spans="2:51" x14ac:dyDescent="0.3">
      <c r="B8" s="88"/>
      <c r="C8" s="89" t="s">
        <v>71</v>
      </c>
      <c r="D8" s="89" t="s">
        <v>72</v>
      </c>
      <c r="E8" s="89" t="s">
        <v>71</v>
      </c>
      <c r="F8" s="89" t="s">
        <v>72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AK8" s="83">
        <v>4</v>
      </c>
      <c r="AL8" s="83"/>
      <c r="AM8" s="83" t="str">
        <f t="shared" si="0"/>
        <v/>
      </c>
      <c r="AN8" s="83" t="str">
        <f t="shared" si="1"/>
        <v/>
      </c>
      <c r="AO8" s="83" t="str">
        <f t="shared" si="2"/>
        <v/>
      </c>
      <c r="AP8" s="83" t="str">
        <f t="shared" si="3"/>
        <v/>
      </c>
      <c r="AQ8" s="83" t="s">
        <v>361</v>
      </c>
      <c r="AR8" s="83" t="str">
        <f t="shared" si="4"/>
        <v/>
      </c>
      <c r="AS8" s="83" t="str">
        <f t="shared" si="5"/>
        <v/>
      </c>
      <c r="AT8" s="83" t="s">
        <v>362</v>
      </c>
      <c r="AU8" s="83" t="str">
        <f t="shared" si="6"/>
        <v/>
      </c>
      <c r="AV8" s="83" t="s">
        <v>361</v>
      </c>
      <c r="AW8" s="83" t="str">
        <f t="shared" si="7"/>
        <v/>
      </c>
      <c r="AX8" s="83" t="str">
        <f t="shared" si="8"/>
        <v/>
      </c>
      <c r="AY8" s="83" t="s">
        <v>363</v>
      </c>
    </row>
    <row r="9" spans="2:51" x14ac:dyDescent="0.3">
      <c r="B9" s="83">
        <v>1</v>
      </c>
      <c r="C9" s="83"/>
      <c r="D9" s="83"/>
      <c r="E9" s="83"/>
      <c r="F9" s="83"/>
      <c r="G9" s="83" t="str">
        <f t="shared" ref="G9:H18" si="9">IF(OR(C9="",E9=""),"", E9-C9)</f>
        <v/>
      </c>
      <c r="H9" s="83" t="str">
        <f t="shared" si="9"/>
        <v/>
      </c>
      <c r="I9" s="83" t="str">
        <f t="shared" ref="I9:I18" si="10">IF(OR(G9="",H9=""),"", SQRT(G9*G9+H9*H9))</f>
        <v/>
      </c>
      <c r="J9" s="83" t="str">
        <f t="shared" ref="J9:J18" si="11">IF(OR(I9="",I9=0),"", G9/I9)</f>
        <v/>
      </c>
      <c r="K9" s="83" t="str">
        <f t="shared" ref="K9:K18" si="12">IF(OR(I9="",I9=0),"", H9/I9)</f>
        <v/>
      </c>
      <c r="L9" s="83" t="str">
        <f t="shared" ref="L9:L18" si="13">IF(I9="","", $C$1)</f>
        <v/>
      </c>
      <c r="M9" s="83" t="str">
        <f t="shared" ref="M9:M18" si="14">IF(I9="","", $C$4)</f>
        <v/>
      </c>
      <c r="N9" s="83" t="str">
        <f t="shared" ref="N9:N18" si="15">IF(I9="","", $C$5)</f>
        <v/>
      </c>
      <c r="O9" s="83" t="str">
        <f t="shared" ref="O9:O18" si="16">IF(OR(I9="",I9=0),"", L9*M9/I9)</f>
        <v/>
      </c>
      <c r="P9" s="83" t="str">
        <f t="shared" ref="P9:P18" si="17">IF(OR(I9="",I9=0),"", 12*L9*N9/(I9^3))</f>
        <v/>
      </c>
      <c r="Q9" s="83" t="str">
        <f t="shared" ref="Q9:Q18" si="18">IF(OR(I9="",I9=0),"", 6*L9*N9/(I9^2))</f>
        <v/>
      </c>
      <c r="R9" s="83" t="str">
        <f t="shared" ref="R9:R18" si="19">IF(OR(I9="",I9=0),"", 4*L9*N9/I9)</f>
        <v/>
      </c>
      <c r="S9" s="83" t="str">
        <f t="shared" ref="S9:S18" si="20">IF(OR(I9="",I9=0),"", 2*L9*N9/I9)</f>
        <v/>
      </c>
      <c r="AK9" s="83">
        <v>5</v>
      </c>
      <c r="AL9" s="83"/>
      <c r="AM9" s="83" t="str">
        <f t="shared" si="0"/>
        <v/>
      </c>
      <c r="AN9" s="83" t="str">
        <f t="shared" si="1"/>
        <v/>
      </c>
      <c r="AO9" s="83" t="str">
        <f t="shared" si="2"/>
        <v/>
      </c>
      <c r="AP9" s="83" t="str">
        <f t="shared" si="3"/>
        <v/>
      </c>
      <c r="AQ9" s="83" t="s">
        <v>361</v>
      </c>
      <c r="AR9" s="83" t="str">
        <f t="shared" si="4"/>
        <v/>
      </c>
      <c r="AS9" s="83" t="str">
        <f t="shared" si="5"/>
        <v/>
      </c>
      <c r="AT9" s="83" t="s">
        <v>362</v>
      </c>
      <c r="AU9" s="83" t="str">
        <f t="shared" si="6"/>
        <v/>
      </c>
      <c r="AV9" s="83" t="s">
        <v>361</v>
      </c>
      <c r="AW9" s="83" t="str">
        <f t="shared" si="7"/>
        <v/>
      </c>
      <c r="AX9" s="83" t="str">
        <f t="shared" si="8"/>
        <v/>
      </c>
      <c r="AY9" s="83" t="s">
        <v>363</v>
      </c>
    </row>
    <row r="10" spans="2:51" x14ac:dyDescent="0.3">
      <c r="B10" s="83">
        <v>2</v>
      </c>
      <c r="C10" s="83"/>
      <c r="D10" s="83"/>
      <c r="E10" s="83"/>
      <c r="F10" s="83"/>
      <c r="G10" s="83" t="str">
        <f t="shared" si="9"/>
        <v/>
      </c>
      <c r="H10" s="83" t="str">
        <f t="shared" si="9"/>
        <v/>
      </c>
      <c r="I10" s="83" t="str">
        <f t="shared" si="10"/>
        <v/>
      </c>
      <c r="J10" s="83" t="str">
        <f t="shared" si="11"/>
        <v/>
      </c>
      <c r="K10" s="83" t="str">
        <f t="shared" si="12"/>
        <v/>
      </c>
      <c r="L10" s="83" t="str">
        <f t="shared" si="13"/>
        <v/>
      </c>
      <c r="M10" s="83" t="str">
        <f t="shared" si="14"/>
        <v/>
      </c>
      <c r="N10" s="83" t="str">
        <f t="shared" si="15"/>
        <v/>
      </c>
      <c r="O10" s="83" t="str">
        <f t="shared" si="16"/>
        <v/>
      </c>
      <c r="P10" s="83" t="str">
        <f t="shared" si="17"/>
        <v/>
      </c>
      <c r="Q10" s="83" t="str">
        <f t="shared" si="18"/>
        <v/>
      </c>
      <c r="R10" s="83" t="str">
        <f t="shared" si="19"/>
        <v/>
      </c>
      <c r="S10" s="83" t="str">
        <f t="shared" si="20"/>
        <v/>
      </c>
      <c r="AK10" s="83">
        <v>6</v>
      </c>
      <c r="AL10" s="83"/>
      <c r="AM10" s="83" t="str">
        <f t="shared" si="0"/>
        <v/>
      </c>
      <c r="AN10" s="83" t="str">
        <f t="shared" si="1"/>
        <v/>
      </c>
      <c r="AO10" s="83" t="str">
        <f t="shared" si="2"/>
        <v/>
      </c>
      <c r="AP10" s="83" t="str">
        <f t="shared" si="3"/>
        <v/>
      </c>
      <c r="AQ10" s="83" t="s">
        <v>361</v>
      </c>
      <c r="AR10" s="83" t="str">
        <f t="shared" si="4"/>
        <v/>
      </c>
      <c r="AS10" s="83" t="str">
        <f t="shared" si="5"/>
        <v/>
      </c>
      <c r="AT10" s="83" t="s">
        <v>362</v>
      </c>
      <c r="AU10" s="83" t="str">
        <f t="shared" si="6"/>
        <v/>
      </c>
      <c r="AV10" s="83" t="s">
        <v>361</v>
      </c>
      <c r="AW10" s="83" t="str">
        <f t="shared" si="7"/>
        <v/>
      </c>
      <c r="AX10" s="83" t="str">
        <f t="shared" si="8"/>
        <v/>
      </c>
      <c r="AY10" s="83" t="s">
        <v>363</v>
      </c>
    </row>
    <row r="11" spans="2:51" x14ac:dyDescent="0.3">
      <c r="B11" s="83">
        <v>3</v>
      </c>
      <c r="C11" s="83"/>
      <c r="D11" s="83"/>
      <c r="E11" s="83"/>
      <c r="F11" s="83"/>
      <c r="G11" s="83" t="str">
        <f t="shared" si="9"/>
        <v/>
      </c>
      <c r="H11" s="83" t="str">
        <f t="shared" si="9"/>
        <v/>
      </c>
      <c r="I11" s="83" t="str">
        <f t="shared" si="10"/>
        <v/>
      </c>
      <c r="J11" s="83" t="str">
        <f t="shared" si="11"/>
        <v/>
      </c>
      <c r="K11" s="83" t="str">
        <f t="shared" si="12"/>
        <v/>
      </c>
      <c r="L11" s="83" t="str">
        <f t="shared" si="13"/>
        <v/>
      </c>
      <c r="M11" s="83" t="str">
        <f t="shared" si="14"/>
        <v/>
      </c>
      <c r="N11" s="83" t="str">
        <f t="shared" si="15"/>
        <v/>
      </c>
      <c r="O11" s="83" t="str">
        <f t="shared" si="16"/>
        <v/>
      </c>
      <c r="P11" s="83" t="str">
        <f t="shared" si="17"/>
        <v/>
      </c>
      <c r="Q11" s="83" t="str">
        <f t="shared" si="18"/>
        <v/>
      </c>
      <c r="R11" s="83" t="str">
        <f t="shared" si="19"/>
        <v/>
      </c>
      <c r="S11" s="83" t="str">
        <f t="shared" si="20"/>
        <v/>
      </c>
      <c r="AK11" s="83">
        <v>7</v>
      </c>
      <c r="AL11" s="83"/>
      <c r="AM11" s="83" t="str">
        <f t="shared" si="0"/>
        <v/>
      </c>
      <c r="AN11" s="83" t="str">
        <f t="shared" si="1"/>
        <v/>
      </c>
      <c r="AO11" s="83" t="str">
        <f t="shared" si="2"/>
        <v/>
      </c>
      <c r="AP11" s="83" t="str">
        <f t="shared" si="3"/>
        <v/>
      </c>
      <c r="AQ11" s="83" t="s">
        <v>361</v>
      </c>
      <c r="AR11" s="83" t="str">
        <f t="shared" si="4"/>
        <v/>
      </c>
      <c r="AS11" s="83" t="str">
        <f t="shared" si="5"/>
        <v/>
      </c>
      <c r="AT11" s="83" t="s">
        <v>362</v>
      </c>
      <c r="AU11" s="83" t="str">
        <f t="shared" si="6"/>
        <v/>
      </c>
      <c r="AV11" s="83" t="s">
        <v>361</v>
      </c>
      <c r="AW11" s="83" t="str">
        <f t="shared" si="7"/>
        <v/>
      </c>
      <c r="AX11" s="83" t="str">
        <f t="shared" si="8"/>
        <v/>
      </c>
      <c r="AY11" s="83" t="s">
        <v>363</v>
      </c>
    </row>
    <row r="12" spans="2:51" x14ac:dyDescent="0.3">
      <c r="B12" s="83">
        <v>4</v>
      </c>
      <c r="C12" s="83"/>
      <c r="D12" s="83"/>
      <c r="E12" s="83"/>
      <c r="F12" s="83"/>
      <c r="G12" s="83" t="str">
        <f t="shared" si="9"/>
        <v/>
      </c>
      <c r="H12" s="83" t="str">
        <f t="shared" si="9"/>
        <v/>
      </c>
      <c r="I12" s="83" t="str">
        <f t="shared" si="10"/>
        <v/>
      </c>
      <c r="J12" s="83" t="str">
        <f t="shared" si="11"/>
        <v/>
      </c>
      <c r="K12" s="83" t="str">
        <f t="shared" si="12"/>
        <v/>
      </c>
      <c r="L12" s="83" t="str">
        <f t="shared" si="13"/>
        <v/>
      </c>
      <c r="M12" s="83" t="str">
        <f t="shared" si="14"/>
        <v/>
      </c>
      <c r="N12" s="83" t="str">
        <f t="shared" si="15"/>
        <v/>
      </c>
      <c r="O12" s="83" t="str">
        <f t="shared" si="16"/>
        <v/>
      </c>
      <c r="P12" s="83" t="str">
        <f t="shared" si="17"/>
        <v/>
      </c>
      <c r="Q12" s="83" t="str">
        <f t="shared" si="18"/>
        <v/>
      </c>
      <c r="R12" s="83" t="str">
        <f t="shared" si="19"/>
        <v/>
      </c>
      <c r="S12" s="83" t="str">
        <f t="shared" si="20"/>
        <v/>
      </c>
      <c r="AK12" s="83">
        <v>8</v>
      </c>
      <c r="AL12" s="83"/>
      <c r="AM12" s="83" t="str">
        <f t="shared" si="0"/>
        <v/>
      </c>
      <c r="AN12" s="83" t="str">
        <f t="shared" si="1"/>
        <v/>
      </c>
      <c r="AO12" s="83" t="str">
        <f t="shared" si="2"/>
        <v/>
      </c>
      <c r="AP12" s="83" t="str">
        <f t="shared" si="3"/>
        <v/>
      </c>
      <c r="AQ12" s="83" t="s">
        <v>361</v>
      </c>
      <c r="AR12" s="83" t="str">
        <f t="shared" si="4"/>
        <v/>
      </c>
      <c r="AS12" s="83" t="str">
        <f t="shared" si="5"/>
        <v/>
      </c>
      <c r="AT12" s="83" t="s">
        <v>362</v>
      </c>
      <c r="AU12" s="83" t="str">
        <f t="shared" si="6"/>
        <v/>
      </c>
      <c r="AV12" s="83" t="s">
        <v>361</v>
      </c>
      <c r="AW12" s="83" t="str">
        <f t="shared" si="7"/>
        <v/>
      </c>
      <c r="AX12" s="83" t="str">
        <f t="shared" si="8"/>
        <v/>
      </c>
      <c r="AY12" s="83" t="s">
        <v>363</v>
      </c>
    </row>
    <row r="13" spans="2:51" x14ac:dyDescent="0.3">
      <c r="B13" s="83">
        <v>5</v>
      </c>
      <c r="C13" s="83"/>
      <c r="D13" s="83"/>
      <c r="E13" s="83"/>
      <c r="F13" s="83"/>
      <c r="G13" s="83" t="str">
        <f t="shared" si="9"/>
        <v/>
      </c>
      <c r="H13" s="83" t="str">
        <f t="shared" si="9"/>
        <v/>
      </c>
      <c r="I13" s="83" t="str">
        <f t="shared" si="10"/>
        <v/>
      </c>
      <c r="J13" s="83" t="str">
        <f t="shared" si="11"/>
        <v/>
      </c>
      <c r="K13" s="83" t="str">
        <f t="shared" si="12"/>
        <v/>
      </c>
      <c r="L13" s="83" t="str">
        <f t="shared" si="13"/>
        <v/>
      </c>
      <c r="M13" s="83" t="str">
        <f t="shared" si="14"/>
        <v/>
      </c>
      <c r="N13" s="83" t="str">
        <f t="shared" si="15"/>
        <v/>
      </c>
      <c r="O13" s="83" t="str">
        <f t="shared" si="16"/>
        <v/>
      </c>
      <c r="P13" s="83" t="str">
        <f t="shared" si="17"/>
        <v/>
      </c>
      <c r="Q13" s="83" t="str">
        <f t="shared" si="18"/>
        <v/>
      </c>
      <c r="R13" s="83" t="str">
        <f t="shared" si="19"/>
        <v/>
      </c>
      <c r="S13" s="83" t="str">
        <f t="shared" si="20"/>
        <v/>
      </c>
      <c r="AK13" s="83">
        <v>9</v>
      </c>
      <c r="AL13" s="83"/>
      <c r="AM13" s="83" t="str">
        <f t="shared" si="0"/>
        <v/>
      </c>
      <c r="AN13" s="83" t="str">
        <f t="shared" si="1"/>
        <v/>
      </c>
      <c r="AO13" s="83" t="str">
        <f t="shared" si="2"/>
        <v/>
      </c>
      <c r="AP13" s="83" t="str">
        <f t="shared" si="3"/>
        <v/>
      </c>
      <c r="AQ13" s="83" t="s">
        <v>361</v>
      </c>
      <c r="AR13" s="83" t="str">
        <f t="shared" si="4"/>
        <v/>
      </c>
      <c r="AS13" s="83" t="str">
        <f t="shared" si="5"/>
        <v/>
      </c>
      <c r="AT13" s="83" t="s">
        <v>362</v>
      </c>
      <c r="AU13" s="83" t="str">
        <f t="shared" si="6"/>
        <v/>
      </c>
      <c r="AV13" s="83" t="s">
        <v>361</v>
      </c>
      <c r="AW13" s="83" t="str">
        <f t="shared" si="7"/>
        <v/>
      </c>
      <c r="AX13" s="83" t="str">
        <f t="shared" si="8"/>
        <v/>
      </c>
      <c r="AY13" s="83" t="s">
        <v>363</v>
      </c>
    </row>
    <row r="14" spans="2:51" x14ac:dyDescent="0.3">
      <c r="B14" s="83">
        <v>6</v>
      </c>
      <c r="C14" s="83"/>
      <c r="D14" s="83"/>
      <c r="E14" s="83"/>
      <c r="F14" s="83"/>
      <c r="G14" s="83" t="str">
        <f t="shared" si="9"/>
        <v/>
      </c>
      <c r="H14" s="83" t="str">
        <f t="shared" si="9"/>
        <v/>
      </c>
      <c r="I14" s="83" t="str">
        <f t="shared" si="10"/>
        <v/>
      </c>
      <c r="J14" s="83" t="str">
        <f t="shared" si="11"/>
        <v/>
      </c>
      <c r="K14" s="83" t="str">
        <f t="shared" si="12"/>
        <v/>
      </c>
      <c r="L14" s="83" t="str">
        <f t="shared" si="13"/>
        <v/>
      </c>
      <c r="M14" s="83" t="str">
        <f t="shared" si="14"/>
        <v/>
      </c>
      <c r="N14" s="83" t="str">
        <f t="shared" si="15"/>
        <v/>
      </c>
      <c r="O14" s="83" t="str">
        <f t="shared" si="16"/>
        <v/>
      </c>
      <c r="P14" s="83" t="str">
        <f t="shared" si="17"/>
        <v/>
      </c>
      <c r="Q14" s="83" t="str">
        <f t="shared" si="18"/>
        <v/>
      </c>
      <c r="R14" s="83" t="str">
        <f t="shared" si="19"/>
        <v/>
      </c>
      <c r="S14" s="83" t="str">
        <f t="shared" si="20"/>
        <v/>
      </c>
      <c r="AK14" s="83">
        <v>10</v>
      </c>
      <c r="AL14" s="83"/>
      <c r="AM14" s="83" t="str">
        <f t="shared" si="0"/>
        <v/>
      </c>
      <c r="AN14" s="83" t="str">
        <f t="shared" si="1"/>
        <v/>
      </c>
      <c r="AO14" s="83" t="str">
        <f t="shared" si="2"/>
        <v/>
      </c>
      <c r="AP14" s="83" t="str">
        <f t="shared" si="3"/>
        <v/>
      </c>
      <c r="AQ14" s="83" t="s">
        <v>361</v>
      </c>
      <c r="AR14" s="83" t="str">
        <f t="shared" si="4"/>
        <v/>
      </c>
      <c r="AS14" s="83" t="str">
        <f t="shared" si="5"/>
        <v/>
      </c>
      <c r="AT14" s="83" t="s">
        <v>362</v>
      </c>
      <c r="AU14" s="83" t="str">
        <f t="shared" si="6"/>
        <v/>
      </c>
      <c r="AV14" s="83" t="s">
        <v>361</v>
      </c>
      <c r="AW14" s="83" t="str">
        <f t="shared" si="7"/>
        <v/>
      </c>
      <c r="AX14" s="83" t="str">
        <f t="shared" si="8"/>
        <v/>
      </c>
      <c r="AY14" s="83" t="s">
        <v>363</v>
      </c>
    </row>
    <row r="15" spans="2:51" x14ac:dyDescent="0.3">
      <c r="B15" s="83">
        <v>7</v>
      </c>
      <c r="C15" s="83"/>
      <c r="D15" s="83"/>
      <c r="E15" s="83"/>
      <c r="F15" s="83"/>
      <c r="G15" s="83" t="str">
        <f t="shared" si="9"/>
        <v/>
      </c>
      <c r="H15" s="83" t="str">
        <f t="shared" si="9"/>
        <v/>
      </c>
      <c r="I15" s="83" t="str">
        <f t="shared" si="10"/>
        <v/>
      </c>
      <c r="J15" s="83" t="str">
        <f t="shared" si="11"/>
        <v/>
      </c>
      <c r="K15" s="83" t="str">
        <f t="shared" si="12"/>
        <v/>
      </c>
      <c r="L15" s="83" t="str">
        <f t="shared" si="13"/>
        <v/>
      </c>
      <c r="M15" s="83" t="str">
        <f t="shared" si="14"/>
        <v/>
      </c>
      <c r="N15" s="83" t="str">
        <f t="shared" si="15"/>
        <v/>
      </c>
      <c r="O15" s="83" t="str">
        <f t="shared" si="16"/>
        <v/>
      </c>
      <c r="P15" s="83" t="str">
        <f t="shared" si="17"/>
        <v/>
      </c>
      <c r="Q15" s="83" t="str">
        <f t="shared" si="18"/>
        <v/>
      </c>
      <c r="R15" s="83" t="str">
        <f t="shared" si="19"/>
        <v/>
      </c>
      <c r="S15" s="83" t="str">
        <f t="shared" si="20"/>
        <v/>
      </c>
    </row>
    <row r="16" spans="2:51" x14ac:dyDescent="0.3">
      <c r="B16" s="83">
        <v>8</v>
      </c>
      <c r="C16" s="83"/>
      <c r="D16" s="83"/>
      <c r="E16" s="83"/>
      <c r="F16" s="83"/>
      <c r="G16" s="83" t="str">
        <f t="shared" si="9"/>
        <v/>
      </c>
      <c r="H16" s="83" t="str">
        <f t="shared" si="9"/>
        <v/>
      </c>
      <c r="I16" s="83" t="str">
        <f t="shared" si="10"/>
        <v/>
      </c>
      <c r="J16" s="83" t="str">
        <f t="shared" si="11"/>
        <v/>
      </c>
      <c r="K16" s="83" t="str">
        <f t="shared" si="12"/>
        <v/>
      </c>
      <c r="L16" s="83" t="str">
        <f t="shared" si="13"/>
        <v/>
      </c>
      <c r="M16" s="83" t="str">
        <f t="shared" si="14"/>
        <v/>
      </c>
      <c r="N16" s="83" t="str">
        <f t="shared" si="15"/>
        <v/>
      </c>
      <c r="O16" s="83" t="str">
        <f t="shared" si="16"/>
        <v/>
      </c>
      <c r="P16" s="83" t="str">
        <f t="shared" si="17"/>
        <v/>
      </c>
      <c r="Q16" s="83" t="str">
        <f t="shared" si="18"/>
        <v/>
      </c>
      <c r="R16" s="83" t="str">
        <f t="shared" si="19"/>
        <v/>
      </c>
      <c r="S16" s="83" t="str">
        <f t="shared" si="20"/>
        <v/>
      </c>
      <c r="AK16" s="80" t="s">
        <v>364</v>
      </c>
      <c r="AL16" s="81"/>
      <c r="AM16" s="81"/>
      <c r="AN16" s="81"/>
      <c r="AO16" s="81"/>
      <c r="AP16" s="81"/>
      <c r="AQ16" s="81"/>
      <c r="AR16" s="81"/>
      <c r="AS16" s="81"/>
    </row>
    <row r="17" spans="2:45" ht="26.4" x14ac:dyDescent="0.3">
      <c r="B17" s="83">
        <v>9</v>
      </c>
      <c r="C17" s="83"/>
      <c r="D17" s="83"/>
      <c r="E17" s="83"/>
      <c r="F17" s="83"/>
      <c r="G17" s="83" t="str">
        <f t="shared" si="9"/>
        <v/>
      </c>
      <c r="H17" s="83" t="str">
        <f t="shared" si="9"/>
        <v/>
      </c>
      <c r="I17" s="83" t="str">
        <f t="shared" si="10"/>
        <v/>
      </c>
      <c r="J17" s="83" t="str">
        <f t="shared" si="11"/>
        <v/>
      </c>
      <c r="K17" s="83" t="str">
        <f t="shared" si="12"/>
        <v/>
      </c>
      <c r="L17" s="83" t="str">
        <f t="shared" si="13"/>
        <v/>
      </c>
      <c r="M17" s="83" t="str">
        <f t="shared" si="14"/>
        <v/>
      </c>
      <c r="N17" s="83" t="str">
        <f t="shared" si="15"/>
        <v/>
      </c>
      <c r="O17" s="83" t="str">
        <f t="shared" si="16"/>
        <v/>
      </c>
      <c r="P17" s="83" t="str">
        <f t="shared" si="17"/>
        <v/>
      </c>
      <c r="Q17" s="83" t="str">
        <f t="shared" si="18"/>
        <v/>
      </c>
      <c r="R17" s="83" t="str">
        <f t="shared" si="19"/>
        <v/>
      </c>
      <c r="S17" s="83" t="str">
        <f t="shared" si="20"/>
        <v/>
      </c>
      <c r="AK17" s="82" t="s">
        <v>344</v>
      </c>
      <c r="AL17" s="82" t="s">
        <v>365</v>
      </c>
      <c r="AM17" s="82" t="s">
        <v>366</v>
      </c>
      <c r="AN17" s="82" t="s">
        <v>367</v>
      </c>
      <c r="AO17" s="82" t="s">
        <v>368</v>
      </c>
      <c r="AP17" s="82" t="s">
        <v>369</v>
      </c>
      <c r="AQ17" s="82" t="s">
        <v>370</v>
      </c>
      <c r="AR17" s="82" t="s">
        <v>367</v>
      </c>
      <c r="AS17" s="82" t="s">
        <v>371</v>
      </c>
    </row>
    <row r="18" spans="2:45" x14ac:dyDescent="0.3">
      <c r="B18" s="83">
        <v>10</v>
      </c>
      <c r="C18" s="83"/>
      <c r="D18" s="83"/>
      <c r="E18" s="83"/>
      <c r="F18" s="83"/>
      <c r="G18" s="83" t="str">
        <f t="shared" si="9"/>
        <v/>
      </c>
      <c r="H18" s="83" t="str">
        <f t="shared" si="9"/>
        <v/>
      </c>
      <c r="I18" s="83" t="str">
        <f t="shared" si="10"/>
        <v/>
      </c>
      <c r="J18" s="83" t="str">
        <f t="shared" si="11"/>
        <v/>
      </c>
      <c r="K18" s="83" t="str">
        <f t="shared" si="12"/>
        <v/>
      </c>
      <c r="L18" s="83" t="str">
        <f t="shared" si="13"/>
        <v/>
      </c>
      <c r="M18" s="83" t="str">
        <f t="shared" si="14"/>
        <v/>
      </c>
      <c r="N18" s="83" t="str">
        <f t="shared" si="15"/>
        <v/>
      </c>
      <c r="O18" s="83" t="str">
        <f t="shared" si="16"/>
        <v/>
      </c>
      <c r="P18" s="83" t="str">
        <f t="shared" si="17"/>
        <v/>
      </c>
      <c r="Q18" s="83" t="str">
        <f t="shared" si="18"/>
        <v/>
      </c>
      <c r="R18" s="83" t="str">
        <f t="shared" si="19"/>
        <v/>
      </c>
      <c r="S18" s="83" t="str">
        <f t="shared" si="20"/>
        <v/>
      </c>
      <c r="AK18" s="85" t="s">
        <v>372</v>
      </c>
      <c r="AL18" s="83" t="s">
        <v>126</v>
      </c>
      <c r="AM18" s="83" t="str">
        <f>IF(AP5="","", -AP5)</f>
        <v/>
      </c>
      <c r="AN18" s="83" t="s">
        <v>373</v>
      </c>
      <c r="AO18" s="83" t="s">
        <v>127</v>
      </c>
      <c r="AP18" s="83" t="str">
        <f>IF(AR5="","", -AR5)</f>
        <v/>
      </c>
      <c r="AQ18" s="83" t="str">
        <f t="shared" ref="AQ18:AQ28" si="21">IF(AP18="","", AP18/100)</f>
        <v/>
      </c>
      <c r="AR18" s="83" t="s">
        <v>374</v>
      </c>
      <c r="AS18" s="83" t="s">
        <v>375</v>
      </c>
    </row>
    <row r="19" spans="2:45" x14ac:dyDescent="0.3">
      <c r="AK19" s="85" t="s">
        <v>376</v>
      </c>
      <c r="AL19" s="83" t="s">
        <v>129</v>
      </c>
      <c r="AM19" s="83" t="str">
        <f t="shared" ref="AM19:AM27" si="22">IF(AND(AU5="",AP6=""), "", -(N(AU5) + N(AP6)))</f>
        <v/>
      </c>
      <c r="AN19" s="83" t="s">
        <v>377</v>
      </c>
      <c r="AO19" s="83" t="s">
        <v>130</v>
      </c>
      <c r="AP19" s="83" t="str">
        <f t="shared" ref="AP19:AP27" si="23">IF(AND(AW5="",AR6=""), "", -(N(AW5) + N(AR6)))</f>
        <v/>
      </c>
      <c r="AQ19" s="83" t="str">
        <f t="shared" si="21"/>
        <v/>
      </c>
      <c r="AR19" s="83" t="s">
        <v>378</v>
      </c>
      <c r="AS19" s="83" t="s">
        <v>379</v>
      </c>
    </row>
    <row r="20" spans="2:45" x14ac:dyDescent="0.3">
      <c r="B20" s="90" t="s">
        <v>91</v>
      </c>
      <c r="C20" s="90" t="s">
        <v>232</v>
      </c>
      <c r="D20" s="81"/>
      <c r="E20" s="81"/>
      <c r="F20" s="90" t="s">
        <v>233</v>
      </c>
      <c r="G20" s="81"/>
      <c r="H20" s="81"/>
      <c r="AK20" s="85" t="s">
        <v>380</v>
      </c>
      <c r="AL20" s="83" t="s">
        <v>132</v>
      </c>
      <c r="AM20" s="83" t="str">
        <f t="shared" si="22"/>
        <v/>
      </c>
      <c r="AN20" s="83" t="s">
        <v>381</v>
      </c>
      <c r="AO20" s="83" t="s">
        <v>133</v>
      </c>
      <c r="AP20" s="83" t="str">
        <f t="shared" si="23"/>
        <v/>
      </c>
      <c r="AQ20" s="83" t="str">
        <f t="shared" si="21"/>
        <v/>
      </c>
      <c r="AR20" s="83" t="s">
        <v>382</v>
      </c>
      <c r="AS20" s="83" t="s">
        <v>383</v>
      </c>
    </row>
    <row r="21" spans="2:45" x14ac:dyDescent="0.3">
      <c r="B21" s="81"/>
      <c r="C21" s="91" t="s">
        <v>71</v>
      </c>
      <c r="D21" s="91" t="s">
        <v>72</v>
      </c>
      <c r="E21" s="91" t="s">
        <v>73</v>
      </c>
      <c r="F21" s="91" t="s">
        <v>71</v>
      </c>
      <c r="G21" s="91" t="s">
        <v>72</v>
      </c>
      <c r="H21" s="91" t="s">
        <v>73</v>
      </c>
      <c r="AK21" s="85" t="s">
        <v>384</v>
      </c>
      <c r="AL21" s="83" t="s">
        <v>135</v>
      </c>
      <c r="AM21" s="83" t="str">
        <f t="shared" si="22"/>
        <v/>
      </c>
      <c r="AN21" s="83" t="s">
        <v>385</v>
      </c>
      <c r="AO21" s="83" t="s">
        <v>136</v>
      </c>
      <c r="AP21" s="83" t="str">
        <f t="shared" si="23"/>
        <v/>
      </c>
      <c r="AQ21" s="83" t="str">
        <f t="shared" si="21"/>
        <v/>
      </c>
      <c r="AR21" s="83" t="s">
        <v>386</v>
      </c>
      <c r="AS21" s="83" t="s">
        <v>387</v>
      </c>
    </row>
    <row r="22" spans="2:45" x14ac:dyDescent="0.3">
      <c r="B22" s="83">
        <v>1</v>
      </c>
      <c r="C22" s="83" t="str">
        <f>IF(I9="","", 1)</f>
        <v/>
      </c>
      <c r="D22" s="83" t="str">
        <f>IF(I9="","", 1)</f>
        <v/>
      </c>
      <c r="E22" s="83" t="str">
        <f>IF(I9="","", 1)</f>
        <v/>
      </c>
      <c r="F22" s="83" t="str">
        <f>IF(I9="","", 2)</f>
        <v/>
      </c>
      <c r="G22" s="83" t="str">
        <f>IF(I9="","", 2)</f>
        <v/>
      </c>
      <c r="H22" s="83" t="str">
        <f>IF(I9="","", 2)</f>
        <v/>
      </c>
      <c r="AK22" s="85" t="s">
        <v>388</v>
      </c>
      <c r="AL22" s="83" t="s">
        <v>138</v>
      </c>
      <c r="AM22" s="83" t="str">
        <f t="shared" si="22"/>
        <v/>
      </c>
      <c r="AN22" s="83" t="s">
        <v>389</v>
      </c>
      <c r="AO22" s="83" t="s">
        <v>139</v>
      </c>
      <c r="AP22" s="83" t="str">
        <f t="shared" si="23"/>
        <v/>
      </c>
      <c r="AQ22" s="83" t="str">
        <f t="shared" si="21"/>
        <v/>
      </c>
      <c r="AR22" s="83" t="s">
        <v>390</v>
      </c>
      <c r="AS22" s="83" t="s">
        <v>391</v>
      </c>
    </row>
    <row r="23" spans="2:45" x14ac:dyDescent="0.3">
      <c r="B23" s="83">
        <v>2</v>
      </c>
      <c r="C23" s="83" t="str">
        <f>IF(I10="","", 2)</f>
        <v/>
      </c>
      <c r="D23" s="83" t="str">
        <f>IF(I10="","", 2)</f>
        <v/>
      </c>
      <c r="E23" s="83" t="str">
        <f>IF(I10="","", 2)</f>
        <v/>
      </c>
      <c r="F23" s="83" t="str">
        <f>IF(I10="","", 3)</f>
        <v/>
      </c>
      <c r="G23" s="83" t="str">
        <f>IF(I10="","", 3)</f>
        <v/>
      </c>
      <c r="H23" s="83" t="str">
        <f>IF(I10="","", 3)</f>
        <v/>
      </c>
      <c r="AK23" s="85" t="s">
        <v>392</v>
      </c>
      <c r="AL23" s="83" t="s">
        <v>141</v>
      </c>
      <c r="AM23" s="83" t="str">
        <f t="shared" si="22"/>
        <v/>
      </c>
      <c r="AN23" s="83" t="s">
        <v>393</v>
      </c>
      <c r="AO23" s="83" t="s">
        <v>142</v>
      </c>
      <c r="AP23" s="83" t="str">
        <f t="shared" si="23"/>
        <v/>
      </c>
      <c r="AQ23" s="83" t="str">
        <f t="shared" si="21"/>
        <v/>
      </c>
      <c r="AR23" s="83" t="s">
        <v>394</v>
      </c>
      <c r="AS23" s="83" t="s">
        <v>395</v>
      </c>
    </row>
    <row r="24" spans="2:45" x14ac:dyDescent="0.3">
      <c r="B24" s="83">
        <v>3</v>
      </c>
      <c r="C24" s="83" t="str">
        <f>IF(I11="","", 3)</f>
        <v/>
      </c>
      <c r="D24" s="83" t="str">
        <f>IF(I11="","", 3)</f>
        <v/>
      </c>
      <c r="E24" s="83" t="str">
        <f>IF(I11="","", 3)</f>
        <v/>
      </c>
      <c r="F24" s="83" t="str">
        <f>IF(I11="","", 4)</f>
        <v/>
      </c>
      <c r="G24" s="83" t="str">
        <f>IF(I11="","", 4)</f>
        <v/>
      </c>
      <c r="H24" s="83" t="str">
        <f>IF(I11="","", 4)</f>
        <v/>
      </c>
      <c r="AK24" s="85" t="s">
        <v>396</v>
      </c>
      <c r="AL24" s="83" t="s">
        <v>144</v>
      </c>
      <c r="AM24" s="83" t="str">
        <f t="shared" si="22"/>
        <v/>
      </c>
      <c r="AN24" s="83" t="s">
        <v>397</v>
      </c>
      <c r="AO24" s="83" t="s">
        <v>145</v>
      </c>
      <c r="AP24" s="83" t="str">
        <f t="shared" si="23"/>
        <v/>
      </c>
      <c r="AQ24" s="83" t="str">
        <f t="shared" si="21"/>
        <v/>
      </c>
      <c r="AR24" s="83" t="s">
        <v>398</v>
      </c>
      <c r="AS24" s="83" t="s">
        <v>399</v>
      </c>
    </row>
    <row r="25" spans="2:45" x14ac:dyDescent="0.3">
      <c r="B25" s="83">
        <v>4</v>
      </c>
      <c r="C25" s="83" t="str">
        <f>IF(I12="","", 4)</f>
        <v/>
      </c>
      <c r="D25" s="83" t="str">
        <f>IF(I12="","", 4)</f>
        <v/>
      </c>
      <c r="E25" s="83" t="str">
        <f>IF(I12="","", 4)</f>
        <v/>
      </c>
      <c r="F25" s="83" t="str">
        <f>IF(I12="","", 5)</f>
        <v/>
      </c>
      <c r="G25" s="83" t="str">
        <f>IF(I12="","", 5)</f>
        <v/>
      </c>
      <c r="H25" s="83" t="str">
        <f>IF(I12="","", 5)</f>
        <v/>
      </c>
      <c r="AK25" s="85" t="s">
        <v>400</v>
      </c>
      <c r="AL25" s="83" t="s">
        <v>147</v>
      </c>
      <c r="AM25" s="83" t="str">
        <f t="shared" si="22"/>
        <v/>
      </c>
      <c r="AN25" s="83" t="s">
        <v>401</v>
      </c>
      <c r="AO25" s="83" t="s">
        <v>148</v>
      </c>
      <c r="AP25" s="83" t="str">
        <f t="shared" si="23"/>
        <v/>
      </c>
      <c r="AQ25" s="83" t="str">
        <f t="shared" si="21"/>
        <v/>
      </c>
      <c r="AR25" s="83" t="s">
        <v>402</v>
      </c>
      <c r="AS25" s="83" t="s">
        <v>403</v>
      </c>
    </row>
    <row r="26" spans="2:45" x14ac:dyDescent="0.3">
      <c r="B26" s="83">
        <v>5</v>
      </c>
      <c r="C26" s="83" t="str">
        <f>IF(I13="","", 5)</f>
        <v/>
      </c>
      <c r="D26" s="83" t="str">
        <f>IF(I13="","", 5)</f>
        <v/>
      </c>
      <c r="E26" s="83" t="str">
        <f>IF(I13="","", 5)</f>
        <v/>
      </c>
      <c r="F26" s="83" t="str">
        <f>IF(I13="","", 6)</f>
        <v/>
      </c>
      <c r="G26" s="83" t="str">
        <f>IF(I13="","", 6)</f>
        <v/>
      </c>
      <c r="H26" s="83" t="str">
        <f>IF(I13="","", 6)</f>
        <v/>
      </c>
      <c r="AK26" s="85" t="s">
        <v>404</v>
      </c>
      <c r="AL26" s="83" t="s">
        <v>150</v>
      </c>
      <c r="AM26" s="83" t="str">
        <f t="shared" si="22"/>
        <v/>
      </c>
      <c r="AN26" s="83" t="s">
        <v>405</v>
      </c>
      <c r="AO26" s="83" t="s">
        <v>151</v>
      </c>
      <c r="AP26" s="83" t="str">
        <f t="shared" si="23"/>
        <v/>
      </c>
      <c r="AQ26" s="83" t="str">
        <f t="shared" si="21"/>
        <v/>
      </c>
      <c r="AR26" s="83" t="s">
        <v>406</v>
      </c>
      <c r="AS26" s="83" t="s">
        <v>407</v>
      </c>
    </row>
    <row r="27" spans="2:45" x14ac:dyDescent="0.3">
      <c r="B27" s="83">
        <v>6</v>
      </c>
      <c r="C27" s="83" t="str">
        <f>IF(I14="","", 6)</f>
        <v/>
      </c>
      <c r="D27" s="83" t="str">
        <f>IF(I14="","", 6)</f>
        <v/>
      </c>
      <c r="E27" s="83" t="str">
        <f>IF(I14="","", 6)</f>
        <v/>
      </c>
      <c r="F27" s="83" t="str">
        <f>IF(I14="","", 7)</f>
        <v/>
      </c>
      <c r="G27" s="83" t="str">
        <f>IF(I14="","", 7)</f>
        <v/>
      </c>
      <c r="H27" s="83" t="str">
        <f>IF(I14="","", 7)</f>
        <v/>
      </c>
      <c r="AK27" s="85" t="s">
        <v>408</v>
      </c>
      <c r="AL27" s="83" t="s">
        <v>153</v>
      </c>
      <c r="AM27" s="83" t="str">
        <f t="shared" si="22"/>
        <v/>
      </c>
      <c r="AN27" s="83" t="s">
        <v>409</v>
      </c>
      <c r="AO27" s="83" t="s">
        <v>154</v>
      </c>
      <c r="AP27" s="83" t="str">
        <f t="shared" si="23"/>
        <v/>
      </c>
      <c r="AQ27" s="83" t="str">
        <f t="shared" si="21"/>
        <v/>
      </c>
      <c r="AR27" s="83" t="s">
        <v>410</v>
      </c>
      <c r="AS27" s="83" t="s">
        <v>411</v>
      </c>
    </row>
    <row r="28" spans="2:45" x14ac:dyDescent="0.3">
      <c r="B28" s="83">
        <v>7</v>
      </c>
      <c r="C28" s="83" t="str">
        <f>IF(I15="","", 7)</f>
        <v/>
      </c>
      <c r="D28" s="83" t="str">
        <f>IF(I15="","", 7)</f>
        <v/>
      </c>
      <c r="E28" s="83" t="str">
        <f>IF(I15="","", 7)</f>
        <v/>
      </c>
      <c r="F28" s="83" t="str">
        <f>IF(I15="","", 8)</f>
        <v/>
      </c>
      <c r="G28" s="83" t="str">
        <f>IF(I15="","", 8)</f>
        <v/>
      </c>
      <c r="H28" s="83" t="str">
        <f>IF(I15="","", 8)</f>
        <v/>
      </c>
      <c r="AK28" s="85" t="s">
        <v>412</v>
      </c>
      <c r="AL28" s="83" t="s">
        <v>156</v>
      </c>
      <c r="AM28" s="83" t="str">
        <f>IF(AU14="","", -AU14)</f>
        <v/>
      </c>
      <c r="AN28" s="83" t="s">
        <v>413</v>
      </c>
      <c r="AO28" s="83" t="s">
        <v>157</v>
      </c>
      <c r="AP28" s="83" t="str">
        <f>IF(AW14="","", -AW14)</f>
        <v/>
      </c>
      <c r="AQ28" s="83" t="str">
        <f t="shared" si="21"/>
        <v/>
      </c>
      <c r="AR28" s="83" t="s">
        <v>414</v>
      </c>
      <c r="AS28" s="83" t="s">
        <v>415</v>
      </c>
    </row>
    <row r="29" spans="2:45" x14ac:dyDescent="0.3">
      <c r="B29" s="83">
        <v>8</v>
      </c>
      <c r="C29" s="83" t="str">
        <f>IF(I16="","", 8)</f>
        <v/>
      </c>
      <c r="D29" s="83" t="str">
        <f>IF(I16="","", 8)</f>
        <v/>
      </c>
      <c r="E29" s="83" t="str">
        <f>IF(I16="","", 8)</f>
        <v/>
      </c>
      <c r="F29" s="83" t="str">
        <f>IF(I16="","", 9)</f>
        <v/>
      </c>
      <c r="G29" s="83" t="str">
        <f>IF(I16="","", 9)</f>
        <v/>
      </c>
      <c r="H29" s="83" t="str">
        <f>IF(I16="","", 9)</f>
        <v/>
      </c>
    </row>
    <row r="30" spans="2:45" x14ac:dyDescent="0.3">
      <c r="B30" s="83">
        <v>9</v>
      </c>
      <c r="C30" s="83" t="str">
        <f>IF(I17="","", 9)</f>
        <v/>
      </c>
      <c r="D30" s="83" t="str">
        <f>IF(I17="","", 9)</f>
        <v/>
      </c>
      <c r="E30" s="83" t="str">
        <f>IF(I17="","", 9)</f>
        <v/>
      </c>
      <c r="F30" s="83" t="str">
        <f>IF(I17="","", 10)</f>
        <v/>
      </c>
      <c r="G30" s="83" t="str">
        <f>IF(I17="","", 10)</f>
        <v/>
      </c>
      <c r="H30" s="83" t="str">
        <f>IF(I17="","", 10)</f>
        <v/>
      </c>
    </row>
    <row r="31" spans="2:45" x14ac:dyDescent="0.3">
      <c r="B31" s="83">
        <v>10</v>
      </c>
      <c r="C31" s="83" t="str">
        <f>IF(I18="","", 10)</f>
        <v/>
      </c>
      <c r="D31" s="83" t="str">
        <f>IF(I18="","", 10)</f>
        <v/>
      </c>
      <c r="E31" s="83" t="str">
        <f>IF(I18="","", 10)</f>
        <v/>
      </c>
      <c r="F31" s="83" t="str">
        <f>IF(I18="","", 11)</f>
        <v/>
      </c>
      <c r="G31" s="83" t="str">
        <f>IF(I18="","", 11)</f>
        <v/>
      </c>
      <c r="H31" s="83" t="str">
        <f>IF(I18="","", 11)</f>
        <v/>
      </c>
    </row>
    <row r="34" spans="1:35" x14ac:dyDescent="0.3">
      <c r="B34" s="91" t="str">
        <f t="shared" ref="B34:G34" si="24">IF(C22="","", CONCATENATE("U",C22,C$21))</f>
        <v/>
      </c>
      <c r="C34" s="91" t="str">
        <f t="shared" si="24"/>
        <v/>
      </c>
      <c r="D34" s="91" t="str">
        <f t="shared" si="24"/>
        <v/>
      </c>
      <c r="E34" s="91" t="str">
        <f t="shared" si="24"/>
        <v/>
      </c>
      <c r="F34" s="91" t="str">
        <f t="shared" si="24"/>
        <v/>
      </c>
      <c r="G34" s="91" t="str">
        <f t="shared" si="24"/>
        <v/>
      </c>
    </row>
    <row r="35" spans="1:35" x14ac:dyDescent="0.3">
      <c r="B35" s="92">
        <f>IF(I9="", 0, O9*J9*J9+P9*K9*K9)</f>
        <v>0</v>
      </c>
      <c r="C35" s="93">
        <f>IF(I9="", 0, (O9-P9)*(J9*K9))</f>
        <v>0</v>
      </c>
      <c r="D35" s="93">
        <f>IF(I9="", 0, -Q9*K9)</f>
        <v>0</v>
      </c>
      <c r="E35" s="93">
        <f t="shared" ref="E35:F37" si="25">-B35</f>
        <v>0</v>
      </c>
      <c r="F35" s="93">
        <f t="shared" si="25"/>
        <v>0</v>
      </c>
      <c r="G35" s="93">
        <f>D35</f>
        <v>0</v>
      </c>
      <c r="H35" s="91" t="str">
        <f>B34</f>
        <v/>
      </c>
    </row>
    <row r="36" spans="1:35" x14ac:dyDescent="0.3">
      <c r="B36" s="93">
        <f>C35</f>
        <v>0</v>
      </c>
      <c r="C36" s="92">
        <f>IF(I9="", 0, O9*K9*K9+P9*J9*J9)</f>
        <v>0</v>
      </c>
      <c r="D36" s="93">
        <f>IF(I9="", 0, Q9*J9)</f>
        <v>0</v>
      </c>
      <c r="E36" s="93">
        <f t="shared" si="25"/>
        <v>0</v>
      </c>
      <c r="F36" s="93">
        <f t="shared" si="25"/>
        <v>0</v>
      </c>
      <c r="G36" s="93">
        <f>D36</f>
        <v>0</v>
      </c>
      <c r="H36" s="91" t="str">
        <f>C34</f>
        <v/>
      </c>
    </row>
    <row r="37" spans="1:35" x14ac:dyDescent="0.3">
      <c r="A37" s="94" t="s">
        <v>255</v>
      </c>
      <c r="B37" s="93">
        <f>D35</f>
        <v>0</v>
      </c>
      <c r="C37" s="93">
        <f>D36</f>
        <v>0</v>
      </c>
      <c r="D37" s="92">
        <f>IF(I9="", 0, R9)</f>
        <v>0</v>
      </c>
      <c r="E37" s="93">
        <f t="shared" si="25"/>
        <v>0</v>
      </c>
      <c r="F37" s="93">
        <f t="shared" si="25"/>
        <v>0</v>
      </c>
      <c r="G37" s="93">
        <f>IF(I9="", 0, S9)</f>
        <v>0</v>
      </c>
      <c r="H37" s="91" t="str">
        <f>D34</f>
        <v/>
      </c>
    </row>
    <row r="38" spans="1:35" x14ac:dyDescent="0.3">
      <c r="B38" s="93">
        <f>E35</f>
        <v>0</v>
      </c>
      <c r="C38" s="93">
        <f>E36</f>
        <v>0</v>
      </c>
      <c r="D38" s="93">
        <f>E37</f>
        <v>0</v>
      </c>
      <c r="E38" s="92">
        <f>B35</f>
        <v>0</v>
      </c>
      <c r="F38" s="93">
        <f>C35</f>
        <v>0</v>
      </c>
      <c r="G38" s="93">
        <f>-D35</f>
        <v>0</v>
      </c>
      <c r="H38" s="91" t="str">
        <f>E34</f>
        <v/>
      </c>
    </row>
    <row r="39" spans="1:35" x14ac:dyDescent="0.3">
      <c r="B39" s="93">
        <f>F35</f>
        <v>0</v>
      </c>
      <c r="C39" s="93">
        <f>F36</f>
        <v>0</v>
      </c>
      <c r="D39" s="93">
        <f>F37</f>
        <v>0</v>
      </c>
      <c r="E39" s="93">
        <f>F38</f>
        <v>0</v>
      </c>
      <c r="F39" s="92">
        <f>C36</f>
        <v>0</v>
      </c>
      <c r="G39" s="93">
        <f>-D36</f>
        <v>0</v>
      </c>
      <c r="H39" s="91" t="str">
        <f>F34</f>
        <v/>
      </c>
    </row>
    <row r="40" spans="1:35" x14ac:dyDescent="0.3">
      <c r="B40" s="93">
        <f>G35</f>
        <v>0</v>
      </c>
      <c r="C40" s="93">
        <f>G36</f>
        <v>0</v>
      </c>
      <c r="D40" s="93">
        <f>G37</f>
        <v>0</v>
      </c>
      <c r="E40" s="93">
        <f>G38</f>
        <v>0</v>
      </c>
      <c r="F40" s="93">
        <f>G39</f>
        <v>0</v>
      </c>
      <c r="G40" s="92">
        <f>D37</f>
        <v>0</v>
      </c>
      <c r="H40" s="91" t="str">
        <f>G34</f>
        <v/>
      </c>
    </row>
    <row r="42" spans="1:35" x14ac:dyDescent="0.3">
      <c r="B42" s="91" t="s">
        <v>125</v>
      </c>
      <c r="C42" s="91" t="s">
        <v>126</v>
      </c>
      <c r="D42" s="91" t="s">
        <v>127</v>
      </c>
      <c r="E42" s="91" t="s">
        <v>128</v>
      </c>
      <c r="F42" s="91" t="s">
        <v>129</v>
      </c>
      <c r="G42" s="91" t="s">
        <v>130</v>
      </c>
      <c r="H42" s="91" t="s">
        <v>131</v>
      </c>
      <c r="I42" s="91" t="s">
        <v>132</v>
      </c>
      <c r="J42" s="91" t="s">
        <v>133</v>
      </c>
      <c r="K42" s="91" t="s">
        <v>134</v>
      </c>
      <c r="L42" s="91" t="s">
        <v>135</v>
      </c>
      <c r="M42" s="91" t="s">
        <v>136</v>
      </c>
      <c r="N42" s="91" t="s">
        <v>137</v>
      </c>
      <c r="O42" s="91" t="s">
        <v>138</v>
      </c>
      <c r="P42" s="91" t="s">
        <v>139</v>
      </c>
      <c r="Q42" s="91" t="s">
        <v>140</v>
      </c>
      <c r="R42" s="91" t="s">
        <v>141</v>
      </c>
      <c r="S42" s="91" t="s">
        <v>142</v>
      </c>
      <c r="T42" s="91" t="s">
        <v>143</v>
      </c>
      <c r="U42" s="91" t="s">
        <v>144</v>
      </c>
      <c r="V42" s="91" t="s">
        <v>145</v>
      </c>
      <c r="W42" s="91" t="s">
        <v>146</v>
      </c>
      <c r="X42" s="91" t="s">
        <v>147</v>
      </c>
      <c r="Y42" s="91" t="s">
        <v>148</v>
      </c>
      <c r="Z42" s="91" t="s">
        <v>149</v>
      </c>
      <c r="AA42" s="91" t="s">
        <v>150</v>
      </c>
      <c r="AB42" s="91" t="s">
        <v>151</v>
      </c>
      <c r="AC42" s="91" t="s">
        <v>152</v>
      </c>
      <c r="AD42" s="91" t="s">
        <v>153</v>
      </c>
      <c r="AE42" s="91" t="s">
        <v>154</v>
      </c>
      <c r="AF42" s="91" t="s">
        <v>155</v>
      </c>
      <c r="AG42" s="91" t="s">
        <v>156</v>
      </c>
      <c r="AH42" s="91" t="s">
        <v>157</v>
      </c>
    </row>
    <row r="43" spans="1:35" x14ac:dyDescent="0.3">
      <c r="B43" s="93">
        <f t="shared" ref="B43:G48" si="26">B35</f>
        <v>0</v>
      </c>
      <c r="C43" s="93">
        <f t="shared" si="26"/>
        <v>0</v>
      </c>
      <c r="D43" s="93">
        <f t="shared" si="26"/>
        <v>0</v>
      </c>
      <c r="E43" s="93">
        <f t="shared" si="26"/>
        <v>0</v>
      </c>
      <c r="F43" s="93">
        <f t="shared" si="26"/>
        <v>0</v>
      </c>
      <c r="G43" s="93">
        <f t="shared" si="26"/>
        <v>0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1" t="s">
        <v>125</v>
      </c>
    </row>
    <row r="44" spans="1:35" x14ac:dyDescent="0.3">
      <c r="B44" s="93">
        <f t="shared" si="26"/>
        <v>0</v>
      </c>
      <c r="C44" s="93">
        <f t="shared" si="26"/>
        <v>0</v>
      </c>
      <c r="D44" s="93">
        <f t="shared" si="26"/>
        <v>0</v>
      </c>
      <c r="E44" s="93">
        <f t="shared" si="26"/>
        <v>0</v>
      </c>
      <c r="F44" s="93">
        <f t="shared" si="26"/>
        <v>0</v>
      </c>
      <c r="G44" s="93">
        <f t="shared" si="26"/>
        <v>0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1" t="s">
        <v>126</v>
      </c>
    </row>
    <row r="45" spans="1:35" x14ac:dyDescent="0.3">
      <c r="B45" s="93">
        <f t="shared" si="26"/>
        <v>0</v>
      </c>
      <c r="C45" s="93">
        <f t="shared" si="26"/>
        <v>0</v>
      </c>
      <c r="D45" s="93">
        <f t="shared" si="26"/>
        <v>0</v>
      </c>
      <c r="E45" s="93">
        <f t="shared" si="26"/>
        <v>0</v>
      </c>
      <c r="F45" s="93">
        <f t="shared" si="26"/>
        <v>0</v>
      </c>
      <c r="G45" s="93">
        <f t="shared" si="26"/>
        <v>0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1" t="s">
        <v>127</v>
      </c>
    </row>
    <row r="46" spans="1:35" x14ac:dyDescent="0.3">
      <c r="B46" s="93">
        <f t="shared" si="26"/>
        <v>0</v>
      </c>
      <c r="C46" s="93">
        <f t="shared" si="26"/>
        <v>0</v>
      </c>
      <c r="D46" s="93">
        <f t="shared" si="26"/>
        <v>0</v>
      </c>
      <c r="E46" s="93">
        <f t="shared" si="26"/>
        <v>0</v>
      </c>
      <c r="F46" s="93">
        <f t="shared" si="26"/>
        <v>0</v>
      </c>
      <c r="G46" s="93">
        <f t="shared" si="26"/>
        <v>0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1" t="s">
        <v>128</v>
      </c>
    </row>
    <row r="47" spans="1:35" x14ac:dyDescent="0.3">
      <c r="B47" s="93">
        <f t="shared" si="26"/>
        <v>0</v>
      </c>
      <c r="C47" s="93">
        <f t="shared" si="26"/>
        <v>0</v>
      </c>
      <c r="D47" s="93">
        <f t="shared" si="26"/>
        <v>0</v>
      </c>
      <c r="E47" s="93">
        <f t="shared" si="26"/>
        <v>0</v>
      </c>
      <c r="F47" s="93">
        <f t="shared" si="26"/>
        <v>0</v>
      </c>
      <c r="G47" s="93">
        <f t="shared" si="26"/>
        <v>0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1" t="s">
        <v>129</v>
      </c>
    </row>
    <row r="48" spans="1:35" x14ac:dyDescent="0.3">
      <c r="B48" s="93">
        <f t="shared" si="26"/>
        <v>0</v>
      </c>
      <c r="C48" s="93">
        <f t="shared" si="26"/>
        <v>0</v>
      </c>
      <c r="D48" s="93">
        <f t="shared" si="26"/>
        <v>0</v>
      </c>
      <c r="E48" s="93">
        <f t="shared" si="26"/>
        <v>0</v>
      </c>
      <c r="F48" s="93">
        <f t="shared" si="26"/>
        <v>0</v>
      </c>
      <c r="G48" s="93">
        <f t="shared" si="26"/>
        <v>0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1" t="s">
        <v>130</v>
      </c>
    </row>
    <row r="49" spans="1:35" x14ac:dyDescent="0.3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1" t="s">
        <v>131</v>
      </c>
    </row>
    <row r="50" spans="1:35" x14ac:dyDescent="0.3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1" t="s">
        <v>132</v>
      </c>
    </row>
    <row r="51" spans="1:35" x14ac:dyDescent="0.3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1" t="s">
        <v>133</v>
      </c>
    </row>
    <row r="52" spans="1:35" x14ac:dyDescent="0.3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1" t="s">
        <v>134</v>
      </c>
    </row>
    <row r="53" spans="1:35" x14ac:dyDescent="0.3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1" t="s">
        <v>135</v>
      </c>
    </row>
    <row r="54" spans="1:35" x14ac:dyDescent="0.3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1" t="s">
        <v>136</v>
      </c>
    </row>
    <row r="55" spans="1:35" x14ac:dyDescent="0.3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1" t="s">
        <v>137</v>
      </c>
    </row>
    <row r="56" spans="1:35" x14ac:dyDescent="0.3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1" t="s">
        <v>138</v>
      </c>
    </row>
    <row r="57" spans="1:35" x14ac:dyDescent="0.3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1" t="s">
        <v>139</v>
      </c>
    </row>
    <row r="58" spans="1:35" x14ac:dyDescent="0.3">
      <c r="A58" s="94" t="s">
        <v>255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1" t="s">
        <v>140</v>
      </c>
    </row>
    <row r="59" spans="1:35" x14ac:dyDescent="0.3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1" t="s">
        <v>141</v>
      </c>
    </row>
    <row r="60" spans="1:35" x14ac:dyDescent="0.3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1" t="s">
        <v>142</v>
      </c>
    </row>
    <row r="61" spans="1:35" x14ac:dyDescent="0.3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1" t="s">
        <v>143</v>
      </c>
    </row>
    <row r="62" spans="1:35" x14ac:dyDescent="0.3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1" t="s">
        <v>144</v>
      </c>
    </row>
    <row r="63" spans="1:35" x14ac:dyDescent="0.3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1" t="s">
        <v>145</v>
      </c>
    </row>
    <row r="64" spans="1:35" x14ac:dyDescent="0.3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1" t="s">
        <v>146</v>
      </c>
    </row>
    <row r="65" spans="1:35" x14ac:dyDescent="0.3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1" t="s">
        <v>147</v>
      </c>
    </row>
    <row r="66" spans="1:35" x14ac:dyDescent="0.3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1" t="s">
        <v>148</v>
      </c>
    </row>
    <row r="67" spans="1:35" x14ac:dyDescent="0.3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1" t="s">
        <v>149</v>
      </c>
    </row>
    <row r="68" spans="1:35" x14ac:dyDescent="0.3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1" t="s">
        <v>150</v>
      </c>
    </row>
    <row r="69" spans="1:35" x14ac:dyDescent="0.3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1" t="s">
        <v>151</v>
      </c>
    </row>
    <row r="70" spans="1:35" x14ac:dyDescent="0.3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1" t="s">
        <v>152</v>
      </c>
    </row>
    <row r="71" spans="1:35" x14ac:dyDescent="0.3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1" t="s">
        <v>153</v>
      </c>
    </row>
    <row r="72" spans="1:35" x14ac:dyDescent="0.3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1" t="s">
        <v>154</v>
      </c>
    </row>
    <row r="73" spans="1:35" x14ac:dyDescent="0.3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1" t="s">
        <v>155</v>
      </c>
    </row>
    <row r="74" spans="1:35" x14ac:dyDescent="0.3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1" t="s">
        <v>156</v>
      </c>
    </row>
    <row r="75" spans="1:35" x14ac:dyDescent="0.3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1" t="s">
        <v>157</v>
      </c>
    </row>
    <row r="77" spans="1:35" x14ac:dyDescent="0.3">
      <c r="B77" s="91" t="str">
        <f t="shared" ref="B77:G77" si="27">IF(C23="","", CONCATENATE("U",C23,C$21))</f>
        <v/>
      </c>
      <c r="C77" s="91" t="str">
        <f t="shared" si="27"/>
        <v/>
      </c>
      <c r="D77" s="91" t="str">
        <f t="shared" si="27"/>
        <v/>
      </c>
      <c r="E77" s="91" t="str">
        <f t="shared" si="27"/>
        <v/>
      </c>
      <c r="F77" s="91" t="str">
        <f t="shared" si="27"/>
        <v/>
      </c>
      <c r="G77" s="91" t="str">
        <f t="shared" si="27"/>
        <v/>
      </c>
    </row>
    <row r="78" spans="1:35" x14ac:dyDescent="0.3">
      <c r="B78" s="92">
        <f>IF(I10="", 0, O10*J10*J10+P10*K10*K10)</f>
        <v>0</v>
      </c>
      <c r="C78" s="93">
        <f>IF(I10="", 0, (O10-P10)*(J10*K10))</f>
        <v>0</v>
      </c>
      <c r="D78" s="93">
        <f>IF(I10="", 0, -Q10*K10)</f>
        <v>0</v>
      </c>
      <c r="E78" s="93">
        <f t="shared" ref="E78:F80" si="28">-B78</f>
        <v>0</v>
      </c>
      <c r="F78" s="93">
        <f t="shared" si="28"/>
        <v>0</v>
      </c>
      <c r="G78" s="93">
        <f>D78</f>
        <v>0</v>
      </c>
      <c r="H78" s="91" t="str">
        <f>B77</f>
        <v/>
      </c>
    </row>
    <row r="79" spans="1:35" x14ac:dyDescent="0.3">
      <c r="B79" s="93">
        <f>C78</f>
        <v>0</v>
      </c>
      <c r="C79" s="92">
        <f>IF(I10="", 0, O10*K10*K10+P10*J10*J10)</f>
        <v>0</v>
      </c>
      <c r="D79" s="93">
        <f>IF(I10="", 0, Q10*J10)</f>
        <v>0</v>
      </c>
      <c r="E79" s="93">
        <f t="shared" si="28"/>
        <v>0</v>
      </c>
      <c r="F79" s="93">
        <f t="shared" si="28"/>
        <v>0</v>
      </c>
      <c r="G79" s="93">
        <f>D79</f>
        <v>0</v>
      </c>
      <c r="H79" s="91" t="str">
        <f>C77</f>
        <v/>
      </c>
    </row>
    <row r="80" spans="1:35" x14ac:dyDescent="0.3">
      <c r="A80" s="94" t="s">
        <v>256</v>
      </c>
      <c r="B80" s="93">
        <f>D78</f>
        <v>0</v>
      </c>
      <c r="C80" s="93">
        <f>D79</f>
        <v>0</v>
      </c>
      <c r="D80" s="92">
        <f>IF(I10="", 0, R10)</f>
        <v>0</v>
      </c>
      <c r="E80" s="93">
        <f t="shared" si="28"/>
        <v>0</v>
      </c>
      <c r="F80" s="93">
        <f t="shared" si="28"/>
        <v>0</v>
      </c>
      <c r="G80" s="93">
        <f>IF(I10="", 0, S10)</f>
        <v>0</v>
      </c>
      <c r="H80" s="91" t="str">
        <f>D77</f>
        <v/>
      </c>
    </row>
    <row r="81" spans="2:35" x14ac:dyDescent="0.3">
      <c r="B81" s="93">
        <f>E78</f>
        <v>0</v>
      </c>
      <c r="C81" s="93">
        <f>E79</f>
        <v>0</v>
      </c>
      <c r="D81" s="93">
        <f>E80</f>
        <v>0</v>
      </c>
      <c r="E81" s="92">
        <f>B78</f>
        <v>0</v>
      </c>
      <c r="F81" s="93">
        <f>C78</f>
        <v>0</v>
      </c>
      <c r="G81" s="93">
        <f>-D78</f>
        <v>0</v>
      </c>
      <c r="H81" s="91" t="str">
        <f>E77</f>
        <v/>
      </c>
    </row>
    <row r="82" spans="2:35" x14ac:dyDescent="0.3">
      <c r="B82" s="93">
        <f>F78</f>
        <v>0</v>
      </c>
      <c r="C82" s="93">
        <f>F79</f>
        <v>0</v>
      </c>
      <c r="D82" s="93">
        <f>F80</f>
        <v>0</v>
      </c>
      <c r="E82" s="93">
        <f>F81</f>
        <v>0</v>
      </c>
      <c r="F82" s="92">
        <f>C79</f>
        <v>0</v>
      </c>
      <c r="G82" s="93">
        <f>-D79</f>
        <v>0</v>
      </c>
      <c r="H82" s="91" t="str">
        <f>F77</f>
        <v/>
      </c>
    </row>
    <row r="83" spans="2:35" x14ac:dyDescent="0.3">
      <c r="B83" s="93">
        <f>G78</f>
        <v>0</v>
      </c>
      <c r="C83" s="93">
        <f>G79</f>
        <v>0</v>
      </c>
      <c r="D83" s="93">
        <f>G80</f>
        <v>0</v>
      </c>
      <c r="E83" s="93">
        <f>G81</f>
        <v>0</v>
      </c>
      <c r="F83" s="93">
        <f>G82</f>
        <v>0</v>
      </c>
      <c r="G83" s="92">
        <f>D80</f>
        <v>0</v>
      </c>
      <c r="H83" s="91" t="str">
        <f>G77</f>
        <v/>
      </c>
    </row>
    <row r="85" spans="2:35" x14ac:dyDescent="0.3">
      <c r="B85" s="91" t="s">
        <v>125</v>
      </c>
      <c r="C85" s="91" t="s">
        <v>126</v>
      </c>
      <c r="D85" s="91" t="s">
        <v>127</v>
      </c>
      <c r="E85" s="91" t="s">
        <v>128</v>
      </c>
      <c r="F85" s="91" t="s">
        <v>129</v>
      </c>
      <c r="G85" s="91" t="s">
        <v>130</v>
      </c>
      <c r="H85" s="91" t="s">
        <v>131</v>
      </c>
      <c r="I85" s="91" t="s">
        <v>132</v>
      </c>
      <c r="J85" s="91" t="s">
        <v>133</v>
      </c>
      <c r="K85" s="91" t="s">
        <v>134</v>
      </c>
      <c r="L85" s="91" t="s">
        <v>135</v>
      </c>
      <c r="M85" s="91" t="s">
        <v>136</v>
      </c>
      <c r="N85" s="91" t="s">
        <v>137</v>
      </c>
      <c r="O85" s="91" t="s">
        <v>138</v>
      </c>
      <c r="P85" s="91" t="s">
        <v>139</v>
      </c>
      <c r="Q85" s="91" t="s">
        <v>140</v>
      </c>
      <c r="R85" s="91" t="s">
        <v>141</v>
      </c>
      <c r="S85" s="91" t="s">
        <v>142</v>
      </c>
      <c r="T85" s="91" t="s">
        <v>143</v>
      </c>
      <c r="U85" s="91" t="s">
        <v>144</v>
      </c>
      <c r="V85" s="91" t="s">
        <v>145</v>
      </c>
      <c r="W85" s="91" t="s">
        <v>146</v>
      </c>
      <c r="X85" s="91" t="s">
        <v>147</v>
      </c>
      <c r="Y85" s="91" t="s">
        <v>148</v>
      </c>
      <c r="Z85" s="91" t="s">
        <v>149</v>
      </c>
      <c r="AA85" s="91" t="s">
        <v>150</v>
      </c>
      <c r="AB85" s="91" t="s">
        <v>151</v>
      </c>
      <c r="AC85" s="91" t="s">
        <v>152</v>
      </c>
      <c r="AD85" s="91" t="s">
        <v>153</v>
      </c>
      <c r="AE85" s="91" t="s">
        <v>154</v>
      </c>
      <c r="AF85" s="91" t="s">
        <v>155</v>
      </c>
      <c r="AG85" s="91" t="s">
        <v>156</v>
      </c>
      <c r="AH85" s="91" t="s">
        <v>157</v>
      </c>
    </row>
    <row r="86" spans="2:35" x14ac:dyDescent="0.3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1" t="s">
        <v>125</v>
      </c>
    </row>
    <row r="87" spans="2:35" x14ac:dyDescent="0.3"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1" t="s">
        <v>126</v>
      </c>
    </row>
    <row r="88" spans="2:35" x14ac:dyDescent="0.3"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1" t="s">
        <v>127</v>
      </c>
    </row>
    <row r="89" spans="2:35" x14ac:dyDescent="0.3">
      <c r="B89" s="93"/>
      <c r="C89" s="93"/>
      <c r="D89" s="93"/>
      <c r="E89" s="93">
        <f t="shared" ref="E89:J94" si="29">B78</f>
        <v>0</v>
      </c>
      <c r="F89" s="93">
        <f t="shared" si="29"/>
        <v>0</v>
      </c>
      <c r="G89" s="93">
        <f t="shared" si="29"/>
        <v>0</v>
      </c>
      <c r="H89" s="93">
        <f t="shared" si="29"/>
        <v>0</v>
      </c>
      <c r="I89" s="93">
        <f t="shared" si="29"/>
        <v>0</v>
      </c>
      <c r="J89" s="93">
        <f t="shared" si="29"/>
        <v>0</v>
      </c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1" t="s">
        <v>128</v>
      </c>
    </row>
    <row r="90" spans="2:35" x14ac:dyDescent="0.3">
      <c r="B90" s="93"/>
      <c r="C90" s="93"/>
      <c r="D90" s="93"/>
      <c r="E90" s="93">
        <f t="shared" si="29"/>
        <v>0</v>
      </c>
      <c r="F90" s="93">
        <f t="shared" si="29"/>
        <v>0</v>
      </c>
      <c r="G90" s="93">
        <f t="shared" si="29"/>
        <v>0</v>
      </c>
      <c r="H90" s="93">
        <f t="shared" si="29"/>
        <v>0</v>
      </c>
      <c r="I90" s="93">
        <f t="shared" si="29"/>
        <v>0</v>
      </c>
      <c r="J90" s="93">
        <f t="shared" si="29"/>
        <v>0</v>
      </c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1" t="s">
        <v>129</v>
      </c>
    </row>
    <row r="91" spans="2:35" x14ac:dyDescent="0.3">
      <c r="B91" s="93"/>
      <c r="C91" s="93"/>
      <c r="D91" s="93"/>
      <c r="E91" s="93">
        <f t="shared" si="29"/>
        <v>0</v>
      </c>
      <c r="F91" s="93">
        <f t="shared" si="29"/>
        <v>0</v>
      </c>
      <c r="G91" s="93">
        <f t="shared" si="29"/>
        <v>0</v>
      </c>
      <c r="H91" s="93">
        <f t="shared" si="29"/>
        <v>0</v>
      </c>
      <c r="I91" s="93">
        <f t="shared" si="29"/>
        <v>0</v>
      </c>
      <c r="J91" s="93">
        <f t="shared" si="29"/>
        <v>0</v>
      </c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1" t="s">
        <v>130</v>
      </c>
    </row>
    <row r="92" spans="2:35" x14ac:dyDescent="0.3">
      <c r="B92" s="93"/>
      <c r="C92" s="93"/>
      <c r="D92" s="93"/>
      <c r="E92" s="93">
        <f t="shared" si="29"/>
        <v>0</v>
      </c>
      <c r="F92" s="93">
        <f t="shared" si="29"/>
        <v>0</v>
      </c>
      <c r="G92" s="93">
        <f t="shared" si="29"/>
        <v>0</v>
      </c>
      <c r="H92" s="93">
        <f t="shared" si="29"/>
        <v>0</v>
      </c>
      <c r="I92" s="93">
        <f t="shared" si="29"/>
        <v>0</v>
      </c>
      <c r="J92" s="93">
        <f t="shared" si="29"/>
        <v>0</v>
      </c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1" t="s">
        <v>131</v>
      </c>
    </row>
    <row r="93" spans="2:35" x14ac:dyDescent="0.3">
      <c r="B93" s="93"/>
      <c r="C93" s="93"/>
      <c r="D93" s="93"/>
      <c r="E93" s="93">
        <f t="shared" si="29"/>
        <v>0</v>
      </c>
      <c r="F93" s="93">
        <f t="shared" si="29"/>
        <v>0</v>
      </c>
      <c r="G93" s="93">
        <f t="shared" si="29"/>
        <v>0</v>
      </c>
      <c r="H93" s="93">
        <f t="shared" si="29"/>
        <v>0</v>
      </c>
      <c r="I93" s="93">
        <f t="shared" si="29"/>
        <v>0</v>
      </c>
      <c r="J93" s="93">
        <f t="shared" si="29"/>
        <v>0</v>
      </c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1" t="s">
        <v>132</v>
      </c>
    </row>
    <row r="94" spans="2:35" x14ac:dyDescent="0.3">
      <c r="B94" s="93"/>
      <c r="C94" s="93"/>
      <c r="D94" s="93"/>
      <c r="E94" s="93">
        <f t="shared" si="29"/>
        <v>0</v>
      </c>
      <c r="F94" s="93">
        <f t="shared" si="29"/>
        <v>0</v>
      </c>
      <c r="G94" s="93">
        <f t="shared" si="29"/>
        <v>0</v>
      </c>
      <c r="H94" s="93">
        <f t="shared" si="29"/>
        <v>0</v>
      </c>
      <c r="I94" s="93">
        <f t="shared" si="29"/>
        <v>0</v>
      </c>
      <c r="J94" s="93">
        <f t="shared" si="29"/>
        <v>0</v>
      </c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1" t="s">
        <v>133</v>
      </c>
    </row>
    <row r="95" spans="2:35" x14ac:dyDescent="0.3"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1" t="s">
        <v>134</v>
      </c>
    </row>
    <row r="96" spans="2:35" x14ac:dyDescent="0.3"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1" t="s">
        <v>135</v>
      </c>
    </row>
    <row r="97" spans="1:35" x14ac:dyDescent="0.3"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1" t="s">
        <v>136</v>
      </c>
    </row>
    <row r="98" spans="1:35" x14ac:dyDescent="0.3"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1" t="s">
        <v>137</v>
      </c>
    </row>
    <row r="99" spans="1:35" x14ac:dyDescent="0.3"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1" t="s">
        <v>138</v>
      </c>
    </row>
    <row r="100" spans="1:35" x14ac:dyDescent="0.3"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1" t="s">
        <v>139</v>
      </c>
    </row>
    <row r="101" spans="1:35" x14ac:dyDescent="0.3">
      <c r="A101" s="94" t="s">
        <v>256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1" t="s">
        <v>140</v>
      </c>
    </row>
    <row r="102" spans="1:35" x14ac:dyDescent="0.3"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1" t="s">
        <v>141</v>
      </c>
    </row>
    <row r="103" spans="1:35" x14ac:dyDescent="0.3"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1" t="s">
        <v>142</v>
      </c>
    </row>
    <row r="104" spans="1:35" x14ac:dyDescent="0.3"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1" t="s">
        <v>143</v>
      </c>
    </row>
    <row r="105" spans="1:35" x14ac:dyDescent="0.3"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1" t="s">
        <v>144</v>
      </c>
    </row>
    <row r="106" spans="1:35" x14ac:dyDescent="0.3"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1" t="s">
        <v>145</v>
      </c>
    </row>
    <row r="107" spans="1:35" x14ac:dyDescent="0.3"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1" t="s">
        <v>146</v>
      </c>
    </row>
    <row r="108" spans="1:35" x14ac:dyDescent="0.3"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1" t="s">
        <v>147</v>
      </c>
    </row>
    <row r="109" spans="1:35" x14ac:dyDescent="0.3"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1" t="s">
        <v>148</v>
      </c>
    </row>
    <row r="110" spans="1:35" x14ac:dyDescent="0.3"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1" t="s">
        <v>149</v>
      </c>
    </row>
    <row r="111" spans="1:35" x14ac:dyDescent="0.3"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1" t="s">
        <v>150</v>
      </c>
    </row>
    <row r="112" spans="1:35" x14ac:dyDescent="0.3"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1" t="s">
        <v>151</v>
      </c>
    </row>
    <row r="113" spans="1:35" x14ac:dyDescent="0.3"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1" t="s">
        <v>152</v>
      </c>
    </row>
    <row r="114" spans="1:35" x14ac:dyDescent="0.3"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1" t="s">
        <v>153</v>
      </c>
    </row>
    <row r="115" spans="1:35" x14ac:dyDescent="0.3"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1" t="s">
        <v>154</v>
      </c>
    </row>
    <row r="116" spans="1:35" x14ac:dyDescent="0.3"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1" t="s">
        <v>155</v>
      </c>
    </row>
    <row r="117" spans="1:35" x14ac:dyDescent="0.3"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1" t="s">
        <v>156</v>
      </c>
    </row>
    <row r="118" spans="1:35" x14ac:dyDescent="0.3"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1" t="s">
        <v>157</v>
      </c>
    </row>
    <row r="120" spans="1:35" x14ac:dyDescent="0.3">
      <c r="B120" s="91" t="str">
        <f t="shared" ref="B120:G120" si="30">IF(C24="","", CONCATENATE("U",C24,C$21))</f>
        <v/>
      </c>
      <c r="C120" s="91" t="str">
        <f t="shared" si="30"/>
        <v/>
      </c>
      <c r="D120" s="91" t="str">
        <f t="shared" si="30"/>
        <v/>
      </c>
      <c r="E120" s="91" t="str">
        <f t="shared" si="30"/>
        <v/>
      </c>
      <c r="F120" s="91" t="str">
        <f t="shared" si="30"/>
        <v/>
      </c>
      <c r="G120" s="91" t="str">
        <f t="shared" si="30"/>
        <v/>
      </c>
    </row>
    <row r="121" spans="1:35" x14ac:dyDescent="0.3">
      <c r="B121" s="92">
        <f>IF(I11="", 0, O11*J11*J11+P11*K11*K11)</f>
        <v>0</v>
      </c>
      <c r="C121" s="93">
        <f>IF(I11="", 0, (O11-P11)*(J11*K11))</f>
        <v>0</v>
      </c>
      <c r="D121" s="93">
        <f>IF(I11="", 0, -Q11*K11)</f>
        <v>0</v>
      </c>
      <c r="E121" s="93">
        <f t="shared" ref="E121:F123" si="31">-B121</f>
        <v>0</v>
      </c>
      <c r="F121" s="93">
        <f t="shared" si="31"/>
        <v>0</v>
      </c>
      <c r="G121" s="93">
        <f>D121</f>
        <v>0</v>
      </c>
      <c r="H121" s="91" t="str">
        <f>B120</f>
        <v/>
      </c>
    </row>
    <row r="122" spans="1:35" x14ac:dyDescent="0.3">
      <c r="B122" s="93">
        <f>C121</f>
        <v>0</v>
      </c>
      <c r="C122" s="92">
        <f>IF(I11="", 0, O11*K11*K11+P11*J11*J11)</f>
        <v>0</v>
      </c>
      <c r="D122" s="93">
        <f>IF(I11="", 0, Q11*J11)</f>
        <v>0</v>
      </c>
      <c r="E122" s="93">
        <f t="shared" si="31"/>
        <v>0</v>
      </c>
      <c r="F122" s="93">
        <f t="shared" si="31"/>
        <v>0</v>
      </c>
      <c r="G122" s="93">
        <f>D122</f>
        <v>0</v>
      </c>
      <c r="H122" s="91" t="str">
        <f>C120</f>
        <v/>
      </c>
    </row>
    <row r="123" spans="1:35" x14ac:dyDescent="0.3">
      <c r="A123" s="94" t="s">
        <v>257</v>
      </c>
      <c r="B123" s="93">
        <f>D121</f>
        <v>0</v>
      </c>
      <c r="C123" s="93">
        <f>D122</f>
        <v>0</v>
      </c>
      <c r="D123" s="92">
        <f>IF(I11="", 0, R11)</f>
        <v>0</v>
      </c>
      <c r="E123" s="93">
        <f t="shared" si="31"/>
        <v>0</v>
      </c>
      <c r="F123" s="93">
        <f t="shared" si="31"/>
        <v>0</v>
      </c>
      <c r="G123" s="93">
        <f>IF(I11="", 0, S11)</f>
        <v>0</v>
      </c>
      <c r="H123" s="91" t="str">
        <f>D120</f>
        <v/>
      </c>
    </row>
    <row r="124" spans="1:35" x14ac:dyDescent="0.3">
      <c r="B124" s="93">
        <f>E121</f>
        <v>0</v>
      </c>
      <c r="C124" s="93">
        <f>E122</f>
        <v>0</v>
      </c>
      <c r="D124" s="93">
        <f>E123</f>
        <v>0</v>
      </c>
      <c r="E124" s="92">
        <f>B121</f>
        <v>0</v>
      </c>
      <c r="F124" s="93">
        <f>C121</f>
        <v>0</v>
      </c>
      <c r="G124" s="93">
        <f>-D121</f>
        <v>0</v>
      </c>
      <c r="H124" s="91" t="str">
        <f>E120</f>
        <v/>
      </c>
    </row>
    <row r="125" spans="1:35" x14ac:dyDescent="0.3">
      <c r="B125" s="93">
        <f>F121</f>
        <v>0</v>
      </c>
      <c r="C125" s="93">
        <f>F122</f>
        <v>0</v>
      </c>
      <c r="D125" s="93">
        <f>F123</f>
        <v>0</v>
      </c>
      <c r="E125" s="93">
        <f>F124</f>
        <v>0</v>
      </c>
      <c r="F125" s="92">
        <f>C122</f>
        <v>0</v>
      </c>
      <c r="G125" s="93">
        <f>-D122</f>
        <v>0</v>
      </c>
      <c r="H125" s="91" t="str">
        <f>F120</f>
        <v/>
      </c>
    </row>
    <row r="126" spans="1:35" x14ac:dyDescent="0.3">
      <c r="B126" s="93">
        <f>G121</f>
        <v>0</v>
      </c>
      <c r="C126" s="93">
        <f>G122</f>
        <v>0</v>
      </c>
      <c r="D126" s="93">
        <f>G123</f>
        <v>0</v>
      </c>
      <c r="E126" s="93">
        <f>G124</f>
        <v>0</v>
      </c>
      <c r="F126" s="93">
        <f>G125</f>
        <v>0</v>
      </c>
      <c r="G126" s="92">
        <f>D123</f>
        <v>0</v>
      </c>
      <c r="H126" s="91" t="str">
        <f>G120</f>
        <v/>
      </c>
    </row>
    <row r="128" spans="1:35" x14ac:dyDescent="0.3">
      <c r="B128" s="91" t="s">
        <v>125</v>
      </c>
      <c r="C128" s="91" t="s">
        <v>126</v>
      </c>
      <c r="D128" s="91" t="s">
        <v>127</v>
      </c>
      <c r="E128" s="91" t="s">
        <v>128</v>
      </c>
      <c r="F128" s="91" t="s">
        <v>129</v>
      </c>
      <c r="G128" s="91" t="s">
        <v>130</v>
      </c>
      <c r="H128" s="91" t="s">
        <v>131</v>
      </c>
      <c r="I128" s="91" t="s">
        <v>132</v>
      </c>
      <c r="J128" s="91" t="s">
        <v>133</v>
      </c>
      <c r="K128" s="91" t="s">
        <v>134</v>
      </c>
      <c r="L128" s="91" t="s">
        <v>135</v>
      </c>
      <c r="M128" s="91" t="s">
        <v>136</v>
      </c>
      <c r="N128" s="91" t="s">
        <v>137</v>
      </c>
      <c r="O128" s="91" t="s">
        <v>138</v>
      </c>
      <c r="P128" s="91" t="s">
        <v>139</v>
      </c>
      <c r="Q128" s="91" t="s">
        <v>140</v>
      </c>
      <c r="R128" s="91" t="s">
        <v>141</v>
      </c>
      <c r="S128" s="91" t="s">
        <v>142</v>
      </c>
      <c r="T128" s="91" t="s">
        <v>143</v>
      </c>
      <c r="U128" s="91" t="s">
        <v>144</v>
      </c>
      <c r="V128" s="91" t="s">
        <v>145</v>
      </c>
      <c r="W128" s="91" t="s">
        <v>146</v>
      </c>
      <c r="X128" s="91" t="s">
        <v>147</v>
      </c>
      <c r="Y128" s="91" t="s">
        <v>148</v>
      </c>
      <c r="Z128" s="91" t="s">
        <v>149</v>
      </c>
      <c r="AA128" s="91" t="s">
        <v>150</v>
      </c>
      <c r="AB128" s="91" t="s">
        <v>151</v>
      </c>
      <c r="AC128" s="91" t="s">
        <v>152</v>
      </c>
      <c r="AD128" s="91" t="s">
        <v>153</v>
      </c>
      <c r="AE128" s="91" t="s">
        <v>154</v>
      </c>
      <c r="AF128" s="91" t="s">
        <v>155</v>
      </c>
      <c r="AG128" s="91" t="s">
        <v>156</v>
      </c>
      <c r="AH128" s="91" t="s">
        <v>157</v>
      </c>
    </row>
    <row r="129" spans="1:35" x14ac:dyDescent="0.3"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1" t="s">
        <v>125</v>
      </c>
    </row>
    <row r="130" spans="1:35" x14ac:dyDescent="0.3"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1" t="s">
        <v>126</v>
      </c>
    </row>
    <row r="131" spans="1:35" x14ac:dyDescent="0.3"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1" t="s">
        <v>127</v>
      </c>
    </row>
    <row r="132" spans="1:35" x14ac:dyDescent="0.3"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1" t="s">
        <v>128</v>
      </c>
    </row>
    <row r="133" spans="1:35" x14ac:dyDescent="0.3"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1" t="s">
        <v>129</v>
      </c>
    </row>
    <row r="134" spans="1:35" x14ac:dyDescent="0.3"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1" t="s">
        <v>130</v>
      </c>
    </row>
    <row r="135" spans="1:35" x14ac:dyDescent="0.3">
      <c r="B135" s="93"/>
      <c r="C135" s="93"/>
      <c r="D135" s="93"/>
      <c r="E135" s="93"/>
      <c r="F135" s="93"/>
      <c r="G135" s="93"/>
      <c r="H135" s="93">
        <f t="shared" ref="H135:M140" si="32">B121</f>
        <v>0</v>
      </c>
      <c r="I135" s="93">
        <f t="shared" si="32"/>
        <v>0</v>
      </c>
      <c r="J135" s="93">
        <f t="shared" si="32"/>
        <v>0</v>
      </c>
      <c r="K135" s="93">
        <f t="shared" si="32"/>
        <v>0</v>
      </c>
      <c r="L135" s="93">
        <f t="shared" si="32"/>
        <v>0</v>
      </c>
      <c r="M135" s="93">
        <f t="shared" si="32"/>
        <v>0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1" t="s">
        <v>131</v>
      </c>
    </row>
    <row r="136" spans="1:35" x14ac:dyDescent="0.3">
      <c r="B136" s="93"/>
      <c r="C136" s="93"/>
      <c r="D136" s="93"/>
      <c r="E136" s="93"/>
      <c r="F136" s="93"/>
      <c r="G136" s="93"/>
      <c r="H136" s="93">
        <f t="shared" si="32"/>
        <v>0</v>
      </c>
      <c r="I136" s="93">
        <f t="shared" si="32"/>
        <v>0</v>
      </c>
      <c r="J136" s="93">
        <f t="shared" si="32"/>
        <v>0</v>
      </c>
      <c r="K136" s="93">
        <f t="shared" si="32"/>
        <v>0</v>
      </c>
      <c r="L136" s="93">
        <f t="shared" si="32"/>
        <v>0</v>
      </c>
      <c r="M136" s="93">
        <f t="shared" si="32"/>
        <v>0</v>
      </c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1" t="s">
        <v>132</v>
      </c>
    </row>
    <row r="137" spans="1:35" x14ac:dyDescent="0.3">
      <c r="B137" s="93"/>
      <c r="C137" s="93"/>
      <c r="D137" s="93"/>
      <c r="E137" s="93"/>
      <c r="F137" s="93"/>
      <c r="G137" s="93"/>
      <c r="H137" s="93">
        <f t="shared" si="32"/>
        <v>0</v>
      </c>
      <c r="I137" s="93">
        <f t="shared" si="32"/>
        <v>0</v>
      </c>
      <c r="J137" s="93">
        <f t="shared" si="32"/>
        <v>0</v>
      </c>
      <c r="K137" s="93">
        <f t="shared" si="32"/>
        <v>0</v>
      </c>
      <c r="L137" s="93">
        <f t="shared" si="32"/>
        <v>0</v>
      </c>
      <c r="M137" s="93">
        <f t="shared" si="32"/>
        <v>0</v>
      </c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1" t="s">
        <v>133</v>
      </c>
    </row>
    <row r="138" spans="1:35" x14ac:dyDescent="0.3">
      <c r="B138" s="93"/>
      <c r="C138" s="93"/>
      <c r="D138" s="93"/>
      <c r="E138" s="93"/>
      <c r="F138" s="93"/>
      <c r="G138" s="93"/>
      <c r="H138" s="93">
        <f t="shared" si="32"/>
        <v>0</v>
      </c>
      <c r="I138" s="93">
        <f t="shared" si="32"/>
        <v>0</v>
      </c>
      <c r="J138" s="93">
        <f t="shared" si="32"/>
        <v>0</v>
      </c>
      <c r="K138" s="93">
        <f t="shared" si="32"/>
        <v>0</v>
      </c>
      <c r="L138" s="93">
        <f t="shared" si="32"/>
        <v>0</v>
      </c>
      <c r="M138" s="93">
        <f t="shared" si="32"/>
        <v>0</v>
      </c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1" t="s">
        <v>134</v>
      </c>
    </row>
    <row r="139" spans="1:35" x14ac:dyDescent="0.3">
      <c r="B139" s="93"/>
      <c r="C139" s="93"/>
      <c r="D139" s="93"/>
      <c r="E139" s="93"/>
      <c r="F139" s="93"/>
      <c r="G139" s="93"/>
      <c r="H139" s="93">
        <f t="shared" si="32"/>
        <v>0</v>
      </c>
      <c r="I139" s="93">
        <f t="shared" si="32"/>
        <v>0</v>
      </c>
      <c r="J139" s="93">
        <f t="shared" si="32"/>
        <v>0</v>
      </c>
      <c r="K139" s="93">
        <f t="shared" si="32"/>
        <v>0</v>
      </c>
      <c r="L139" s="93">
        <f t="shared" si="32"/>
        <v>0</v>
      </c>
      <c r="M139" s="93">
        <f t="shared" si="32"/>
        <v>0</v>
      </c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1" t="s">
        <v>135</v>
      </c>
    </row>
    <row r="140" spans="1:35" x14ac:dyDescent="0.3">
      <c r="B140" s="93"/>
      <c r="C140" s="93"/>
      <c r="D140" s="93"/>
      <c r="E140" s="93"/>
      <c r="F140" s="93"/>
      <c r="G140" s="93"/>
      <c r="H140" s="93">
        <f t="shared" si="32"/>
        <v>0</v>
      </c>
      <c r="I140" s="93">
        <f t="shared" si="32"/>
        <v>0</v>
      </c>
      <c r="J140" s="93">
        <f t="shared" si="32"/>
        <v>0</v>
      </c>
      <c r="K140" s="93">
        <f t="shared" si="32"/>
        <v>0</v>
      </c>
      <c r="L140" s="93">
        <f t="shared" si="32"/>
        <v>0</v>
      </c>
      <c r="M140" s="93">
        <f t="shared" si="32"/>
        <v>0</v>
      </c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1" t="s">
        <v>136</v>
      </c>
    </row>
    <row r="141" spans="1:35" x14ac:dyDescent="0.3"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1" t="s">
        <v>137</v>
      </c>
    </row>
    <row r="142" spans="1:35" x14ac:dyDescent="0.3"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1" t="s">
        <v>138</v>
      </c>
    </row>
    <row r="143" spans="1:35" x14ac:dyDescent="0.3"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1" t="s">
        <v>139</v>
      </c>
    </row>
    <row r="144" spans="1:35" x14ac:dyDescent="0.3">
      <c r="A144" s="94" t="s">
        <v>257</v>
      </c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1" t="s">
        <v>140</v>
      </c>
    </row>
    <row r="145" spans="2:35" x14ac:dyDescent="0.3"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1" t="s">
        <v>141</v>
      </c>
    </row>
    <row r="146" spans="2:35" x14ac:dyDescent="0.3"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1" t="s">
        <v>142</v>
      </c>
    </row>
    <row r="147" spans="2:35" x14ac:dyDescent="0.3"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1" t="s">
        <v>143</v>
      </c>
    </row>
    <row r="148" spans="2:35" x14ac:dyDescent="0.3"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1" t="s">
        <v>144</v>
      </c>
    </row>
    <row r="149" spans="2:35" x14ac:dyDescent="0.3"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1" t="s">
        <v>145</v>
      </c>
    </row>
    <row r="150" spans="2:35" x14ac:dyDescent="0.3"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1" t="s">
        <v>146</v>
      </c>
    </row>
    <row r="151" spans="2:35" x14ac:dyDescent="0.3"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1" t="s">
        <v>147</v>
      </c>
    </row>
    <row r="152" spans="2:35" x14ac:dyDescent="0.3"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1" t="s">
        <v>148</v>
      </c>
    </row>
    <row r="153" spans="2:35" x14ac:dyDescent="0.3"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1" t="s">
        <v>149</v>
      </c>
    </row>
    <row r="154" spans="2:35" x14ac:dyDescent="0.3"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1" t="s">
        <v>150</v>
      </c>
    </row>
    <row r="155" spans="2:35" x14ac:dyDescent="0.3"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1" t="s">
        <v>151</v>
      </c>
    </row>
    <row r="156" spans="2:35" x14ac:dyDescent="0.3"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1" t="s">
        <v>152</v>
      </c>
    </row>
    <row r="157" spans="2:35" x14ac:dyDescent="0.3"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1" t="s">
        <v>153</v>
      </c>
    </row>
    <row r="158" spans="2:35" x14ac:dyDescent="0.3"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1" t="s">
        <v>154</v>
      </c>
    </row>
    <row r="159" spans="2:35" x14ac:dyDescent="0.3"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1" t="s">
        <v>155</v>
      </c>
    </row>
    <row r="160" spans="2:35" x14ac:dyDescent="0.3"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1" t="s">
        <v>156</v>
      </c>
    </row>
    <row r="161" spans="1:35" x14ac:dyDescent="0.3"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1" t="s">
        <v>157</v>
      </c>
    </row>
    <row r="163" spans="1:35" x14ac:dyDescent="0.3">
      <c r="B163" s="91" t="str">
        <f t="shared" ref="B163:G163" si="33">IF(C25="","", CONCATENATE("U",C25,C$21))</f>
        <v/>
      </c>
      <c r="C163" s="91" t="str">
        <f t="shared" si="33"/>
        <v/>
      </c>
      <c r="D163" s="91" t="str">
        <f t="shared" si="33"/>
        <v/>
      </c>
      <c r="E163" s="91" t="str">
        <f t="shared" si="33"/>
        <v/>
      </c>
      <c r="F163" s="91" t="str">
        <f t="shared" si="33"/>
        <v/>
      </c>
      <c r="G163" s="91" t="str">
        <f t="shared" si="33"/>
        <v/>
      </c>
    </row>
    <row r="164" spans="1:35" x14ac:dyDescent="0.3">
      <c r="B164" s="92">
        <f>IF(I12="", 0, O12*J12*J12+P12*K12*K12)</f>
        <v>0</v>
      </c>
      <c r="C164" s="93">
        <f>IF(I12="", 0, (O12-P12)*(J12*K12))</f>
        <v>0</v>
      </c>
      <c r="D164" s="93">
        <f>IF(I12="", 0, -Q12*K12)</f>
        <v>0</v>
      </c>
      <c r="E164" s="93">
        <f t="shared" ref="E164:F166" si="34">-B164</f>
        <v>0</v>
      </c>
      <c r="F164" s="93">
        <f t="shared" si="34"/>
        <v>0</v>
      </c>
      <c r="G164" s="93">
        <f>D164</f>
        <v>0</v>
      </c>
      <c r="H164" s="91" t="str">
        <f>B163</f>
        <v/>
      </c>
    </row>
    <row r="165" spans="1:35" x14ac:dyDescent="0.3">
      <c r="B165" s="93">
        <f>C164</f>
        <v>0</v>
      </c>
      <c r="C165" s="92">
        <f>IF(I12="", 0, O12*K12*K12+P12*J12*J12)</f>
        <v>0</v>
      </c>
      <c r="D165" s="93">
        <f>IF(I12="", 0, Q12*J12)</f>
        <v>0</v>
      </c>
      <c r="E165" s="93">
        <f t="shared" si="34"/>
        <v>0</v>
      </c>
      <c r="F165" s="93">
        <f t="shared" si="34"/>
        <v>0</v>
      </c>
      <c r="G165" s="93">
        <f>D165</f>
        <v>0</v>
      </c>
      <c r="H165" s="91" t="str">
        <f>C163</f>
        <v/>
      </c>
    </row>
    <row r="166" spans="1:35" x14ac:dyDescent="0.3">
      <c r="A166" s="94" t="s">
        <v>258</v>
      </c>
      <c r="B166" s="93">
        <f>D164</f>
        <v>0</v>
      </c>
      <c r="C166" s="93">
        <f>D165</f>
        <v>0</v>
      </c>
      <c r="D166" s="92">
        <f>IF(I12="", 0, R12)</f>
        <v>0</v>
      </c>
      <c r="E166" s="93">
        <f t="shared" si="34"/>
        <v>0</v>
      </c>
      <c r="F166" s="93">
        <f t="shared" si="34"/>
        <v>0</v>
      </c>
      <c r="G166" s="93">
        <f>IF(I12="", 0, S12)</f>
        <v>0</v>
      </c>
      <c r="H166" s="91" t="str">
        <f>D163</f>
        <v/>
      </c>
    </row>
    <row r="167" spans="1:35" x14ac:dyDescent="0.3">
      <c r="B167" s="93">
        <f>E164</f>
        <v>0</v>
      </c>
      <c r="C167" s="93">
        <f>E165</f>
        <v>0</v>
      </c>
      <c r="D167" s="93">
        <f>E166</f>
        <v>0</v>
      </c>
      <c r="E167" s="92">
        <f>B164</f>
        <v>0</v>
      </c>
      <c r="F167" s="93">
        <f>C164</f>
        <v>0</v>
      </c>
      <c r="G167" s="93">
        <f>-D164</f>
        <v>0</v>
      </c>
      <c r="H167" s="91" t="str">
        <f>E163</f>
        <v/>
      </c>
    </row>
    <row r="168" spans="1:35" x14ac:dyDescent="0.3">
      <c r="B168" s="93">
        <f>F164</f>
        <v>0</v>
      </c>
      <c r="C168" s="93">
        <f>F165</f>
        <v>0</v>
      </c>
      <c r="D168" s="93">
        <f>F166</f>
        <v>0</v>
      </c>
      <c r="E168" s="93">
        <f>F167</f>
        <v>0</v>
      </c>
      <c r="F168" s="92">
        <f>C165</f>
        <v>0</v>
      </c>
      <c r="G168" s="93">
        <f>-D165</f>
        <v>0</v>
      </c>
      <c r="H168" s="91" t="str">
        <f>F163</f>
        <v/>
      </c>
    </row>
    <row r="169" spans="1:35" x14ac:dyDescent="0.3">
      <c r="B169" s="93">
        <f>G164</f>
        <v>0</v>
      </c>
      <c r="C169" s="93">
        <f>G165</f>
        <v>0</v>
      </c>
      <c r="D169" s="93">
        <f>G166</f>
        <v>0</v>
      </c>
      <c r="E169" s="93">
        <f>G167</f>
        <v>0</v>
      </c>
      <c r="F169" s="93">
        <f>G168</f>
        <v>0</v>
      </c>
      <c r="G169" s="92">
        <f>D166</f>
        <v>0</v>
      </c>
      <c r="H169" s="91" t="str">
        <f>G163</f>
        <v/>
      </c>
    </row>
    <row r="171" spans="1:35" x14ac:dyDescent="0.3">
      <c r="B171" s="91" t="s">
        <v>125</v>
      </c>
      <c r="C171" s="91" t="s">
        <v>126</v>
      </c>
      <c r="D171" s="91" t="s">
        <v>127</v>
      </c>
      <c r="E171" s="91" t="s">
        <v>128</v>
      </c>
      <c r="F171" s="91" t="s">
        <v>129</v>
      </c>
      <c r="G171" s="91" t="s">
        <v>130</v>
      </c>
      <c r="H171" s="91" t="s">
        <v>131</v>
      </c>
      <c r="I171" s="91" t="s">
        <v>132</v>
      </c>
      <c r="J171" s="91" t="s">
        <v>133</v>
      </c>
      <c r="K171" s="91" t="s">
        <v>134</v>
      </c>
      <c r="L171" s="91" t="s">
        <v>135</v>
      </c>
      <c r="M171" s="91" t="s">
        <v>136</v>
      </c>
      <c r="N171" s="91" t="s">
        <v>137</v>
      </c>
      <c r="O171" s="91" t="s">
        <v>138</v>
      </c>
      <c r="P171" s="91" t="s">
        <v>139</v>
      </c>
      <c r="Q171" s="91" t="s">
        <v>140</v>
      </c>
      <c r="R171" s="91" t="s">
        <v>141</v>
      </c>
      <c r="S171" s="91" t="s">
        <v>142</v>
      </c>
      <c r="T171" s="91" t="s">
        <v>143</v>
      </c>
      <c r="U171" s="91" t="s">
        <v>144</v>
      </c>
      <c r="V171" s="91" t="s">
        <v>145</v>
      </c>
      <c r="W171" s="91" t="s">
        <v>146</v>
      </c>
      <c r="X171" s="91" t="s">
        <v>147</v>
      </c>
      <c r="Y171" s="91" t="s">
        <v>148</v>
      </c>
      <c r="Z171" s="91" t="s">
        <v>149</v>
      </c>
      <c r="AA171" s="91" t="s">
        <v>150</v>
      </c>
      <c r="AB171" s="91" t="s">
        <v>151</v>
      </c>
      <c r="AC171" s="91" t="s">
        <v>152</v>
      </c>
      <c r="AD171" s="91" t="s">
        <v>153</v>
      </c>
      <c r="AE171" s="91" t="s">
        <v>154</v>
      </c>
      <c r="AF171" s="91" t="s">
        <v>155</v>
      </c>
      <c r="AG171" s="91" t="s">
        <v>156</v>
      </c>
      <c r="AH171" s="91" t="s">
        <v>157</v>
      </c>
    </row>
    <row r="172" spans="1:35" x14ac:dyDescent="0.3"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1" t="s">
        <v>125</v>
      </c>
    </row>
    <row r="173" spans="1:35" x14ac:dyDescent="0.3"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1" t="s">
        <v>126</v>
      </c>
    </row>
    <row r="174" spans="1:35" x14ac:dyDescent="0.3"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1" t="s">
        <v>127</v>
      </c>
    </row>
    <row r="175" spans="1:35" x14ac:dyDescent="0.3"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1" t="s">
        <v>128</v>
      </c>
    </row>
    <row r="176" spans="1:35" x14ac:dyDescent="0.3"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1" t="s">
        <v>129</v>
      </c>
    </row>
    <row r="177" spans="1:35" x14ac:dyDescent="0.3"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1" t="s">
        <v>130</v>
      </c>
    </row>
    <row r="178" spans="1:35" x14ac:dyDescent="0.3"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1" t="s">
        <v>131</v>
      </c>
    </row>
    <row r="179" spans="1:35" x14ac:dyDescent="0.3"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1" t="s">
        <v>132</v>
      </c>
    </row>
    <row r="180" spans="1:35" x14ac:dyDescent="0.3"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1" t="s">
        <v>133</v>
      </c>
    </row>
    <row r="181" spans="1:35" x14ac:dyDescent="0.3">
      <c r="B181" s="93"/>
      <c r="C181" s="93"/>
      <c r="D181" s="93"/>
      <c r="E181" s="93"/>
      <c r="F181" s="93"/>
      <c r="G181" s="93"/>
      <c r="H181" s="93"/>
      <c r="I181" s="93"/>
      <c r="J181" s="93"/>
      <c r="K181" s="93">
        <f t="shared" ref="K181:P186" si="35">B164</f>
        <v>0</v>
      </c>
      <c r="L181" s="93">
        <f t="shared" si="35"/>
        <v>0</v>
      </c>
      <c r="M181" s="93">
        <f t="shared" si="35"/>
        <v>0</v>
      </c>
      <c r="N181" s="93">
        <f t="shared" si="35"/>
        <v>0</v>
      </c>
      <c r="O181" s="93">
        <f t="shared" si="35"/>
        <v>0</v>
      </c>
      <c r="P181" s="93">
        <f t="shared" si="35"/>
        <v>0</v>
      </c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1" t="s">
        <v>134</v>
      </c>
    </row>
    <row r="182" spans="1:35" x14ac:dyDescent="0.3">
      <c r="B182" s="93"/>
      <c r="C182" s="93"/>
      <c r="D182" s="93"/>
      <c r="E182" s="93"/>
      <c r="F182" s="93"/>
      <c r="G182" s="93"/>
      <c r="H182" s="93"/>
      <c r="I182" s="93"/>
      <c r="J182" s="93"/>
      <c r="K182" s="93">
        <f t="shared" si="35"/>
        <v>0</v>
      </c>
      <c r="L182" s="93">
        <f t="shared" si="35"/>
        <v>0</v>
      </c>
      <c r="M182" s="93">
        <f t="shared" si="35"/>
        <v>0</v>
      </c>
      <c r="N182" s="93">
        <f t="shared" si="35"/>
        <v>0</v>
      </c>
      <c r="O182" s="93">
        <f t="shared" si="35"/>
        <v>0</v>
      </c>
      <c r="P182" s="93">
        <f t="shared" si="35"/>
        <v>0</v>
      </c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1" t="s">
        <v>135</v>
      </c>
    </row>
    <row r="183" spans="1:35" x14ac:dyDescent="0.3">
      <c r="B183" s="93"/>
      <c r="C183" s="93"/>
      <c r="D183" s="93"/>
      <c r="E183" s="93"/>
      <c r="F183" s="93"/>
      <c r="G183" s="93"/>
      <c r="H183" s="93"/>
      <c r="I183" s="93"/>
      <c r="J183" s="93"/>
      <c r="K183" s="93">
        <f t="shared" si="35"/>
        <v>0</v>
      </c>
      <c r="L183" s="93">
        <f t="shared" si="35"/>
        <v>0</v>
      </c>
      <c r="M183" s="93">
        <f t="shared" si="35"/>
        <v>0</v>
      </c>
      <c r="N183" s="93">
        <f t="shared" si="35"/>
        <v>0</v>
      </c>
      <c r="O183" s="93">
        <f t="shared" si="35"/>
        <v>0</v>
      </c>
      <c r="P183" s="93">
        <f t="shared" si="35"/>
        <v>0</v>
      </c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1" t="s">
        <v>136</v>
      </c>
    </row>
    <row r="184" spans="1:35" x14ac:dyDescent="0.3">
      <c r="B184" s="93"/>
      <c r="C184" s="93"/>
      <c r="D184" s="93"/>
      <c r="E184" s="93"/>
      <c r="F184" s="93"/>
      <c r="G184" s="93"/>
      <c r="H184" s="93"/>
      <c r="I184" s="93"/>
      <c r="J184" s="93"/>
      <c r="K184" s="93">
        <f t="shared" si="35"/>
        <v>0</v>
      </c>
      <c r="L184" s="93">
        <f t="shared" si="35"/>
        <v>0</v>
      </c>
      <c r="M184" s="93">
        <f t="shared" si="35"/>
        <v>0</v>
      </c>
      <c r="N184" s="93">
        <f t="shared" si="35"/>
        <v>0</v>
      </c>
      <c r="O184" s="93">
        <f t="shared" si="35"/>
        <v>0</v>
      </c>
      <c r="P184" s="93">
        <f t="shared" si="35"/>
        <v>0</v>
      </c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1" t="s">
        <v>137</v>
      </c>
    </row>
    <row r="185" spans="1:35" x14ac:dyDescent="0.3">
      <c r="B185" s="93"/>
      <c r="C185" s="93"/>
      <c r="D185" s="93"/>
      <c r="E185" s="93"/>
      <c r="F185" s="93"/>
      <c r="G185" s="93"/>
      <c r="H185" s="93"/>
      <c r="I185" s="93"/>
      <c r="J185" s="93"/>
      <c r="K185" s="93">
        <f t="shared" si="35"/>
        <v>0</v>
      </c>
      <c r="L185" s="93">
        <f t="shared" si="35"/>
        <v>0</v>
      </c>
      <c r="M185" s="93">
        <f t="shared" si="35"/>
        <v>0</v>
      </c>
      <c r="N185" s="93">
        <f t="shared" si="35"/>
        <v>0</v>
      </c>
      <c r="O185" s="93">
        <f t="shared" si="35"/>
        <v>0</v>
      </c>
      <c r="P185" s="93">
        <f t="shared" si="35"/>
        <v>0</v>
      </c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1" t="s">
        <v>138</v>
      </c>
    </row>
    <row r="186" spans="1:35" x14ac:dyDescent="0.3">
      <c r="B186" s="93"/>
      <c r="C186" s="93"/>
      <c r="D186" s="93"/>
      <c r="E186" s="93"/>
      <c r="F186" s="93"/>
      <c r="G186" s="93"/>
      <c r="H186" s="93"/>
      <c r="I186" s="93"/>
      <c r="J186" s="93"/>
      <c r="K186" s="93">
        <f t="shared" si="35"/>
        <v>0</v>
      </c>
      <c r="L186" s="93">
        <f t="shared" si="35"/>
        <v>0</v>
      </c>
      <c r="M186" s="93">
        <f t="shared" si="35"/>
        <v>0</v>
      </c>
      <c r="N186" s="93">
        <f t="shared" si="35"/>
        <v>0</v>
      </c>
      <c r="O186" s="93">
        <f t="shared" si="35"/>
        <v>0</v>
      </c>
      <c r="P186" s="93">
        <f t="shared" si="35"/>
        <v>0</v>
      </c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1" t="s">
        <v>139</v>
      </c>
    </row>
    <row r="187" spans="1:35" x14ac:dyDescent="0.3">
      <c r="A187" s="94" t="s">
        <v>258</v>
      </c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1" t="s">
        <v>140</v>
      </c>
    </row>
    <row r="188" spans="1:35" x14ac:dyDescent="0.3"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1" t="s">
        <v>141</v>
      </c>
    </row>
    <row r="189" spans="1:35" x14ac:dyDescent="0.3"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1" t="s">
        <v>142</v>
      </c>
    </row>
    <row r="190" spans="1:35" x14ac:dyDescent="0.3"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1" t="s">
        <v>143</v>
      </c>
    </row>
    <row r="191" spans="1:35" x14ac:dyDescent="0.3"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1" t="s">
        <v>144</v>
      </c>
    </row>
    <row r="192" spans="1:35" x14ac:dyDescent="0.3"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1" t="s">
        <v>145</v>
      </c>
    </row>
    <row r="193" spans="2:35" x14ac:dyDescent="0.3"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1" t="s">
        <v>146</v>
      </c>
    </row>
    <row r="194" spans="2:35" x14ac:dyDescent="0.3"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1" t="s">
        <v>147</v>
      </c>
    </row>
    <row r="195" spans="2:35" x14ac:dyDescent="0.3"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1" t="s">
        <v>148</v>
      </c>
    </row>
    <row r="196" spans="2:35" x14ac:dyDescent="0.3"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1" t="s">
        <v>149</v>
      </c>
    </row>
    <row r="197" spans="2:35" x14ac:dyDescent="0.3"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1" t="s">
        <v>150</v>
      </c>
    </row>
    <row r="198" spans="2:35" x14ac:dyDescent="0.3"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1" t="s">
        <v>151</v>
      </c>
    </row>
    <row r="199" spans="2:35" x14ac:dyDescent="0.3"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1" t="s">
        <v>152</v>
      </c>
    </row>
    <row r="200" spans="2:35" x14ac:dyDescent="0.3"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1" t="s">
        <v>153</v>
      </c>
    </row>
    <row r="201" spans="2:35" x14ac:dyDescent="0.3"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1" t="s">
        <v>154</v>
      </c>
    </row>
    <row r="202" spans="2:35" x14ac:dyDescent="0.3"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1" t="s">
        <v>155</v>
      </c>
    </row>
    <row r="203" spans="2:35" x14ac:dyDescent="0.3"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1" t="s">
        <v>156</v>
      </c>
    </row>
    <row r="204" spans="2:35" x14ac:dyDescent="0.3"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1" t="s">
        <v>157</v>
      </c>
    </row>
    <row r="206" spans="2:35" x14ac:dyDescent="0.3">
      <c r="B206" s="91" t="str">
        <f t="shared" ref="B206:G206" si="36">IF(C26="","", CONCATENATE("U",C26,C$21))</f>
        <v/>
      </c>
      <c r="C206" s="91" t="str">
        <f t="shared" si="36"/>
        <v/>
      </c>
      <c r="D206" s="91" t="str">
        <f t="shared" si="36"/>
        <v/>
      </c>
      <c r="E206" s="91" t="str">
        <f t="shared" si="36"/>
        <v/>
      </c>
      <c r="F206" s="91" t="str">
        <f t="shared" si="36"/>
        <v/>
      </c>
      <c r="G206" s="91" t="str">
        <f t="shared" si="36"/>
        <v/>
      </c>
    </row>
    <row r="207" spans="2:35" x14ac:dyDescent="0.3">
      <c r="B207" s="92">
        <f>IF(I13="", 0, O13*J13*J13+P13*K13*K13)</f>
        <v>0</v>
      </c>
      <c r="C207" s="93">
        <f>IF(I13="", 0, (O13-P13)*(J13*K13))</f>
        <v>0</v>
      </c>
      <c r="D207" s="93">
        <f>IF(I13="", 0, -Q13*K13)</f>
        <v>0</v>
      </c>
      <c r="E207" s="93">
        <f t="shared" ref="E207:F209" si="37">-B207</f>
        <v>0</v>
      </c>
      <c r="F207" s="93">
        <f t="shared" si="37"/>
        <v>0</v>
      </c>
      <c r="G207" s="93">
        <f>D207</f>
        <v>0</v>
      </c>
      <c r="H207" s="91" t="str">
        <f>B206</f>
        <v/>
      </c>
    </row>
    <row r="208" spans="2:35" x14ac:dyDescent="0.3">
      <c r="B208" s="93">
        <f>C207</f>
        <v>0</v>
      </c>
      <c r="C208" s="92">
        <f>IF(I13="", 0, O13*K13*K13+P13*J13*J13)</f>
        <v>0</v>
      </c>
      <c r="D208" s="93">
        <f>IF(I13="", 0, Q13*J13)</f>
        <v>0</v>
      </c>
      <c r="E208" s="93">
        <f t="shared" si="37"/>
        <v>0</v>
      </c>
      <c r="F208" s="93">
        <f t="shared" si="37"/>
        <v>0</v>
      </c>
      <c r="G208" s="93">
        <f>D208</f>
        <v>0</v>
      </c>
      <c r="H208" s="91" t="str">
        <f>C206</f>
        <v/>
      </c>
    </row>
    <row r="209" spans="1:35" x14ac:dyDescent="0.3">
      <c r="A209" s="94" t="s">
        <v>259</v>
      </c>
      <c r="B209" s="93">
        <f>D207</f>
        <v>0</v>
      </c>
      <c r="C209" s="93">
        <f>D208</f>
        <v>0</v>
      </c>
      <c r="D209" s="92">
        <f>IF(I13="", 0, R13)</f>
        <v>0</v>
      </c>
      <c r="E209" s="93">
        <f t="shared" si="37"/>
        <v>0</v>
      </c>
      <c r="F209" s="93">
        <f t="shared" si="37"/>
        <v>0</v>
      </c>
      <c r="G209" s="93">
        <f>IF(I13="", 0, S13)</f>
        <v>0</v>
      </c>
      <c r="H209" s="91" t="str">
        <f>D206</f>
        <v/>
      </c>
    </row>
    <row r="210" spans="1:35" x14ac:dyDescent="0.3">
      <c r="B210" s="93">
        <f>E207</f>
        <v>0</v>
      </c>
      <c r="C210" s="93">
        <f>E208</f>
        <v>0</v>
      </c>
      <c r="D210" s="93">
        <f>E209</f>
        <v>0</v>
      </c>
      <c r="E210" s="92">
        <f>B207</f>
        <v>0</v>
      </c>
      <c r="F210" s="93">
        <f>C207</f>
        <v>0</v>
      </c>
      <c r="G210" s="93">
        <f>-D207</f>
        <v>0</v>
      </c>
      <c r="H210" s="91" t="str">
        <f>E206</f>
        <v/>
      </c>
    </row>
    <row r="211" spans="1:35" x14ac:dyDescent="0.3">
      <c r="B211" s="93">
        <f>F207</f>
        <v>0</v>
      </c>
      <c r="C211" s="93">
        <f>F208</f>
        <v>0</v>
      </c>
      <c r="D211" s="93">
        <f>F209</f>
        <v>0</v>
      </c>
      <c r="E211" s="93">
        <f>F210</f>
        <v>0</v>
      </c>
      <c r="F211" s="92">
        <f>C208</f>
        <v>0</v>
      </c>
      <c r="G211" s="93">
        <f>-D208</f>
        <v>0</v>
      </c>
      <c r="H211" s="91" t="str">
        <f>F206</f>
        <v/>
      </c>
    </row>
    <row r="212" spans="1:35" x14ac:dyDescent="0.3">
      <c r="B212" s="93">
        <f>G207</f>
        <v>0</v>
      </c>
      <c r="C212" s="93">
        <f>G208</f>
        <v>0</v>
      </c>
      <c r="D212" s="93">
        <f>G209</f>
        <v>0</v>
      </c>
      <c r="E212" s="93">
        <f>G210</f>
        <v>0</v>
      </c>
      <c r="F212" s="93">
        <f>G211</f>
        <v>0</v>
      </c>
      <c r="G212" s="92">
        <f>D209</f>
        <v>0</v>
      </c>
      <c r="H212" s="91" t="str">
        <f>G206</f>
        <v/>
      </c>
    </row>
    <row r="214" spans="1:35" x14ac:dyDescent="0.3">
      <c r="B214" s="91" t="s">
        <v>125</v>
      </c>
      <c r="C214" s="91" t="s">
        <v>126</v>
      </c>
      <c r="D214" s="91" t="s">
        <v>127</v>
      </c>
      <c r="E214" s="91" t="s">
        <v>128</v>
      </c>
      <c r="F214" s="91" t="s">
        <v>129</v>
      </c>
      <c r="G214" s="91" t="s">
        <v>130</v>
      </c>
      <c r="H214" s="91" t="s">
        <v>131</v>
      </c>
      <c r="I214" s="91" t="s">
        <v>132</v>
      </c>
      <c r="J214" s="91" t="s">
        <v>133</v>
      </c>
      <c r="K214" s="91" t="s">
        <v>134</v>
      </c>
      <c r="L214" s="91" t="s">
        <v>135</v>
      </c>
      <c r="M214" s="91" t="s">
        <v>136</v>
      </c>
      <c r="N214" s="91" t="s">
        <v>137</v>
      </c>
      <c r="O214" s="91" t="s">
        <v>138</v>
      </c>
      <c r="P214" s="91" t="s">
        <v>139</v>
      </c>
      <c r="Q214" s="91" t="s">
        <v>140</v>
      </c>
      <c r="R214" s="91" t="s">
        <v>141</v>
      </c>
      <c r="S214" s="91" t="s">
        <v>142</v>
      </c>
      <c r="T214" s="91" t="s">
        <v>143</v>
      </c>
      <c r="U214" s="91" t="s">
        <v>144</v>
      </c>
      <c r="V214" s="91" t="s">
        <v>145</v>
      </c>
      <c r="W214" s="91" t="s">
        <v>146</v>
      </c>
      <c r="X214" s="91" t="s">
        <v>147</v>
      </c>
      <c r="Y214" s="91" t="s">
        <v>148</v>
      </c>
      <c r="Z214" s="91" t="s">
        <v>149</v>
      </c>
      <c r="AA214" s="91" t="s">
        <v>150</v>
      </c>
      <c r="AB214" s="91" t="s">
        <v>151</v>
      </c>
      <c r="AC214" s="91" t="s">
        <v>152</v>
      </c>
      <c r="AD214" s="91" t="s">
        <v>153</v>
      </c>
      <c r="AE214" s="91" t="s">
        <v>154</v>
      </c>
      <c r="AF214" s="91" t="s">
        <v>155</v>
      </c>
      <c r="AG214" s="91" t="s">
        <v>156</v>
      </c>
      <c r="AH214" s="91" t="s">
        <v>157</v>
      </c>
    </row>
    <row r="215" spans="1:35" x14ac:dyDescent="0.3"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1" t="s">
        <v>125</v>
      </c>
    </row>
    <row r="216" spans="1:35" x14ac:dyDescent="0.3"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1" t="s">
        <v>126</v>
      </c>
    </row>
    <row r="217" spans="1:35" x14ac:dyDescent="0.3"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1" t="s">
        <v>127</v>
      </c>
    </row>
    <row r="218" spans="1:35" x14ac:dyDescent="0.3"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1" t="s">
        <v>128</v>
      </c>
    </row>
    <row r="219" spans="1:35" x14ac:dyDescent="0.3"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1" t="s">
        <v>129</v>
      </c>
    </row>
    <row r="220" spans="1:35" x14ac:dyDescent="0.3"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1" t="s">
        <v>130</v>
      </c>
    </row>
    <row r="221" spans="1:35" x14ac:dyDescent="0.3"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1" t="s">
        <v>131</v>
      </c>
    </row>
    <row r="222" spans="1:35" x14ac:dyDescent="0.3"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1" t="s">
        <v>132</v>
      </c>
    </row>
    <row r="223" spans="1:35" x14ac:dyDescent="0.3"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1" t="s">
        <v>133</v>
      </c>
    </row>
    <row r="224" spans="1:35" x14ac:dyDescent="0.3"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1" t="s">
        <v>134</v>
      </c>
    </row>
    <row r="225" spans="1:35" x14ac:dyDescent="0.3"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1" t="s">
        <v>135</v>
      </c>
    </row>
    <row r="226" spans="1:35" x14ac:dyDescent="0.3"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1" t="s">
        <v>136</v>
      </c>
    </row>
    <row r="227" spans="1:35" x14ac:dyDescent="0.3"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>
        <f t="shared" ref="N227:S232" si="38">B207</f>
        <v>0</v>
      </c>
      <c r="O227" s="93">
        <f t="shared" si="38"/>
        <v>0</v>
      </c>
      <c r="P227" s="93">
        <f t="shared" si="38"/>
        <v>0</v>
      </c>
      <c r="Q227" s="93">
        <f t="shared" si="38"/>
        <v>0</v>
      </c>
      <c r="R227" s="93">
        <f t="shared" si="38"/>
        <v>0</v>
      </c>
      <c r="S227" s="93">
        <f t="shared" si="38"/>
        <v>0</v>
      </c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1" t="s">
        <v>137</v>
      </c>
    </row>
    <row r="228" spans="1:35" x14ac:dyDescent="0.3"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>
        <f t="shared" si="38"/>
        <v>0</v>
      </c>
      <c r="O228" s="93">
        <f t="shared" si="38"/>
        <v>0</v>
      </c>
      <c r="P228" s="93">
        <f t="shared" si="38"/>
        <v>0</v>
      </c>
      <c r="Q228" s="93">
        <f t="shared" si="38"/>
        <v>0</v>
      </c>
      <c r="R228" s="93">
        <f t="shared" si="38"/>
        <v>0</v>
      </c>
      <c r="S228" s="93">
        <f t="shared" si="38"/>
        <v>0</v>
      </c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1" t="s">
        <v>138</v>
      </c>
    </row>
    <row r="229" spans="1:35" x14ac:dyDescent="0.3"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>
        <f t="shared" si="38"/>
        <v>0</v>
      </c>
      <c r="O229" s="93">
        <f t="shared" si="38"/>
        <v>0</v>
      </c>
      <c r="P229" s="93">
        <f t="shared" si="38"/>
        <v>0</v>
      </c>
      <c r="Q229" s="93">
        <f t="shared" si="38"/>
        <v>0</v>
      </c>
      <c r="R229" s="93">
        <f t="shared" si="38"/>
        <v>0</v>
      </c>
      <c r="S229" s="93">
        <f t="shared" si="38"/>
        <v>0</v>
      </c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1" t="s">
        <v>139</v>
      </c>
    </row>
    <row r="230" spans="1:35" x14ac:dyDescent="0.3">
      <c r="A230" s="94" t="s">
        <v>259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>
        <f t="shared" si="38"/>
        <v>0</v>
      </c>
      <c r="O230" s="93">
        <f t="shared" si="38"/>
        <v>0</v>
      </c>
      <c r="P230" s="93">
        <f t="shared" si="38"/>
        <v>0</v>
      </c>
      <c r="Q230" s="93">
        <f t="shared" si="38"/>
        <v>0</v>
      </c>
      <c r="R230" s="93">
        <f t="shared" si="38"/>
        <v>0</v>
      </c>
      <c r="S230" s="93">
        <f t="shared" si="38"/>
        <v>0</v>
      </c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1" t="s">
        <v>140</v>
      </c>
    </row>
    <row r="231" spans="1:35" x14ac:dyDescent="0.3"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>
        <f t="shared" si="38"/>
        <v>0</v>
      </c>
      <c r="O231" s="93">
        <f t="shared" si="38"/>
        <v>0</v>
      </c>
      <c r="P231" s="93">
        <f t="shared" si="38"/>
        <v>0</v>
      </c>
      <c r="Q231" s="93">
        <f t="shared" si="38"/>
        <v>0</v>
      </c>
      <c r="R231" s="93">
        <f t="shared" si="38"/>
        <v>0</v>
      </c>
      <c r="S231" s="93">
        <f t="shared" si="38"/>
        <v>0</v>
      </c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1" t="s">
        <v>141</v>
      </c>
    </row>
    <row r="232" spans="1:35" x14ac:dyDescent="0.3"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>
        <f t="shared" si="38"/>
        <v>0</v>
      </c>
      <c r="O232" s="93">
        <f t="shared" si="38"/>
        <v>0</v>
      </c>
      <c r="P232" s="93">
        <f t="shared" si="38"/>
        <v>0</v>
      </c>
      <c r="Q232" s="93">
        <f t="shared" si="38"/>
        <v>0</v>
      </c>
      <c r="R232" s="93">
        <f t="shared" si="38"/>
        <v>0</v>
      </c>
      <c r="S232" s="93">
        <f t="shared" si="38"/>
        <v>0</v>
      </c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1" t="s">
        <v>142</v>
      </c>
    </row>
    <row r="233" spans="1:35" x14ac:dyDescent="0.3"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1" t="s">
        <v>143</v>
      </c>
    </row>
    <row r="234" spans="1:35" x14ac:dyDescent="0.3"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1" t="s">
        <v>144</v>
      </c>
    </row>
    <row r="235" spans="1:35" x14ac:dyDescent="0.3"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1" t="s">
        <v>145</v>
      </c>
    </row>
    <row r="236" spans="1:35" x14ac:dyDescent="0.3"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1" t="s">
        <v>146</v>
      </c>
    </row>
    <row r="237" spans="1:35" x14ac:dyDescent="0.3"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1" t="s">
        <v>147</v>
      </c>
    </row>
    <row r="238" spans="1:35" x14ac:dyDescent="0.3"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1" t="s">
        <v>148</v>
      </c>
    </row>
    <row r="239" spans="1:35" x14ac:dyDescent="0.3"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1" t="s">
        <v>149</v>
      </c>
    </row>
    <row r="240" spans="1:35" x14ac:dyDescent="0.3"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1" t="s">
        <v>150</v>
      </c>
    </row>
    <row r="241" spans="1:35" x14ac:dyDescent="0.3"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1" t="s">
        <v>151</v>
      </c>
    </row>
    <row r="242" spans="1:35" x14ac:dyDescent="0.3"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1" t="s">
        <v>152</v>
      </c>
    </row>
    <row r="243" spans="1:35" x14ac:dyDescent="0.3"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1" t="s">
        <v>153</v>
      </c>
    </row>
    <row r="244" spans="1:35" x14ac:dyDescent="0.3"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1" t="s">
        <v>154</v>
      </c>
    </row>
    <row r="245" spans="1:35" x14ac:dyDescent="0.3"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1" t="s">
        <v>155</v>
      </c>
    </row>
    <row r="246" spans="1:35" x14ac:dyDescent="0.3"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1" t="s">
        <v>156</v>
      </c>
    </row>
    <row r="247" spans="1:35" x14ac:dyDescent="0.3"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1" t="s">
        <v>157</v>
      </c>
    </row>
    <row r="249" spans="1:35" x14ac:dyDescent="0.3">
      <c r="B249" s="91" t="str">
        <f t="shared" ref="B249:G249" si="39">IF(C27="","", CONCATENATE("U",C27,C$21))</f>
        <v/>
      </c>
      <c r="C249" s="91" t="str">
        <f t="shared" si="39"/>
        <v/>
      </c>
      <c r="D249" s="91" t="str">
        <f t="shared" si="39"/>
        <v/>
      </c>
      <c r="E249" s="91" t="str">
        <f t="shared" si="39"/>
        <v/>
      </c>
      <c r="F249" s="91" t="str">
        <f t="shared" si="39"/>
        <v/>
      </c>
      <c r="G249" s="91" t="str">
        <f t="shared" si="39"/>
        <v/>
      </c>
    </row>
    <row r="250" spans="1:35" x14ac:dyDescent="0.3">
      <c r="B250" s="92">
        <f>IF(I14="", 0, O14*J14*J14+P14*K14*K14)</f>
        <v>0</v>
      </c>
      <c r="C250" s="93">
        <f>IF(I14="", 0, (O14-P14)*(J14*K14))</f>
        <v>0</v>
      </c>
      <c r="D250" s="93">
        <f>IF(I14="", 0, -Q14*K14)</f>
        <v>0</v>
      </c>
      <c r="E250" s="93">
        <f t="shared" ref="E250:F252" si="40">-B250</f>
        <v>0</v>
      </c>
      <c r="F250" s="93">
        <f t="shared" si="40"/>
        <v>0</v>
      </c>
      <c r="G250" s="93">
        <f>D250</f>
        <v>0</v>
      </c>
      <c r="H250" s="91" t="str">
        <f>B249</f>
        <v/>
      </c>
    </row>
    <row r="251" spans="1:35" x14ac:dyDescent="0.3">
      <c r="B251" s="93">
        <f>C250</f>
        <v>0</v>
      </c>
      <c r="C251" s="92">
        <f>IF(I14="", 0, O14*K14*K14+P14*J14*J14)</f>
        <v>0</v>
      </c>
      <c r="D251" s="93">
        <f>IF(I14="", 0, Q14*J14)</f>
        <v>0</v>
      </c>
      <c r="E251" s="93">
        <f t="shared" si="40"/>
        <v>0</v>
      </c>
      <c r="F251" s="93">
        <f t="shared" si="40"/>
        <v>0</v>
      </c>
      <c r="G251" s="93">
        <f>D251</f>
        <v>0</v>
      </c>
      <c r="H251" s="91" t="str">
        <f>C249</f>
        <v/>
      </c>
    </row>
    <row r="252" spans="1:35" x14ac:dyDescent="0.3">
      <c r="A252" s="94" t="s">
        <v>260</v>
      </c>
      <c r="B252" s="93">
        <f>D250</f>
        <v>0</v>
      </c>
      <c r="C252" s="93">
        <f>D251</f>
        <v>0</v>
      </c>
      <c r="D252" s="92">
        <f>IF(I14="", 0, R14)</f>
        <v>0</v>
      </c>
      <c r="E252" s="93">
        <f t="shared" si="40"/>
        <v>0</v>
      </c>
      <c r="F252" s="93">
        <f t="shared" si="40"/>
        <v>0</v>
      </c>
      <c r="G252" s="93">
        <f>IF(I14="", 0, S14)</f>
        <v>0</v>
      </c>
      <c r="H252" s="91" t="str">
        <f>D249</f>
        <v/>
      </c>
    </row>
    <row r="253" spans="1:35" x14ac:dyDescent="0.3">
      <c r="B253" s="93">
        <f>E250</f>
        <v>0</v>
      </c>
      <c r="C253" s="93">
        <f>E251</f>
        <v>0</v>
      </c>
      <c r="D253" s="93">
        <f>E252</f>
        <v>0</v>
      </c>
      <c r="E253" s="92">
        <f>B250</f>
        <v>0</v>
      </c>
      <c r="F253" s="93">
        <f>C250</f>
        <v>0</v>
      </c>
      <c r="G253" s="93">
        <f>-D250</f>
        <v>0</v>
      </c>
      <c r="H253" s="91" t="str">
        <f>E249</f>
        <v/>
      </c>
    </row>
    <row r="254" spans="1:35" x14ac:dyDescent="0.3">
      <c r="B254" s="93">
        <f>F250</f>
        <v>0</v>
      </c>
      <c r="C254" s="93">
        <f>F251</f>
        <v>0</v>
      </c>
      <c r="D254" s="93">
        <f>F252</f>
        <v>0</v>
      </c>
      <c r="E254" s="93">
        <f>F253</f>
        <v>0</v>
      </c>
      <c r="F254" s="92">
        <f>C251</f>
        <v>0</v>
      </c>
      <c r="G254" s="93">
        <f>-D251</f>
        <v>0</v>
      </c>
      <c r="H254" s="91" t="str">
        <f>F249</f>
        <v/>
      </c>
    </row>
    <row r="255" spans="1:35" x14ac:dyDescent="0.3">
      <c r="B255" s="93">
        <f>G250</f>
        <v>0</v>
      </c>
      <c r="C255" s="93">
        <f>G251</f>
        <v>0</v>
      </c>
      <c r="D255" s="93">
        <f>G252</f>
        <v>0</v>
      </c>
      <c r="E255" s="93">
        <f>G253</f>
        <v>0</v>
      </c>
      <c r="F255" s="93">
        <f>G254</f>
        <v>0</v>
      </c>
      <c r="G255" s="92">
        <f>D252</f>
        <v>0</v>
      </c>
      <c r="H255" s="91" t="str">
        <f>G249</f>
        <v/>
      </c>
    </row>
    <row r="257" spans="2:35" x14ac:dyDescent="0.3">
      <c r="B257" s="91" t="s">
        <v>125</v>
      </c>
      <c r="C257" s="91" t="s">
        <v>126</v>
      </c>
      <c r="D257" s="91" t="s">
        <v>127</v>
      </c>
      <c r="E257" s="91" t="s">
        <v>128</v>
      </c>
      <c r="F257" s="91" t="s">
        <v>129</v>
      </c>
      <c r="G257" s="91" t="s">
        <v>130</v>
      </c>
      <c r="H257" s="91" t="s">
        <v>131</v>
      </c>
      <c r="I257" s="91" t="s">
        <v>132</v>
      </c>
      <c r="J257" s="91" t="s">
        <v>133</v>
      </c>
      <c r="K257" s="91" t="s">
        <v>134</v>
      </c>
      <c r="L257" s="91" t="s">
        <v>135</v>
      </c>
      <c r="M257" s="91" t="s">
        <v>136</v>
      </c>
      <c r="N257" s="91" t="s">
        <v>137</v>
      </c>
      <c r="O257" s="91" t="s">
        <v>138</v>
      </c>
      <c r="P257" s="91" t="s">
        <v>139</v>
      </c>
      <c r="Q257" s="91" t="s">
        <v>140</v>
      </c>
      <c r="R257" s="91" t="s">
        <v>141</v>
      </c>
      <c r="S257" s="91" t="s">
        <v>142</v>
      </c>
      <c r="T257" s="91" t="s">
        <v>143</v>
      </c>
      <c r="U257" s="91" t="s">
        <v>144</v>
      </c>
      <c r="V257" s="91" t="s">
        <v>145</v>
      </c>
      <c r="W257" s="91" t="s">
        <v>146</v>
      </c>
      <c r="X257" s="91" t="s">
        <v>147</v>
      </c>
      <c r="Y257" s="91" t="s">
        <v>148</v>
      </c>
      <c r="Z257" s="91" t="s">
        <v>149</v>
      </c>
      <c r="AA257" s="91" t="s">
        <v>150</v>
      </c>
      <c r="AB257" s="91" t="s">
        <v>151</v>
      </c>
      <c r="AC257" s="91" t="s">
        <v>152</v>
      </c>
      <c r="AD257" s="91" t="s">
        <v>153</v>
      </c>
      <c r="AE257" s="91" t="s">
        <v>154</v>
      </c>
      <c r="AF257" s="91" t="s">
        <v>155</v>
      </c>
      <c r="AG257" s="91" t="s">
        <v>156</v>
      </c>
      <c r="AH257" s="91" t="s">
        <v>157</v>
      </c>
    </row>
    <row r="258" spans="2:35" x14ac:dyDescent="0.3"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1" t="s">
        <v>125</v>
      </c>
    </row>
    <row r="259" spans="2:35" x14ac:dyDescent="0.3"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1" t="s">
        <v>126</v>
      </c>
    </row>
    <row r="260" spans="2:35" x14ac:dyDescent="0.3"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1" t="s">
        <v>127</v>
      </c>
    </row>
    <row r="261" spans="2:35" x14ac:dyDescent="0.3"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1" t="s">
        <v>128</v>
      </c>
    </row>
    <row r="262" spans="2:35" x14ac:dyDescent="0.3"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1" t="s">
        <v>129</v>
      </c>
    </row>
    <row r="263" spans="2:35" x14ac:dyDescent="0.3"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1" t="s">
        <v>130</v>
      </c>
    </row>
    <row r="264" spans="2:35" x14ac:dyDescent="0.3"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1" t="s">
        <v>131</v>
      </c>
    </row>
    <row r="265" spans="2:35" x14ac:dyDescent="0.3"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1" t="s">
        <v>132</v>
      </c>
    </row>
    <row r="266" spans="2:35" x14ac:dyDescent="0.3"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1" t="s">
        <v>133</v>
      </c>
    </row>
    <row r="267" spans="2:35" x14ac:dyDescent="0.3"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1" t="s">
        <v>134</v>
      </c>
    </row>
    <row r="268" spans="2:35" x14ac:dyDescent="0.3"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1" t="s">
        <v>135</v>
      </c>
    </row>
    <row r="269" spans="2:35" x14ac:dyDescent="0.3"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1" t="s">
        <v>136</v>
      </c>
    </row>
    <row r="270" spans="2:35" x14ac:dyDescent="0.3"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1" t="s">
        <v>137</v>
      </c>
    </row>
    <row r="271" spans="2:35" x14ac:dyDescent="0.3"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1" t="s">
        <v>138</v>
      </c>
    </row>
    <row r="272" spans="2:35" x14ac:dyDescent="0.3"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1" t="s">
        <v>139</v>
      </c>
    </row>
    <row r="273" spans="1:35" x14ac:dyDescent="0.3">
      <c r="A273" s="94" t="s">
        <v>260</v>
      </c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>
        <f t="shared" ref="Q273:V278" si="41">B250</f>
        <v>0</v>
      </c>
      <c r="R273" s="93">
        <f t="shared" si="41"/>
        <v>0</v>
      </c>
      <c r="S273" s="93">
        <f t="shared" si="41"/>
        <v>0</v>
      </c>
      <c r="T273" s="93">
        <f t="shared" si="41"/>
        <v>0</v>
      </c>
      <c r="U273" s="93">
        <f t="shared" si="41"/>
        <v>0</v>
      </c>
      <c r="V273" s="93">
        <f t="shared" si="41"/>
        <v>0</v>
      </c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1" t="s">
        <v>140</v>
      </c>
    </row>
    <row r="274" spans="1:35" x14ac:dyDescent="0.3"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>
        <f t="shared" si="41"/>
        <v>0</v>
      </c>
      <c r="R274" s="93">
        <f t="shared" si="41"/>
        <v>0</v>
      </c>
      <c r="S274" s="93">
        <f t="shared" si="41"/>
        <v>0</v>
      </c>
      <c r="T274" s="93">
        <f t="shared" si="41"/>
        <v>0</v>
      </c>
      <c r="U274" s="93">
        <f t="shared" si="41"/>
        <v>0</v>
      </c>
      <c r="V274" s="93">
        <f t="shared" si="41"/>
        <v>0</v>
      </c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1" t="s">
        <v>141</v>
      </c>
    </row>
    <row r="275" spans="1:35" x14ac:dyDescent="0.3"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>
        <f t="shared" si="41"/>
        <v>0</v>
      </c>
      <c r="R275" s="93">
        <f t="shared" si="41"/>
        <v>0</v>
      </c>
      <c r="S275" s="93">
        <f t="shared" si="41"/>
        <v>0</v>
      </c>
      <c r="T275" s="93">
        <f t="shared" si="41"/>
        <v>0</v>
      </c>
      <c r="U275" s="93">
        <f t="shared" si="41"/>
        <v>0</v>
      </c>
      <c r="V275" s="93">
        <f t="shared" si="41"/>
        <v>0</v>
      </c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1" t="s">
        <v>142</v>
      </c>
    </row>
    <row r="276" spans="1:35" x14ac:dyDescent="0.3"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>
        <f t="shared" si="41"/>
        <v>0</v>
      </c>
      <c r="R276" s="93">
        <f t="shared" si="41"/>
        <v>0</v>
      </c>
      <c r="S276" s="93">
        <f t="shared" si="41"/>
        <v>0</v>
      </c>
      <c r="T276" s="93">
        <f t="shared" si="41"/>
        <v>0</v>
      </c>
      <c r="U276" s="93">
        <f t="shared" si="41"/>
        <v>0</v>
      </c>
      <c r="V276" s="93">
        <f t="shared" si="41"/>
        <v>0</v>
      </c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1" t="s">
        <v>143</v>
      </c>
    </row>
    <row r="277" spans="1:35" x14ac:dyDescent="0.3"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>
        <f t="shared" si="41"/>
        <v>0</v>
      </c>
      <c r="R277" s="93">
        <f t="shared" si="41"/>
        <v>0</v>
      </c>
      <c r="S277" s="93">
        <f t="shared" si="41"/>
        <v>0</v>
      </c>
      <c r="T277" s="93">
        <f t="shared" si="41"/>
        <v>0</v>
      </c>
      <c r="U277" s="93">
        <f t="shared" si="41"/>
        <v>0</v>
      </c>
      <c r="V277" s="93">
        <f t="shared" si="41"/>
        <v>0</v>
      </c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1" t="s">
        <v>144</v>
      </c>
    </row>
    <row r="278" spans="1:35" x14ac:dyDescent="0.3"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>
        <f t="shared" si="41"/>
        <v>0</v>
      </c>
      <c r="R278" s="93">
        <f t="shared" si="41"/>
        <v>0</v>
      </c>
      <c r="S278" s="93">
        <f t="shared" si="41"/>
        <v>0</v>
      </c>
      <c r="T278" s="93">
        <f t="shared" si="41"/>
        <v>0</v>
      </c>
      <c r="U278" s="93">
        <f t="shared" si="41"/>
        <v>0</v>
      </c>
      <c r="V278" s="93">
        <f t="shared" si="41"/>
        <v>0</v>
      </c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1" t="s">
        <v>145</v>
      </c>
    </row>
    <row r="279" spans="1:35" x14ac:dyDescent="0.3"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1" t="s">
        <v>146</v>
      </c>
    </row>
    <row r="280" spans="1:35" x14ac:dyDescent="0.3"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1" t="s">
        <v>147</v>
      </c>
    </row>
    <row r="281" spans="1:35" x14ac:dyDescent="0.3"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1" t="s">
        <v>148</v>
      </c>
    </row>
    <row r="282" spans="1:35" x14ac:dyDescent="0.3"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1" t="s">
        <v>149</v>
      </c>
    </row>
    <row r="283" spans="1:35" x14ac:dyDescent="0.3"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1" t="s">
        <v>150</v>
      </c>
    </row>
    <row r="284" spans="1:35" x14ac:dyDescent="0.3"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1" t="s">
        <v>151</v>
      </c>
    </row>
    <row r="285" spans="1:35" x14ac:dyDescent="0.3"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1" t="s">
        <v>152</v>
      </c>
    </row>
    <row r="286" spans="1:35" x14ac:dyDescent="0.3"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1" t="s">
        <v>153</v>
      </c>
    </row>
    <row r="287" spans="1:35" x14ac:dyDescent="0.3"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1" t="s">
        <v>154</v>
      </c>
    </row>
    <row r="288" spans="1:35" x14ac:dyDescent="0.3"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1" t="s">
        <v>155</v>
      </c>
    </row>
    <row r="289" spans="1:35" x14ac:dyDescent="0.3"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1" t="s">
        <v>156</v>
      </c>
    </row>
    <row r="290" spans="1:35" x14ac:dyDescent="0.3"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1" t="s">
        <v>157</v>
      </c>
    </row>
    <row r="292" spans="1:35" x14ac:dyDescent="0.3">
      <c r="B292" s="91" t="str">
        <f t="shared" ref="B292:G292" si="42">IF(C28="","", CONCATENATE("U",C28,C$21))</f>
        <v/>
      </c>
      <c r="C292" s="91" t="str">
        <f t="shared" si="42"/>
        <v/>
      </c>
      <c r="D292" s="91" t="str">
        <f t="shared" si="42"/>
        <v/>
      </c>
      <c r="E292" s="91" t="str">
        <f t="shared" si="42"/>
        <v/>
      </c>
      <c r="F292" s="91" t="str">
        <f t="shared" si="42"/>
        <v/>
      </c>
      <c r="G292" s="91" t="str">
        <f t="shared" si="42"/>
        <v/>
      </c>
    </row>
    <row r="293" spans="1:35" x14ac:dyDescent="0.3">
      <c r="B293" s="92">
        <f>IF(I15="", 0, O15*J15*J15+P15*K15*K15)</f>
        <v>0</v>
      </c>
      <c r="C293" s="93">
        <f>IF(I15="", 0, (O15-P15)*(J15*K15))</f>
        <v>0</v>
      </c>
      <c r="D293" s="93">
        <f>IF(I15="", 0, -Q15*K15)</f>
        <v>0</v>
      </c>
      <c r="E293" s="93">
        <f t="shared" ref="E293:F295" si="43">-B293</f>
        <v>0</v>
      </c>
      <c r="F293" s="93">
        <f t="shared" si="43"/>
        <v>0</v>
      </c>
      <c r="G293" s="93">
        <f>D293</f>
        <v>0</v>
      </c>
      <c r="H293" s="91" t="str">
        <f>B292</f>
        <v/>
      </c>
    </row>
    <row r="294" spans="1:35" x14ac:dyDescent="0.3">
      <c r="B294" s="93">
        <f>C293</f>
        <v>0</v>
      </c>
      <c r="C294" s="92">
        <f>IF(I15="", 0, O15*K15*K15+P15*J15*J15)</f>
        <v>0</v>
      </c>
      <c r="D294" s="93">
        <f>IF(I15="", 0, Q15*J15)</f>
        <v>0</v>
      </c>
      <c r="E294" s="93">
        <f t="shared" si="43"/>
        <v>0</v>
      </c>
      <c r="F294" s="93">
        <f t="shared" si="43"/>
        <v>0</v>
      </c>
      <c r="G294" s="93">
        <f>D294</f>
        <v>0</v>
      </c>
      <c r="H294" s="91" t="str">
        <f>C292</f>
        <v/>
      </c>
    </row>
    <row r="295" spans="1:35" x14ac:dyDescent="0.3">
      <c r="A295" s="94" t="s">
        <v>261</v>
      </c>
      <c r="B295" s="93">
        <f>D293</f>
        <v>0</v>
      </c>
      <c r="C295" s="93">
        <f>D294</f>
        <v>0</v>
      </c>
      <c r="D295" s="92">
        <f>IF(I15="", 0, R15)</f>
        <v>0</v>
      </c>
      <c r="E295" s="93">
        <f t="shared" si="43"/>
        <v>0</v>
      </c>
      <c r="F295" s="93">
        <f t="shared" si="43"/>
        <v>0</v>
      </c>
      <c r="G295" s="93">
        <f>IF(I15="", 0, S15)</f>
        <v>0</v>
      </c>
      <c r="H295" s="91" t="str">
        <f>D292</f>
        <v/>
      </c>
    </row>
    <row r="296" spans="1:35" x14ac:dyDescent="0.3">
      <c r="B296" s="93">
        <f>E293</f>
        <v>0</v>
      </c>
      <c r="C296" s="93">
        <f>E294</f>
        <v>0</v>
      </c>
      <c r="D296" s="93">
        <f>E295</f>
        <v>0</v>
      </c>
      <c r="E296" s="92">
        <f>B293</f>
        <v>0</v>
      </c>
      <c r="F296" s="93">
        <f>C293</f>
        <v>0</v>
      </c>
      <c r="G296" s="93">
        <f>-D293</f>
        <v>0</v>
      </c>
      <c r="H296" s="91" t="str">
        <f>E292</f>
        <v/>
      </c>
    </row>
    <row r="297" spans="1:35" x14ac:dyDescent="0.3">
      <c r="B297" s="93">
        <f>F293</f>
        <v>0</v>
      </c>
      <c r="C297" s="93">
        <f>F294</f>
        <v>0</v>
      </c>
      <c r="D297" s="93">
        <f>F295</f>
        <v>0</v>
      </c>
      <c r="E297" s="93">
        <f>F296</f>
        <v>0</v>
      </c>
      <c r="F297" s="92">
        <f>C294</f>
        <v>0</v>
      </c>
      <c r="G297" s="93">
        <f>-D294</f>
        <v>0</v>
      </c>
      <c r="H297" s="91" t="str">
        <f>F292</f>
        <v/>
      </c>
    </row>
    <row r="298" spans="1:35" x14ac:dyDescent="0.3">
      <c r="B298" s="93">
        <f>G293</f>
        <v>0</v>
      </c>
      <c r="C298" s="93">
        <f>G294</f>
        <v>0</v>
      </c>
      <c r="D298" s="93">
        <f>G295</f>
        <v>0</v>
      </c>
      <c r="E298" s="93">
        <f>G296</f>
        <v>0</v>
      </c>
      <c r="F298" s="93">
        <f>G297</f>
        <v>0</v>
      </c>
      <c r="G298" s="92">
        <f>D295</f>
        <v>0</v>
      </c>
      <c r="H298" s="91" t="str">
        <f>G292</f>
        <v/>
      </c>
    </row>
    <row r="300" spans="1:35" x14ac:dyDescent="0.3">
      <c r="B300" s="91" t="s">
        <v>125</v>
      </c>
      <c r="C300" s="91" t="s">
        <v>126</v>
      </c>
      <c r="D300" s="91" t="s">
        <v>127</v>
      </c>
      <c r="E300" s="91" t="s">
        <v>128</v>
      </c>
      <c r="F300" s="91" t="s">
        <v>129</v>
      </c>
      <c r="G300" s="91" t="s">
        <v>130</v>
      </c>
      <c r="H300" s="91" t="s">
        <v>131</v>
      </c>
      <c r="I300" s="91" t="s">
        <v>132</v>
      </c>
      <c r="J300" s="91" t="s">
        <v>133</v>
      </c>
      <c r="K300" s="91" t="s">
        <v>134</v>
      </c>
      <c r="L300" s="91" t="s">
        <v>135</v>
      </c>
      <c r="M300" s="91" t="s">
        <v>136</v>
      </c>
      <c r="N300" s="91" t="s">
        <v>137</v>
      </c>
      <c r="O300" s="91" t="s">
        <v>138</v>
      </c>
      <c r="P300" s="91" t="s">
        <v>139</v>
      </c>
      <c r="Q300" s="91" t="s">
        <v>140</v>
      </c>
      <c r="R300" s="91" t="s">
        <v>141</v>
      </c>
      <c r="S300" s="91" t="s">
        <v>142</v>
      </c>
      <c r="T300" s="91" t="s">
        <v>143</v>
      </c>
      <c r="U300" s="91" t="s">
        <v>144</v>
      </c>
      <c r="V300" s="91" t="s">
        <v>145</v>
      </c>
      <c r="W300" s="91" t="s">
        <v>146</v>
      </c>
      <c r="X300" s="91" t="s">
        <v>147</v>
      </c>
      <c r="Y300" s="91" t="s">
        <v>148</v>
      </c>
      <c r="Z300" s="91" t="s">
        <v>149</v>
      </c>
      <c r="AA300" s="91" t="s">
        <v>150</v>
      </c>
      <c r="AB300" s="91" t="s">
        <v>151</v>
      </c>
      <c r="AC300" s="91" t="s">
        <v>152</v>
      </c>
      <c r="AD300" s="91" t="s">
        <v>153</v>
      </c>
      <c r="AE300" s="91" t="s">
        <v>154</v>
      </c>
      <c r="AF300" s="91" t="s">
        <v>155</v>
      </c>
      <c r="AG300" s="91" t="s">
        <v>156</v>
      </c>
      <c r="AH300" s="91" t="s">
        <v>157</v>
      </c>
    </row>
    <row r="301" spans="1:35" x14ac:dyDescent="0.3"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1" t="s">
        <v>125</v>
      </c>
    </row>
    <row r="302" spans="1:35" x14ac:dyDescent="0.3"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1" t="s">
        <v>126</v>
      </c>
    </row>
    <row r="303" spans="1:35" x14ac:dyDescent="0.3"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1" t="s">
        <v>127</v>
      </c>
    </row>
    <row r="304" spans="1:35" x14ac:dyDescent="0.3"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1" t="s">
        <v>128</v>
      </c>
    </row>
    <row r="305" spans="1:35" x14ac:dyDescent="0.3"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1" t="s">
        <v>129</v>
      </c>
    </row>
    <row r="306" spans="1:35" x14ac:dyDescent="0.3"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1" t="s">
        <v>130</v>
      </c>
    </row>
    <row r="307" spans="1:35" x14ac:dyDescent="0.3"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1" t="s">
        <v>131</v>
      </c>
    </row>
    <row r="308" spans="1:35" x14ac:dyDescent="0.3"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1" t="s">
        <v>132</v>
      </c>
    </row>
    <row r="309" spans="1:35" x14ac:dyDescent="0.3"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1" t="s">
        <v>133</v>
      </c>
    </row>
    <row r="310" spans="1:35" x14ac:dyDescent="0.3"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1" t="s">
        <v>134</v>
      </c>
    </row>
    <row r="311" spans="1:35" x14ac:dyDescent="0.3"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1" t="s">
        <v>135</v>
      </c>
    </row>
    <row r="312" spans="1:35" x14ac:dyDescent="0.3"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1" t="s">
        <v>136</v>
      </c>
    </row>
    <row r="313" spans="1:35" x14ac:dyDescent="0.3"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1" t="s">
        <v>137</v>
      </c>
    </row>
    <row r="314" spans="1:35" x14ac:dyDescent="0.3"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1" t="s">
        <v>138</v>
      </c>
    </row>
    <row r="315" spans="1:35" x14ac:dyDescent="0.3"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1" t="s">
        <v>139</v>
      </c>
    </row>
    <row r="316" spans="1:35" x14ac:dyDescent="0.3">
      <c r="A316" s="94" t="s">
        <v>261</v>
      </c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1" t="s">
        <v>140</v>
      </c>
    </row>
    <row r="317" spans="1:35" x14ac:dyDescent="0.3"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1" t="s">
        <v>141</v>
      </c>
    </row>
    <row r="318" spans="1:35" x14ac:dyDescent="0.3"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1" t="s">
        <v>142</v>
      </c>
    </row>
    <row r="319" spans="1:35" x14ac:dyDescent="0.3"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>
        <f t="shared" ref="T319:Y324" si="44">B293</f>
        <v>0</v>
      </c>
      <c r="U319" s="93">
        <f t="shared" si="44"/>
        <v>0</v>
      </c>
      <c r="V319" s="93">
        <f t="shared" si="44"/>
        <v>0</v>
      </c>
      <c r="W319" s="93">
        <f t="shared" si="44"/>
        <v>0</v>
      </c>
      <c r="X319" s="93">
        <f t="shared" si="44"/>
        <v>0</v>
      </c>
      <c r="Y319" s="93">
        <f t="shared" si="44"/>
        <v>0</v>
      </c>
      <c r="Z319" s="93"/>
      <c r="AA319" s="93"/>
      <c r="AB319" s="93"/>
      <c r="AC319" s="93"/>
      <c r="AD319" s="93"/>
      <c r="AE319" s="93"/>
      <c r="AF319" s="93"/>
      <c r="AG319" s="93"/>
      <c r="AH319" s="93"/>
      <c r="AI319" s="91" t="s">
        <v>143</v>
      </c>
    </row>
    <row r="320" spans="1:35" x14ac:dyDescent="0.3"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>
        <f t="shared" si="44"/>
        <v>0</v>
      </c>
      <c r="U320" s="93">
        <f t="shared" si="44"/>
        <v>0</v>
      </c>
      <c r="V320" s="93">
        <f t="shared" si="44"/>
        <v>0</v>
      </c>
      <c r="W320" s="93">
        <f t="shared" si="44"/>
        <v>0</v>
      </c>
      <c r="X320" s="93">
        <f t="shared" si="44"/>
        <v>0</v>
      </c>
      <c r="Y320" s="93">
        <f t="shared" si="44"/>
        <v>0</v>
      </c>
      <c r="Z320" s="93"/>
      <c r="AA320" s="93"/>
      <c r="AB320" s="93"/>
      <c r="AC320" s="93"/>
      <c r="AD320" s="93"/>
      <c r="AE320" s="93"/>
      <c r="AF320" s="93"/>
      <c r="AG320" s="93"/>
      <c r="AH320" s="93"/>
      <c r="AI320" s="91" t="s">
        <v>144</v>
      </c>
    </row>
    <row r="321" spans="2:35" x14ac:dyDescent="0.3"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>
        <f t="shared" si="44"/>
        <v>0</v>
      </c>
      <c r="U321" s="93">
        <f t="shared" si="44"/>
        <v>0</v>
      </c>
      <c r="V321" s="93">
        <f t="shared" si="44"/>
        <v>0</v>
      </c>
      <c r="W321" s="93">
        <f t="shared" si="44"/>
        <v>0</v>
      </c>
      <c r="X321" s="93">
        <f t="shared" si="44"/>
        <v>0</v>
      </c>
      <c r="Y321" s="93">
        <f t="shared" si="44"/>
        <v>0</v>
      </c>
      <c r="Z321" s="93"/>
      <c r="AA321" s="93"/>
      <c r="AB321" s="93"/>
      <c r="AC321" s="93"/>
      <c r="AD321" s="93"/>
      <c r="AE321" s="93"/>
      <c r="AF321" s="93"/>
      <c r="AG321" s="93"/>
      <c r="AH321" s="93"/>
      <c r="AI321" s="91" t="s">
        <v>145</v>
      </c>
    </row>
    <row r="322" spans="2:35" x14ac:dyDescent="0.3"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>
        <f t="shared" si="44"/>
        <v>0</v>
      </c>
      <c r="U322" s="93">
        <f t="shared" si="44"/>
        <v>0</v>
      </c>
      <c r="V322" s="93">
        <f t="shared" si="44"/>
        <v>0</v>
      </c>
      <c r="W322" s="93">
        <f t="shared" si="44"/>
        <v>0</v>
      </c>
      <c r="X322" s="93">
        <f t="shared" si="44"/>
        <v>0</v>
      </c>
      <c r="Y322" s="93">
        <f t="shared" si="44"/>
        <v>0</v>
      </c>
      <c r="Z322" s="93"/>
      <c r="AA322" s="93"/>
      <c r="AB322" s="93"/>
      <c r="AC322" s="93"/>
      <c r="AD322" s="93"/>
      <c r="AE322" s="93"/>
      <c r="AF322" s="93"/>
      <c r="AG322" s="93"/>
      <c r="AH322" s="93"/>
      <c r="AI322" s="91" t="s">
        <v>146</v>
      </c>
    </row>
    <row r="323" spans="2:35" x14ac:dyDescent="0.3"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>
        <f t="shared" si="44"/>
        <v>0</v>
      </c>
      <c r="U323" s="93">
        <f t="shared" si="44"/>
        <v>0</v>
      </c>
      <c r="V323" s="93">
        <f t="shared" si="44"/>
        <v>0</v>
      </c>
      <c r="W323" s="93">
        <f t="shared" si="44"/>
        <v>0</v>
      </c>
      <c r="X323" s="93">
        <f t="shared" si="44"/>
        <v>0</v>
      </c>
      <c r="Y323" s="93">
        <f t="shared" si="44"/>
        <v>0</v>
      </c>
      <c r="Z323" s="93"/>
      <c r="AA323" s="93"/>
      <c r="AB323" s="93"/>
      <c r="AC323" s="93"/>
      <c r="AD323" s="93"/>
      <c r="AE323" s="93"/>
      <c r="AF323" s="93"/>
      <c r="AG323" s="93"/>
      <c r="AH323" s="93"/>
      <c r="AI323" s="91" t="s">
        <v>147</v>
      </c>
    </row>
    <row r="324" spans="2:35" x14ac:dyDescent="0.3"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>
        <f t="shared" si="44"/>
        <v>0</v>
      </c>
      <c r="U324" s="93">
        <f t="shared" si="44"/>
        <v>0</v>
      </c>
      <c r="V324" s="93">
        <f t="shared" si="44"/>
        <v>0</v>
      </c>
      <c r="W324" s="93">
        <f t="shared" si="44"/>
        <v>0</v>
      </c>
      <c r="X324" s="93">
        <f t="shared" si="44"/>
        <v>0</v>
      </c>
      <c r="Y324" s="93">
        <f t="shared" si="44"/>
        <v>0</v>
      </c>
      <c r="Z324" s="93"/>
      <c r="AA324" s="93"/>
      <c r="AB324" s="93"/>
      <c r="AC324" s="93"/>
      <c r="AD324" s="93"/>
      <c r="AE324" s="93"/>
      <c r="AF324" s="93"/>
      <c r="AG324" s="93"/>
      <c r="AH324" s="93"/>
      <c r="AI324" s="91" t="s">
        <v>148</v>
      </c>
    </row>
    <row r="325" spans="2:35" x14ac:dyDescent="0.3"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1" t="s">
        <v>149</v>
      </c>
    </row>
    <row r="326" spans="2:35" x14ac:dyDescent="0.3"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1" t="s">
        <v>150</v>
      </c>
    </row>
    <row r="327" spans="2:35" x14ac:dyDescent="0.3"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1" t="s">
        <v>151</v>
      </c>
    </row>
    <row r="328" spans="2:35" x14ac:dyDescent="0.3"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1" t="s">
        <v>152</v>
      </c>
    </row>
    <row r="329" spans="2:35" x14ac:dyDescent="0.3"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1" t="s">
        <v>153</v>
      </c>
    </row>
    <row r="330" spans="2:35" x14ac:dyDescent="0.3"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1" t="s">
        <v>154</v>
      </c>
    </row>
    <row r="331" spans="2:35" x14ac:dyDescent="0.3"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1" t="s">
        <v>155</v>
      </c>
    </row>
    <row r="332" spans="2:35" x14ac:dyDescent="0.3"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1" t="s">
        <v>156</v>
      </c>
    </row>
    <row r="333" spans="2:35" x14ac:dyDescent="0.3"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1" t="s">
        <v>157</v>
      </c>
    </row>
    <row r="335" spans="2:35" x14ac:dyDescent="0.3">
      <c r="B335" s="91" t="str">
        <f t="shared" ref="B335:G335" si="45">IF(C29="","", CONCATENATE("U",C29,C$21))</f>
        <v/>
      </c>
      <c r="C335" s="91" t="str">
        <f t="shared" si="45"/>
        <v/>
      </c>
      <c r="D335" s="91" t="str">
        <f t="shared" si="45"/>
        <v/>
      </c>
      <c r="E335" s="91" t="str">
        <f t="shared" si="45"/>
        <v/>
      </c>
      <c r="F335" s="91" t="str">
        <f t="shared" si="45"/>
        <v/>
      </c>
      <c r="G335" s="91" t="str">
        <f t="shared" si="45"/>
        <v/>
      </c>
    </row>
    <row r="336" spans="2:35" x14ac:dyDescent="0.3">
      <c r="B336" s="92">
        <f>IF(I16="", 0, O16*J16*J16+P16*K16*K16)</f>
        <v>0</v>
      </c>
      <c r="C336" s="93">
        <f>IF(I16="", 0, (O16-P16)*(J16*K16))</f>
        <v>0</v>
      </c>
      <c r="D336" s="93">
        <f>IF(I16="", 0, -Q16*K16)</f>
        <v>0</v>
      </c>
      <c r="E336" s="93">
        <f t="shared" ref="E336:F338" si="46">-B336</f>
        <v>0</v>
      </c>
      <c r="F336" s="93">
        <f t="shared" si="46"/>
        <v>0</v>
      </c>
      <c r="G336" s="93">
        <f>D336</f>
        <v>0</v>
      </c>
      <c r="H336" s="91" t="str">
        <f>B335</f>
        <v/>
      </c>
    </row>
    <row r="337" spans="1:35" x14ac:dyDescent="0.3">
      <c r="B337" s="93">
        <f>C336</f>
        <v>0</v>
      </c>
      <c r="C337" s="92">
        <f>IF(I16="", 0, O16*K16*K16+P16*J16*J16)</f>
        <v>0</v>
      </c>
      <c r="D337" s="93">
        <f>IF(I16="", 0, Q16*J16)</f>
        <v>0</v>
      </c>
      <c r="E337" s="93">
        <f t="shared" si="46"/>
        <v>0</v>
      </c>
      <c r="F337" s="93">
        <f t="shared" si="46"/>
        <v>0</v>
      </c>
      <c r="G337" s="93">
        <f>D337</f>
        <v>0</v>
      </c>
      <c r="H337" s="91" t="str">
        <f>C335</f>
        <v/>
      </c>
    </row>
    <row r="338" spans="1:35" x14ac:dyDescent="0.3">
      <c r="A338" s="94" t="s">
        <v>262</v>
      </c>
      <c r="B338" s="93">
        <f>D336</f>
        <v>0</v>
      </c>
      <c r="C338" s="93">
        <f>D337</f>
        <v>0</v>
      </c>
      <c r="D338" s="92">
        <f>IF(I16="", 0, R16)</f>
        <v>0</v>
      </c>
      <c r="E338" s="93">
        <f t="shared" si="46"/>
        <v>0</v>
      </c>
      <c r="F338" s="93">
        <f t="shared" si="46"/>
        <v>0</v>
      </c>
      <c r="G338" s="93">
        <f>IF(I16="", 0, S16)</f>
        <v>0</v>
      </c>
      <c r="H338" s="91" t="str">
        <f>D335</f>
        <v/>
      </c>
    </row>
    <row r="339" spans="1:35" x14ac:dyDescent="0.3">
      <c r="B339" s="93">
        <f>E336</f>
        <v>0</v>
      </c>
      <c r="C339" s="93">
        <f>E337</f>
        <v>0</v>
      </c>
      <c r="D339" s="93">
        <f>E338</f>
        <v>0</v>
      </c>
      <c r="E339" s="92">
        <f>B336</f>
        <v>0</v>
      </c>
      <c r="F339" s="93">
        <f>C336</f>
        <v>0</v>
      </c>
      <c r="G339" s="93">
        <f>-D336</f>
        <v>0</v>
      </c>
      <c r="H339" s="91" t="str">
        <f>E335</f>
        <v/>
      </c>
    </row>
    <row r="340" spans="1:35" x14ac:dyDescent="0.3">
      <c r="B340" s="93">
        <f>F336</f>
        <v>0</v>
      </c>
      <c r="C340" s="93">
        <f>F337</f>
        <v>0</v>
      </c>
      <c r="D340" s="93">
        <f>F338</f>
        <v>0</v>
      </c>
      <c r="E340" s="93">
        <f>F339</f>
        <v>0</v>
      </c>
      <c r="F340" s="92">
        <f>C337</f>
        <v>0</v>
      </c>
      <c r="G340" s="93">
        <f>-D337</f>
        <v>0</v>
      </c>
      <c r="H340" s="91" t="str">
        <f>F335</f>
        <v/>
      </c>
    </row>
    <row r="341" spans="1:35" x14ac:dyDescent="0.3">
      <c r="B341" s="93">
        <f>G336</f>
        <v>0</v>
      </c>
      <c r="C341" s="93">
        <f>G337</f>
        <v>0</v>
      </c>
      <c r="D341" s="93">
        <f>G338</f>
        <v>0</v>
      </c>
      <c r="E341" s="93">
        <f>G339</f>
        <v>0</v>
      </c>
      <c r="F341" s="93">
        <f>G340</f>
        <v>0</v>
      </c>
      <c r="G341" s="92">
        <f>D338</f>
        <v>0</v>
      </c>
      <c r="H341" s="91" t="str">
        <f>G335</f>
        <v/>
      </c>
    </row>
    <row r="343" spans="1:35" x14ac:dyDescent="0.3">
      <c r="B343" s="91" t="s">
        <v>125</v>
      </c>
      <c r="C343" s="91" t="s">
        <v>126</v>
      </c>
      <c r="D343" s="91" t="s">
        <v>127</v>
      </c>
      <c r="E343" s="91" t="s">
        <v>128</v>
      </c>
      <c r="F343" s="91" t="s">
        <v>129</v>
      </c>
      <c r="G343" s="91" t="s">
        <v>130</v>
      </c>
      <c r="H343" s="91" t="s">
        <v>131</v>
      </c>
      <c r="I343" s="91" t="s">
        <v>132</v>
      </c>
      <c r="J343" s="91" t="s">
        <v>133</v>
      </c>
      <c r="K343" s="91" t="s">
        <v>134</v>
      </c>
      <c r="L343" s="91" t="s">
        <v>135</v>
      </c>
      <c r="M343" s="91" t="s">
        <v>136</v>
      </c>
      <c r="N343" s="91" t="s">
        <v>137</v>
      </c>
      <c r="O343" s="91" t="s">
        <v>138</v>
      </c>
      <c r="P343" s="91" t="s">
        <v>139</v>
      </c>
      <c r="Q343" s="91" t="s">
        <v>140</v>
      </c>
      <c r="R343" s="91" t="s">
        <v>141</v>
      </c>
      <c r="S343" s="91" t="s">
        <v>142</v>
      </c>
      <c r="T343" s="91" t="s">
        <v>143</v>
      </c>
      <c r="U343" s="91" t="s">
        <v>144</v>
      </c>
      <c r="V343" s="91" t="s">
        <v>145</v>
      </c>
      <c r="W343" s="91" t="s">
        <v>146</v>
      </c>
      <c r="X343" s="91" t="s">
        <v>147</v>
      </c>
      <c r="Y343" s="91" t="s">
        <v>148</v>
      </c>
      <c r="Z343" s="91" t="s">
        <v>149</v>
      </c>
      <c r="AA343" s="91" t="s">
        <v>150</v>
      </c>
      <c r="AB343" s="91" t="s">
        <v>151</v>
      </c>
      <c r="AC343" s="91" t="s">
        <v>152</v>
      </c>
      <c r="AD343" s="91" t="s">
        <v>153</v>
      </c>
      <c r="AE343" s="91" t="s">
        <v>154</v>
      </c>
      <c r="AF343" s="91" t="s">
        <v>155</v>
      </c>
      <c r="AG343" s="91" t="s">
        <v>156</v>
      </c>
      <c r="AH343" s="91" t="s">
        <v>157</v>
      </c>
    </row>
    <row r="344" spans="1:35" x14ac:dyDescent="0.3"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1" t="s">
        <v>125</v>
      </c>
    </row>
    <row r="345" spans="1:35" x14ac:dyDescent="0.3"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1" t="s">
        <v>126</v>
      </c>
    </row>
    <row r="346" spans="1:35" x14ac:dyDescent="0.3"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1" t="s">
        <v>127</v>
      </c>
    </row>
    <row r="347" spans="1:35" x14ac:dyDescent="0.3"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1" t="s">
        <v>128</v>
      </c>
    </row>
    <row r="348" spans="1:35" x14ac:dyDescent="0.3"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1" t="s">
        <v>129</v>
      </c>
    </row>
    <row r="349" spans="1:35" x14ac:dyDescent="0.3"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1" t="s">
        <v>130</v>
      </c>
    </row>
    <row r="350" spans="1:35" x14ac:dyDescent="0.3"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1" t="s">
        <v>131</v>
      </c>
    </row>
    <row r="351" spans="1:35" x14ac:dyDescent="0.3"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1" t="s">
        <v>132</v>
      </c>
    </row>
    <row r="352" spans="1:35" x14ac:dyDescent="0.3"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1" t="s">
        <v>133</v>
      </c>
    </row>
    <row r="353" spans="1:35" x14ac:dyDescent="0.3"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1" t="s">
        <v>134</v>
      </c>
    </row>
    <row r="354" spans="1:35" x14ac:dyDescent="0.3"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1" t="s">
        <v>135</v>
      </c>
    </row>
    <row r="355" spans="1:35" x14ac:dyDescent="0.3"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1" t="s">
        <v>136</v>
      </c>
    </row>
    <row r="356" spans="1:35" x14ac:dyDescent="0.3"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1" t="s">
        <v>137</v>
      </c>
    </row>
    <row r="357" spans="1:35" x14ac:dyDescent="0.3"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1" t="s">
        <v>138</v>
      </c>
    </row>
    <row r="358" spans="1:35" x14ac:dyDescent="0.3"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1" t="s">
        <v>139</v>
      </c>
    </row>
    <row r="359" spans="1:35" x14ac:dyDescent="0.3">
      <c r="A359" s="94" t="s">
        <v>262</v>
      </c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1" t="s">
        <v>140</v>
      </c>
    </row>
    <row r="360" spans="1:35" x14ac:dyDescent="0.3"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1" t="s">
        <v>141</v>
      </c>
    </row>
    <row r="361" spans="1:35" x14ac:dyDescent="0.3"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1" t="s">
        <v>142</v>
      </c>
    </row>
    <row r="362" spans="1:35" x14ac:dyDescent="0.3"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1" t="s">
        <v>143</v>
      </c>
    </row>
    <row r="363" spans="1:35" x14ac:dyDescent="0.3"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1" t="s">
        <v>144</v>
      </c>
    </row>
    <row r="364" spans="1:35" x14ac:dyDescent="0.3"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1" t="s">
        <v>145</v>
      </c>
    </row>
    <row r="365" spans="1:35" x14ac:dyDescent="0.3"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>
        <f t="shared" ref="W365:AB370" si="47">B336</f>
        <v>0</v>
      </c>
      <c r="X365" s="93">
        <f t="shared" si="47"/>
        <v>0</v>
      </c>
      <c r="Y365" s="93">
        <f t="shared" si="47"/>
        <v>0</v>
      </c>
      <c r="Z365" s="93">
        <f t="shared" si="47"/>
        <v>0</v>
      </c>
      <c r="AA365" s="93">
        <f t="shared" si="47"/>
        <v>0</v>
      </c>
      <c r="AB365" s="93">
        <f t="shared" si="47"/>
        <v>0</v>
      </c>
      <c r="AC365" s="93"/>
      <c r="AD365" s="93"/>
      <c r="AE365" s="93"/>
      <c r="AF365" s="93"/>
      <c r="AG365" s="93"/>
      <c r="AH365" s="93"/>
      <c r="AI365" s="91" t="s">
        <v>146</v>
      </c>
    </row>
    <row r="366" spans="1:35" x14ac:dyDescent="0.3"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>
        <f t="shared" si="47"/>
        <v>0</v>
      </c>
      <c r="X366" s="93">
        <f t="shared" si="47"/>
        <v>0</v>
      </c>
      <c r="Y366" s="93">
        <f t="shared" si="47"/>
        <v>0</v>
      </c>
      <c r="Z366" s="93">
        <f t="shared" si="47"/>
        <v>0</v>
      </c>
      <c r="AA366" s="93">
        <f t="shared" si="47"/>
        <v>0</v>
      </c>
      <c r="AB366" s="93">
        <f t="shared" si="47"/>
        <v>0</v>
      </c>
      <c r="AC366" s="93"/>
      <c r="AD366" s="93"/>
      <c r="AE366" s="93"/>
      <c r="AF366" s="93"/>
      <c r="AG366" s="93"/>
      <c r="AH366" s="93"/>
      <c r="AI366" s="91" t="s">
        <v>147</v>
      </c>
    </row>
    <row r="367" spans="1:35" x14ac:dyDescent="0.3"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>
        <f t="shared" si="47"/>
        <v>0</v>
      </c>
      <c r="X367" s="93">
        <f t="shared" si="47"/>
        <v>0</v>
      </c>
      <c r="Y367" s="93">
        <f t="shared" si="47"/>
        <v>0</v>
      </c>
      <c r="Z367" s="93">
        <f t="shared" si="47"/>
        <v>0</v>
      </c>
      <c r="AA367" s="93">
        <f t="shared" si="47"/>
        <v>0</v>
      </c>
      <c r="AB367" s="93">
        <f t="shared" si="47"/>
        <v>0</v>
      </c>
      <c r="AC367" s="93"/>
      <c r="AD367" s="93"/>
      <c r="AE367" s="93"/>
      <c r="AF367" s="93"/>
      <c r="AG367" s="93"/>
      <c r="AH367" s="93"/>
      <c r="AI367" s="91" t="s">
        <v>148</v>
      </c>
    </row>
    <row r="368" spans="1:35" x14ac:dyDescent="0.3"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>
        <f t="shared" si="47"/>
        <v>0</v>
      </c>
      <c r="X368" s="93">
        <f t="shared" si="47"/>
        <v>0</v>
      </c>
      <c r="Y368" s="93">
        <f t="shared" si="47"/>
        <v>0</v>
      </c>
      <c r="Z368" s="93">
        <f t="shared" si="47"/>
        <v>0</v>
      </c>
      <c r="AA368" s="93">
        <f t="shared" si="47"/>
        <v>0</v>
      </c>
      <c r="AB368" s="93">
        <f t="shared" si="47"/>
        <v>0</v>
      </c>
      <c r="AC368" s="93"/>
      <c r="AD368" s="93"/>
      <c r="AE368" s="93"/>
      <c r="AF368" s="93"/>
      <c r="AG368" s="93"/>
      <c r="AH368" s="93"/>
      <c r="AI368" s="91" t="s">
        <v>149</v>
      </c>
    </row>
    <row r="369" spans="1:35" x14ac:dyDescent="0.3"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>
        <f t="shared" si="47"/>
        <v>0</v>
      </c>
      <c r="X369" s="93">
        <f t="shared" si="47"/>
        <v>0</v>
      </c>
      <c r="Y369" s="93">
        <f t="shared" si="47"/>
        <v>0</v>
      </c>
      <c r="Z369" s="93">
        <f t="shared" si="47"/>
        <v>0</v>
      </c>
      <c r="AA369" s="93">
        <f t="shared" si="47"/>
        <v>0</v>
      </c>
      <c r="AB369" s="93">
        <f t="shared" si="47"/>
        <v>0</v>
      </c>
      <c r="AC369" s="93"/>
      <c r="AD369" s="93"/>
      <c r="AE369" s="93"/>
      <c r="AF369" s="93"/>
      <c r="AG369" s="93"/>
      <c r="AH369" s="93"/>
      <c r="AI369" s="91" t="s">
        <v>150</v>
      </c>
    </row>
    <row r="370" spans="1:35" x14ac:dyDescent="0.3"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>
        <f t="shared" si="47"/>
        <v>0</v>
      </c>
      <c r="X370" s="93">
        <f t="shared" si="47"/>
        <v>0</v>
      </c>
      <c r="Y370" s="93">
        <f t="shared" si="47"/>
        <v>0</v>
      </c>
      <c r="Z370" s="93">
        <f t="shared" si="47"/>
        <v>0</v>
      </c>
      <c r="AA370" s="93">
        <f t="shared" si="47"/>
        <v>0</v>
      </c>
      <c r="AB370" s="93">
        <f t="shared" si="47"/>
        <v>0</v>
      </c>
      <c r="AC370" s="93"/>
      <c r="AD370" s="93"/>
      <c r="AE370" s="93"/>
      <c r="AF370" s="93"/>
      <c r="AG370" s="93"/>
      <c r="AH370" s="93"/>
      <c r="AI370" s="91" t="s">
        <v>151</v>
      </c>
    </row>
    <row r="371" spans="1:35" x14ac:dyDescent="0.3"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1" t="s">
        <v>152</v>
      </c>
    </row>
    <row r="372" spans="1:35" x14ac:dyDescent="0.3"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1" t="s">
        <v>153</v>
      </c>
    </row>
    <row r="373" spans="1:35" x14ac:dyDescent="0.3"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1" t="s">
        <v>154</v>
      </c>
    </row>
    <row r="374" spans="1:35" x14ac:dyDescent="0.3"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1" t="s">
        <v>155</v>
      </c>
    </row>
    <row r="375" spans="1:35" x14ac:dyDescent="0.3"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1" t="s">
        <v>156</v>
      </c>
    </row>
    <row r="376" spans="1:35" x14ac:dyDescent="0.3"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1" t="s">
        <v>157</v>
      </c>
    </row>
    <row r="378" spans="1:35" x14ac:dyDescent="0.3">
      <c r="B378" s="91" t="str">
        <f t="shared" ref="B378:G378" si="48">IF(C30="","", CONCATENATE("U",C30,C$21))</f>
        <v/>
      </c>
      <c r="C378" s="91" t="str">
        <f t="shared" si="48"/>
        <v/>
      </c>
      <c r="D378" s="91" t="str">
        <f t="shared" si="48"/>
        <v/>
      </c>
      <c r="E378" s="91" t="str">
        <f t="shared" si="48"/>
        <v/>
      </c>
      <c r="F378" s="91" t="str">
        <f t="shared" si="48"/>
        <v/>
      </c>
      <c r="G378" s="91" t="str">
        <f t="shared" si="48"/>
        <v/>
      </c>
    </row>
    <row r="379" spans="1:35" x14ac:dyDescent="0.3">
      <c r="B379" s="92">
        <f>IF(I17="", 0, O17*J17*J17+P17*K17*K17)</f>
        <v>0</v>
      </c>
      <c r="C379" s="93">
        <f>IF(I17="", 0, (O17-P17)*(J17*K17))</f>
        <v>0</v>
      </c>
      <c r="D379" s="93">
        <f>IF(I17="", 0, -Q17*K17)</f>
        <v>0</v>
      </c>
      <c r="E379" s="93">
        <f t="shared" ref="E379:F381" si="49">-B379</f>
        <v>0</v>
      </c>
      <c r="F379" s="93">
        <f t="shared" si="49"/>
        <v>0</v>
      </c>
      <c r="G379" s="93">
        <f>D379</f>
        <v>0</v>
      </c>
      <c r="H379" s="91" t="str">
        <f>B378</f>
        <v/>
      </c>
    </row>
    <row r="380" spans="1:35" x14ac:dyDescent="0.3">
      <c r="B380" s="93">
        <f>C379</f>
        <v>0</v>
      </c>
      <c r="C380" s="92">
        <f>IF(I17="", 0, O17*K17*K17+P17*J17*J17)</f>
        <v>0</v>
      </c>
      <c r="D380" s="93">
        <f>IF(I17="", 0, Q17*J17)</f>
        <v>0</v>
      </c>
      <c r="E380" s="93">
        <f t="shared" si="49"/>
        <v>0</v>
      </c>
      <c r="F380" s="93">
        <f t="shared" si="49"/>
        <v>0</v>
      </c>
      <c r="G380" s="93">
        <f>D380</f>
        <v>0</v>
      </c>
      <c r="H380" s="91" t="str">
        <f>C378</f>
        <v/>
      </c>
    </row>
    <row r="381" spans="1:35" x14ac:dyDescent="0.3">
      <c r="A381" s="94" t="s">
        <v>263</v>
      </c>
      <c r="B381" s="93">
        <f>D379</f>
        <v>0</v>
      </c>
      <c r="C381" s="93">
        <f>D380</f>
        <v>0</v>
      </c>
      <c r="D381" s="92">
        <f>IF(I17="", 0, R17)</f>
        <v>0</v>
      </c>
      <c r="E381" s="93">
        <f t="shared" si="49"/>
        <v>0</v>
      </c>
      <c r="F381" s="93">
        <f t="shared" si="49"/>
        <v>0</v>
      </c>
      <c r="G381" s="93">
        <f>IF(I17="", 0, S17)</f>
        <v>0</v>
      </c>
      <c r="H381" s="91" t="str">
        <f>D378</f>
        <v/>
      </c>
    </row>
    <row r="382" spans="1:35" x14ac:dyDescent="0.3">
      <c r="B382" s="93">
        <f>E379</f>
        <v>0</v>
      </c>
      <c r="C382" s="93">
        <f>E380</f>
        <v>0</v>
      </c>
      <c r="D382" s="93">
        <f>E381</f>
        <v>0</v>
      </c>
      <c r="E382" s="92">
        <f>B379</f>
        <v>0</v>
      </c>
      <c r="F382" s="93">
        <f>C379</f>
        <v>0</v>
      </c>
      <c r="G382" s="93">
        <f>-D379</f>
        <v>0</v>
      </c>
      <c r="H382" s="91" t="str">
        <f>E378</f>
        <v/>
      </c>
    </row>
    <row r="383" spans="1:35" x14ac:dyDescent="0.3">
      <c r="B383" s="93">
        <f>F379</f>
        <v>0</v>
      </c>
      <c r="C383" s="93">
        <f>F380</f>
        <v>0</v>
      </c>
      <c r="D383" s="93">
        <f>F381</f>
        <v>0</v>
      </c>
      <c r="E383" s="93">
        <f>F382</f>
        <v>0</v>
      </c>
      <c r="F383" s="92">
        <f>C380</f>
        <v>0</v>
      </c>
      <c r="G383" s="93">
        <f>-D380</f>
        <v>0</v>
      </c>
      <c r="H383" s="91" t="str">
        <f>F378</f>
        <v/>
      </c>
    </row>
    <row r="384" spans="1:35" x14ac:dyDescent="0.3">
      <c r="B384" s="93">
        <f>G379</f>
        <v>0</v>
      </c>
      <c r="C384" s="93">
        <f>G380</f>
        <v>0</v>
      </c>
      <c r="D384" s="93">
        <f>G381</f>
        <v>0</v>
      </c>
      <c r="E384" s="93">
        <f>G382</f>
        <v>0</v>
      </c>
      <c r="F384" s="93">
        <f>G383</f>
        <v>0</v>
      </c>
      <c r="G384" s="92">
        <f>D381</f>
        <v>0</v>
      </c>
      <c r="H384" s="91" t="str">
        <f>G378</f>
        <v/>
      </c>
    </row>
    <row r="386" spans="2:35" x14ac:dyDescent="0.3">
      <c r="B386" s="91" t="s">
        <v>125</v>
      </c>
      <c r="C386" s="91" t="s">
        <v>126</v>
      </c>
      <c r="D386" s="91" t="s">
        <v>127</v>
      </c>
      <c r="E386" s="91" t="s">
        <v>128</v>
      </c>
      <c r="F386" s="91" t="s">
        <v>129</v>
      </c>
      <c r="G386" s="91" t="s">
        <v>130</v>
      </c>
      <c r="H386" s="91" t="s">
        <v>131</v>
      </c>
      <c r="I386" s="91" t="s">
        <v>132</v>
      </c>
      <c r="J386" s="91" t="s">
        <v>133</v>
      </c>
      <c r="K386" s="91" t="s">
        <v>134</v>
      </c>
      <c r="L386" s="91" t="s">
        <v>135</v>
      </c>
      <c r="M386" s="91" t="s">
        <v>136</v>
      </c>
      <c r="N386" s="91" t="s">
        <v>137</v>
      </c>
      <c r="O386" s="91" t="s">
        <v>138</v>
      </c>
      <c r="P386" s="91" t="s">
        <v>139</v>
      </c>
      <c r="Q386" s="91" t="s">
        <v>140</v>
      </c>
      <c r="R386" s="91" t="s">
        <v>141</v>
      </c>
      <c r="S386" s="91" t="s">
        <v>142</v>
      </c>
      <c r="T386" s="91" t="s">
        <v>143</v>
      </c>
      <c r="U386" s="91" t="s">
        <v>144</v>
      </c>
      <c r="V386" s="91" t="s">
        <v>145</v>
      </c>
      <c r="W386" s="91" t="s">
        <v>146</v>
      </c>
      <c r="X386" s="91" t="s">
        <v>147</v>
      </c>
      <c r="Y386" s="91" t="s">
        <v>148</v>
      </c>
      <c r="Z386" s="91" t="s">
        <v>149</v>
      </c>
      <c r="AA386" s="91" t="s">
        <v>150</v>
      </c>
      <c r="AB386" s="91" t="s">
        <v>151</v>
      </c>
      <c r="AC386" s="91" t="s">
        <v>152</v>
      </c>
      <c r="AD386" s="91" t="s">
        <v>153</v>
      </c>
      <c r="AE386" s="91" t="s">
        <v>154</v>
      </c>
      <c r="AF386" s="91" t="s">
        <v>155</v>
      </c>
      <c r="AG386" s="91" t="s">
        <v>156</v>
      </c>
      <c r="AH386" s="91" t="s">
        <v>157</v>
      </c>
    </row>
    <row r="387" spans="2:35" x14ac:dyDescent="0.3"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1" t="s">
        <v>125</v>
      </c>
    </row>
    <row r="388" spans="2:35" x14ac:dyDescent="0.3"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1" t="s">
        <v>126</v>
      </c>
    </row>
    <row r="389" spans="2:35" x14ac:dyDescent="0.3"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1" t="s">
        <v>127</v>
      </c>
    </row>
    <row r="390" spans="2:35" x14ac:dyDescent="0.3"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1" t="s">
        <v>128</v>
      </c>
    </row>
    <row r="391" spans="2:35" x14ac:dyDescent="0.3"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1" t="s">
        <v>129</v>
      </c>
    </row>
    <row r="392" spans="2:35" x14ac:dyDescent="0.3"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1" t="s">
        <v>130</v>
      </c>
    </row>
    <row r="393" spans="2:35" x14ac:dyDescent="0.3"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1" t="s">
        <v>131</v>
      </c>
    </row>
    <row r="394" spans="2:35" x14ac:dyDescent="0.3"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1" t="s">
        <v>132</v>
      </c>
    </row>
    <row r="395" spans="2:35" x14ac:dyDescent="0.3"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1" t="s">
        <v>133</v>
      </c>
    </row>
    <row r="396" spans="2:35" x14ac:dyDescent="0.3"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1" t="s">
        <v>134</v>
      </c>
    </row>
    <row r="397" spans="2:35" x14ac:dyDescent="0.3"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1" t="s">
        <v>135</v>
      </c>
    </row>
    <row r="398" spans="2:35" x14ac:dyDescent="0.3"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1" t="s">
        <v>136</v>
      </c>
    </row>
    <row r="399" spans="2:35" x14ac:dyDescent="0.3"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1" t="s">
        <v>137</v>
      </c>
    </row>
    <row r="400" spans="2:35" x14ac:dyDescent="0.3"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1" t="s">
        <v>138</v>
      </c>
    </row>
    <row r="401" spans="1:35" x14ac:dyDescent="0.3"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1" t="s">
        <v>139</v>
      </c>
    </row>
    <row r="402" spans="1:35" x14ac:dyDescent="0.3">
      <c r="A402" s="94" t="s">
        <v>263</v>
      </c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1" t="s">
        <v>140</v>
      </c>
    </row>
    <row r="403" spans="1:35" x14ac:dyDescent="0.3"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1" t="s">
        <v>141</v>
      </c>
    </row>
    <row r="404" spans="1:35" x14ac:dyDescent="0.3"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1" t="s">
        <v>142</v>
      </c>
    </row>
    <row r="405" spans="1:35" x14ac:dyDescent="0.3"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1" t="s">
        <v>143</v>
      </c>
    </row>
    <row r="406" spans="1:35" x14ac:dyDescent="0.3"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1" t="s">
        <v>144</v>
      </c>
    </row>
    <row r="407" spans="1:35" x14ac:dyDescent="0.3"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1" t="s">
        <v>145</v>
      </c>
    </row>
    <row r="408" spans="1:35" x14ac:dyDescent="0.3"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1" t="s">
        <v>146</v>
      </c>
    </row>
    <row r="409" spans="1:35" x14ac:dyDescent="0.3"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1" t="s">
        <v>147</v>
      </c>
    </row>
    <row r="410" spans="1:35" x14ac:dyDescent="0.3"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1" t="s">
        <v>148</v>
      </c>
    </row>
    <row r="411" spans="1:35" x14ac:dyDescent="0.3"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>
        <f t="shared" ref="Z411:AE416" si="50">B379</f>
        <v>0</v>
      </c>
      <c r="AA411" s="93">
        <f t="shared" si="50"/>
        <v>0</v>
      </c>
      <c r="AB411" s="93">
        <f t="shared" si="50"/>
        <v>0</v>
      </c>
      <c r="AC411" s="93">
        <f t="shared" si="50"/>
        <v>0</v>
      </c>
      <c r="AD411" s="93">
        <f t="shared" si="50"/>
        <v>0</v>
      </c>
      <c r="AE411" s="93">
        <f t="shared" si="50"/>
        <v>0</v>
      </c>
      <c r="AF411" s="93"/>
      <c r="AG411" s="93"/>
      <c r="AH411" s="93"/>
      <c r="AI411" s="91" t="s">
        <v>149</v>
      </c>
    </row>
    <row r="412" spans="1:35" x14ac:dyDescent="0.3"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>
        <f t="shared" si="50"/>
        <v>0</v>
      </c>
      <c r="AA412" s="93">
        <f t="shared" si="50"/>
        <v>0</v>
      </c>
      <c r="AB412" s="93">
        <f t="shared" si="50"/>
        <v>0</v>
      </c>
      <c r="AC412" s="93">
        <f t="shared" si="50"/>
        <v>0</v>
      </c>
      <c r="AD412" s="93">
        <f t="shared" si="50"/>
        <v>0</v>
      </c>
      <c r="AE412" s="93">
        <f t="shared" si="50"/>
        <v>0</v>
      </c>
      <c r="AF412" s="93"/>
      <c r="AG412" s="93"/>
      <c r="AH412" s="93"/>
      <c r="AI412" s="91" t="s">
        <v>150</v>
      </c>
    </row>
    <row r="413" spans="1:35" x14ac:dyDescent="0.3"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>
        <f t="shared" si="50"/>
        <v>0</v>
      </c>
      <c r="AA413" s="93">
        <f t="shared" si="50"/>
        <v>0</v>
      </c>
      <c r="AB413" s="93">
        <f t="shared" si="50"/>
        <v>0</v>
      </c>
      <c r="AC413" s="93">
        <f t="shared" si="50"/>
        <v>0</v>
      </c>
      <c r="AD413" s="93">
        <f t="shared" si="50"/>
        <v>0</v>
      </c>
      <c r="AE413" s="93">
        <f t="shared" si="50"/>
        <v>0</v>
      </c>
      <c r="AF413" s="93"/>
      <c r="AG413" s="93"/>
      <c r="AH413" s="93"/>
      <c r="AI413" s="91" t="s">
        <v>151</v>
      </c>
    </row>
    <row r="414" spans="1:35" x14ac:dyDescent="0.3"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>
        <f t="shared" si="50"/>
        <v>0</v>
      </c>
      <c r="AA414" s="93">
        <f t="shared" si="50"/>
        <v>0</v>
      </c>
      <c r="AB414" s="93">
        <f t="shared" si="50"/>
        <v>0</v>
      </c>
      <c r="AC414" s="93">
        <f t="shared" si="50"/>
        <v>0</v>
      </c>
      <c r="AD414" s="93">
        <f t="shared" si="50"/>
        <v>0</v>
      </c>
      <c r="AE414" s="93">
        <f t="shared" si="50"/>
        <v>0</v>
      </c>
      <c r="AF414" s="93"/>
      <c r="AG414" s="93"/>
      <c r="AH414" s="93"/>
      <c r="AI414" s="91" t="s">
        <v>152</v>
      </c>
    </row>
    <row r="415" spans="1:35" x14ac:dyDescent="0.3"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>
        <f t="shared" si="50"/>
        <v>0</v>
      </c>
      <c r="AA415" s="93">
        <f t="shared" si="50"/>
        <v>0</v>
      </c>
      <c r="AB415" s="93">
        <f t="shared" si="50"/>
        <v>0</v>
      </c>
      <c r="AC415" s="93">
        <f t="shared" si="50"/>
        <v>0</v>
      </c>
      <c r="AD415" s="93">
        <f t="shared" si="50"/>
        <v>0</v>
      </c>
      <c r="AE415" s="93">
        <f t="shared" si="50"/>
        <v>0</v>
      </c>
      <c r="AF415" s="93"/>
      <c r="AG415" s="93"/>
      <c r="AH415" s="93"/>
      <c r="AI415" s="91" t="s">
        <v>153</v>
      </c>
    </row>
    <row r="416" spans="1:35" x14ac:dyDescent="0.3"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>
        <f t="shared" si="50"/>
        <v>0</v>
      </c>
      <c r="AA416" s="93">
        <f t="shared" si="50"/>
        <v>0</v>
      </c>
      <c r="AB416" s="93">
        <f t="shared" si="50"/>
        <v>0</v>
      </c>
      <c r="AC416" s="93">
        <f t="shared" si="50"/>
        <v>0</v>
      </c>
      <c r="AD416" s="93">
        <f t="shared" si="50"/>
        <v>0</v>
      </c>
      <c r="AE416" s="93">
        <f t="shared" si="50"/>
        <v>0</v>
      </c>
      <c r="AF416" s="93"/>
      <c r="AG416" s="93"/>
      <c r="AH416" s="93"/>
      <c r="AI416" s="91" t="s">
        <v>154</v>
      </c>
    </row>
    <row r="417" spans="1:35" x14ac:dyDescent="0.3"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1" t="s">
        <v>155</v>
      </c>
    </row>
    <row r="418" spans="1:35" x14ac:dyDescent="0.3"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1" t="s">
        <v>156</v>
      </c>
    </row>
    <row r="419" spans="1:35" x14ac:dyDescent="0.3"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1" t="s">
        <v>157</v>
      </c>
    </row>
    <row r="421" spans="1:35" x14ac:dyDescent="0.3">
      <c r="B421" s="91" t="str">
        <f t="shared" ref="B421:G421" si="51">IF(C31="","", CONCATENATE("U",C31,C$21))</f>
        <v/>
      </c>
      <c r="C421" s="91" t="str">
        <f t="shared" si="51"/>
        <v/>
      </c>
      <c r="D421" s="91" t="str">
        <f t="shared" si="51"/>
        <v/>
      </c>
      <c r="E421" s="91" t="str">
        <f t="shared" si="51"/>
        <v/>
      </c>
      <c r="F421" s="91" t="str">
        <f t="shared" si="51"/>
        <v/>
      </c>
      <c r="G421" s="91" t="str">
        <f t="shared" si="51"/>
        <v/>
      </c>
    </row>
    <row r="422" spans="1:35" x14ac:dyDescent="0.3">
      <c r="B422" s="92">
        <f>IF(I18="", 0, O18*J18*J18+P18*K18*K18)</f>
        <v>0</v>
      </c>
      <c r="C422" s="93">
        <f>IF(I18="", 0, (O18-P18)*(J18*K18))</f>
        <v>0</v>
      </c>
      <c r="D422" s="93">
        <f>IF(I18="", 0, -Q18*K18)</f>
        <v>0</v>
      </c>
      <c r="E422" s="93">
        <f t="shared" ref="E422:F424" si="52">-B422</f>
        <v>0</v>
      </c>
      <c r="F422" s="93">
        <f t="shared" si="52"/>
        <v>0</v>
      </c>
      <c r="G422" s="93">
        <f>D422</f>
        <v>0</v>
      </c>
      <c r="H422" s="91" t="str">
        <f>B421</f>
        <v/>
      </c>
    </row>
    <row r="423" spans="1:35" x14ac:dyDescent="0.3">
      <c r="B423" s="93">
        <f>C422</f>
        <v>0</v>
      </c>
      <c r="C423" s="92">
        <f>IF(I18="", 0, O18*K18*K18+P18*J18*J18)</f>
        <v>0</v>
      </c>
      <c r="D423" s="93">
        <f>IF(I18="", 0, Q18*J18)</f>
        <v>0</v>
      </c>
      <c r="E423" s="93">
        <f t="shared" si="52"/>
        <v>0</v>
      </c>
      <c r="F423" s="93">
        <f t="shared" si="52"/>
        <v>0</v>
      </c>
      <c r="G423" s="93">
        <f>D423</f>
        <v>0</v>
      </c>
      <c r="H423" s="91" t="str">
        <f>C421</f>
        <v/>
      </c>
    </row>
    <row r="424" spans="1:35" x14ac:dyDescent="0.3">
      <c r="A424" s="94" t="s">
        <v>264</v>
      </c>
      <c r="B424" s="93">
        <f>D422</f>
        <v>0</v>
      </c>
      <c r="C424" s="93">
        <f>D423</f>
        <v>0</v>
      </c>
      <c r="D424" s="92">
        <f>IF(I18="", 0, R18)</f>
        <v>0</v>
      </c>
      <c r="E424" s="93">
        <f t="shared" si="52"/>
        <v>0</v>
      </c>
      <c r="F424" s="93">
        <f t="shared" si="52"/>
        <v>0</v>
      </c>
      <c r="G424" s="93">
        <f>IF(I18="", 0, S18)</f>
        <v>0</v>
      </c>
      <c r="H424" s="91" t="str">
        <f>D421</f>
        <v/>
      </c>
    </row>
    <row r="425" spans="1:35" x14ac:dyDescent="0.3">
      <c r="B425" s="93">
        <f>E422</f>
        <v>0</v>
      </c>
      <c r="C425" s="93">
        <f>E423</f>
        <v>0</v>
      </c>
      <c r="D425" s="93">
        <f>E424</f>
        <v>0</v>
      </c>
      <c r="E425" s="92">
        <f>B422</f>
        <v>0</v>
      </c>
      <c r="F425" s="93">
        <f>C422</f>
        <v>0</v>
      </c>
      <c r="G425" s="93">
        <f>-D422</f>
        <v>0</v>
      </c>
      <c r="H425" s="91" t="str">
        <f>E421</f>
        <v/>
      </c>
    </row>
    <row r="426" spans="1:35" x14ac:dyDescent="0.3">
      <c r="B426" s="93">
        <f>F422</f>
        <v>0</v>
      </c>
      <c r="C426" s="93">
        <f>F423</f>
        <v>0</v>
      </c>
      <c r="D426" s="93">
        <f>F424</f>
        <v>0</v>
      </c>
      <c r="E426" s="93">
        <f>F425</f>
        <v>0</v>
      </c>
      <c r="F426" s="92">
        <f>C423</f>
        <v>0</v>
      </c>
      <c r="G426" s="93">
        <f>-D423</f>
        <v>0</v>
      </c>
      <c r="H426" s="91" t="str">
        <f>F421</f>
        <v/>
      </c>
    </row>
    <row r="427" spans="1:35" x14ac:dyDescent="0.3">
      <c r="B427" s="93">
        <f>G422</f>
        <v>0</v>
      </c>
      <c r="C427" s="93">
        <f>G423</f>
        <v>0</v>
      </c>
      <c r="D427" s="93">
        <f>G424</f>
        <v>0</v>
      </c>
      <c r="E427" s="93">
        <f>G425</f>
        <v>0</v>
      </c>
      <c r="F427" s="93">
        <f>G426</f>
        <v>0</v>
      </c>
      <c r="G427" s="92">
        <f>D424</f>
        <v>0</v>
      </c>
      <c r="H427" s="91" t="str">
        <f>G421</f>
        <v/>
      </c>
    </row>
    <row r="429" spans="1:35" x14ac:dyDescent="0.3">
      <c r="B429" s="91" t="s">
        <v>125</v>
      </c>
      <c r="C429" s="91" t="s">
        <v>126</v>
      </c>
      <c r="D429" s="91" t="s">
        <v>127</v>
      </c>
      <c r="E429" s="91" t="s">
        <v>128</v>
      </c>
      <c r="F429" s="91" t="s">
        <v>129</v>
      </c>
      <c r="G429" s="91" t="s">
        <v>130</v>
      </c>
      <c r="H429" s="91" t="s">
        <v>131</v>
      </c>
      <c r="I429" s="91" t="s">
        <v>132</v>
      </c>
      <c r="J429" s="91" t="s">
        <v>133</v>
      </c>
      <c r="K429" s="91" t="s">
        <v>134</v>
      </c>
      <c r="L429" s="91" t="s">
        <v>135</v>
      </c>
      <c r="M429" s="91" t="s">
        <v>136</v>
      </c>
      <c r="N429" s="91" t="s">
        <v>137</v>
      </c>
      <c r="O429" s="91" t="s">
        <v>138</v>
      </c>
      <c r="P429" s="91" t="s">
        <v>139</v>
      </c>
      <c r="Q429" s="91" t="s">
        <v>140</v>
      </c>
      <c r="R429" s="91" t="s">
        <v>141</v>
      </c>
      <c r="S429" s="91" t="s">
        <v>142</v>
      </c>
      <c r="T429" s="91" t="s">
        <v>143</v>
      </c>
      <c r="U429" s="91" t="s">
        <v>144</v>
      </c>
      <c r="V429" s="91" t="s">
        <v>145</v>
      </c>
      <c r="W429" s="91" t="s">
        <v>146</v>
      </c>
      <c r="X429" s="91" t="s">
        <v>147</v>
      </c>
      <c r="Y429" s="91" t="s">
        <v>148</v>
      </c>
      <c r="Z429" s="91" t="s">
        <v>149</v>
      </c>
      <c r="AA429" s="91" t="s">
        <v>150</v>
      </c>
      <c r="AB429" s="91" t="s">
        <v>151</v>
      </c>
      <c r="AC429" s="91" t="s">
        <v>152</v>
      </c>
      <c r="AD429" s="91" t="s">
        <v>153</v>
      </c>
      <c r="AE429" s="91" t="s">
        <v>154</v>
      </c>
      <c r="AF429" s="91" t="s">
        <v>155</v>
      </c>
      <c r="AG429" s="91" t="s">
        <v>156</v>
      </c>
      <c r="AH429" s="91" t="s">
        <v>157</v>
      </c>
    </row>
    <row r="430" spans="1:35" x14ac:dyDescent="0.3"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1" t="s">
        <v>125</v>
      </c>
    </row>
    <row r="431" spans="1:35" x14ac:dyDescent="0.3"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1" t="s">
        <v>126</v>
      </c>
    </row>
    <row r="432" spans="1:35" x14ac:dyDescent="0.3"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1" t="s">
        <v>127</v>
      </c>
    </row>
    <row r="433" spans="1:35" x14ac:dyDescent="0.3"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1" t="s">
        <v>128</v>
      </c>
    </row>
    <row r="434" spans="1:35" x14ac:dyDescent="0.3"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1" t="s">
        <v>129</v>
      </c>
    </row>
    <row r="435" spans="1:35" x14ac:dyDescent="0.3"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1" t="s">
        <v>130</v>
      </c>
    </row>
    <row r="436" spans="1:35" x14ac:dyDescent="0.3"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1" t="s">
        <v>131</v>
      </c>
    </row>
    <row r="437" spans="1:35" x14ac:dyDescent="0.3"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1" t="s">
        <v>132</v>
      </c>
    </row>
    <row r="438" spans="1:35" x14ac:dyDescent="0.3"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1" t="s">
        <v>133</v>
      </c>
    </row>
    <row r="439" spans="1:35" x14ac:dyDescent="0.3"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1" t="s">
        <v>134</v>
      </c>
    </row>
    <row r="440" spans="1:35" x14ac:dyDescent="0.3"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1" t="s">
        <v>135</v>
      </c>
    </row>
    <row r="441" spans="1:35" x14ac:dyDescent="0.3"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1" t="s">
        <v>136</v>
      </c>
    </row>
    <row r="442" spans="1:35" x14ac:dyDescent="0.3"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1" t="s">
        <v>137</v>
      </c>
    </row>
    <row r="443" spans="1:35" x14ac:dyDescent="0.3"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1" t="s">
        <v>138</v>
      </c>
    </row>
    <row r="444" spans="1:35" x14ac:dyDescent="0.3"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1" t="s">
        <v>139</v>
      </c>
    </row>
    <row r="445" spans="1:35" x14ac:dyDescent="0.3">
      <c r="A445" s="94" t="s">
        <v>264</v>
      </c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1" t="s">
        <v>140</v>
      </c>
    </row>
    <row r="446" spans="1:35" x14ac:dyDescent="0.3"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1" t="s">
        <v>141</v>
      </c>
    </row>
    <row r="447" spans="1:35" x14ac:dyDescent="0.3"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1" t="s">
        <v>142</v>
      </c>
    </row>
    <row r="448" spans="1:35" x14ac:dyDescent="0.3"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1" t="s">
        <v>143</v>
      </c>
    </row>
    <row r="449" spans="2:35" x14ac:dyDescent="0.3"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1" t="s">
        <v>144</v>
      </c>
    </row>
    <row r="450" spans="2:35" x14ac:dyDescent="0.3"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1" t="s">
        <v>145</v>
      </c>
    </row>
    <row r="451" spans="2:35" x14ac:dyDescent="0.3"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1" t="s">
        <v>146</v>
      </c>
    </row>
    <row r="452" spans="2:35" x14ac:dyDescent="0.3"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1" t="s">
        <v>147</v>
      </c>
    </row>
    <row r="453" spans="2:35" x14ac:dyDescent="0.3"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1" t="s">
        <v>148</v>
      </c>
    </row>
    <row r="454" spans="2:35" x14ac:dyDescent="0.3"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1" t="s">
        <v>149</v>
      </c>
    </row>
    <row r="455" spans="2:35" x14ac:dyDescent="0.3"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1" t="s">
        <v>150</v>
      </c>
    </row>
    <row r="456" spans="2:35" x14ac:dyDescent="0.3"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1" t="s">
        <v>151</v>
      </c>
    </row>
    <row r="457" spans="2:35" x14ac:dyDescent="0.3"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>
        <f t="shared" ref="AC457:AH462" si="53">B422</f>
        <v>0</v>
      </c>
      <c r="AD457" s="93">
        <f t="shared" si="53"/>
        <v>0</v>
      </c>
      <c r="AE457" s="93">
        <f t="shared" si="53"/>
        <v>0</v>
      </c>
      <c r="AF457" s="93">
        <f t="shared" si="53"/>
        <v>0</v>
      </c>
      <c r="AG457" s="93">
        <f t="shared" si="53"/>
        <v>0</v>
      </c>
      <c r="AH457" s="93">
        <f t="shared" si="53"/>
        <v>0</v>
      </c>
      <c r="AI457" s="91" t="s">
        <v>152</v>
      </c>
    </row>
    <row r="458" spans="2:35" x14ac:dyDescent="0.3"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>
        <f t="shared" si="53"/>
        <v>0</v>
      </c>
      <c r="AD458" s="93">
        <f t="shared" si="53"/>
        <v>0</v>
      </c>
      <c r="AE458" s="93">
        <f t="shared" si="53"/>
        <v>0</v>
      </c>
      <c r="AF458" s="93">
        <f t="shared" si="53"/>
        <v>0</v>
      </c>
      <c r="AG458" s="93">
        <f t="shared" si="53"/>
        <v>0</v>
      </c>
      <c r="AH458" s="93">
        <f t="shared" si="53"/>
        <v>0</v>
      </c>
      <c r="AI458" s="91" t="s">
        <v>153</v>
      </c>
    </row>
    <row r="459" spans="2:35" x14ac:dyDescent="0.3"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>
        <f t="shared" si="53"/>
        <v>0</v>
      </c>
      <c r="AD459" s="93">
        <f t="shared" si="53"/>
        <v>0</v>
      </c>
      <c r="AE459" s="93">
        <f t="shared" si="53"/>
        <v>0</v>
      </c>
      <c r="AF459" s="93">
        <f t="shared" si="53"/>
        <v>0</v>
      </c>
      <c r="AG459" s="93">
        <f t="shared" si="53"/>
        <v>0</v>
      </c>
      <c r="AH459" s="93">
        <f t="shared" si="53"/>
        <v>0</v>
      </c>
      <c r="AI459" s="91" t="s">
        <v>154</v>
      </c>
    </row>
    <row r="460" spans="2:35" x14ac:dyDescent="0.3"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>
        <f t="shared" si="53"/>
        <v>0</v>
      </c>
      <c r="AD460" s="93">
        <f t="shared" si="53"/>
        <v>0</v>
      </c>
      <c r="AE460" s="93">
        <f t="shared" si="53"/>
        <v>0</v>
      </c>
      <c r="AF460" s="93">
        <f t="shared" si="53"/>
        <v>0</v>
      </c>
      <c r="AG460" s="93">
        <f t="shared" si="53"/>
        <v>0</v>
      </c>
      <c r="AH460" s="93">
        <f t="shared" si="53"/>
        <v>0</v>
      </c>
      <c r="AI460" s="91" t="s">
        <v>155</v>
      </c>
    </row>
    <row r="461" spans="2:35" x14ac:dyDescent="0.3"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>
        <f t="shared" si="53"/>
        <v>0</v>
      </c>
      <c r="AD461" s="93">
        <f t="shared" si="53"/>
        <v>0</v>
      </c>
      <c r="AE461" s="93">
        <f t="shared" si="53"/>
        <v>0</v>
      </c>
      <c r="AF461" s="93">
        <f t="shared" si="53"/>
        <v>0</v>
      </c>
      <c r="AG461" s="93">
        <f t="shared" si="53"/>
        <v>0</v>
      </c>
      <c r="AH461" s="93">
        <f t="shared" si="53"/>
        <v>0</v>
      </c>
      <c r="AI461" s="91" t="s">
        <v>156</v>
      </c>
    </row>
    <row r="462" spans="2:35" x14ac:dyDescent="0.3"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>
        <f t="shared" si="53"/>
        <v>0</v>
      </c>
      <c r="AD462" s="93">
        <f t="shared" si="53"/>
        <v>0</v>
      </c>
      <c r="AE462" s="93">
        <f t="shared" si="53"/>
        <v>0</v>
      </c>
      <c r="AF462" s="93">
        <f t="shared" si="53"/>
        <v>0</v>
      </c>
      <c r="AG462" s="93">
        <f t="shared" si="53"/>
        <v>0</v>
      </c>
      <c r="AH462" s="93">
        <f t="shared" si="53"/>
        <v>0</v>
      </c>
      <c r="AI462" s="91" t="s">
        <v>157</v>
      </c>
    </row>
    <row r="465" spans="2:35" x14ac:dyDescent="0.3">
      <c r="B465" s="95" t="s">
        <v>265</v>
      </c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</row>
    <row r="466" spans="2:35" x14ac:dyDescent="0.3">
      <c r="B466" s="91" t="s">
        <v>125</v>
      </c>
      <c r="C466" s="91" t="s">
        <v>126</v>
      </c>
      <c r="D466" s="91" t="s">
        <v>127</v>
      </c>
      <c r="E466" s="91" t="s">
        <v>128</v>
      </c>
      <c r="F466" s="91" t="s">
        <v>129</v>
      </c>
      <c r="G466" s="91" t="s">
        <v>130</v>
      </c>
      <c r="H466" s="91" t="s">
        <v>131</v>
      </c>
      <c r="I466" s="91" t="s">
        <v>132</v>
      </c>
      <c r="J466" s="91" t="s">
        <v>133</v>
      </c>
      <c r="K466" s="91" t="s">
        <v>134</v>
      </c>
      <c r="L466" s="91" t="s">
        <v>135</v>
      </c>
      <c r="M466" s="91" t="s">
        <v>136</v>
      </c>
      <c r="N466" s="91" t="s">
        <v>137</v>
      </c>
      <c r="O466" s="91" t="s">
        <v>138</v>
      </c>
      <c r="P466" s="91" t="s">
        <v>139</v>
      </c>
      <c r="Q466" s="91" t="s">
        <v>140</v>
      </c>
      <c r="R466" s="91" t="s">
        <v>141</v>
      </c>
      <c r="S466" s="91" t="s">
        <v>142</v>
      </c>
      <c r="T466" s="91" t="s">
        <v>143</v>
      </c>
      <c r="U466" s="91" t="s">
        <v>144</v>
      </c>
      <c r="V466" s="91" t="s">
        <v>145</v>
      </c>
      <c r="W466" s="91" t="s">
        <v>146</v>
      </c>
      <c r="X466" s="91" t="s">
        <v>147</v>
      </c>
      <c r="Y466" s="91" t="s">
        <v>148</v>
      </c>
      <c r="Z466" s="91" t="s">
        <v>149</v>
      </c>
      <c r="AA466" s="91" t="s">
        <v>150</v>
      </c>
      <c r="AB466" s="91" t="s">
        <v>151</v>
      </c>
      <c r="AC466" s="91" t="s">
        <v>152</v>
      </c>
      <c r="AD466" s="91" t="s">
        <v>153</v>
      </c>
      <c r="AE466" s="91" t="s">
        <v>154</v>
      </c>
      <c r="AF466" s="91" t="s">
        <v>155</v>
      </c>
      <c r="AG466" s="91" t="s">
        <v>156</v>
      </c>
      <c r="AH466" s="91" t="s">
        <v>157</v>
      </c>
    </row>
    <row r="467" spans="2:35" x14ac:dyDescent="0.3">
      <c r="B467" s="97">
        <f t="shared" ref="B467:AH474" si="54">B43+B86+B129+B172+B215+B258+B301+B344+B387+B430</f>
        <v>0</v>
      </c>
      <c r="C467" s="93">
        <f t="shared" si="54"/>
        <v>0</v>
      </c>
      <c r="D467" s="93">
        <f t="shared" si="54"/>
        <v>0</v>
      </c>
      <c r="E467" s="93">
        <f t="shared" si="54"/>
        <v>0</v>
      </c>
      <c r="F467" s="93">
        <f t="shared" si="54"/>
        <v>0</v>
      </c>
      <c r="G467" s="93">
        <f t="shared" si="54"/>
        <v>0</v>
      </c>
      <c r="H467" s="93">
        <f t="shared" si="54"/>
        <v>0</v>
      </c>
      <c r="I467" s="93">
        <f t="shared" si="54"/>
        <v>0</v>
      </c>
      <c r="J467" s="93">
        <f t="shared" si="54"/>
        <v>0</v>
      </c>
      <c r="K467" s="93">
        <f t="shared" si="54"/>
        <v>0</v>
      </c>
      <c r="L467" s="93">
        <f t="shared" si="54"/>
        <v>0</v>
      </c>
      <c r="M467" s="93">
        <f t="shared" si="54"/>
        <v>0</v>
      </c>
      <c r="N467" s="93">
        <f t="shared" si="54"/>
        <v>0</v>
      </c>
      <c r="O467" s="93">
        <f t="shared" si="54"/>
        <v>0</v>
      </c>
      <c r="P467" s="93">
        <f t="shared" si="54"/>
        <v>0</v>
      </c>
      <c r="Q467" s="93">
        <f t="shared" si="54"/>
        <v>0</v>
      </c>
      <c r="R467" s="93">
        <f t="shared" si="54"/>
        <v>0</v>
      </c>
      <c r="S467" s="93">
        <f t="shared" si="54"/>
        <v>0</v>
      </c>
      <c r="T467" s="93">
        <f t="shared" si="54"/>
        <v>0</v>
      </c>
      <c r="U467" s="93">
        <f t="shared" si="54"/>
        <v>0</v>
      </c>
      <c r="V467" s="93">
        <f t="shared" si="54"/>
        <v>0</v>
      </c>
      <c r="W467" s="93">
        <f t="shared" si="54"/>
        <v>0</v>
      </c>
      <c r="X467" s="93">
        <f t="shared" si="54"/>
        <v>0</v>
      </c>
      <c r="Y467" s="93">
        <f t="shared" si="54"/>
        <v>0</v>
      </c>
      <c r="Z467" s="93">
        <f t="shared" si="54"/>
        <v>0</v>
      </c>
      <c r="AA467" s="93">
        <f t="shared" si="54"/>
        <v>0</v>
      </c>
      <c r="AB467" s="93">
        <f t="shared" si="54"/>
        <v>0</v>
      </c>
      <c r="AC467" s="93">
        <f t="shared" si="54"/>
        <v>0</v>
      </c>
      <c r="AD467" s="93">
        <f t="shared" si="54"/>
        <v>0</v>
      </c>
      <c r="AE467" s="93">
        <f t="shared" si="54"/>
        <v>0</v>
      </c>
      <c r="AF467" s="93">
        <f t="shared" si="54"/>
        <v>0</v>
      </c>
      <c r="AG467" s="93">
        <f t="shared" si="54"/>
        <v>0</v>
      </c>
      <c r="AH467" s="93">
        <f t="shared" si="54"/>
        <v>0</v>
      </c>
      <c r="AI467" s="91" t="s">
        <v>125</v>
      </c>
    </row>
    <row r="468" spans="2:35" x14ac:dyDescent="0.3">
      <c r="B468" s="93">
        <f t="shared" si="54"/>
        <v>0</v>
      </c>
      <c r="C468" s="97">
        <f t="shared" si="54"/>
        <v>0</v>
      </c>
      <c r="D468" s="93">
        <f t="shared" si="54"/>
        <v>0</v>
      </c>
      <c r="E468" s="93">
        <f t="shared" si="54"/>
        <v>0</v>
      </c>
      <c r="F468" s="93">
        <f t="shared" si="54"/>
        <v>0</v>
      </c>
      <c r="G468" s="93">
        <f t="shared" si="54"/>
        <v>0</v>
      </c>
      <c r="H468" s="93">
        <f t="shared" si="54"/>
        <v>0</v>
      </c>
      <c r="I468" s="93">
        <f t="shared" si="54"/>
        <v>0</v>
      </c>
      <c r="J468" s="93">
        <f t="shared" si="54"/>
        <v>0</v>
      </c>
      <c r="K468" s="93">
        <f t="shared" si="54"/>
        <v>0</v>
      </c>
      <c r="L468" s="93">
        <f t="shared" si="54"/>
        <v>0</v>
      </c>
      <c r="M468" s="93">
        <f t="shared" si="54"/>
        <v>0</v>
      </c>
      <c r="N468" s="93">
        <f t="shared" si="54"/>
        <v>0</v>
      </c>
      <c r="O468" s="93">
        <f t="shared" si="54"/>
        <v>0</v>
      </c>
      <c r="P468" s="93">
        <f t="shared" si="54"/>
        <v>0</v>
      </c>
      <c r="Q468" s="93">
        <f t="shared" si="54"/>
        <v>0</v>
      </c>
      <c r="R468" s="93">
        <f t="shared" si="54"/>
        <v>0</v>
      </c>
      <c r="S468" s="93">
        <f t="shared" si="54"/>
        <v>0</v>
      </c>
      <c r="T468" s="93">
        <f t="shared" si="54"/>
        <v>0</v>
      </c>
      <c r="U468" s="93">
        <f t="shared" si="54"/>
        <v>0</v>
      </c>
      <c r="V468" s="93">
        <f t="shared" si="54"/>
        <v>0</v>
      </c>
      <c r="W468" s="93">
        <f t="shared" si="54"/>
        <v>0</v>
      </c>
      <c r="X468" s="93">
        <f t="shared" si="54"/>
        <v>0</v>
      </c>
      <c r="Y468" s="93">
        <f t="shared" si="54"/>
        <v>0</v>
      </c>
      <c r="Z468" s="93">
        <f t="shared" si="54"/>
        <v>0</v>
      </c>
      <c r="AA468" s="93">
        <f t="shared" si="54"/>
        <v>0</v>
      </c>
      <c r="AB468" s="93">
        <f t="shared" si="54"/>
        <v>0</v>
      </c>
      <c r="AC468" s="93">
        <f t="shared" si="54"/>
        <v>0</v>
      </c>
      <c r="AD468" s="93">
        <f t="shared" si="54"/>
        <v>0</v>
      </c>
      <c r="AE468" s="93">
        <f t="shared" si="54"/>
        <v>0</v>
      </c>
      <c r="AF468" s="93">
        <f t="shared" si="54"/>
        <v>0</v>
      </c>
      <c r="AG468" s="93">
        <f t="shared" si="54"/>
        <v>0</v>
      </c>
      <c r="AH468" s="93">
        <f t="shared" si="54"/>
        <v>0</v>
      </c>
      <c r="AI468" s="91" t="s">
        <v>126</v>
      </c>
    </row>
    <row r="469" spans="2:35" x14ac:dyDescent="0.3">
      <c r="B469" s="93">
        <f t="shared" si="54"/>
        <v>0</v>
      </c>
      <c r="C469" s="93">
        <f t="shared" si="54"/>
        <v>0</v>
      </c>
      <c r="D469" s="97">
        <f t="shared" si="54"/>
        <v>0</v>
      </c>
      <c r="E469" s="93">
        <f t="shared" si="54"/>
        <v>0</v>
      </c>
      <c r="F469" s="93">
        <f t="shared" si="54"/>
        <v>0</v>
      </c>
      <c r="G469" s="93">
        <f t="shared" si="54"/>
        <v>0</v>
      </c>
      <c r="H469" s="93">
        <f t="shared" si="54"/>
        <v>0</v>
      </c>
      <c r="I469" s="93">
        <f t="shared" si="54"/>
        <v>0</v>
      </c>
      <c r="J469" s="93">
        <f t="shared" si="54"/>
        <v>0</v>
      </c>
      <c r="K469" s="93">
        <f t="shared" si="54"/>
        <v>0</v>
      </c>
      <c r="L469" s="93">
        <f t="shared" si="54"/>
        <v>0</v>
      </c>
      <c r="M469" s="93">
        <f t="shared" si="54"/>
        <v>0</v>
      </c>
      <c r="N469" s="93">
        <f t="shared" si="54"/>
        <v>0</v>
      </c>
      <c r="O469" s="93">
        <f t="shared" si="54"/>
        <v>0</v>
      </c>
      <c r="P469" s="93">
        <f t="shared" si="54"/>
        <v>0</v>
      </c>
      <c r="Q469" s="93">
        <f t="shared" si="54"/>
        <v>0</v>
      </c>
      <c r="R469" s="93">
        <f t="shared" si="54"/>
        <v>0</v>
      </c>
      <c r="S469" s="93">
        <f t="shared" si="54"/>
        <v>0</v>
      </c>
      <c r="T469" s="93">
        <f t="shared" si="54"/>
        <v>0</v>
      </c>
      <c r="U469" s="93">
        <f t="shared" si="54"/>
        <v>0</v>
      </c>
      <c r="V469" s="93">
        <f t="shared" si="54"/>
        <v>0</v>
      </c>
      <c r="W469" s="93">
        <f t="shared" si="54"/>
        <v>0</v>
      </c>
      <c r="X469" s="93">
        <f t="shared" si="54"/>
        <v>0</v>
      </c>
      <c r="Y469" s="93">
        <f t="shared" si="54"/>
        <v>0</v>
      </c>
      <c r="Z469" s="93">
        <f t="shared" si="54"/>
        <v>0</v>
      </c>
      <c r="AA469" s="93">
        <f t="shared" si="54"/>
        <v>0</v>
      </c>
      <c r="AB469" s="93">
        <f t="shared" si="54"/>
        <v>0</v>
      </c>
      <c r="AC469" s="93">
        <f t="shared" si="54"/>
        <v>0</v>
      </c>
      <c r="AD469" s="93">
        <f t="shared" si="54"/>
        <v>0</v>
      </c>
      <c r="AE469" s="93">
        <f t="shared" si="54"/>
        <v>0</v>
      </c>
      <c r="AF469" s="93">
        <f t="shared" si="54"/>
        <v>0</v>
      </c>
      <c r="AG469" s="93">
        <f t="shared" si="54"/>
        <v>0</v>
      </c>
      <c r="AH469" s="93">
        <f t="shared" si="54"/>
        <v>0</v>
      </c>
      <c r="AI469" s="91" t="s">
        <v>127</v>
      </c>
    </row>
    <row r="470" spans="2:35" x14ac:dyDescent="0.3">
      <c r="B470" s="93">
        <f t="shared" si="54"/>
        <v>0</v>
      </c>
      <c r="C470" s="93">
        <f t="shared" si="54"/>
        <v>0</v>
      </c>
      <c r="D470" s="93">
        <f t="shared" si="54"/>
        <v>0</v>
      </c>
      <c r="E470" s="97">
        <f t="shared" si="54"/>
        <v>0</v>
      </c>
      <c r="F470" s="93">
        <f t="shared" si="54"/>
        <v>0</v>
      </c>
      <c r="G470" s="93">
        <f t="shared" si="54"/>
        <v>0</v>
      </c>
      <c r="H470" s="93">
        <f t="shared" si="54"/>
        <v>0</v>
      </c>
      <c r="I470" s="93">
        <f t="shared" si="54"/>
        <v>0</v>
      </c>
      <c r="J470" s="93">
        <f t="shared" si="54"/>
        <v>0</v>
      </c>
      <c r="K470" s="93">
        <f t="shared" si="54"/>
        <v>0</v>
      </c>
      <c r="L470" s="93">
        <f t="shared" si="54"/>
        <v>0</v>
      </c>
      <c r="M470" s="93">
        <f t="shared" si="54"/>
        <v>0</v>
      </c>
      <c r="N470" s="93">
        <f t="shared" si="54"/>
        <v>0</v>
      </c>
      <c r="O470" s="93">
        <f t="shared" si="54"/>
        <v>0</v>
      </c>
      <c r="P470" s="93">
        <f t="shared" si="54"/>
        <v>0</v>
      </c>
      <c r="Q470" s="93">
        <f t="shared" si="54"/>
        <v>0</v>
      </c>
      <c r="R470" s="93">
        <f t="shared" si="54"/>
        <v>0</v>
      </c>
      <c r="S470" s="93">
        <f t="shared" si="54"/>
        <v>0</v>
      </c>
      <c r="T470" s="93">
        <f t="shared" si="54"/>
        <v>0</v>
      </c>
      <c r="U470" s="93">
        <f t="shared" si="54"/>
        <v>0</v>
      </c>
      <c r="V470" s="93">
        <f t="shared" si="54"/>
        <v>0</v>
      </c>
      <c r="W470" s="93">
        <f t="shared" si="54"/>
        <v>0</v>
      </c>
      <c r="X470" s="93">
        <f t="shared" si="54"/>
        <v>0</v>
      </c>
      <c r="Y470" s="93">
        <f t="shared" si="54"/>
        <v>0</v>
      </c>
      <c r="Z470" s="93">
        <f t="shared" si="54"/>
        <v>0</v>
      </c>
      <c r="AA470" s="93">
        <f t="shared" si="54"/>
        <v>0</v>
      </c>
      <c r="AB470" s="93">
        <f t="shared" si="54"/>
        <v>0</v>
      </c>
      <c r="AC470" s="93">
        <f t="shared" si="54"/>
        <v>0</v>
      </c>
      <c r="AD470" s="93">
        <f t="shared" si="54"/>
        <v>0</v>
      </c>
      <c r="AE470" s="93">
        <f t="shared" si="54"/>
        <v>0</v>
      </c>
      <c r="AF470" s="93">
        <f t="shared" si="54"/>
        <v>0</v>
      </c>
      <c r="AG470" s="93">
        <f t="shared" si="54"/>
        <v>0</v>
      </c>
      <c r="AH470" s="93">
        <f t="shared" si="54"/>
        <v>0</v>
      </c>
      <c r="AI470" s="91" t="s">
        <v>128</v>
      </c>
    </row>
    <row r="471" spans="2:35" x14ac:dyDescent="0.3">
      <c r="B471" s="93">
        <f t="shared" si="54"/>
        <v>0</v>
      </c>
      <c r="C471" s="93">
        <f t="shared" si="54"/>
        <v>0</v>
      </c>
      <c r="D471" s="93">
        <f t="shared" si="54"/>
        <v>0</v>
      </c>
      <c r="E471" s="93">
        <f t="shared" si="54"/>
        <v>0</v>
      </c>
      <c r="F471" s="97">
        <f t="shared" si="54"/>
        <v>0</v>
      </c>
      <c r="G471" s="93">
        <f t="shared" si="54"/>
        <v>0</v>
      </c>
      <c r="H471" s="93">
        <f t="shared" si="54"/>
        <v>0</v>
      </c>
      <c r="I471" s="93">
        <f t="shared" si="54"/>
        <v>0</v>
      </c>
      <c r="J471" s="93">
        <f t="shared" si="54"/>
        <v>0</v>
      </c>
      <c r="K471" s="93">
        <f t="shared" si="54"/>
        <v>0</v>
      </c>
      <c r="L471" s="93">
        <f t="shared" si="54"/>
        <v>0</v>
      </c>
      <c r="M471" s="93">
        <f t="shared" si="54"/>
        <v>0</v>
      </c>
      <c r="N471" s="93">
        <f t="shared" si="54"/>
        <v>0</v>
      </c>
      <c r="O471" s="93">
        <f t="shared" si="54"/>
        <v>0</v>
      </c>
      <c r="P471" s="93">
        <f t="shared" si="54"/>
        <v>0</v>
      </c>
      <c r="Q471" s="93">
        <f t="shared" si="54"/>
        <v>0</v>
      </c>
      <c r="R471" s="93">
        <f t="shared" si="54"/>
        <v>0</v>
      </c>
      <c r="S471" s="93">
        <f t="shared" si="54"/>
        <v>0</v>
      </c>
      <c r="T471" s="93">
        <f t="shared" si="54"/>
        <v>0</v>
      </c>
      <c r="U471" s="93">
        <f t="shared" si="54"/>
        <v>0</v>
      </c>
      <c r="V471" s="93">
        <f t="shared" si="54"/>
        <v>0</v>
      </c>
      <c r="W471" s="93">
        <f t="shared" si="54"/>
        <v>0</v>
      </c>
      <c r="X471" s="93">
        <f t="shared" si="54"/>
        <v>0</v>
      </c>
      <c r="Y471" s="93">
        <f t="shared" si="54"/>
        <v>0</v>
      </c>
      <c r="Z471" s="93">
        <f t="shared" si="54"/>
        <v>0</v>
      </c>
      <c r="AA471" s="93">
        <f t="shared" si="54"/>
        <v>0</v>
      </c>
      <c r="AB471" s="93">
        <f t="shared" si="54"/>
        <v>0</v>
      </c>
      <c r="AC471" s="93">
        <f t="shared" si="54"/>
        <v>0</v>
      </c>
      <c r="AD471" s="93">
        <f t="shared" si="54"/>
        <v>0</v>
      </c>
      <c r="AE471" s="93">
        <f t="shared" si="54"/>
        <v>0</v>
      </c>
      <c r="AF471" s="93">
        <f t="shared" si="54"/>
        <v>0</v>
      </c>
      <c r="AG471" s="93">
        <f t="shared" si="54"/>
        <v>0</v>
      </c>
      <c r="AH471" s="93">
        <f t="shared" si="54"/>
        <v>0</v>
      </c>
      <c r="AI471" s="91" t="s">
        <v>129</v>
      </c>
    </row>
    <row r="472" spans="2:35" x14ac:dyDescent="0.3">
      <c r="B472" s="93">
        <f t="shared" si="54"/>
        <v>0</v>
      </c>
      <c r="C472" s="93">
        <f t="shared" si="54"/>
        <v>0</v>
      </c>
      <c r="D472" s="93">
        <f t="shared" si="54"/>
        <v>0</v>
      </c>
      <c r="E472" s="93">
        <f t="shared" si="54"/>
        <v>0</v>
      </c>
      <c r="F472" s="93">
        <f t="shared" si="54"/>
        <v>0</v>
      </c>
      <c r="G472" s="97">
        <f t="shared" si="54"/>
        <v>0</v>
      </c>
      <c r="H472" s="93">
        <f t="shared" si="54"/>
        <v>0</v>
      </c>
      <c r="I472" s="93">
        <f t="shared" si="54"/>
        <v>0</v>
      </c>
      <c r="J472" s="93">
        <f t="shared" si="54"/>
        <v>0</v>
      </c>
      <c r="K472" s="93">
        <f t="shared" si="54"/>
        <v>0</v>
      </c>
      <c r="L472" s="93">
        <f t="shared" si="54"/>
        <v>0</v>
      </c>
      <c r="M472" s="93">
        <f t="shared" si="54"/>
        <v>0</v>
      </c>
      <c r="N472" s="93">
        <f t="shared" si="54"/>
        <v>0</v>
      </c>
      <c r="O472" s="93">
        <f t="shared" si="54"/>
        <v>0</v>
      </c>
      <c r="P472" s="93">
        <f t="shared" si="54"/>
        <v>0</v>
      </c>
      <c r="Q472" s="93">
        <f t="shared" si="54"/>
        <v>0</v>
      </c>
      <c r="R472" s="93">
        <f t="shared" si="54"/>
        <v>0</v>
      </c>
      <c r="S472" s="93">
        <f t="shared" si="54"/>
        <v>0</v>
      </c>
      <c r="T472" s="93">
        <f t="shared" si="54"/>
        <v>0</v>
      </c>
      <c r="U472" s="93">
        <f t="shared" si="54"/>
        <v>0</v>
      </c>
      <c r="V472" s="93">
        <f t="shared" si="54"/>
        <v>0</v>
      </c>
      <c r="W472" s="93">
        <f t="shared" si="54"/>
        <v>0</v>
      </c>
      <c r="X472" s="93">
        <f t="shared" si="54"/>
        <v>0</v>
      </c>
      <c r="Y472" s="93">
        <f t="shared" si="54"/>
        <v>0</v>
      </c>
      <c r="Z472" s="93">
        <f t="shared" si="54"/>
        <v>0</v>
      </c>
      <c r="AA472" s="93">
        <f t="shared" si="54"/>
        <v>0</v>
      </c>
      <c r="AB472" s="93">
        <f t="shared" si="54"/>
        <v>0</v>
      </c>
      <c r="AC472" s="93">
        <f t="shared" si="54"/>
        <v>0</v>
      </c>
      <c r="AD472" s="93">
        <f t="shared" si="54"/>
        <v>0</v>
      </c>
      <c r="AE472" s="93">
        <f t="shared" si="54"/>
        <v>0</v>
      </c>
      <c r="AF472" s="93">
        <f t="shared" si="54"/>
        <v>0</v>
      </c>
      <c r="AG472" s="93">
        <f t="shared" si="54"/>
        <v>0</v>
      </c>
      <c r="AH472" s="93">
        <f t="shared" si="54"/>
        <v>0</v>
      </c>
      <c r="AI472" s="91" t="s">
        <v>130</v>
      </c>
    </row>
    <row r="473" spans="2:35" x14ac:dyDescent="0.3">
      <c r="B473" s="93">
        <f t="shared" si="54"/>
        <v>0</v>
      </c>
      <c r="C473" s="93">
        <f t="shared" si="54"/>
        <v>0</v>
      </c>
      <c r="D473" s="93">
        <f t="shared" si="54"/>
        <v>0</v>
      </c>
      <c r="E473" s="93">
        <f t="shared" si="54"/>
        <v>0</v>
      </c>
      <c r="F473" s="93">
        <f t="shared" si="54"/>
        <v>0</v>
      </c>
      <c r="G473" s="93">
        <f t="shared" si="54"/>
        <v>0</v>
      </c>
      <c r="H473" s="97">
        <f t="shared" si="54"/>
        <v>0</v>
      </c>
      <c r="I473" s="93">
        <f t="shared" si="54"/>
        <v>0</v>
      </c>
      <c r="J473" s="93">
        <f t="shared" si="54"/>
        <v>0</v>
      </c>
      <c r="K473" s="93">
        <f t="shared" si="54"/>
        <v>0</v>
      </c>
      <c r="L473" s="93">
        <f t="shared" si="54"/>
        <v>0</v>
      </c>
      <c r="M473" s="93">
        <f t="shared" si="54"/>
        <v>0</v>
      </c>
      <c r="N473" s="93">
        <f t="shared" si="54"/>
        <v>0</v>
      </c>
      <c r="O473" s="93">
        <f t="shared" si="54"/>
        <v>0</v>
      </c>
      <c r="P473" s="93">
        <f t="shared" si="54"/>
        <v>0</v>
      </c>
      <c r="Q473" s="93">
        <f t="shared" si="54"/>
        <v>0</v>
      </c>
      <c r="R473" s="93">
        <f t="shared" si="54"/>
        <v>0</v>
      </c>
      <c r="S473" s="93">
        <f t="shared" si="54"/>
        <v>0</v>
      </c>
      <c r="T473" s="93">
        <f t="shared" si="54"/>
        <v>0</v>
      </c>
      <c r="U473" s="93">
        <f t="shared" si="54"/>
        <v>0</v>
      </c>
      <c r="V473" s="93">
        <f t="shared" si="54"/>
        <v>0</v>
      </c>
      <c r="W473" s="93">
        <f t="shared" si="54"/>
        <v>0</v>
      </c>
      <c r="X473" s="93">
        <f t="shared" si="54"/>
        <v>0</v>
      </c>
      <c r="Y473" s="93">
        <f t="shared" si="54"/>
        <v>0</v>
      </c>
      <c r="Z473" s="93">
        <f t="shared" si="54"/>
        <v>0</v>
      </c>
      <c r="AA473" s="93">
        <f t="shared" si="54"/>
        <v>0</v>
      </c>
      <c r="AB473" s="93">
        <f t="shared" si="54"/>
        <v>0</v>
      </c>
      <c r="AC473" s="93">
        <f t="shared" si="54"/>
        <v>0</v>
      </c>
      <c r="AD473" s="93">
        <f t="shared" si="54"/>
        <v>0</v>
      </c>
      <c r="AE473" s="93">
        <f t="shared" si="54"/>
        <v>0</v>
      </c>
      <c r="AF473" s="93">
        <f t="shared" si="54"/>
        <v>0</v>
      </c>
      <c r="AG473" s="93">
        <f t="shared" si="54"/>
        <v>0</v>
      </c>
      <c r="AH473" s="93">
        <f t="shared" si="54"/>
        <v>0</v>
      </c>
      <c r="AI473" s="91" t="s">
        <v>131</v>
      </c>
    </row>
    <row r="474" spans="2:35" x14ac:dyDescent="0.3">
      <c r="B474" s="93">
        <f t="shared" si="54"/>
        <v>0</v>
      </c>
      <c r="C474" s="93">
        <f t="shared" si="54"/>
        <v>0</v>
      </c>
      <c r="D474" s="93">
        <f t="shared" si="54"/>
        <v>0</v>
      </c>
      <c r="E474" s="93">
        <f t="shared" si="54"/>
        <v>0</v>
      </c>
      <c r="F474" s="93">
        <f t="shared" si="54"/>
        <v>0</v>
      </c>
      <c r="G474" s="93">
        <f t="shared" si="54"/>
        <v>0</v>
      </c>
      <c r="H474" s="93">
        <f t="shared" si="54"/>
        <v>0</v>
      </c>
      <c r="I474" s="97">
        <f t="shared" si="54"/>
        <v>0</v>
      </c>
      <c r="J474" s="93">
        <f t="shared" si="54"/>
        <v>0</v>
      </c>
      <c r="K474" s="93">
        <f t="shared" si="54"/>
        <v>0</v>
      </c>
      <c r="L474" s="93">
        <f t="shared" si="54"/>
        <v>0</v>
      </c>
      <c r="M474" s="93">
        <f t="shared" si="54"/>
        <v>0</v>
      </c>
      <c r="N474" s="93">
        <f t="shared" si="54"/>
        <v>0</v>
      </c>
      <c r="O474" s="93">
        <f t="shared" si="54"/>
        <v>0</v>
      </c>
      <c r="P474" s="93">
        <f t="shared" si="54"/>
        <v>0</v>
      </c>
      <c r="Q474" s="93">
        <f t="shared" si="54"/>
        <v>0</v>
      </c>
      <c r="R474" s="93">
        <f t="shared" si="54"/>
        <v>0</v>
      </c>
      <c r="S474" s="93">
        <f t="shared" si="54"/>
        <v>0</v>
      </c>
      <c r="T474" s="93">
        <f t="shared" si="54"/>
        <v>0</v>
      </c>
      <c r="U474" s="93">
        <f t="shared" si="54"/>
        <v>0</v>
      </c>
      <c r="V474" s="93">
        <f t="shared" si="54"/>
        <v>0</v>
      </c>
      <c r="W474" s="93">
        <f t="shared" si="54"/>
        <v>0</v>
      </c>
      <c r="X474" s="93">
        <f t="shared" si="54"/>
        <v>0</v>
      </c>
      <c r="Y474" s="93">
        <f t="shared" si="54"/>
        <v>0</v>
      </c>
      <c r="Z474" s="93">
        <f t="shared" ref="Z474:BF474" si="55">Z50+Z93+Z136+Z179+Z222+Z265+Z308+Z351+Z394+Z437</f>
        <v>0</v>
      </c>
      <c r="AA474" s="93">
        <f t="shared" si="55"/>
        <v>0</v>
      </c>
      <c r="AB474" s="93">
        <f t="shared" si="55"/>
        <v>0</v>
      </c>
      <c r="AC474" s="93">
        <f t="shared" si="55"/>
        <v>0</v>
      </c>
      <c r="AD474" s="93">
        <f t="shared" si="55"/>
        <v>0</v>
      </c>
      <c r="AE474" s="93">
        <f t="shared" si="55"/>
        <v>0</v>
      </c>
      <c r="AF474" s="93">
        <f t="shared" si="55"/>
        <v>0</v>
      </c>
      <c r="AG474" s="93">
        <f t="shared" si="55"/>
        <v>0</v>
      </c>
      <c r="AH474" s="93">
        <f t="shared" si="55"/>
        <v>0</v>
      </c>
      <c r="AI474" s="91" t="s">
        <v>132</v>
      </c>
    </row>
    <row r="475" spans="2:35" x14ac:dyDescent="0.3">
      <c r="B475" s="93">
        <f t="shared" ref="B475:AH482" si="56">B51+B94+B137+B180+B223+B266+B309+B352+B395+B438</f>
        <v>0</v>
      </c>
      <c r="C475" s="93">
        <f t="shared" si="56"/>
        <v>0</v>
      </c>
      <c r="D475" s="93">
        <f t="shared" si="56"/>
        <v>0</v>
      </c>
      <c r="E475" s="93">
        <f t="shared" si="56"/>
        <v>0</v>
      </c>
      <c r="F475" s="93">
        <f t="shared" si="56"/>
        <v>0</v>
      </c>
      <c r="G475" s="93">
        <f t="shared" si="56"/>
        <v>0</v>
      </c>
      <c r="H475" s="93">
        <f t="shared" si="56"/>
        <v>0</v>
      </c>
      <c r="I475" s="93">
        <f t="shared" si="56"/>
        <v>0</v>
      </c>
      <c r="J475" s="97">
        <f t="shared" si="56"/>
        <v>0</v>
      </c>
      <c r="K475" s="93">
        <f t="shared" si="56"/>
        <v>0</v>
      </c>
      <c r="L475" s="93">
        <f t="shared" si="56"/>
        <v>0</v>
      </c>
      <c r="M475" s="93">
        <f t="shared" si="56"/>
        <v>0</v>
      </c>
      <c r="N475" s="93">
        <f t="shared" si="56"/>
        <v>0</v>
      </c>
      <c r="O475" s="93">
        <f t="shared" si="56"/>
        <v>0</v>
      </c>
      <c r="P475" s="93">
        <f t="shared" si="56"/>
        <v>0</v>
      </c>
      <c r="Q475" s="93">
        <f t="shared" si="56"/>
        <v>0</v>
      </c>
      <c r="R475" s="93">
        <f t="shared" si="56"/>
        <v>0</v>
      </c>
      <c r="S475" s="93">
        <f t="shared" si="56"/>
        <v>0</v>
      </c>
      <c r="T475" s="93">
        <f t="shared" si="56"/>
        <v>0</v>
      </c>
      <c r="U475" s="93">
        <f t="shared" si="56"/>
        <v>0</v>
      </c>
      <c r="V475" s="93">
        <f t="shared" si="56"/>
        <v>0</v>
      </c>
      <c r="W475" s="93">
        <f t="shared" si="56"/>
        <v>0</v>
      </c>
      <c r="X475" s="93">
        <f t="shared" si="56"/>
        <v>0</v>
      </c>
      <c r="Y475" s="93">
        <f t="shared" si="56"/>
        <v>0</v>
      </c>
      <c r="Z475" s="93">
        <f t="shared" si="56"/>
        <v>0</v>
      </c>
      <c r="AA475" s="93">
        <f t="shared" si="56"/>
        <v>0</v>
      </c>
      <c r="AB475" s="93">
        <f t="shared" si="56"/>
        <v>0</v>
      </c>
      <c r="AC475" s="93">
        <f t="shared" si="56"/>
        <v>0</v>
      </c>
      <c r="AD475" s="93">
        <f t="shared" si="56"/>
        <v>0</v>
      </c>
      <c r="AE475" s="93">
        <f t="shared" si="56"/>
        <v>0</v>
      </c>
      <c r="AF475" s="93">
        <f t="shared" si="56"/>
        <v>0</v>
      </c>
      <c r="AG475" s="93">
        <f t="shared" si="56"/>
        <v>0</v>
      </c>
      <c r="AH475" s="93">
        <f t="shared" si="56"/>
        <v>0</v>
      </c>
      <c r="AI475" s="91" t="s">
        <v>133</v>
      </c>
    </row>
    <row r="476" spans="2:35" x14ac:dyDescent="0.3">
      <c r="B476" s="93">
        <f t="shared" si="56"/>
        <v>0</v>
      </c>
      <c r="C476" s="93">
        <f t="shared" si="56"/>
        <v>0</v>
      </c>
      <c r="D476" s="93">
        <f t="shared" si="56"/>
        <v>0</v>
      </c>
      <c r="E476" s="93">
        <f t="shared" si="56"/>
        <v>0</v>
      </c>
      <c r="F476" s="93">
        <f t="shared" si="56"/>
        <v>0</v>
      </c>
      <c r="G476" s="93">
        <f t="shared" si="56"/>
        <v>0</v>
      </c>
      <c r="H476" s="93">
        <f t="shared" si="56"/>
        <v>0</v>
      </c>
      <c r="I476" s="93">
        <f t="shared" si="56"/>
        <v>0</v>
      </c>
      <c r="J476" s="93">
        <f t="shared" si="56"/>
        <v>0</v>
      </c>
      <c r="K476" s="97">
        <f t="shared" si="56"/>
        <v>0</v>
      </c>
      <c r="L476" s="93">
        <f t="shared" si="56"/>
        <v>0</v>
      </c>
      <c r="M476" s="93">
        <f t="shared" si="56"/>
        <v>0</v>
      </c>
      <c r="N476" s="93">
        <f t="shared" si="56"/>
        <v>0</v>
      </c>
      <c r="O476" s="93">
        <f t="shared" si="56"/>
        <v>0</v>
      </c>
      <c r="P476" s="93">
        <f t="shared" si="56"/>
        <v>0</v>
      </c>
      <c r="Q476" s="93">
        <f t="shared" si="56"/>
        <v>0</v>
      </c>
      <c r="R476" s="93">
        <f t="shared" si="56"/>
        <v>0</v>
      </c>
      <c r="S476" s="93">
        <f t="shared" si="56"/>
        <v>0</v>
      </c>
      <c r="T476" s="93">
        <f t="shared" si="56"/>
        <v>0</v>
      </c>
      <c r="U476" s="93">
        <f t="shared" si="56"/>
        <v>0</v>
      </c>
      <c r="V476" s="93">
        <f t="shared" si="56"/>
        <v>0</v>
      </c>
      <c r="W476" s="93">
        <f t="shared" si="56"/>
        <v>0</v>
      </c>
      <c r="X476" s="93">
        <f t="shared" si="56"/>
        <v>0</v>
      </c>
      <c r="Y476" s="93">
        <f t="shared" si="56"/>
        <v>0</v>
      </c>
      <c r="Z476" s="93">
        <f t="shared" si="56"/>
        <v>0</v>
      </c>
      <c r="AA476" s="93">
        <f t="shared" si="56"/>
        <v>0</v>
      </c>
      <c r="AB476" s="93">
        <f t="shared" si="56"/>
        <v>0</v>
      </c>
      <c r="AC476" s="93">
        <f t="shared" si="56"/>
        <v>0</v>
      </c>
      <c r="AD476" s="93">
        <f t="shared" si="56"/>
        <v>0</v>
      </c>
      <c r="AE476" s="93">
        <f t="shared" si="56"/>
        <v>0</v>
      </c>
      <c r="AF476" s="93">
        <f t="shared" si="56"/>
        <v>0</v>
      </c>
      <c r="AG476" s="93">
        <f t="shared" si="56"/>
        <v>0</v>
      </c>
      <c r="AH476" s="93">
        <f t="shared" si="56"/>
        <v>0</v>
      </c>
      <c r="AI476" s="91" t="s">
        <v>134</v>
      </c>
    </row>
    <row r="477" spans="2:35" x14ac:dyDescent="0.3">
      <c r="B477" s="93">
        <f t="shared" si="56"/>
        <v>0</v>
      </c>
      <c r="C477" s="93">
        <f t="shared" si="56"/>
        <v>0</v>
      </c>
      <c r="D477" s="93">
        <f t="shared" si="56"/>
        <v>0</v>
      </c>
      <c r="E477" s="93">
        <f t="shared" si="56"/>
        <v>0</v>
      </c>
      <c r="F477" s="93">
        <f t="shared" si="56"/>
        <v>0</v>
      </c>
      <c r="G477" s="93">
        <f t="shared" si="56"/>
        <v>0</v>
      </c>
      <c r="H477" s="93">
        <f t="shared" si="56"/>
        <v>0</v>
      </c>
      <c r="I477" s="93">
        <f t="shared" si="56"/>
        <v>0</v>
      </c>
      <c r="J477" s="93">
        <f t="shared" si="56"/>
        <v>0</v>
      </c>
      <c r="K477" s="93">
        <f t="shared" si="56"/>
        <v>0</v>
      </c>
      <c r="L477" s="97">
        <f t="shared" si="56"/>
        <v>0</v>
      </c>
      <c r="M477" s="93">
        <f t="shared" si="56"/>
        <v>0</v>
      </c>
      <c r="N477" s="93">
        <f t="shared" si="56"/>
        <v>0</v>
      </c>
      <c r="O477" s="93">
        <f t="shared" si="56"/>
        <v>0</v>
      </c>
      <c r="P477" s="93">
        <f t="shared" si="56"/>
        <v>0</v>
      </c>
      <c r="Q477" s="93">
        <f t="shared" si="56"/>
        <v>0</v>
      </c>
      <c r="R477" s="93">
        <f t="shared" si="56"/>
        <v>0</v>
      </c>
      <c r="S477" s="93">
        <f t="shared" si="56"/>
        <v>0</v>
      </c>
      <c r="T477" s="93">
        <f t="shared" si="56"/>
        <v>0</v>
      </c>
      <c r="U477" s="93">
        <f t="shared" si="56"/>
        <v>0</v>
      </c>
      <c r="V477" s="93">
        <f t="shared" si="56"/>
        <v>0</v>
      </c>
      <c r="W477" s="93">
        <f t="shared" si="56"/>
        <v>0</v>
      </c>
      <c r="X477" s="93">
        <f t="shared" si="56"/>
        <v>0</v>
      </c>
      <c r="Y477" s="93">
        <f t="shared" si="56"/>
        <v>0</v>
      </c>
      <c r="Z477" s="93">
        <f t="shared" si="56"/>
        <v>0</v>
      </c>
      <c r="AA477" s="93">
        <f t="shared" si="56"/>
        <v>0</v>
      </c>
      <c r="AB477" s="93">
        <f t="shared" si="56"/>
        <v>0</v>
      </c>
      <c r="AC477" s="93">
        <f t="shared" si="56"/>
        <v>0</v>
      </c>
      <c r="AD477" s="93">
        <f t="shared" si="56"/>
        <v>0</v>
      </c>
      <c r="AE477" s="93">
        <f t="shared" si="56"/>
        <v>0</v>
      </c>
      <c r="AF477" s="93">
        <f t="shared" si="56"/>
        <v>0</v>
      </c>
      <c r="AG477" s="93">
        <f t="shared" si="56"/>
        <v>0</v>
      </c>
      <c r="AH477" s="93">
        <f t="shared" si="56"/>
        <v>0</v>
      </c>
      <c r="AI477" s="91" t="s">
        <v>135</v>
      </c>
    </row>
    <row r="478" spans="2:35" x14ac:dyDescent="0.3">
      <c r="B478" s="93">
        <f t="shared" si="56"/>
        <v>0</v>
      </c>
      <c r="C478" s="93">
        <f t="shared" si="56"/>
        <v>0</v>
      </c>
      <c r="D478" s="93">
        <f t="shared" si="56"/>
        <v>0</v>
      </c>
      <c r="E478" s="93">
        <f t="shared" si="56"/>
        <v>0</v>
      </c>
      <c r="F478" s="93">
        <f t="shared" si="56"/>
        <v>0</v>
      </c>
      <c r="G478" s="93">
        <f t="shared" si="56"/>
        <v>0</v>
      </c>
      <c r="H478" s="93">
        <f t="shared" si="56"/>
        <v>0</v>
      </c>
      <c r="I478" s="93">
        <f t="shared" si="56"/>
        <v>0</v>
      </c>
      <c r="J478" s="93">
        <f t="shared" si="56"/>
        <v>0</v>
      </c>
      <c r="K478" s="93">
        <f t="shared" si="56"/>
        <v>0</v>
      </c>
      <c r="L478" s="93">
        <f t="shared" si="56"/>
        <v>0</v>
      </c>
      <c r="M478" s="97">
        <f t="shared" si="56"/>
        <v>0</v>
      </c>
      <c r="N478" s="93">
        <f t="shared" si="56"/>
        <v>0</v>
      </c>
      <c r="O478" s="93">
        <f t="shared" si="56"/>
        <v>0</v>
      </c>
      <c r="P478" s="93">
        <f t="shared" si="56"/>
        <v>0</v>
      </c>
      <c r="Q478" s="93">
        <f t="shared" si="56"/>
        <v>0</v>
      </c>
      <c r="R478" s="93">
        <f t="shared" si="56"/>
        <v>0</v>
      </c>
      <c r="S478" s="93">
        <f t="shared" si="56"/>
        <v>0</v>
      </c>
      <c r="T478" s="93">
        <f t="shared" si="56"/>
        <v>0</v>
      </c>
      <c r="U478" s="93">
        <f t="shared" si="56"/>
        <v>0</v>
      </c>
      <c r="V478" s="93">
        <f t="shared" si="56"/>
        <v>0</v>
      </c>
      <c r="W478" s="93">
        <f t="shared" si="56"/>
        <v>0</v>
      </c>
      <c r="X478" s="93">
        <f t="shared" si="56"/>
        <v>0</v>
      </c>
      <c r="Y478" s="93">
        <f t="shared" si="56"/>
        <v>0</v>
      </c>
      <c r="Z478" s="93">
        <f t="shared" si="56"/>
        <v>0</v>
      </c>
      <c r="AA478" s="93">
        <f t="shared" si="56"/>
        <v>0</v>
      </c>
      <c r="AB478" s="93">
        <f t="shared" si="56"/>
        <v>0</v>
      </c>
      <c r="AC478" s="93">
        <f t="shared" si="56"/>
        <v>0</v>
      </c>
      <c r="AD478" s="93">
        <f t="shared" si="56"/>
        <v>0</v>
      </c>
      <c r="AE478" s="93">
        <f t="shared" si="56"/>
        <v>0</v>
      </c>
      <c r="AF478" s="93">
        <f t="shared" si="56"/>
        <v>0</v>
      </c>
      <c r="AG478" s="93">
        <f t="shared" si="56"/>
        <v>0</v>
      </c>
      <c r="AH478" s="93">
        <f t="shared" si="56"/>
        <v>0</v>
      </c>
      <c r="AI478" s="91" t="s">
        <v>136</v>
      </c>
    </row>
    <row r="479" spans="2:35" x14ac:dyDescent="0.3">
      <c r="B479" s="93">
        <f t="shared" si="56"/>
        <v>0</v>
      </c>
      <c r="C479" s="93">
        <f t="shared" si="56"/>
        <v>0</v>
      </c>
      <c r="D479" s="93">
        <f t="shared" si="56"/>
        <v>0</v>
      </c>
      <c r="E479" s="93">
        <f t="shared" si="56"/>
        <v>0</v>
      </c>
      <c r="F479" s="93">
        <f t="shared" si="56"/>
        <v>0</v>
      </c>
      <c r="G479" s="93">
        <f t="shared" si="56"/>
        <v>0</v>
      </c>
      <c r="H479" s="93">
        <f t="shared" si="56"/>
        <v>0</v>
      </c>
      <c r="I479" s="93">
        <f t="shared" si="56"/>
        <v>0</v>
      </c>
      <c r="J479" s="93">
        <f t="shared" si="56"/>
        <v>0</v>
      </c>
      <c r="K479" s="93">
        <f t="shared" si="56"/>
        <v>0</v>
      </c>
      <c r="L479" s="93">
        <f t="shared" si="56"/>
        <v>0</v>
      </c>
      <c r="M479" s="93">
        <f t="shared" si="56"/>
        <v>0</v>
      </c>
      <c r="N479" s="97">
        <f t="shared" si="56"/>
        <v>0</v>
      </c>
      <c r="O479" s="93">
        <f t="shared" si="56"/>
        <v>0</v>
      </c>
      <c r="P479" s="93">
        <f t="shared" si="56"/>
        <v>0</v>
      </c>
      <c r="Q479" s="93">
        <f t="shared" si="56"/>
        <v>0</v>
      </c>
      <c r="R479" s="93">
        <f t="shared" si="56"/>
        <v>0</v>
      </c>
      <c r="S479" s="93">
        <f t="shared" si="56"/>
        <v>0</v>
      </c>
      <c r="T479" s="93">
        <f t="shared" si="56"/>
        <v>0</v>
      </c>
      <c r="U479" s="93">
        <f t="shared" si="56"/>
        <v>0</v>
      </c>
      <c r="V479" s="93">
        <f t="shared" si="56"/>
        <v>0</v>
      </c>
      <c r="W479" s="93">
        <f t="shared" si="56"/>
        <v>0</v>
      </c>
      <c r="X479" s="93">
        <f t="shared" si="56"/>
        <v>0</v>
      </c>
      <c r="Y479" s="93">
        <f t="shared" si="56"/>
        <v>0</v>
      </c>
      <c r="Z479" s="93">
        <f t="shared" si="56"/>
        <v>0</v>
      </c>
      <c r="AA479" s="93">
        <f t="shared" si="56"/>
        <v>0</v>
      </c>
      <c r="AB479" s="93">
        <f t="shared" si="56"/>
        <v>0</v>
      </c>
      <c r="AC479" s="93">
        <f t="shared" si="56"/>
        <v>0</v>
      </c>
      <c r="AD479" s="93">
        <f t="shared" si="56"/>
        <v>0</v>
      </c>
      <c r="AE479" s="93">
        <f t="shared" si="56"/>
        <v>0</v>
      </c>
      <c r="AF479" s="93">
        <f t="shared" si="56"/>
        <v>0</v>
      </c>
      <c r="AG479" s="93">
        <f t="shared" si="56"/>
        <v>0</v>
      </c>
      <c r="AH479" s="93">
        <f t="shared" si="56"/>
        <v>0</v>
      </c>
      <c r="AI479" s="91" t="s">
        <v>137</v>
      </c>
    </row>
    <row r="480" spans="2:35" x14ac:dyDescent="0.3">
      <c r="B480" s="93">
        <f t="shared" si="56"/>
        <v>0</v>
      </c>
      <c r="C480" s="93">
        <f t="shared" si="56"/>
        <v>0</v>
      </c>
      <c r="D480" s="93">
        <f t="shared" si="56"/>
        <v>0</v>
      </c>
      <c r="E480" s="93">
        <f t="shared" si="56"/>
        <v>0</v>
      </c>
      <c r="F480" s="93">
        <f t="shared" si="56"/>
        <v>0</v>
      </c>
      <c r="G480" s="93">
        <f t="shared" si="56"/>
        <v>0</v>
      </c>
      <c r="H480" s="93">
        <f t="shared" si="56"/>
        <v>0</v>
      </c>
      <c r="I480" s="93">
        <f t="shared" si="56"/>
        <v>0</v>
      </c>
      <c r="J480" s="93">
        <f t="shared" si="56"/>
        <v>0</v>
      </c>
      <c r="K480" s="93">
        <f t="shared" si="56"/>
        <v>0</v>
      </c>
      <c r="L480" s="93">
        <f t="shared" si="56"/>
        <v>0</v>
      </c>
      <c r="M480" s="93">
        <f t="shared" si="56"/>
        <v>0</v>
      </c>
      <c r="N480" s="93">
        <f t="shared" si="56"/>
        <v>0</v>
      </c>
      <c r="O480" s="97">
        <f t="shared" si="56"/>
        <v>0</v>
      </c>
      <c r="P480" s="93">
        <f t="shared" si="56"/>
        <v>0</v>
      </c>
      <c r="Q480" s="93">
        <f t="shared" si="56"/>
        <v>0</v>
      </c>
      <c r="R480" s="93">
        <f t="shared" si="56"/>
        <v>0</v>
      </c>
      <c r="S480" s="93">
        <f t="shared" si="56"/>
        <v>0</v>
      </c>
      <c r="T480" s="93">
        <f t="shared" si="56"/>
        <v>0</v>
      </c>
      <c r="U480" s="93">
        <f t="shared" si="56"/>
        <v>0</v>
      </c>
      <c r="V480" s="93">
        <f t="shared" si="56"/>
        <v>0</v>
      </c>
      <c r="W480" s="93">
        <f t="shared" si="56"/>
        <v>0</v>
      </c>
      <c r="X480" s="93">
        <f t="shared" si="56"/>
        <v>0</v>
      </c>
      <c r="Y480" s="93">
        <f t="shared" si="56"/>
        <v>0</v>
      </c>
      <c r="Z480" s="93">
        <f t="shared" si="56"/>
        <v>0</v>
      </c>
      <c r="AA480" s="93">
        <f t="shared" si="56"/>
        <v>0</v>
      </c>
      <c r="AB480" s="93">
        <f t="shared" si="56"/>
        <v>0</v>
      </c>
      <c r="AC480" s="93">
        <f t="shared" si="56"/>
        <v>0</v>
      </c>
      <c r="AD480" s="93">
        <f t="shared" si="56"/>
        <v>0</v>
      </c>
      <c r="AE480" s="93">
        <f t="shared" si="56"/>
        <v>0</v>
      </c>
      <c r="AF480" s="93">
        <f t="shared" si="56"/>
        <v>0</v>
      </c>
      <c r="AG480" s="93">
        <f t="shared" si="56"/>
        <v>0</v>
      </c>
      <c r="AH480" s="93">
        <f t="shared" si="56"/>
        <v>0</v>
      </c>
      <c r="AI480" s="91" t="s">
        <v>138</v>
      </c>
    </row>
    <row r="481" spans="1:35" x14ac:dyDescent="0.3">
      <c r="B481" s="93">
        <f t="shared" si="56"/>
        <v>0</v>
      </c>
      <c r="C481" s="93">
        <f t="shared" si="56"/>
        <v>0</v>
      </c>
      <c r="D481" s="93">
        <f t="shared" si="56"/>
        <v>0</v>
      </c>
      <c r="E481" s="93">
        <f t="shared" si="56"/>
        <v>0</v>
      </c>
      <c r="F481" s="93">
        <f t="shared" si="56"/>
        <v>0</v>
      </c>
      <c r="G481" s="93">
        <f t="shared" si="56"/>
        <v>0</v>
      </c>
      <c r="H481" s="93">
        <f t="shared" si="56"/>
        <v>0</v>
      </c>
      <c r="I481" s="93">
        <f t="shared" si="56"/>
        <v>0</v>
      </c>
      <c r="J481" s="93">
        <f t="shared" si="56"/>
        <v>0</v>
      </c>
      <c r="K481" s="93">
        <f t="shared" si="56"/>
        <v>0</v>
      </c>
      <c r="L481" s="93">
        <f t="shared" si="56"/>
        <v>0</v>
      </c>
      <c r="M481" s="93">
        <f t="shared" si="56"/>
        <v>0</v>
      </c>
      <c r="N481" s="93">
        <f t="shared" si="56"/>
        <v>0</v>
      </c>
      <c r="O481" s="93">
        <f t="shared" si="56"/>
        <v>0</v>
      </c>
      <c r="P481" s="97">
        <f t="shared" si="56"/>
        <v>0</v>
      </c>
      <c r="Q481" s="93">
        <f t="shared" si="56"/>
        <v>0</v>
      </c>
      <c r="R481" s="93">
        <f t="shared" si="56"/>
        <v>0</v>
      </c>
      <c r="S481" s="93">
        <f t="shared" si="56"/>
        <v>0</v>
      </c>
      <c r="T481" s="93">
        <f t="shared" si="56"/>
        <v>0</v>
      </c>
      <c r="U481" s="93">
        <f t="shared" si="56"/>
        <v>0</v>
      </c>
      <c r="V481" s="93">
        <f t="shared" si="56"/>
        <v>0</v>
      </c>
      <c r="W481" s="93">
        <f t="shared" si="56"/>
        <v>0</v>
      </c>
      <c r="X481" s="93">
        <f t="shared" si="56"/>
        <v>0</v>
      </c>
      <c r="Y481" s="93">
        <f t="shared" si="56"/>
        <v>0</v>
      </c>
      <c r="Z481" s="93">
        <f t="shared" si="56"/>
        <v>0</v>
      </c>
      <c r="AA481" s="93">
        <f t="shared" si="56"/>
        <v>0</v>
      </c>
      <c r="AB481" s="93">
        <f t="shared" si="56"/>
        <v>0</v>
      </c>
      <c r="AC481" s="93">
        <f t="shared" si="56"/>
        <v>0</v>
      </c>
      <c r="AD481" s="93">
        <f t="shared" si="56"/>
        <v>0</v>
      </c>
      <c r="AE481" s="93">
        <f t="shared" si="56"/>
        <v>0</v>
      </c>
      <c r="AF481" s="93">
        <f t="shared" si="56"/>
        <v>0</v>
      </c>
      <c r="AG481" s="93">
        <f t="shared" si="56"/>
        <v>0</v>
      </c>
      <c r="AH481" s="93">
        <f t="shared" si="56"/>
        <v>0</v>
      </c>
      <c r="AI481" s="91" t="s">
        <v>139</v>
      </c>
    </row>
    <row r="482" spans="1:35" x14ac:dyDescent="0.3">
      <c r="B482" s="93">
        <f t="shared" si="56"/>
        <v>0</v>
      </c>
      <c r="C482" s="93">
        <f t="shared" si="56"/>
        <v>0</v>
      </c>
      <c r="D482" s="93">
        <f t="shared" si="56"/>
        <v>0</v>
      </c>
      <c r="E482" s="93">
        <f t="shared" si="56"/>
        <v>0</v>
      </c>
      <c r="F482" s="93">
        <f t="shared" si="56"/>
        <v>0</v>
      </c>
      <c r="G482" s="93">
        <f t="shared" si="56"/>
        <v>0</v>
      </c>
      <c r="H482" s="93">
        <f t="shared" si="56"/>
        <v>0</v>
      </c>
      <c r="I482" s="93">
        <f t="shared" si="56"/>
        <v>0</v>
      </c>
      <c r="J482" s="93">
        <f t="shared" si="56"/>
        <v>0</v>
      </c>
      <c r="K482" s="93">
        <f t="shared" si="56"/>
        <v>0</v>
      </c>
      <c r="L482" s="93">
        <f t="shared" si="56"/>
        <v>0</v>
      </c>
      <c r="M482" s="93">
        <f t="shared" si="56"/>
        <v>0</v>
      </c>
      <c r="N482" s="93">
        <f t="shared" si="56"/>
        <v>0</v>
      </c>
      <c r="O482" s="93">
        <f t="shared" si="56"/>
        <v>0</v>
      </c>
      <c r="P482" s="93">
        <f t="shared" si="56"/>
        <v>0</v>
      </c>
      <c r="Q482" s="97">
        <f t="shared" si="56"/>
        <v>0</v>
      </c>
      <c r="R482" s="93">
        <f t="shared" si="56"/>
        <v>0</v>
      </c>
      <c r="S482" s="93">
        <f t="shared" si="56"/>
        <v>0</v>
      </c>
      <c r="T482" s="93">
        <f t="shared" si="56"/>
        <v>0</v>
      </c>
      <c r="U482" s="93">
        <f t="shared" si="56"/>
        <v>0</v>
      </c>
      <c r="V482" s="93">
        <f t="shared" si="56"/>
        <v>0</v>
      </c>
      <c r="W482" s="93">
        <f t="shared" si="56"/>
        <v>0</v>
      </c>
      <c r="X482" s="93">
        <f t="shared" si="56"/>
        <v>0</v>
      </c>
      <c r="Y482" s="93">
        <f t="shared" si="56"/>
        <v>0</v>
      </c>
      <c r="Z482" s="93">
        <f t="shared" ref="Z482:BF482" si="57">Z58+Z101+Z144+Z187+Z230+Z273+Z316+Z359+Z402+Z445</f>
        <v>0</v>
      </c>
      <c r="AA482" s="93">
        <f t="shared" si="57"/>
        <v>0</v>
      </c>
      <c r="AB482" s="93">
        <f t="shared" si="57"/>
        <v>0</v>
      </c>
      <c r="AC482" s="93">
        <f t="shared" si="57"/>
        <v>0</v>
      </c>
      <c r="AD482" s="93">
        <f t="shared" si="57"/>
        <v>0</v>
      </c>
      <c r="AE482" s="93">
        <f t="shared" si="57"/>
        <v>0</v>
      </c>
      <c r="AF482" s="93">
        <f t="shared" si="57"/>
        <v>0</v>
      </c>
      <c r="AG482" s="93">
        <f t="shared" si="57"/>
        <v>0</v>
      </c>
      <c r="AH482" s="93">
        <f t="shared" si="57"/>
        <v>0</v>
      </c>
      <c r="AI482" s="91" t="s">
        <v>140</v>
      </c>
    </row>
    <row r="483" spans="1:35" x14ac:dyDescent="0.3">
      <c r="A483" s="94" t="s">
        <v>266</v>
      </c>
      <c r="B483" s="93">
        <f t="shared" ref="B483:AH490" si="58">B59+B102+B145+B188+B231+B274+B317+B360+B403+B446</f>
        <v>0</v>
      </c>
      <c r="C483" s="93">
        <f t="shared" si="58"/>
        <v>0</v>
      </c>
      <c r="D483" s="93">
        <f t="shared" si="58"/>
        <v>0</v>
      </c>
      <c r="E483" s="93">
        <f t="shared" si="58"/>
        <v>0</v>
      </c>
      <c r="F483" s="93">
        <f t="shared" si="58"/>
        <v>0</v>
      </c>
      <c r="G483" s="93">
        <f t="shared" si="58"/>
        <v>0</v>
      </c>
      <c r="H483" s="93">
        <f t="shared" si="58"/>
        <v>0</v>
      </c>
      <c r="I483" s="93">
        <f t="shared" si="58"/>
        <v>0</v>
      </c>
      <c r="J483" s="93">
        <f t="shared" si="58"/>
        <v>0</v>
      </c>
      <c r="K483" s="93">
        <f t="shared" si="58"/>
        <v>0</v>
      </c>
      <c r="L483" s="93">
        <f t="shared" si="58"/>
        <v>0</v>
      </c>
      <c r="M483" s="93">
        <f t="shared" si="58"/>
        <v>0</v>
      </c>
      <c r="N483" s="93">
        <f t="shared" si="58"/>
        <v>0</v>
      </c>
      <c r="O483" s="93">
        <f t="shared" si="58"/>
        <v>0</v>
      </c>
      <c r="P483" s="93">
        <f t="shared" si="58"/>
        <v>0</v>
      </c>
      <c r="Q483" s="93">
        <f t="shared" si="58"/>
        <v>0</v>
      </c>
      <c r="R483" s="97">
        <f t="shared" si="58"/>
        <v>0</v>
      </c>
      <c r="S483" s="93">
        <f t="shared" si="58"/>
        <v>0</v>
      </c>
      <c r="T483" s="93">
        <f t="shared" si="58"/>
        <v>0</v>
      </c>
      <c r="U483" s="93">
        <f t="shared" si="58"/>
        <v>0</v>
      </c>
      <c r="V483" s="93">
        <f t="shared" si="58"/>
        <v>0</v>
      </c>
      <c r="W483" s="93">
        <f t="shared" si="58"/>
        <v>0</v>
      </c>
      <c r="X483" s="93">
        <f t="shared" si="58"/>
        <v>0</v>
      </c>
      <c r="Y483" s="93">
        <f t="shared" si="58"/>
        <v>0</v>
      </c>
      <c r="Z483" s="93">
        <f t="shared" si="58"/>
        <v>0</v>
      </c>
      <c r="AA483" s="93">
        <f t="shared" si="58"/>
        <v>0</v>
      </c>
      <c r="AB483" s="93">
        <f t="shared" si="58"/>
        <v>0</v>
      </c>
      <c r="AC483" s="93">
        <f t="shared" si="58"/>
        <v>0</v>
      </c>
      <c r="AD483" s="93">
        <f t="shared" si="58"/>
        <v>0</v>
      </c>
      <c r="AE483" s="93">
        <f t="shared" si="58"/>
        <v>0</v>
      </c>
      <c r="AF483" s="93">
        <f t="shared" si="58"/>
        <v>0</v>
      </c>
      <c r="AG483" s="93">
        <f t="shared" si="58"/>
        <v>0</v>
      </c>
      <c r="AH483" s="93">
        <f t="shared" si="58"/>
        <v>0</v>
      </c>
      <c r="AI483" s="91" t="s">
        <v>141</v>
      </c>
    </row>
    <row r="484" spans="1:35" x14ac:dyDescent="0.3">
      <c r="B484" s="93">
        <f t="shared" si="58"/>
        <v>0</v>
      </c>
      <c r="C484" s="93">
        <f t="shared" si="58"/>
        <v>0</v>
      </c>
      <c r="D484" s="93">
        <f t="shared" si="58"/>
        <v>0</v>
      </c>
      <c r="E484" s="93">
        <f t="shared" si="58"/>
        <v>0</v>
      </c>
      <c r="F484" s="93">
        <f t="shared" si="58"/>
        <v>0</v>
      </c>
      <c r="G484" s="93">
        <f t="shared" si="58"/>
        <v>0</v>
      </c>
      <c r="H484" s="93">
        <f t="shared" si="58"/>
        <v>0</v>
      </c>
      <c r="I484" s="93">
        <f t="shared" si="58"/>
        <v>0</v>
      </c>
      <c r="J484" s="93">
        <f t="shared" si="58"/>
        <v>0</v>
      </c>
      <c r="K484" s="93">
        <f t="shared" si="58"/>
        <v>0</v>
      </c>
      <c r="L484" s="93">
        <f t="shared" si="58"/>
        <v>0</v>
      </c>
      <c r="M484" s="93">
        <f t="shared" si="58"/>
        <v>0</v>
      </c>
      <c r="N484" s="93">
        <f t="shared" si="58"/>
        <v>0</v>
      </c>
      <c r="O484" s="93">
        <f t="shared" si="58"/>
        <v>0</v>
      </c>
      <c r="P484" s="93">
        <f t="shared" si="58"/>
        <v>0</v>
      </c>
      <c r="Q484" s="93">
        <f t="shared" si="58"/>
        <v>0</v>
      </c>
      <c r="R484" s="93">
        <f t="shared" si="58"/>
        <v>0</v>
      </c>
      <c r="S484" s="97">
        <f t="shared" si="58"/>
        <v>0</v>
      </c>
      <c r="T484" s="93">
        <f t="shared" si="58"/>
        <v>0</v>
      </c>
      <c r="U484" s="93">
        <f t="shared" si="58"/>
        <v>0</v>
      </c>
      <c r="V484" s="93">
        <f t="shared" si="58"/>
        <v>0</v>
      </c>
      <c r="W484" s="93">
        <f t="shared" si="58"/>
        <v>0</v>
      </c>
      <c r="X484" s="93">
        <f t="shared" si="58"/>
        <v>0</v>
      </c>
      <c r="Y484" s="93">
        <f t="shared" si="58"/>
        <v>0</v>
      </c>
      <c r="Z484" s="93">
        <f t="shared" si="58"/>
        <v>0</v>
      </c>
      <c r="AA484" s="93">
        <f t="shared" si="58"/>
        <v>0</v>
      </c>
      <c r="AB484" s="93">
        <f t="shared" si="58"/>
        <v>0</v>
      </c>
      <c r="AC484" s="93">
        <f t="shared" si="58"/>
        <v>0</v>
      </c>
      <c r="AD484" s="93">
        <f t="shared" si="58"/>
        <v>0</v>
      </c>
      <c r="AE484" s="93">
        <f t="shared" si="58"/>
        <v>0</v>
      </c>
      <c r="AF484" s="93">
        <f t="shared" si="58"/>
        <v>0</v>
      </c>
      <c r="AG484" s="93">
        <f t="shared" si="58"/>
        <v>0</v>
      </c>
      <c r="AH484" s="93">
        <f t="shared" si="58"/>
        <v>0</v>
      </c>
      <c r="AI484" s="91" t="s">
        <v>142</v>
      </c>
    </row>
    <row r="485" spans="1:35" x14ac:dyDescent="0.3">
      <c r="B485" s="93">
        <f t="shared" si="58"/>
        <v>0</v>
      </c>
      <c r="C485" s="93">
        <f t="shared" si="58"/>
        <v>0</v>
      </c>
      <c r="D485" s="93">
        <f t="shared" si="58"/>
        <v>0</v>
      </c>
      <c r="E485" s="93">
        <f t="shared" si="58"/>
        <v>0</v>
      </c>
      <c r="F485" s="93">
        <f t="shared" si="58"/>
        <v>0</v>
      </c>
      <c r="G485" s="93">
        <f t="shared" si="58"/>
        <v>0</v>
      </c>
      <c r="H485" s="93">
        <f t="shared" si="58"/>
        <v>0</v>
      </c>
      <c r="I485" s="93">
        <f t="shared" si="58"/>
        <v>0</v>
      </c>
      <c r="J485" s="93">
        <f t="shared" si="58"/>
        <v>0</v>
      </c>
      <c r="K485" s="93">
        <f t="shared" si="58"/>
        <v>0</v>
      </c>
      <c r="L485" s="93">
        <f t="shared" si="58"/>
        <v>0</v>
      </c>
      <c r="M485" s="93">
        <f t="shared" si="58"/>
        <v>0</v>
      </c>
      <c r="N485" s="93">
        <f t="shared" si="58"/>
        <v>0</v>
      </c>
      <c r="O485" s="93">
        <f t="shared" si="58"/>
        <v>0</v>
      </c>
      <c r="P485" s="93">
        <f t="shared" si="58"/>
        <v>0</v>
      </c>
      <c r="Q485" s="93">
        <f t="shared" si="58"/>
        <v>0</v>
      </c>
      <c r="R485" s="93">
        <f t="shared" si="58"/>
        <v>0</v>
      </c>
      <c r="S485" s="93">
        <f t="shared" si="58"/>
        <v>0</v>
      </c>
      <c r="T485" s="97">
        <f t="shared" si="58"/>
        <v>0</v>
      </c>
      <c r="U485" s="93">
        <f t="shared" si="58"/>
        <v>0</v>
      </c>
      <c r="V485" s="93">
        <f t="shared" si="58"/>
        <v>0</v>
      </c>
      <c r="W485" s="93">
        <f t="shared" si="58"/>
        <v>0</v>
      </c>
      <c r="X485" s="93">
        <f t="shared" si="58"/>
        <v>0</v>
      </c>
      <c r="Y485" s="93">
        <f t="shared" si="58"/>
        <v>0</v>
      </c>
      <c r="Z485" s="93">
        <f t="shared" si="58"/>
        <v>0</v>
      </c>
      <c r="AA485" s="93">
        <f t="shared" si="58"/>
        <v>0</v>
      </c>
      <c r="AB485" s="93">
        <f t="shared" si="58"/>
        <v>0</v>
      </c>
      <c r="AC485" s="93">
        <f t="shared" si="58"/>
        <v>0</v>
      </c>
      <c r="AD485" s="93">
        <f t="shared" si="58"/>
        <v>0</v>
      </c>
      <c r="AE485" s="93">
        <f t="shared" si="58"/>
        <v>0</v>
      </c>
      <c r="AF485" s="93">
        <f t="shared" si="58"/>
        <v>0</v>
      </c>
      <c r="AG485" s="93">
        <f t="shared" si="58"/>
        <v>0</v>
      </c>
      <c r="AH485" s="93">
        <f t="shared" si="58"/>
        <v>0</v>
      </c>
      <c r="AI485" s="91" t="s">
        <v>143</v>
      </c>
    </row>
    <row r="486" spans="1:35" x14ac:dyDescent="0.3">
      <c r="B486" s="93">
        <f t="shared" si="58"/>
        <v>0</v>
      </c>
      <c r="C486" s="93">
        <f t="shared" si="58"/>
        <v>0</v>
      </c>
      <c r="D486" s="93">
        <f t="shared" si="58"/>
        <v>0</v>
      </c>
      <c r="E486" s="93">
        <f t="shared" si="58"/>
        <v>0</v>
      </c>
      <c r="F486" s="93">
        <f t="shared" si="58"/>
        <v>0</v>
      </c>
      <c r="G486" s="93">
        <f t="shared" si="58"/>
        <v>0</v>
      </c>
      <c r="H486" s="93">
        <f t="shared" si="58"/>
        <v>0</v>
      </c>
      <c r="I486" s="93">
        <f t="shared" si="58"/>
        <v>0</v>
      </c>
      <c r="J486" s="93">
        <f t="shared" si="58"/>
        <v>0</v>
      </c>
      <c r="K486" s="93">
        <f t="shared" si="58"/>
        <v>0</v>
      </c>
      <c r="L486" s="93">
        <f t="shared" si="58"/>
        <v>0</v>
      </c>
      <c r="M486" s="93">
        <f t="shared" si="58"/>
        <v>0</v>
      </c>
      <c r="N486" s="93">
        <f t="shared" si="58"/>
        <v>0</v>
      </c>
      <c r="O486" s="93">
        <f t="shared" si="58"/>
        <v>0</v>
      </c>
      <c r="P486" s="93">
        <f t="shared" si="58"/>
        <v>0</v>
      </c>
      <c r="Q486" s="93">
        <f t="shared" si="58"/>
        <v>0</v>
      </c>
      <c r="R486" s="93">
        <f t="shared" si="58"/>
        <v>0</v>
      </c>
      <c r="S486" s="93">
        <f t="shared" si="58"/>
        <v>0</v>
      </c>
      <c r="T486" s="93">
        <f t="shared" si="58"/>
        <v>0</v>
      </c>
      <c r="U486" s="97">
        <f t="shared" si="58"/>
        <v>0</v>
      </c>
      <c r="V486" s="93">
        <f t="shared" si="58"/>
        <v>0</v>
      </c>
      <c r="W486" s="93">
        <f t="shared" si="58"/>
        <v>0</v>
      </c>
      <c r="X486" s="93">
        <f t="shared" si="58"/>
        <v>0</v>
      </c>
      <c r="Y486" s="93">
        <f t="shared" si="58"/>
        <v>0</v>
      </c>
      <c r="Z486" s="93">
        <f t="shared" si="58"/>
        <v>0</v>
      </c>
      <c r="AA486" s="93">
        <f t="shared" si="58"/>
        <v>0</v>
      </c>
      <c r="AB486" s="93">
        <f t="shared" si="58"/>
        <v>0</v>
      </c>
      <c r="AC486" s="93">
        <f t="shared" si="58"/>
        <v>0</v>
      </c>
      <c r="AD486" s="93">
        <f t="shared" si="58"/>
        <v>0</v>
      </c>
      <c r="AE486" s="93">
        <f t="shared" si="58"/>
        <v>0</v>
      </c>
      <c r="AF486" s="93">
        <f t="shared" si="58"/>
        <v>0</v>
      </c>
      <c r="AG486" s="93">
        <f t="shared" si="58"/>
        <v>0</v>
      </c>
      <c r="AH486" s="93">
        <f t="shared" si="58"/>
        <v>0</v>
      </c>
      <c r="AI486" s="91" t="s">
        <v>144</v>
      </c>
    </row>
    <row r="487" spans="1:35" x14ac:dyDescent="0.3">
      <c r="B487" s="93">
        <f t="shared" si="58"/>
        <v>0</v>
      </c>
      <c r="C487" s="93">
        <f t="shared" si="58"/>
        <v>0</v>
      </c>
      <c r="D487" s="93">
        <f t="shared" si="58"/>
        <v>0</v>
      </c>
      <c r="E487" s="93">
        <f t="shared" si="58"/>
        <v>0</v>
      </c>
      <c r="F487" s="93">
        <f t="shared" si="58"/>
        <v>0</v>
      </c>
      <c r="G487" s="93">
        <f t="shared" si="58"/>
        <v>0</v>
      </c>
      <c r="H487" s="93">
        <f t="shared" si="58"/>
        <v>0</v>
      </c>
      <c r="I487" s="93">
        <f t="shared" si="58"/>
        <v>0</v>
      </c>
      <c r="J487" s="93">
        <f t="shared" si="58"/>
        <v>0</v>
      </c>
      <c r="K487" s="93">
        <f t="shared" si="58"/>
        <v>0</v>
      </c>
      <c r="L487" s="93">
        <f t="shared" si="58"/>
        <v>0</v>
      </c>
      <c r="M487" s="93">
        <f t="shared" si="58"/>
        <v>0</v>
      </c>
      <c r="N487" s="93">
        <f t="shared" si="58"/>
        <v>0</v>
      </c>
      <c r="O487" s="93">
        <f t="shared" si="58"/>
        <v>0</v>
      </c>
      <c r="P487" s="93">
        <f t="shared" si="58"/>
        <v>0</v>
      </c>
      <c r="Q487" s="93">
        <f t="shared" si="58"/>
        <v>0</v>
      </c>
      <c r="R487" s="93">
        <f t="shared" si="58"/>
        <v>0</v>
      </c>
      <c r="S487" s="93">
        <f t="shared" si="58"/>
        <v>0</v>
      </c>
      <c r="T487" s="93">
        <f t="shared" si="58"/>
        <v>0</v>
      </c>
      <c r="U487" s="93">
        <f t="shared" si="58"/>
        <v>0</v>
      </c>
      <c r="V487" s="97">
        <f t="shared" si="58"/>
        <v>0</v>
      </c>
      <c r="W487" s="93">
        <f t="shared" si="58"/>
        <v>0</v>
      </c>
      <c r="X487" s="93">
        <f t="shared" si="58"/>
        <v>0</v>
      </c>
      <c r="Y487" s="93">
        <f t="shared" si="58"/>
        <v>0</v>
      </c>
      <c r="Z487" s="93">
        <f t="shared" si="58"/>
        <v>0</v>
      </c>
      <c r="AA487" s="93">
        <f t="shared" si="58"/>
        <v>0</v>
      </c>
      <c r="AB487" s="93">
        <f t="shared" si="58"/>
        <v>0</v>
      </c>
      <c r="AC487" s="93">
        <f t="shared" si="58"/>
        <v>0</v>
      </c>
      <c r="AD487" s="93">
        <f t="shared" si="58"/>
        <v>0</v>
      </c>
      <c r="AE487" s="93">
        <f t="shared" si="58"/>
        <v>0</v>
      </c>
      <c r="AF487" s="93">
        <f t="shared" si="58"/>
        <v>0</v>
      </c>
      <c r="AG487" s="93">
        <f t="shared" si="58"/>
        <v>0</v>
      </c>
      <c r="AH487" s="93">
        <f t="shared" si="58"/>
        <v>0</v>
      </c>
      <c r="AI487" s="91" t="s">
        <v>145</v>
      </c>
    </row>
    <row r="488" spans="1:35" x14ac:dyDescent="0.3">
      <c r="B488" s="93">
        <f t="shared" si="58"/>
        <v>0</v>
      </c>
      <c r="C488" s="93">
        <f t="shared" si="58"/>
        <v>0</v>
      </c>
      <c r="D488" s="93">
        <f t="shared" si="58"/>
        <v>0</v>
      </c>
      <c r="E488" s="93">
        <f t="shared" si="58"/>
        <v>0</v>
      </c>
      <c r="F488" s="93">
        <f t="shared" si="58"/>
        <v>0</v>
      </c>
      <c r="G488" s="93">
        <f t="shared" si="58"/>
        <v>0</v>
      </c>
      <c r="H488" s="93">
        <f t="shared" si="58"/>
        <v>0</v>
      </c>
      <c r="I488" s="93">
        <f t="shared" si="58"/>
        <v>0</v>
      </c>
      <c r="J488" s="93">
        <f t="shared" si="58"/>
        <v>0</v>
      </c>
      <c r="K488" s="93">
        <f t="shared" si="58"/>
        <v>0</v>
      </c>
      <c r="L488" s="93">
        <f t="shared" si="58"/>
        <v>0</v>
      </c>
      <c r="M488" s="93">
        <f t="shared" si="58"/>
        <v>0</v>
      </c>
      <c r="N488" s="93">
        <f t="shared" si="58"/>
        <v>0</v>
      </c>
      <c r="O488" s="93">
        <f t="shared" si="58"/>
        <v>0</v>
      </c>
      <c r="P488" s="93">
        <f t="shared" si="58"/>
        <v>0</v>
      </c>
      <c r="Q488" s="93">
        <f t="shared" si="58"/>
        <v>0</v>
      </c>
      <c r="R488" s="93">
        <f t="shared" si="58"/>
        <v>0</v>
      </c>
      <c r="S488" s="93">
        <f t="shared" si="58"/>
        <v>0</v>
      </c>
      <c r="T488" s="93">
        <f t="shared" si="58"/>
        <v>0</v>
      </c>
      <c r="U488" s="93">
        <f t="shared" si="58"/>
        <v>0</v>
      </c>
      <c r="V488" s="93">
        <f t="shared" si="58"/>
        <v>0</v>
      </c>
      <c r="W488" s="97">
        <f t="shared" si="58"/>
        <v>0</v>
      </c>
      <c r="X488" s="93">
        <f t="shared" si="58"/>
        <v>0</v>
      </c>
      <c r="Y488" s="93">
        <f t="shared" si="58"/>
        <v>0</v>
      </c>
      <c r="Z488" s="93">
        <f t="shared" si="58"/>
        <v>0</v>
      </c>
      <c r="AA488" s="93">
        <f t="shared" si="58"/>
        <v>0</v>
      </c>
      <c r="AB488" s="93">
        <f t="shared" si="58"/>
        <v>0</v>
      </c>
      <c r="AC488" s="93">
        <f t="shared" si="58"/>
        <v>0</v>
      </c>
      <c r="AD488" s="93">
        <f t="shared" si="58"/>
        <v>0</v>
      </c>
      <c r="AE488" s="93">
        <f t="shared" si="58"/>
        <v>0</v>
      </c>
      <c r="AF488" s="93">
        <f t="shared" si="58"/>
        <v>0</v>
      </c>
      <c r="AG488" s="93">
        <f t="shared" si="58"/>
        <v>0</v>
      </c>
      <c r="AH488" s="93">
        <f t="shared" si="58"/>
        <v>0</v>
      </c>
      <c r="AI488" s="91" t="s">
        <v>146</v>
      </c>
    </row>
    <row r="489" spans="1:35" x14ac:dyDescent="0.3">
      <c r="B489" s="93">
        <f t="shared" si="58"/>
        <v>0</v>
      </c>
      <c r="C489" s="93">
        <f t="shared" si="58"/>
        <v>0</v>
      </c>
      <c r="D489" s="93">
        <f t="shared" si="58"/>
        <v>0</v>
      </c>
      <c r="E489" s="93">
        <f t="shared" si="58"/>
        <v>0</v>
      </c>
      <c r="F489" s="93">
        <f t="shared" si="58"/>
        <v>0</v>
      </c>
      <c r="G489" s="93">
        <f t="shared" si="58"/>
        <v>0</v>
      </c>
      <c r="H489" s="93">
        <f t="shared" si="58"/>
        <v>0</v>
      </c>
      <c r="I489" s="93">
        <f t="shared" si="58"/>
        <v>0</v>
      </c>
      <c r="J489" s="93">
        <f t="shared" si="58"/>
        <v>0</v>
      </c>
      <c r="K489" s="93">
        <f t="shared" si="58"/>
        <v>0</v>
      </c>
      <c r="L489" s="93">
        <f t="shared" si="58"/>
        <v>0</v>
      </c>
      <c r="M489" s="93">
        <f t="shared" si="58"/>
        <v>0</v>
      </c>
      <c r="N489" s="93">
        <f t="shared" si="58"/>
        <v>0</v>
      </c>
      <c r="O489" s="93">
        <f t="shared" si="58"/>
        <v>0</v>
      </c>
      <c r="P489" s="93">
        <f t="shared" si="58"/>
        <v>0</v>
      </c>
      <c r="Q489" s="93">
        <f t="shared" si="58"/>
        <v>0</v>
      </c>
      <c r="R489" s="93">
        <f t="shared" si="58"/>
        <v>0</v>
      </c>
      <c r="S489" s="93">
        <f t="shared" si="58"/>
        <v>0</v>
      </c>
      <c r="T489" s="93">
        <f t="shared" si="58"/>
        <v>0</v>
      </c>
      <c r="U489" s="93">
        <f t="shared" si="58"/>
        <v>0</v>
      </c>
      <c r="V489" s="93">
        <f t="shared" si="58"/>
        <v>0</v>
      </c>
      <c r="W489" s="93">
        <f t="shared" si="58"/>
        <v>0</v>
      </c>
      <c r="X489" s="97">
        <f t="shared" si="58"/>
        <v>0</v>
      </c>
      <c r="Y489" s="93">
        <f t="shared" si="58"/>
        <v>0</v>
      </c>
      <c r="Z489" s="93">
        <f t="shared" si="58"/>
        <v>0</v>
      </c>
      <c r="AA489" s="93">
        <f t="shared" si="58"/>
        <v>0</v>
      </c>
      <c r="AB489" s="93">
        <f t="shared" si="58"/>
        <v>0</v>
      </c>
      <c r="AC489" s="93">
        <f t="shared" si="58"/>
        <v>0</v>
      </c>
      <c r="AD489" s="93">
        <f t="shared" si="58"/>
        <v>0</v>
      </c>
      <c r="AE489" s="93">
        <f t="shared" si="58"/>
        <v>0</v>
      </c>
      <c r="AF489" s="93">
        <f t="shared" si="58"/>
        <v>0</v>
      </c>
      <c r="AG489" s="93">
        <f t="shared" si="58"/>
        <v>0</v>
      </c>
      <c r="AH489" s="93">
        <f t="shared" si="58"/>
        <v>0</v>
      </c>
      <c r="AI489" s="91" t="s">
        <v>147</v>
      </c>
    </row>
    <row r="490" spans="1:35" x14ac:dyDescent="0.3">
      <c r="B490" s="93">
        <f t="shared" si="58"/>
        <v>0</v>
      </c>
      <c r="C490" s="93">
        <f t="shared" si="58"/>
        <v>0</v>
      </c>
      <c r="D490" s="93">
        <f t="shared" si="58"/>
        <v>0</v>
      </c>
      <c r="E490" s="93">
        <f t="shared" si="58"/>
        <v>0</v>
      </c>
      <c r="F490" s="93">
        <f t="shared" si="58"/>
        <v>0</v>
      </c>
      <c r="G490" s="93">
        <f t="shared" si="58"/>
        <v>0</v>
      </c>
      <c r="H490" s="93">
        <f t="shared" si="58"/>
        <v>0</v>
      </c>
      <c r="I490" s="93">
        <f t="shared" si="58"/>
        <v>0</v>
      </c>
      <c r="J490" s="93">
        <f t="shared" si="58"/>
        <v>0</v>
      </c>
      <c r="K490" s="93">
        <f t="shared" si="58"/>
        <v>0</v>
      </c>
      <c r="L490" s="93">
        <f t="shared" si="58"/>
        <v>0</v>
      </c>
      <c r="M490" s="93">
        <f t="shared" si="58"/>
        <v>0</v>
      </c>
      <c r="N490" s="93">
        <f t="shared" si="58"/>
        <v>0</v>
      </c>
      <c r="O490" s="93">
        <f t="shared" si="58"/>
        <v>0</v>
      </c>
      <c r="P490" s="93">
        <f t="shared" si="58"/>
        <v>0</v>
      </c>
      <c r="Q490" s="93">
        <f t="shared" si="58"/>
        <v>0</v>
      </c>
      <c r="R490" s="93">
        <f t="shared" si="58"/>
        <v>0</v>
      </c>
      <c r="S490" s="93">
        <f t="shared" si="58"/>
        <v>0</v>
      </c>
      <c r="T490" s="93">
        <f t="shared" si="58"/>
        <v>0</v>
      </c>
      <c r="U490" s="93">
        <f t="shared" si="58"/>
        <v>0</v>
      </c>
      <c r="V490" s="93">
        <f t="shared" si="58"/>
        <v>0</v>
      </c>
      <c r="W490" s="93">
        <f t="shared" si="58"/>
        <v>0</v>
      </c>
      <c r="X490" s="93">
        <f t="shared" si="58"/>
        <v>0</v>
      </c>
      <c r="Y490" s="97">
        <f t="shared" si="58"/>
        <v>0</v>
      </c>
      <c r="Z490" s="93">
        <f t="shared" ref="Z490:BF490" si="59">Z66+Z109+Z152+Z195+Z238+Z281+Z324+Z367+Z410+Z453</f>
        <v>0</v>
      </c>
      <c r="AA490" s="93">
        <f t="shared" si="59"/>
        <v>0</v>
      </c>
      <c r="AB490" s="93">
        <f t="shared" si="59"/>
        <v>0</v>
      </c>
      <c r="AC490" s="93">
        <f t="shared" si="59"/>
        <v>0</v>
      </c>
      <c r="AD490" s="93">
        <f t="shared" si="59"/>
        <v>0</v>
      </c>
      <c r="AE490" s="93">
        <f t="shared" si="59"/>
        <v>0</v>
      </c>
      <c r="AF490" s="93">
        <f t="shared" si="59"/>
        <v>0</v>
      </c>
      <c r="AG490" s="93">
        <f t="shared" si="59"/>
        <v>0</v>
      </c>
      <c r="AH490" s="93">
        <f t="shared" si="59"/>
        <v>0</v>
      </c>
      <c r="AI490" s="91" t="s">
        <v>148</v>
      </c>
    </row>
    <row r="491" spans="1:35" x14ac:dyDescent="0.3">
      <c r="B491" s="93">
        <f t="shared" ref="B491:AH498" si="60">B67+B110+B153+B196+B239+B282+B325+B368+B411+B454</f>
        <v>0</v>
      </c>
      <c r="C491" s="93">
        <f t="shared" si="60"/>
        <v>0</v>
      </c>
      <c r="D491" s="93">
        <f t="shared" si="60"/>
        <v>0</v>
      </c>
      <c r="E491" s="93">
        <f t="shared" si="60"/>
        <v>0</v>
      </c>
      <c r="F491" s="93">
        <f t="shared" si="60"/>
        <v>0</v>
      </c>
      <c r="G491" s="93">
        <f t="shared" si="60"/>
        <v>0</v>
      </c>
      <c r="H491" s="93">
        <f t="shared" si="60"/>
        <v>0</v>
      </c>
      <c r="I491" s="93">
        <f t="shared" si="60"/>
        <v>0</v>
      </c>
      <c r="J491" s="93">
        <f t="shared" si="60"/>
        <v>0</v>
      </c>
      <c r="K491" s="93">
        <f t="shared" si="60"/>
        <v>0</v>
      </c>
      <c r="L491" s="93">
        <f t="shared" si="60"/>
        <v>0</v>
      </c>
      <c r="M491" s="93">
        <f t="shared" si="60"/>
        <v>0</v>
      </c>
      <c r="N491" s="93">
        <f t="shared" si="60"/>
        <v>0</v>
      </c>
      <c r="O491" s="93">
        <f t="shared" si="60"/>
        <v>0</v>
      </c>
      <c r="P491" s="93">
        <f t="shared" si="60"/>
        <v>0</v>
      </c>
      <c r="Q491" s="93">
        <f t="shared" si="60"/>
        <v>0</v>
      </c>
      <c r="R491" s="93">
        <f t="shared" si="60"/>
        <v>0</v>
      </c>
      <c r="S491" s="93">
        <f t="shared" si="60"/>
        <v>0</v>
      </c>
      <c r="T491" s="93">
        <f t="shared" si="60"/>
        <v>0</v>
      </c>
      <c r="U491" s="93">
        <f t="shared" si="60"/>
        <v>0</v>
      </c>
      <c r="V491" s="93">
        <f t="shared" si="60"/>
        <v>0</v>
      </c>
      <c r="W491" s="93">
        <f t="shared" si="60"/>
        <v>0</v>
      </c>
      <c r="X491" s="93">
        <f t="shared" si="60"/>
        <v>0</v>
      </c>
      <c r="Y491" s="93">
        <f t="shared" si="60"/>
        <v>0</v>
      </c>
      <c r="Z491" s="97">
        <f t="shared" si="60"/>
        <v>0</v>
      </c>
      <c r="AA491" s="93">
        <f t="shared" si="60"/>
        <v>0</v>
      </c>
      <c r="AB491" s="93">
        <f t="shared" si="60"/>
        <v>0</v>
      </c>
      <c r="AC491" s="93">
        <f t="shared" si="60"/>
        <v>0</v>
      </c>
      <c r="AD491" s="93">
        <f t="shared" si="60"/>
        <v>0</v>
      </c>
      <c r="AE491" s="93">
        <f t="shared" si="60"/>
        <v>0</v>
      </c>
      <c r="AF491" s="93">
        <f t="shared" si="60"/>
        <v>0</v>
      </c>
      <c r="AG491" s="93">
        <f t="shared" si="60"/>
        <v>0</v>
      </c>
      <c r="AH491" s="93">
        <f t="shared" si="60"/>
        <v>0</v>
      </c>
      <c r="AI491" s="91" t="s">
        <v>149</v>
      </c>
    </row>
    <row r="492" spans="1:35" x14ac:dyDescent="0.3">
      <c r="B492" s="93">
        <f t="shared" si="60"/>
        <v>0</v>
      </c>
      <c r="C492" s="93">
        <f t="shared" si="60"/>
        <v>0</v>
      </c>
      <c r="D492" s="93">
        <f t="shared" si="60"/>
        <v>0</v>
      </c>
      <c r="E492" s="93">
        <f t="shared" si="60"/>
        <v>0</v>
      </c>
      <c r="F492" s="93">
        <f t="shared" si="60"/>
        <v>0</v>
      </c>
      <c r="G492" s="93">
        <f t="shared" si="60"/>
        <v>0</v>
      </c>
      <c r="H492" s="93">
        <f t="shared" si="60"/>
        <v>0</v>
      </c>
      <c r="I492" s="93">
        <f t="shared" si="60"/>
        <v>0</v>
      </c>
      <c r="J492" s="93">
        <f t="shared" si="60"/>
        <v>0</v>
      </c>
      <c r="K492" s="93">
        <f t="shared" si="60"/>
        <v>0</v>
      </c>
      <c r="L492" s="93">
        <f t="shared" si="60"/>
        <v>0</v>
      </c>
      <c r="M492" s="93">
        <f t="shared" si="60"/>
        <v>0</v>
      </c>
      <c r="N492" s="93">
        <f t="shared" si="60"/>
        <v>0</v>
      </c>
      <c r="O492" s="93">
        <f t="shared" si="60"/>
        <v>0</v>
      </c>
      <c r="P492" s="93">
        <f t="shared" si="60"/>
        <v>0</v>
      </c>
      <c r="Q492" s="93">
        <f t="shared" si="60"/>
        <v>0</v>
      </c>
      <c r="R492" s="93">
        <f t="shared" si="60"/>
        <v>0</v>
      </c>
      <c r="S492" s="93">
        <f t="shared" si="60"/>
        <v>0</v>
      </c>
      <c r="T492" s="93">
        <f t="shared" si="60"/>
        <v>0</v>
      </c>
      <c r="U492" s="93">
        <f t="shared" si="60"/>
        <v>0</v>
      </c>
      <c r="V492" s="93">
        <f t="shared" si="60"/>
        <v>0</v>
      </c>
      <c r="W492" s="93">
        <f t="shared" si="60"/>
        <v>0</v>
      </c>
      <c r="X492" s="93">
        <f t="shared" si="60"/>
        <v>0</v>
      </c>
      <c r="Y492" s="93">
        <f t="shared" si="60"/>
        <v>0</v>
      </c>
      <c r="Z492" s="93">
        <f t="shared" si="60"/>
        <v>0</v>
      </c>
      <c r="AA492" s="97">
        <f t="shared" si="60"/>
        <v>0</v>
      </c>
      <c r="AB492" s="93">
        <f t="shared" si="60"/>
        <v>0</v>
      </c>
      <c r="AC492" s="93">
        <f t="shared" si="60"/>
        <v>0</v>
      </c>
      <c r="AD492" s="93">
        <f t="shared" si="60"/>
        <v>0</v>
      </c>
      <c r="AE492" s="93">
        <f t="shared" si="60"/>
        <v>0</v>
      </c>
      <c r="AF492" s="93">
        <f t="shared" si="60"/>
        <v>0</v>
      </c>
      <c r="AG492" s="93">
        <f t="shared" si="60"/>
        <v>0</v>
      </c>
      <c r="AH492" s="93">
        <f t="shared" si="60"/>
        <v>0</v>
      </c>
      <c r="AI492" s="91" t="s">
        <v>150</v>
      </c>
    </row>
    <row r="493" spans="1:35" x14ac:dyDescent="0.3">
      <c r="B493" s="93">
        <f t="shared" si="60"/>
        <v>0</v>
      </c>
      <c r="C493" s="93">
        <f t="shared" si="60"/>
        <v>0</v>
      </c>
      <c r="D493" s="93">
        <f t="shared" si="60"/>
        <v>0</v>
      </c>
      <c r="E493" s="93">
        <f t="shared" si="60"/>
        <v>0</v>
      </c>
      <c r="F493" s="93">
        <f t="shared" si="60"/>
        <v>0</v>
      </c>
      <c r="G493" s="93">
        <f t="shared" si="60"/>
        <v>0</v>
      </c>
      <c r="H493" s="93">
        <f t="shared" si="60"/>
        <v>0</v>
      </c>
      <c r="I493" s="93">
        <f t="shared" si="60"/>
        <v>0</v>
      </c>
      <c r="J493" s="93">
        <f t="shared" si="60"/>
        <v>0</v>
      </c>
      <c r="K493" s="93">
        <f t="shared" si="60"/>
        <v>0</v>
      </c>
      <c r="L493" s="93">
        <f t="shared" si="60"/>
        <v>0</v>
      </c>
      <c r="M493" s="93">
        <f t="shared" si="60"/>
        <v>0</v>
      </c>
      <c r="N493" s="93">
        <f t="shared" si="60"/>
        <v>0</v>
      </c>
      <c r="O493" s="93">
        <f t="shared" si="60"/>
        <v>0</v>
      </c>
      <c r="P493" s="93">
        <f t="shared" si="60"/>
        <v>0</v>
      </c>
      <c r="Q493" s="93">
        <f t="shared" si="60"/>
        <v>0</v>
      </c>
      <c r="R493" s="93">
        <f t="shared" si="60"/>
        <v>0</v>
      </c>
      <c r="S493" s="93">
        <f t="shared" si="60"/>
        <v>0</v>
      </c>
      <c r="T493" s="93">
        <f t="shared" si="60"/>
        <v>0</v>
      </c>
      <c r="U493" s="93">
        <f t="shared" si="60"/>
        <v>0</v>
      </c>
      <c r="V493" s="93">
        <f t="shared" si="60"/>
        <v>0</v>
      </c>
      <c r="W493" s="93">
        <f t="shared" si="60"/>
        <v>0</v>
      </c>
      <c r="X493" s="93">
        <f t="shared" si="60"/>
        <v>0</v>
      </c>
      <c r="Y493" s="93">
        <f t="shared" si="60"/>
        <v>0</v>
      </c>
      <c r="Z493" s="93">
        <f t="shared" si="60"/>
        <v>0</v>
      </c>
      <c r="AA493" s="93">
        <f t="shared" si="60"/>
        <v>0</v>
      </c>
      <c r="AB493" s="97">
        <f t="shared" si="60"/>
        <v>0</v>
      </c>
      <c r="AC493" s="93">
        <f t="shared" si="60"/>
        <v>0</v>
      </c>
      <c r="AD493" s="93">
        <f t="shared" si="60"/>
        <v>0</v>
      </c>
      <c r="AE493" s="93">
        <f t="shared" si="60"/>
        <v>0</v>
      </c>
      <c r="AF493" s="93">
        <f t="shared" si="60"/>
        <v>0</v>
      </c>
      <c r="AG493" s="93">
        <f t="shared" si="60"/>
        <v>0</v>
      </c>
      <c r="AH493" s="93">
        <f t="shared" si="60"/>
        <v>0</v>
      </c>
      <c r="AI493" s="91" t="s">
        <v>151</v>
      </c>
    </row>
    <row r="494" spans="1:35" x14ac:dyDescent="0.3">
      <c r="B494" s="93">
        <f t="shared" si="60"/>
        <v>0</v>
      </c>
      <c r="C494" s="93">
        <f t="shared" si="60"/>
        <v>0</v>
      </c>
      <c r="D494" s="93">
        <f t="shared" si="60"/>
        <v>0</v>
      </c>
      <c r="E494" s="93">
        <f t="shared" si="60"/>
        <v>0</v>
      </c>
      <c r="F494" s="93">
        <f t="shared" si="60"/>
        <v>0</v>
      </c>
      <c r="G494" s="93">
        <f t="shared" si="60"/>
        <v>0</v>
      </c>
      <c r="H494" s="93">
        <f t="shared" si="60"/>
        <v>0</v>
      </c>
      <c r="I494" s="93">
        <f t="shared" si="60"/>
        <v>0</v>
      </c>
      <c r="J494" s="93">
        <f t="shared" si="60"/>
        <v>0</v>
      </c>
      <c r="K494" s="93">
        <f t="shared" si="60"/>
        <v>0</v>
      </c>
      <c r="L494" s="93">
        <f t="shared" si="60"/>
        <v>0</v>
      </c>
      <c r="M494" s="93">
        <f t="shared" si="60"/>
        <v>0</v>
      </c>
      <c r="N494" s="93">
        <f t="shared" si="60"/>
        <v>0</v>
      </c>
      <c r="O494" s="93">
        <f t="shared" si="60"/>
        <v>0</v>
      </c>
      <c r="P494" s="93">
        <f t="shared" si="60"/>
        <v>0</v>
      </c>
      <c r="Q494" s="93">
        <f t="shared" si="60"/>
        <v>0</v>
      </c>
      <c r="R494" s="93">
        <f t="shared" si="60"/>
        <v>0</v>
      </c>
      <c r="S494" s="93">
        <f t="shared" si="60"/>
        <v>0</v>
      </c>
      <c r="T494" s="93">
        <f t="shared" si="60"/>
        <v>0</v>
      </c>
      <c r="U494" s="93">
        <f t="shared" si="60"/>
        <v>0</v>
      </c>
      <c r="V494" s="93">
        <f t="shared" si="60"/>
        <v>0</v>
      </c>
      <c r="W494" s="93">
        <f t="shared" si="60"/>
        <v>0</v>
      </c>
      <c r="X494" s="93">
        <f t="shared" si="60"/>
        <v>0</v>
      </c>
      <c r="Y494" s="93">
        <f t="shared" si="60"/>
        <v>0</v>
      </c>
      <c r="Z494" s="93">
        <f t="shared" si="60"/>
        <v>0</v>
      </c>
      <c r="AA494" s="93">
        <f t="shared" si="60"/>
        <v>0</v>
      </c>
      <c r="AB494" s="93">
        <f t="shared" si="60"/>
        <v>0</v>
      </c>
      <c r="AC494" s="97">
        <f t="shared" si="60"/>
        <v>0</v>
      </c>
      <c r="AD494" s="93">
        <f t="shared" si="60"/>
        <v>0</v>
      </c>
      <c r="AE494" s="93">
        <f t="shared" si="60"/>
        <v>0</v>
      </c>
      <c r="AF494" s="93">
        <f t="shared" si="60"/>
        <v>0</v>
      </c>
      <c r="AG494" s="93">
        <f t="shared" si="60"/>
        <v>0</v>
      </c>
      <c r="AH494" s="93">
        <f t="shared" si="60"/>
        <v>0</v>
      </c>
      <c r="AI494" s="91" t="s">
        <v>152</v>
      </c>
    </row>
    <row r="495" spans="1:35" x14ac:dyDescent="0.3">
      <c r="B495" s="93">
        <f t="shared" si="60"/>
        <v>0</v>
      </c>
      <c r="C495" s="93">
        <f t="shared" si="60"/>
        <v>0</v>
      </c>
      <c r="D495" s="93">
        <f t="shared" si="60"/>
        <v>0</v>
      </c>
      <c r="E495" s="93">
        <f t="shared" si="60"/>
        <v>0</v>
      </c>
      <c r="F495" s="93">
        <f t="shared" si="60"/>
        <v>0</v>
      </c>
      <c r="G495" s="93">
        <f t="shared" si="60"/>
        <v>0</v>
      </c>
      <c r="H495" s="93">
        <f t="shared" si="60"/>
        <v>0</v>
      </c>
      <c r="I495" s="93">
        <f t="shared" si="60"/>
        <v>0</v>
      </c>
      <c r="J495" s="93">
        <f t="shared" si="60"/>
        <v>0</v>
      </c>
      <c r="K495" s="93">
        <f t="shared" si="60"/>
        <v>0</v>
      </c>
      <c r="L495" s="93">
        <f t="shared" si="60"/>
        <v>0</v>
      </c>
      <c r="M495" s="93">
        <f t="shared" si="60"/>
        <v>0</v>
      </c>
      <c r="N495" s="93">
        <f t="shared" si="60"/>
        <v>0</v>
      </c>
      <c r="O495" s="93">
        <f t="shared" si="60"/>
        <v>0</v>
      </c>
      <c r="P495" s="93">
        <f t="shared" si="60"/>
        <v>0</v>
      </c>
      <c r="Q495" s="93">
        <f t="shared" si="60"/>
        <v>0</v>
      </c>
      <c r="R495" s="93">
        <f t="shared" si="60"/>
        <v>0</v>
      </c>
      <c r="S495" s="93">
        <f t="shared" si="60"/>
        <v>0</v>
      </c>
      <c r="T495" s="93">
        <f t="shared" si="60"/>
        <v>0</v>
      </c>
      <c r="U495" s="93">
        <f t="shared" si="60"/>
        <v>0</v>
      </c>
      <c r="V495" s="93">
        <f t="shared" si="60"/>
        <v>0</v>
      </c>
      <c r="W495" s="93">
        <f t="shared" si="60"/>
        <v>0</v>
      </c>
      <c r="X495" s="93">
        <f t="shared" si="60"/>
        <v>0</v>
      </c>
      <c r="Y495" s="93">
        <f t="shared" si="60"/>
        <v>0</v>
      </c>
      <c r="Z495" s="93">
        <f t="shared" si="60"/>
        <v>0</v>
      </c>
      <c r="AA495" s="93">
        <f t="shared" si="60"/>
        <v>0</v>
      </c>
      <c r="AB495" s="93">
        <f t="shared" si="60"/>
        <v>0</v>
      </c>
      <c r="AC495" s="93">
        <f t="shared" si="60"/>
        <v>0</v>
      </c>
      <c r="AD495" s="97">
        <f t="shared" si="60"/>
        <v>0</v>
      </c>
      <c r="AE495" s="93">
        <f t="shared" si="60"/>
        <v>0</v>
      </c>
      <c r="AF495" s="93">
        <f t="shared" si="60"/>
        <v>0</v>
      </c>
      <c r="AG495" s="93">
        <f t="shared" si="60"/>
        <v>0</v>
      </c>
      <c r="AH495" s="93">
        <f t="shared" si="60"/>
        <v>0</v>
      </c>
      <c r="AI495" s="91" t="s">
        <v>153</v>
      </c>
    </row>
    <row r="496" spans="1:35" x14ac:dyDescent="0.3">
      <c r="B496" s="93">
        <f t="shared" si="60"/>
        <v>0</v>
      </c>
      <c r="C496" s="93">
        <f t="shared" si="60"/>
        <v>0</v>
      </c>
      <c r="D496" s="93">
        <f t="shared" si="60"/>
        <v>0</v>
      </c>
      <c r="E496" s="93">
        <f t="shared" si="60"/>
        <v>0</v>
      </c>
      <c r="F496" s="93">
        <f t="shared" si="60"/>
        <v>0</v>
      </c>
      <c r="G496" s="93">
        <f t="shared" si="60"/>
        <v>0</v>
      </c>
      <c r="H496" s="93">
        <f t="shared" si="60"/>
        <v>0</v>
      </c>
      <c r="I496" s="93">
        <f t="shared" si="60"/>
        <v>0</v>
      </c>
      <c r="J496" s="93">
        <f t="shared" si="60"/>
        <v>0</v>
      </c>
      <c r="K496" s="93">
        <f t="shared" si="60"/>
        <v>0</v>
      </c>
      <c r="L496" s="93">
        <f t="shared" si="60"/>
        <v>0</v>
      </c>
      <c r="M496" s="93">
        <f t="shared" si="60"/>
        <v>0</v>
      </c>
      <c r="N496" s="93">
        <f t="shared" si="60"/>
        <v>0</v>
      </c>
      <c r="O496" s="93">
        <f t="shared" si="60"/>
        <v>0</v>
      </c>
      <c r="P496" s="93">
        <f t="shared" si="60"/>
        <v>0</v>
      </c>
      <c r="Q496" s="93">
        <f t="shared" si="60"/>
        <v>0</v>
      </c>
      <c r="R496" s="93">
        <f t="shared" si="60"/>
        <v>0</v>
      </c>
      <c r="S496" s="93">
        <f t="shared" si="60"/>
        <v>0</v>
      </c>
      <c r="T496" s="93">
        <f t="shared" si="60"/>
        <v>0</v>
      </c>
      <c r="U496" s="93">
        <f t="shared" si="60"/>
        <v>0</v>
      </c>
      <c r="V496" s="93">
        <f t="shared" si="60"/>
        <v>0</v>
      </c>
      <c r="W496" s="93">
        <f t="shared" si="60"/>
        <v>0</v>
      </c>
      <c r="X496" s="93">
        <f t="shared" si="60"/>
        <v>0</v>
      </c>
      <c r="Y496" s="93">
        <f t="shared" si="60"/>
        <v>0</v>
      </c>
      <c r="Z496" s="93">
        <f t="shared" si="60"/>
        <v>0</v>
      </c>
      <c r="AA496" s="93">
        <f t="shared" si="60"/>
        <v>0</v>
      </c>
      <c r="AB496" s="93">
        <f t="shared" si="60"/>
        <v>0</v>
      </c>
      <c r="AC496" s="93">
        <f t="shared" si="60"/>
        <v>0</v>
      </c>
      <c r="AD496" s="93">
        <f t="shared" si="60"/>
        <v>0</v>
      </c>
      <c r="AE496" s="97">
        <f t="shared" si="60"/>
        <v>0</v>
      </c>
      <c r="AF496" s="93">
        <f t="shared" si="60"/>
        <v>0</v>
      </c>
      <c r="AG496" s="93">
        <f t="shared" si="60"/>
        <v>0</v>
      </c>
      <c r="AH496" s="93">
        <f t="shared" si="60"/>
        <v>0</v>
      </c>
      <c r="AI496" s="91" t="s">
        <v>154</v>
      </c>
    </row>
    <row r="497" spans="2:35" x14ac:dyDescent="0.3">
      <c r="B497" s="93">
        <f t="shared" si="60"/>
        <v>0</v>
      </c>
      <c r="C497" s="93">
        <f t="shared" si="60"/>
        <v>0</v>
      </c>
      <c r="D497" s="93">
        <f t="shared" si="60"/>
        <v>0</v>
      </c>
      <c r="E497" s="93">
        <f t="shared" si="60"/>
        <v>0</v>
      </c>
      <c r="F497" s="93">
        <f t="shared" si="60"/>
        <v>0</v>
      </c>
      <c r="G497" s="93">
        <f t="shared" si="60"/>
        <v>0</v>
      </c>
      <c r="H497" s="93">
        <f t="shared" si="60"/>
        <v>0</v>
      </c>
      <c r="I497" s="93">
        <f t="shared" si="60"/>
        <v>0</v>
      </c>
      <c r="J497" s="93">
        <f t="shared" si="60"/>
        <v>0</v>
      </c>
      <c r="K497" s="93">
        <f t="shared" si="60"/>
        <v>0</v>
      </c>
      <c r="L497" s="93">
        <f t="shared" si="60"/>
        <v>0</v>
      </c>
      <c r="M497" s="93">
        <f t="shared" si="60"/>
        <v>0</v>
      </c>
      <c r="N497" s="93">
        <f t="shared" si="60"/>
        <v>0</v>
      </c>
      <c r="O497" s="93">
        <f t="shared" si="60"/>
        <v>0</v>
      </c>
      <c r="P497" s="93">
        <f t="shared" si="60"/>
        <v>0</v>
      </c>
      <c r="Q497" s="93">
        <f t="shared" si="60"/>
        <v>0</v>
      </c>
      <c r="R497" s="93">
        <f t="shared" si="60"/>
        <v>0</v>
      </c>
      <c r="S497" s="93">
        <f t="shared" si="60"/>
        <v>0</v>
      </c>
      <c r="T497" s="93">
        <f t="shared" si="60"/>
        <v>0</v>
      </c>
      <c r="U497" s="93">
        <f t="shared" si="60"/>
        <v>0</v>
      </c>
      <c r="V497" s="93">
        <f t="shared" si="60"/>
        <v>0</v>
      </c>
      <c r="W497" s="93">
        <f t="shared" si="60"/>
        <v>0</v>
      </c>
      <c r="X497" s="93">
        <f t="shared" si="60"/>
        <v>0</v>
      </c>
      <c r="Y497" s="93">
        <f t="shared" si="60"/>
        <v>0</v>
      </c>
      <c r="Z497" s="93">
        <f t="shared" si="60"/>
        <v>0</v>
      </c>
      <c r="AA497" s="93">
        <f t="shared" si="60"/>
        <v>0</v>
      </c>
      <c r="AB497" s="93">
        <f t="shared" si="60"/>
        <v>0</v>
      </c>
      <c r="AC497" s="93">
        <f t="shared" si="60"/>
        <v>0</v>
      </c>
      <c r="AD497" s="93">
        <f t="shared" si="60"/>
        <v>0</v>
      </c>
      <c r="AE497" s="93">
        <f t="shared" si="60"/>
        <v>0</v>
      </c>
      <c r="AF497" s="97">
        <f t="shared" si="60"/>
        <v>0</v>
      </c>
      <c r="AG497" s="93">
        <f t="shared" si="60"/>
        <v>0</v>
      </c>
      <c r="AH497" s="93">
        <f t="shared" si="60"/>
        <v>0</v>
      </c>
      <c r="AI497" s="91" t="s">
        <v>155</v>
      </c>
    </row>
    <row r="498" spans="2:35" x14ac:dyDescent="0.3">
      <c r="B498" s="93">
        <f t="shared" si="60"/>
        <v>0</v>
      </c>
      <c r="C498" s="93">
        <f t="shared" si="60"/>
        <v>0</v>
      </c>
      <c r="D498" s="93">
        <f t="shared" si="60"/>
        <v>0</v>
      </c>
      <c r="E498" s="93">
        <f t="shared" si="60"/>
        <v>0</v>
      </c>
      <c r="F498" s="93">
        <f t="shared" si="60"/>
        <v>0</v>
      </c>
      <c r="G498" s="93">
        <f t="shared" si="60"/>
        <v>0</v>
      </c>
      <c r="H498" s="93">
        <f t="shared" si="60"/>
        <v>0</v>
      </c>
      <c r="I498" s="93">
        <f t="shared" si="60"/>
        <v>0</v>
      </c>
      <c r="J498" s="93">
        <f t="shared" si="60"/>
        <v>0</v>
      </c>
      <c r="K498" s="93">
        <f t="shared" si="60"/>
        <v>0</v>
      </c>
      <c r="L498" s="93">
        <f t="shared" si="60"/>
        <v>0</v>
      </c>
      <c r="M498" s="93">
        <f t="shared" si="60"/>
        <v>0</v>
      </c>
      <c r="N498" s="93">
        <f t="shared" si="60"/>
        <v>0</v>
      </c>
      <c r="O498" s="93">
        <f t="shared" si="60"/>
        <v>0</v>
      </c>
      <c r="P498" s="93">
        <f t="shared" si="60"/>
        <v>0</v>
      </c>
      <c r="Q498" s="93">
        <f t="shared" si="60"/>
        <v>0</v>
      </c>
      <c r="R498" s="93">
        <f t="shared" si="60"/>
        <v>0</v>
      </c>
      <c r="S498" s="93">
        <f t="shared" si="60"/>
        <v>0</v>
      </c>
      <c r="T498" s="93">
        <f t="shared" si="60"/>
        <v>0</v>
      </c>
      <c r="U498" s="93">
        <f t="shared" si="60"/>
        <v>0</v>
      </c>
      <c r="V498" s="93">
        <f t="shared" si="60"/>
        <v>0</v>
      </c>
      <c r="W498" s="93">
        <f t="shared" si="60"/>
        <v>0</v>
      </c>
      <c r="X498" s="93">
        <f t="shared" si="60"/>
        <v>0</v>
      </c>
      <c r="Y498" s="93">
        <f t="shared" si="60"/>
        <v>0</v>
      </c>
      <c r="Z498" s="93">
        <f t="shared" ref="Z498:BF498" si="61">Z74+Z117+Z160+Z203+Z246+Z289+Z332+Z375+Z418+Z461</f>
        <v>0</v>
      </c>
      <c r="AA498" s="93">
        <f t="shared" si="61"/>
        <v>0</v>
      </c>
      <c r="AB498" s="93">
        <f t="shared" si="61"/>
        <v>0</v>
      </c>
      <c r="AC498" s="93">
        <f t="shared" si="61"/>
        <v>0</v>
      </c>
      <c r="AD498" s="93">
        <f t="shared" si="61"/>
        <v>0</v>
      </c>
      <c r="AE498" s="93">
        <f t="shared" si="61"/>
        <v>0</v>
      </c>
      <c r="AF498" s="93">
        <f t="shared" si="61"/>
        <v>0</v>
      </c>
      <c r="AG498" s="97">
        <f t="shared" si="61"/>
        <v>0</v>
      </c>
      <c r="AH498" s="93">
        <f t="shared" si="61"/>
        <v>0</v>
      </c>
      <c r="AI498" s="91" t="s">
        <v>156</v>
      </c>
    </row>
    <row r="499" spans="2:35" x14ac:dyDescent="0.3">
      <c r="B499" s="93">
        <f t="shared" ref="B499:AH499" si="62">B75+B118+B161+B204+B247+B290+B333+B376+B419+B462</f>
        <v>0</v>
      </c>
      <c r="C499" s="93">
        <f t="shared" si="62"/>
        <v>0</v>
      </c>
      <c r="D499" s="93">
        <f t="shared" si="62"/>
        <v>0</v>
      </c>
      <c r="E499" s="93">
        <f t="shared" si="62"/>
        <v>0</v>
      </c>
      <c r="F499" s="93">
        <f t="shared" si="62"/>
        <v>0</v>
      </c>
      <c r="G499" s="93">
        <f t="shared" si="62"/>
        <v>0</v>
      </c>
      <c r="H499" s="93">
        <f t="shared" si="62"/>
        <v>0</v>
      </c>
      <c r="I499" s="93">
        <f t="shared" si="62"/>
        <v>0</v>
      </c>
      <c r="J499" s="93">
        <f t="shared" si="62"/>
        <v>0</v>
      </c>
      <c r="K499" s="93">
        <f t="shared" si="62"/>
        <v>0</v>
      </c>
      <c r="L499" s="93">
        <f t="shared" si="62"/>
        <v>0</v>
      </c>
      <c r="M499" s="93">
        <f t="shared" si="62"/>
        <v>0</v>
      </c>
      <c r="N499" s="93">
        <f t="shared" si="62"/>
        <v>0</v>
      </c>
      <c r="O499" s="93">
        <f t="shared" si="62"/>
        <v>0</v>
      </c>
      <c r="P499" s="93">
        <f t="shared" si="62"/>
        <v>0</v>
      </c>
      <c r="Q499" s="93">
        <f t="shared" si="62"/>
        <v>0</v>
      </c>
      <c r="R499" s="93">
        <f t="shared" si="62"/>
        <v>0</v>
      </c>
      <c r="S499" s="93">
        <f t="shared" si="62"/>
        <v>0</v>
      </c>
      <c r="T499" s="93">
        <f t="shared" si="62"/>
        <v>0</v>
      </c>
      <c r="U499" s="93">
        <f t="shared" si="62"/>
        <v>0</v>
      </c>
      <c r="V499" s="93">
        <f t="shared" si="62"/>
        <v>0</v>
      </c>
      <c r="W499" s="93">
        <f t="shared" si="62"/>
        <v>0</v>
      </c>
      <c r="X499" s="93">
        <f t="shared" si="62"/>
        <v>0</v>
      </c>
      <c r="Y499" s="93">
        <f t="shared" si="62"/>
        <v>0</v>
      </c>
      <c r="Z499" s="93">
        <f t="shared" si="62"/>
        <v>0</v>
      </c>
      <c r="AA499" s="93">
        <f t="shared" si="62"/>
        <v>0</v>
      </c>
      <c r="AB499" s="93">
        <f t="shared" si="62"/>
        <v>0</v>
      </c>
      <c r="AC499" s="93">
        <f t="shared" si="62"/>
        <v>0</v>
      </c>
      <c r="AD499" s="93">
        <f t="shared" si="62"/>
        <v>0</v>
      </c>
      <c r="AE499" s="93">
        <f t="shared" si="62"/>
        <v>0</v>
      </c>
      <c r="AF499" s="93">
        <f t="shared" si="62"/>
        <v>0</v>
      </c>
      <c r="AG499" s="93">
        <f t="shared" si="62"/>
        <v>0</v>
      </c>
      <c r="AH499" s="97">
        <f t="shared" si="62"/>
        <v>0</v>
      </c>
      <c r="AI499" s="91" t="s">
        <v>157</v>
      </c>
    </row>
    <row r="502" spans="2:35" x14ac:dyDescent="0.3">
      <c r="B502" s="95" t="s">
        <v>267</v>
      </c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</row>
    <row r="503" spans="2:35" ht="26.4" x14ac:dyDescent="0.3">
      <c r="B503" s="98" t="s">
        <v>268</v>
      </c>
      <c r="C503" s="81"/>
      <c r="D503" s="81"/>
      <c r="E503" s="81"/>
      <c r="F503" s="81"/>
      <c r="H503" s="98" t="s">
        <v>269</v>
      </c>
      <c r="I503" s="81"/>
      <c r="J503" s="81"/>
      <c r="K503" s="81"/>
      <c r="L503" s="81"/>
      <c r="N503" s="82" t="s">
        <v>270</v>
      </c>
    </row>
    <row r="504" spans="2:35" ht="26.4" x14ac:dyDescent="0.3">
      <c r="B504" s="99" t="s">
        <v>271</v>
      </c>
      <c r="C504" s="100" t="s">
        <v>125</v>
      </c>
      <c r="D504" s="83" t="s">
        <v>190</v>
      </c>
      <c r="E504" s="101">
        <v>0</v>
      </c>
      <c r="F504" s="100" t="s">
        <v>125</v>
      </c>
      <c r="H504" s="99" t="s">
        <v>272</v>
      </c>
      <c r="I504" s="100" t="s">
        <v>125</v>
      </c>
      <c r="J504" s="83" t="s">
        <v>190</v>
      </c>
      <c r="K504" s="102">
        <v>0</v>
      </c>
      <c r="L504" s="100" t="s">
        <v>125</v>
      </c>
      <c r="N504" s="85" t="str">
        <f>IF(OR($G$5=0, 1&gt;$G$5), "RESTRINGIDO", IF(ISNUMBER(K504), IF(K504=0, "RESTRINGIDO", "LIBRE"), "LIBRE"))</f>
        <v>RESTRINGIDO</v>
      </c>
    </row>
    <row r="505" spans="2:35" ht="26.4" x14ac:dyDescent="0.3">
      <c r="B505" s="99" t="s">
        <v>273</v>
      </c>
      <c r="C505" s="100" t="s">
        <v>126</v>
      </c>
      <c r="D505" s="83" t="s">
        <v>190</v>
      </c>
      <c r="E505" s="101">
        <v>0</v>
      </c>
      <c r="F505" s="100" t="s">
        <v>126</v>
      </c>
      <c r="H505" s="99" t="s">
        <v>274</v>
      </c>
      <c r="I505" s="100" t="s">
        <v>126</v>
      </c>
      <c r="J505" s="83" t="s">
        <v>190</v>
      </c>
      <c r="K505" s="102">
        <v>0</v>
      </c>
      <c r="L505" s="100" t="s">
        <v>126</v>
      </c>
      <c r="N505" s="85" t="str">
        <f>IF(OR($G$5=0, 1&gt;$G$5), "RESTRINGIDO", IF(ISNUMBER(K505), IF(K505=0, "RESTRINGIDO", "LIBRE"), "LIBRE"))</f>
        <v>RESTRINGIDO</v>
      </c>
    </row>
    <row r="506" spans="2:35" ht="26.4" x14ac:dyDescent="0.3">
      <c r="B506" s="99" t="s">
        <v>275</v>
      </c>
      <c r="C506" s="100" t="s">
        <v>127</v>
      </c>
      <c r="D506" s="83" t="s">
        <v>190</v>
      </c>
      <c r="E506" s="101">
        <v>0</v>
      </c>
      <c r="F506" s="100" t="s">
        <v>127</v>
      </c>
      <c r="H506" s="99" t="s">
        <v>276</v>
      </c>
      <c r="I506" s="100" t="s">
        <v>127</v>
      </c>
      <c r="J506" s="83" t="s">
        <v>190</v>
      </c>
      <c r="K506" s="102" t="str">
        <f t="shared" ref="K506:K536" si="63">H506</f>
        <v>D1θ</v>
      </c>
      <c r="L506" s="100" t="s">
        <v>127</v>
      </c>
      <c r="N506" s="85" t="str">
        <f>IF(OR($G$5=0, 1&gt;$G$5), "RESTRINGIDO", IF(ISNUMBER(K506), IF(K506=0, "RESTRINGIDO", "LIBRE"), "LIBRE"))</f>
        <v>RESTRINGIDO</v>
      </c>
    </row>
    <row r="507" spans="2:35" ht="26.4" x14ac:dyDescent="0.3">
      <c r="B507" s="99" t="s">
        <v>277</v>
      </c>
      <c r="C507" s="100" t="s">
        <v>128</v>
      </c>
      <c r="D507" s="83" t="s">
        <v>190</v>
      </c>
      <c r="E507" s="101">
        <v>0</v>
      </c>
      <c r="F507" s="100" t="s">
        <v>128</v>
      </c>
      <c r="H507" s="99" t="s">
        <v>278</v>
      </c>
      <c r="I507" s="100" t="s">
        <v>128</v>
      </c>
      <c r="J507" s="83" t="s">
        <v>190</v>
      </c>
      <c r="K507" s="102" t="str">
        <f t="shared" si="63"/>
        <v>D2X</v>
      </c>
      <c r="L507" s="100" t="s">
        <v>128</v>
      </c>
      <c r="N507" s="85" t="str">
        <f>IF(OR($G$5=0, 2&gt;$G$5), "RESTRINGIDO", IF(ISNUMBER(K507), IF(K507=0, "RESTRINGIDO", "LIBRE"), "LIBRE"))</f>
        <v>RESTRINGIDO</v>
      </c>
    </row>
    <row r="508" spans="2:35" ht="26.4" x14ac:dyDescent="0.3">
      <c r="B508" s="99" t="s">
        <v>279</v>
      </c>
      <c r="C508" s="100" t="s">
        <v>129</v>
      </c>
      <c r="D508" s="83" t="s">
        <v>190</v>
      </c>
      <c r="E508" s="101">
        <v>0</v>
      </c>
      <c r="F508" s="100" t="s">
        <v>129</v>
      </c>
      <c r="H508" s="99" t="s">
        <v>280</v>
      </c>
      <c r="I508" s="100" t="s">
        <v>129</v>
      </c>
      <c r="J508" s="83" t="s">
        <v>190</v>
      </c>
      <c r="K508" s="102" t="str">
        <f t="shared" si="63"/>
        <v>D2Y</v>
      </c>
      <c r="L508" s="100" t="s">
        <v>129</v>
      </c>
      <c r="N508" s="85" t="str">
        <f>IF(OR($G$5=0, 2&gt;$G$5), "RESTRINGIDO", IF(ISNUMBER(K508), IF(K508=0, "RESTRINGIDO", "LIBRE"), "LIBRE"))</f>
        <v>RESTRINGIDO</v>
      </c>
    </row>
    <row r="509" spans="2:35" ht="26.4" x14ac:dyDescent="0.3">
      <c r="B509" s="99" t="s">
        <v>281</v>
      </c>
      <c r="C509" s="100" t="s">
        <v>130</v>
      </c>
      <c r="D509" s="83" t="s">
        <v>190</v>
      </c>
      <c r="E509" s="101">
        <v>0</v>
      </c>
      <c r="F509" s="100" t="s">
        <v>130</v>
      </c>
      <c r="H509" s="99" t="s">
        <v>282</v>
      </c>
      <c r="I509" s="100" t="s">
        <v>130</v>
      </c>
      <c r="J509" s="83" t="s">
        <v>190</v>
      </c>
      <c r="K509" s="102" t="str">
        <f t="shared" si="63"/>
        <v>D2θ</v>
      </c>
      <c r="L509" s="100" t="s">
        <v>130</v>
      </c>
      <c r="N509" s="85" t="str">
        <f>IF(OR($G$5=0, 2&gt;$G$5), "RESTRINGIDO", IF(ISNUMBER(K509), IF(K509=0, "RESTRINGIDO", "LIBRE"), "LIBRE"))</f>
        <v>RESTRINGIDO</v>
      </c>
    </row>
    <row r="510" spans="2:35" ht="26.4" x14ac:dyDescent="0.3">
      <c r="B510" s="99" t="s">
        <v>283</v>
      </c>
      <c r="C510" s="100" t="s">
        <v>131</v>
      </c>
      <c r="D510" s="83" t="s">
        <v>190</v>
      </c>
      <c r="E510" s="101">
        <v>0</v>
      </c>
      <c r="F510" s="100" t="s">
        <v>131</v>
      </c>
      <c r="H510" s="99" t="s">
        <v>284</v>
      </c>
      <c r="I510" s="100" t="s">
        <v>131</v>
      </c>
      <c r="J510" s="83" t="s">
        <v>190</v>
      </c>
      <c r="K510" s="102" t="str">
        <f t="shared" si="63"/>
        <v>D3X</v>
      </c>
      <c r="L510" s="100" t="s">
        <v>131</v>
      </c>
      <c r="N510" s="85" t="str">
        <f>IF(OR($G$5=0, 3&gt;$G$5), "RESTRINGIDO", IF(ISNUMBER(K510), IF(K510=0, "RESTRINGIDO", "LIBRE"), "LIBRE"))</f>
        <v>RESTRINGIDO</v>
      </c>
    </row>
    <row r="511" spans="2:35" ht="26.4" x14ac:dyDescent="0.3">
      <c r="B511" s="99" t="s">
        <v>285</v>
      </c>
      <c r="C511" s="100" t="s">
        <v>132</v>
      </c>
      <c r="D511" s="83" t="s">
        <v>190</v>
      </c>
      <c r="E511" s="101">
        <v>0</v>
      </c>
      <c r="F511" s="100" t="s">
        <v>132</v>
      </c>
      <c r="H511" s="99" t="s">
        <v>286</v>
      </c>
      <c r="I511" s="100" t="s">
        <v>132</v>
      </c>
      <c r="J511" s="83" t="s">
        <v>190</v>
      </c>
      <c r="K511" s="102" t="str">
        <f t="shared" si="63"/>
        <v>D3Y</v>
      </c>
      <c r="L511" s="100" t="s">
        <v>132</v>
      </c>
      <c r="N511" s="85" t="str">
        <f>IF(OR($G$5=0, 3&gt;$G$5), "RESTRINGIDO", IF(ISNUMBER(K511), IF(K511=0, "RESTRINGIDO", "LIBRE"), "LIBRE"))</f>
        <v>RESTRINGIDO</v>
      </c>
    </row>
    <row r="512" spans="2:35" ht="26.4" x14ac:dyDescent="0.3">
      <c r="B512" s="99" t="s">
        <v>287</v>
      </c>
      <c r="C512" s="100" t="s">
        <v>133</v>
      </c>
      <c r="D512" s="83" t="s">
        <v>190</v>
      </c>
      <c r="E512" s="101">
        <v>0</v>
      </c>
      <c r="F512" s="100" t="s">
        <v>133</v>
      </c>
      <c r="H512" s="99" t="s">
        <v>288</v>
      </c>
      <c r="I512" s="100" t="s">
        <v>133</v>
      </c>
      <c r="J512" s="83" t="s">
        <v>190</v>
      </c>
      <c r="K512" s="102" t="str">
        <f t="shared" si="63"/>
        <v>D3θ</v>
      </c>
      <c r="L512" s="100" t="s">
        <v>133</v>
      </c>
      <c r="N512" s="85" t="str">
        <f>IF(OR($G$5=0, 3&gt;$G$5), "RESTRINGIDO", IF(ISNUMBER(K512), IF(K512=0, "RESTRINGIDO", "LIBRE"), "LIBRE"))</f>
        <v>RESTRINGIDO</v>
      </c>
    </row>
    <row r="513" spans="2:14" ht="26.4" x14ac:dyDescent="0.3">
      <c r="B513" s="99" t="s">
        <v>289</v>
      </c>
      <c r="C513" s="100" t="s">
        <v>134</v>
      </c>
      <c r="D513" s="83" t="s">
        <v>190</v>
      </c>
      <c r="E513" s="101">
        <v>0</v>
      </c>
      <c r="F513" s="100" t="s">
        <v>134</v>
      </c>
      <c r="H513" s="99" t="s">
        <v>290</v>
      </c>
      <c r="I513" s="100" t="s">
        <v>134</v>
      </c>
      <c r="J513" s="83" t="s">
        <v>190</v>
      </c>
      <c r="K513" s="102" t="str">
        <f t="shared" si="63"/>
        <v>D4X</v>
      </c>
      <c r="L513" s="100" t="s">
        <v>134</v>
      </c>
      <c r="N513" s="85" t="str">
        <f>IF(OR($G$5=0, 4&gt;$G$5), "RESTRINGIDO", IF(ISNUMBER(K513), IF(K513=0, "RESTRINGIDO", "LIBRE"), "LIBRE"))</f>
        <v>RESTRINGIDO</v>
      </c>
    </row>
    <row r="514" spans="2:14" ht="26.4" x14ac:dyDescent="0.3">
      <c r="B514" s="99" t="s">
        <v>291</v>
      </c>
      <c r="C514" s="100" t="s">
        <v>135</v>
      </c>
      <c r="D514" s="83" t="s">
        <v>190</v>
      </c>
      <c r="E514" s="101">
        <v>0</v>
      </c>
      <c r="F514" s="100" t="s">
        <v>135</v>
      </c>
      <c r="H514" s="99" t="s">
        <v>292</v>
      </c>
      <c r="I514" s="100" t="s">
        <v>135</v>
      </c>
      <c r="J514" s="83" t="s">
        <v>190</v>
      </c>
      <c r="K514" s="102" t="str">
        <f t="shared" si="63"/>
        <v>D4Y</v>
      </c>
      <c r="L514" s="100" t="s">
        <v>135</v>
      </c>
      <c r="N514" s="85" t="str">
        <f>IF(OR($G$5=0, 4&gt;$G$5), "RESTRINGIDO", IF(ISNUMBER(K514), IF(K514=0, "RESTRINGIDO", "LIBRE"), "LIBRE"))</f>
        <v>RESTRINGIDO</v>
      </c>
    </row>
    <row r="515" spans="2:14" ht="26.4" x14ac:dyDescent="0.3">
      <c r="B515" s="99" t="s">
        <v>293</v>
      </c>
      <c r="C515" s="100" t="s">
        <v>136</v>
      </c>
      <c r="D515" s="83" t="s">
        <v>190</v>
      </c>
      <c r="E515" s="101">
        <v>0</v>
      </c>
      <c r="F515" s="100" t="s">
        <v>136</v>
      </c>
      <c r="H515" s="99" t="s">
        <v>294</v>
      </c>
      <c r="I515" s="100" t="s">
        <v>136</v>
      </c>
      <c r="J515" s="83" t="s">
        <v>190</v>
      </c>
      <c r="K515" s="102" t="str">
        <f t="shared" si="63"/>
        <v>D4θ</v>
      </c>
      <c r="L515" s="100" t="s">
        <v>136</v>
      </c>
      <c r="N515" s="85" t="str">
        <f>IF(OR($G$5=0, 4&gt;$G$5), "RESTRINGIDO", IF(ISNUMBER(K515), IF(K515=0, "RESTRINGIDO", "LIBRE"), "LIBRE"))</f>
        <v>RESTRINGIDO</v>
      </c>
    </row>
    <row r="516" spans="2:14" ht="26.4" x14ac:dyDescent="0.3">
      <c r="B516" s="99" t="s">
        <v>295</v>
      </c>
      <c r="C516" s="100" t="s">
        <v>137</v>
      </c>
      <c r="D516" s="83" t="s">
        <v>190</v>
      </c>
      <c r="E516" s="101">
        <v>0</v>
      </c>
      <c r="F516" s="100" t="s">
        <v>137</v>
      </c>
      <c r="H516" s="99" t="s">
        <v>296</v>
      </c>
      <c r="I516" s="100" t="s">
        <v>137</v>
      </c>
      <c r="J516" s="83" t="s">
        <v>190</v>
      </c>
      <c r="K516" s="102" t="str">
        <f t="shared" si="63"/>
        <v>D5X</v>
      </c>
      <c r="L516" s="100" t="s">
        <v>137</v>
      </c>
      <c r="N516" s="85" t="str">
        <f>IF(OR($G$5=0, 5&gt;$G$5), "RESTRINGIDO", IF(ISNUMBER(K516), IF(K516=0, "RESTRINGIDO", "LIBRE"), "LIBRE"))</f>
        <v>RESTRINGIDO</v>
      </c>
    </row>
    <row r="517" spans="2:14" ht="26.4" x14ac:dyDescent="0.3">
      <c r="B517" s="99" t="s">
        <v>297</v>
      </c>
      <c r="C517" s="100" t="s">
        <v>138</v>
      </c>
      <c r="D517" s="83" t="s">
        <v>190</v>
      </c>
      <c r="E517" s="101">
        <v>0</v>
      </c>
      <c r="F517" s="100" t="s">
        <v>138</v>
      </c>
      <c r="H517" s="99" t="s">
        <v>298</v>
      </c>
      <c r="I517" s="100" t="s">
        <v>138</v>
      </c>
      <c r="J517" s="83" t="s">
        <v>190</v>
      </c>
      <c r="K517" s="102" t="str">
        <f t="shared" si="63"/>
        <v>D5Y</v>
      </c>
      <c r="L517" s="100" t="s">
        <v>138</v>
      </c>
      <c r="N517" s="85" t="str">
        <f>IF(OR($G$5=0, 5&gt;$G$5), "RESTRINGIDO", IF(ISNUMBER(K517), IF(K517=0, "RESTRINGIDO", "LIBRE"), "LIBRE"))</f>
        <v>RESTRINGIDO</v>
      </c>
    </row>
    <row r="518" spans="2:14" ht="26.4" x14ac:dyDescent="0.3">
      <c r="B518" s="99" t="s">
        <v>299</v>
      </c>
      <c r="C518" s="100" t="s">
        <v>139</v>
      </c>
      <c r="D518" s="83" t="s">
        <v>190</v>
      </c>
      <c r="E518" s="101">
        <v>0</v>
      </c>
      <c r="F518" s="100" t="s">
        <v>139</v>
      </c>
      <c r="H518" s="99" t="s">
        <v>300</v>
      </c>
      <c r="I518" s="100" t="s">
        <v>139</v>
      </c>
      <c r="J518" s="83" t="s">
        <v>190</v>
      </c>
      <c r="K518" s="102" t="str">
        <f t="shared" si="63"/>
        <v>D5θ</v>
      </c>
      <c r="L518" s="100" t="s">
        <v>139</v>
      </c>
      <c r="N518" s="85" t="str">
        <f>IF(OR($G$5=0, 5&gt;$G$5), "RESTRINGIDO", IF(ISNUMBER(K518), IF(K518=0, "RESTRINGIDO", "LIBRE"), "LIBRE"))</f>
        <v>RESTRINGIDO</v>
      </c>
    </row>
    <row r="519" spans="2:14" ht="26.4" x14ac:dyDescent="0.3">
      <c r="B519" s="99" t="s">
        <v>301</v>
      </c>
      <c r="C519" s="100" t="s">
        <v>140</v>
      </c>
      <c r="D519" s="83" t="s">
        <v>190</v>
      </c>
      <c r="E519" s="101">
        <v>0</v>
      </c>
      <c r="F519" s="100" t="s">
        <v>140</v>
      </c>
      <c r="H519" s="99" t="s">
        <v>302</v>
      </c>
      <c r="I519" s="100" t="s">
        <v>140</v>
      </c>
      <c r="J519" s="83" t="s">
        <v>190</v>
      </c>
      <c r="K519" s="102" t="str">
        <f t="shared" si="63"/>
        <v>D6X</v>
      </c>
      <c r="L519" s="100" t="s">
        <v>140</v>
      </c>
      <c r="N519" s="85" t="str">
        <f>IF(OR($G$5=0, 6&gt;$G$5), "RESTRINGIDO", IF(ISNUMBER(K519), IF(K519=0, "RESTRINGIDO", "LIBRE"), "LIBRE"))</f>
        <v>RESTRINGIDO</v>
      </c>
    </row>
    <row r="520" spans="2:14" ht="26.4" x14ac:dyDescent="0.3">
      <c r="B520" s="99" t="s">
        <v>303</v>
      </c>
      <c r="C520" s="100" t="s">
        <v>141</v>
      </c>
      <c r="D520" s="83" t="s">
        <v>190</v>
      </c>
      <c r="E520" s="101">
        <v>0</v>
      </c>
      <c r="F520" s="100" t="s">
        <v>141</v>
      </c>
      <c r="H520" s="99" t="s">
        <v>304</v>
      </c>
      <c r="I520" s="100" t="s">
        <v>141</v>
      </c>
      <c r="J520" s="83" t="s">
        <v>190</v>
      </c>
      <c r="K520" s="102" t="str">
        <f t="shared" si="63"/>
        <v>D6Y</v>
      </c>
      <c r="L520" s="100" t="s">
        <v>141</v>
      </c>
      <c r="N520" s="85" t="str">
        <f>IF(OR($G$5=0, 6&gt;$G$5), "RESTRINGIDO", IF(ISNUMBER(K520), IF(K520=0, "RESTRINGIDO", "LIBRE"), "LIBRE"))</f>
        <v>RESTRINGIDO</v>
      </c>
    </row>
    <row r="521" spans="2:14" ht="26.4" x14ac:dyDescent="0.3">
      <c r="B521" s="99" t="s">
        <v>305</v>
      </c>
      <c r="C521" s="100" t="s">
        <v>142</v>
      </c>
      <c r="D521" s="83" t="s">
        <v>190</v>
      </c>
      <c r="E521" s="101">
        <v>0</v>
      </c>
      <c r="F521" s="100" t="s">
        <v>142</v>
      </c>
      <c r="H521" s="99" t="s">
        <v>306</v>
      </c>
      <c r="I521" s="100" t="s">
        <v>142</v>
      </c>
      <c r="J521" s="83" t="s">
        <v>190</v>
      </c>
      <c r="K521" s="102" t="str">
        <f t="shared" si="63"/>
        <v>D6θ</v>
      </c>
      <c r="L521" s="100" t="s">
        <v>142</v>
      </c>
      <c r="N521" s="85" t="str">
        <f>IF(OR($G$5=0, 6&gt;$G$5), "RESTRINGIDO", IF(ISNUMBER(K521), IF(K521=0, "RESTRINGIDO", "LIBRE"), "LIBRE"))</f>
        <v>RESTRINGIDO</v>
      </c>
    </row>
    <row r="522" spans="2:14" ht="26.4" x14ac:dyDescent="0.3">
      <c r="B522" s="99" t="s">
        <v>307</v>
      </c>
      <c r="C522" s="100" t="s">
        <v>143</v>
      </c>
      <c r="D522" s="83" t="s">
        <v>190</v>
      </c>
      <c r="E522" s="101">
        <v>0</v>
      </c>
      <c r="F522" s="100" t="s">
        <v>143</v>
      </c>
      <c r="H522" s="99" t="s">
        <v>308</v>
      </c>
      <c r="I522" s="100" t="s">
        <v>143</v>
      </c>
      <c r="J522" s="83" t="s">
        <v>190</v>
      </c>
      <c r="K522" s="102" t="str">
        <f t="shared" si="63"/>
        <v>D7X</v>
      </c>
      <c r="L522" s="100" t="s">
        <v>143</v>
      </c>
      <c r="N522" s="85" t="str">
        <f>IF(OR($G$5=0, 7&gt;$G$5), "RESTRINGIDO", IF(ISNUMBER(K522), IF(K522=0, "RESTRINGIDO", "LIBRE"), "LIBRE"))</f>
        <v>RESTRINGIDO</v>
      </c>
    </row>
    <row r="523" spans="2:14" ht="26.4" x14ac:dyDescent="0.3">
      <c r="B523" s="99" t="s">
        <v>309</v>
      </c>
      <c r="C523" s="100" t="s">
        <v>144</v>
      </c>
      <c r="D523" s="83" t="s">
        <v>190</v>
      </c>
      <c r="E523" s="101">
        <v>0</v>
      </c>
      <c r="F523" s="100" t="s">
        <v>144</v>
      </c>
      <c r="H523" s="99" t="s">
        <v>310</v>
      </c>
      <c r="I523" s="100" t="s">
        <v>144</v>
      </c>
      <c r="J523" s="83" t="s">
        <v>190</v>
      </c>
      <c r="K523" s="102" t="str">
        <f t="shared" si="63"/>
        <v>D7Y</v>
      </c>
      <c r="L523" s="100" t="s">
        <v>144</v>
      </c>
      <c r="N523" s="85" t="str">
        <f>IF(OR($G$5=0, 7&gt;$G$5), "RESTRINGIDO", IF(ISNUMBER(K523), IF(K523=0, "RESTRINGIDO", "LIBRE"), "LIBRE"))</f>
        <v>RESTRINGIDO</v>
      </c>
    </row>
    <row r="524" spans="2:14" ht="26.4" x14ac:dyDescent="0.3">
      <c r="B524" s="99" t="s">
        <v>311</v>
      </c>
      <c r="C524" s="100" t="s">
        <v>145</v>
      </c>
      <c r="D524" s="83" t="s">
        <v>190</v>
      </c>
      <c r="E524" s="101">
        <v>0</v>
      </c>
      <c r="F524" s="100" t="s">
        <v>145</v>
      </c>
      <c r="H524" s="99" t="s">
        <v>312</v>
      </c>
      <c r="I524" s="100" t="s">
        <v>145</v>
      </c>
      <c r="J524" s="83" t="s">
        <v>190</v>
      </c>
      <c r="K524" s="102" t="str">
        <f t="shared" si="63"/>
        <v>D7θ</v>
      </c>
      <c r="L524" s="100" t="s">
        <v>145</v>
      </c>
      <c r="N524" s="85" t="str">
        <f>IF(OR($G$5=0, 7&gt;$G$5), "RESTRINGIDO", IF(ISNUMBER(K524), IF(K524=0, "RESTRINGIDO", "LIBRE"), "LIBRE"))</f>
        <v>RESTRINGIDO</v>
      </c>
    </row>
    <row r="525" spans="2:14" ht="26.4" x14ac:dyDescent="0.3">
      <c r="B525" s="99" t="s">
        <v>313</v>
      </c>
      <c r="C525" s="100" t="s">
        <v>146</v>
      </c>
      <c r="D525" s="83" t="s">
        <v>190</v>
      </c>
      <c r="E525" s="101">
        <v>0</v>
      </c>
      <c r="F525" s="100" t="s">
        <v>146</v>
      </c>
      <c r="H525" s="99" t="s">
        <v>314</v>
      </c>
      <c r="I525" s="100" t="s">
        <v>146</v>
      </c>
      <c r="J525" s="83" t="s">
        <v>190</v>
      </c>
      <c r="K525" s="102" t="str">
        <f t="shared" si="63"/>
        <v>D8X</v>
      </c>
      <c r="L525" s="100" t="s">
        <v>146</v>
      </c>
      <c r="N525" s="85" t="str">
        <f>IF(OR($G$5=0, 8&gt;$G$5), "RESTRINGIDO", IF(ISNUMBER(K525), IF(K525=0, "RESTRINGIDO", "LIBRE"), "LIBRE"))</f>
        <v>RESTRINGIDO</v>
      </c>
    </row>
    <row r="526" spans="2:14" ht="26.4" x14ac:dyDescent="0.3">
      <c r="B526" s="99" t="s">
        <v>315</v>
      </c>
      <c r="C526" s="100" t="s">
        <v>147</v>
      </c>
      <c r="D526" s="83" t="s">
        <v>190</v>
      </c>
      <c r="E526" s="101">
        <v>0</v>
      </c>
      <c r="F526" s="100" t="s">
        <v>147</v>
      </c>
      <c r="H526" s="99" t="s">
        <v>316</v>
      </c>
      <c r="I526" s="100" t="s">
        <v>147</v>
      </c>
      <c r="J526" s="83" t="s">
        <v>190</v>
      </c>
      <c r="K526" s="102" t="str">
        <f t="shared" si="63"/>
        <v>D8Y</v>
      </c>
      <c r="L526" s="100" t="s">
        <v>147</v>
      </c>
      <c r="N526" s="85" t="str">
        <f>IF(OR($G$5=0, 8&gt;$G$5), "RESTRINGIDO", IF(ISNUMBER(K526), IF(K526=0, "RESTRINGIDO", "LIBRE"), "LIBRE"))</f>
        <v>RESTRINGIDO</v>
      </c>
    </row>
    <row r="527" spans="2:14" ht="26.4" x14ac:dyDescent="0.3">
      <c r="B527" s="99" t="s">
        <v>317</v>
      </c>
      <c r="C527" s="100" t="s">
        <v>148</v>
      </c>
      <c r="D527" s="83" t="s">
        <v>190</v>
      </c>
      <c r="E527" s="101">
        <v>0</v>
      </c>
      <c r="F527" s="100" t="s">
        <v>148</v>
      </c>
      <c r="H527" s="99" t="s">
        <v>318</v>
      </c>
      <c r="I527" s="100" t="s">
        <v>148</v>
      </c>
      <c r="J527" s="83" t="s">
        <v>190</v>
      </c>
      <c r="K527" s="102" t="str">
        <f t="shared" si="63"/>
        <v>D8θ</v>
      </c>
      <c r="L527" s="100" t="s">
        <v>148</v>
      </c>
      <c r="N527" s="85" t="str">
        <f>IF(OR($G$5=0, 8&gt;$G$5), "RESTRINGIDO", IF(ISNUMBER(K527), IF(K527=0, "RESTRINGIDO", "LIBRE"), "LIBRE"))</f>
        <v>RESTRINGIDO</v>
      </c>
    </row>
    <row r="528" spans="2:14" ht="26.4" x14ac:dyDescent="0.3">
      <c r="B528" s="99" t="s">
        <v>319</v>
      </c>
      <c r="C528" s="100" t="s">
        <v>149</v>
      </c>
      <c r="D528" s="83" t="s">
        <v>190</v>
      </c>
      <c r="E528" s="101">
        <v>0</v>
      </c>
      <c r="F528" s="100" t="s">
        <v>149</v>
      </c>
      <c r="H528" s="99" t="s">
        <v>320</v>
      </c>
      <c r="I528" s="100" t="s">
        <v>149</v>
      </c>
      <c r="J528" s="83" t="s">
        <v>190</v>
      </c>
      <c r="K528" s="102" t="str">
        <f t="shared" si="63"/>
        <v>D9X</v>
      </c>
      <c r="L528" s="100" t="s">
        <v>149</v>
      </c>
      <c r="N528" s="85" t="str">
        <f>IF(OR($G$5=0, 9&gt;$G$5), "RESTRINGIDO", IF(ISNUMBER(K528), IF(K528=0, "RESTRINGIDO", "LIBRE"), "LIBRE"))</f>
        <v>RESTRINGIDO</v>
      </c>
    </row>
    <row r="529" spans="1:43" ht="26.4" x14ac:dyDescent="0.3">
      <c r="B529" s="99" t="s">
        <v>321</v>
      </c>
      <c r="C529" s="100" t="s">
        <v>150</v>
      </c>
      <c r="D529" s="83" t="s">
        <v>190</v>
      </c>
      <c r="E529" s="101">
        <v>0</v>
      </c>
      <c r="F529" s="100" t="s">
        <v>150</v>
      </c>
      <c r="H529" s="99" t="s">
        <v>322</v>
      </c>
      <c r="I529" s="100" t="s">
        <v>150</v>
      </c>
      <c r="J529" s="83" t="s">
        <v>190</v>
      </c>
      <c r="K529" s="102" t="str">
        <f t="shared" si="63"/>
        <v>D9Y</v>
      </c>
      <c r="L529" s="100" t="s">
        <v>150</v>
      </c>
      <c r="N529" s="85" t="str">
        <f>IF(OR($G$5=0, 9&gt;$G$5), "RESTRINGIDO", IF(ISNUMBER(K529), IF(K529=0, "RESTRINGIDO", "LIBRE"), "LIBRE"))</f>
        <v>RESTRINGIDO</v>
      </c>
    </row>
    <row r="530" spans="1:43" ht="26.4" x14ac:dyDescent="0.3">
      <c r="B530" s="99" t="s">
        <v>323</v>
      </c>
      <c r="C530" s="100" t="s">
        <v>151</v>
      </c>
      <c r="D530" s="83" t="s">
        <v>190</v>
      </c>
      <c r="E530" s="101">
        <v>0</v>
      </c>
      <c r="F530" s="100" t="s">
        <v>151</v>
      </c>
      <c r="H530" s="99" t="s">
        <v>324</v>
      </c>
      <c r="I530" s="100" t="s">
        <v>151</v>
      </c>
      <c r="J530" s="83" t="s">
        <v>190</v>
      </c>
      <c r="K530" s="102" t="str">
        <f t="shared" si="63"/>
        <v>D9θ</v>
      </c>
      <c r="L530" s="100" t="s">
        <v>151</v>
      </c>
      <c r="N530" s="85" t="str">
        <f>IF(OR($G$5=0, 9&gt;$G$5), "RESTRINGIDO", IF(ISNUMBER(K530), IF(K530=0, "RESTRINGIDO", "LIBRE"), "LIBRE"))</f>
        <v>RESTRINGIDO</v>
      </c>
    </row>
    <row r="531" spans="1:43" ht="26.4" x14ac:dyDescent="0.3">
      <c r="B531" s="99" t="s">
        <v>325</v>
      </c>
      <c r="C531" s="100" t="s">
        <v>152</v>
      </c>
      <c r="D531" s="83" t="s">
        <v>190</v>
      </c>
      <c r="E531" s="101">
        <v>0</v>
      </c>
      <c r="F531" s="100" t="s">
        <v>152</v>
      </c>
      <c r="H531" s="99" t="s">
        <v>326</v>
      </c>
      <c r="I531" s="100" t="s">
        <v>152</v>
      </c>
      <c r="J531" s="83" t="s">
        <v>190</v>
      </c>
      <c r="K531" s="102" t="str">
        <f t="shared" si="63"/>
        <v>D10X</v>
      </c>
      <c r="L531" s="100" t="s">
        <v>152</v>
      </c>
      <c r="N531" s="85" t="str">
        <f>IF(OR($G$5=0, 10&gt;$G$5), "RESTRINGIDO", IF(ISNUMBER(K531), IF(K531=0, "RESTRINGIDO", "LIBRE"), "LIBRE"))</f>
        <v>RESTRINGIDO</v>
      </c>
    </row>
    <row r="532" spans="1:43" ht="26.4" x14ac:dyDescent="0.3">
      <c r="B532" s="99" t="s">
        <v>327</v>
      </c>
      <c r="C532" s="100" t="s">
        <v>153</v>
      </c>
      <c r="D532" s="83" t="s">
        <v>190</v>
      </c>
      <c r="E532" s="101">
        <v>0</v>
      </c>
      <c r="F532" s="100" t="s">
        <v>153</v>
      </c>
      <c r="H532" s="99" t="s">
        <v>328</v>
      </c>
      <c r="I532" s="100" t="s">
        <v>153</v>
      </c>
      <c r="J532" s="83" t="s">
        <v>190</v>
      </c>
      <c r="K532" s="102" t="str">
        <f t="shared" si="63"/>
        <v>D10Y</v>
      </c>
      <c r="L532" s="100" t="s">
        <v>153</v>
      </c>
      <c r="N532" s="85" t="str">
        <f>IF(OR($G$5=0, 10&gt;$G$5), "RESTRINGIDO", IF(ISNUMBER(K532), IF(K532=0, "RESTRINGIDO", "LIBRE"), "LIBRE"))</f>
        <v>RESTRINGIDO</v>
      </c>
    </row>
    <row r="533" spans="1:43" ht="26.4" x14ac:dyDescent="0.3">
      <c r="B533" s="99" t="s">
        <v>329</v>
      </c>
      <c r="C533" s="100" t="s">
        <v>154</v>
      </c>
      <c r="D533" s="83" t="s">
        <v>190</v>
      </c>
      <c r="E533" s="101">
        <v>0</v>
      </c>
      <c r="F533" s="100" t="s">
        <v>154</v>
      </c>
      <c r="H533" s="99" t="s">
        <v>330</v>
      </c>
      <c r="I533" s="100" t="s">
        <v>154</v>
      </c>
      <c r="J533" s="83" t="s">
        <v>190</v>
      </c>
      <c r="K533" s="102" t="str">
        <f t="shared" si="63"/>
        <v>D10θ</v>
      </c>
      <c r="L533" s="100" t="s">
        <v>154</v>
      </c>
      <c r="N533" s="85" t="str">
        <f>IF(OR($G$5=0, 10&gt;$G$5), "RESTRINGIDO", IF(ISNUMBER(K533), IF(K533=0, "RESTRINGIDO", "LIBRE"), "LIBRE"))</f>
        <v>RESTRINGIDO</v>
      </c>
    </row>
    <row r="534" spans="1:43" ht="26.4" x14ac:dyDescent="0.3">
      <c r="B534" s="99" t="s">
        <v>331</v>
      </c>
      <c r="C534" s="100" t="s">
        <v>155</v>
      </c>
      <c r="D534" s="83" t="s">
        <v>190</v>
      </c>
      <c r="E534" s="101">
        <v>0</v>
      </c>
      <c r="F534" s="100" t="s">
        <v>155</v>
      </c>
      <c r="H534" s="99" t="s">
        <v>332</v>
      </c>
      <c r="I534" s="100" t="s">
        <v>155</v>
      </c>
      <c r="J534" s="83" t="s">
        <v>190</v>
      </c>
      <c r="K534" s="102" t="str">
        <f t="shared" si="63"/>
        <v>D11X</v>
      </c>
      <c r="L534" s="100" t="s">
        <v>155</v>
      </c>
      <c r="N534" s="85" t="str">
        <f>IF(OR($G$5=0, 11&gt;$G$5), "RESTRINGIDO", IF(ISNUMBER(K534), IF(K534=0, "RESTRINGIDO", "LIBRE"), "LIBRE"))</f>
        <v>RESTRINGIDO</v>
      </c>
    </row>
    <row r="535" spans="1:43" ht="26.4" x14ac:dyDescent="0.3">
      <c r="B535" s="99" t="s">
        <v>333</v>
      </c>
      <c r="C535" s="100" t="s">
        <v>156</v>
      </c>
      <c r="D535" s="83" t="s">
        <v>190</v>
      </c>
      <c r="E535" s="101">
        <v>0</v>
      </c>
      <c r="F535" s="100" t="s">
        <v>156</v>
      </c>
      <c r="H535" s="99" t="s">
        <v>334</v>
      </c>
      <c r="I535" s="100" t="s">
        <v>156</v>
      </c>
      <c r="J535" s="83" t="s">
        <v>190</v>
      </c>
      <c r="K535" s="102" t="str">
        <f t="shared" si="63"/>
        <v>D11Y</v>
      </c>
      <c r="L535" s="100" t="s">
        <v>156</v>
      </c>
      <c r="N535" s="85" t="str">
        <f>IF(OR($G$5=0, 11&gt;$G$5), "RESTRINGIDO", IF(ISNUMBER(K535), IF(K535=0, "RESTRINGIDO", "LIBRE"), "LIBRE"))</f>
        <v>RESTRINGIDO</v>
      </c>
    </row>
    <row r="536" spans="1:43" ht="26.4" x14ac:dyDescent="0.3">
      <c r="B536" s="99" t="s">
        <v>335</v>
      </c>
      <c r="C536" s="100" t="s">
        <v>157</v>
      </c>
      <c r="D536" s="83" t="s">
        <v>190</v>
      </c>
      <c r="E536" s="101">
        <v>0</v>
      </c>
      <c r="F536" s="100" t="s">
        <v>157</v>
      </c>
      <c r="H536" s="99" t="s">
        <v>336</v>
      </c>
      <c r="I536" s="100" t="s">
        <v>157</v>
      </c>
      <c r="J536" s="83" t="s">
        <v>190</v>
      </c>
      <c r="K536" s="102" t="str">
        <f t="shared" si="63"/>
        <v>D11θ</v>
      </c>
      <c r="L536" s="100" t="s">
        <v>157</v>
      </c>
      <c r="N536" s="85" t="str">
        <f>IF(OR($G$5=0, 11&gt;$G$5), "RESTRINGIDO", IF(ISNUMBER(K536), IF(K536=0, "RESTRINGIDO", "LIBRE"), "LIBRE"))</f>
        <v>RESTRINGIDO</v>
      </c>
    </row>
    <row r="539" spans="1:43" x14ac:dyDescent="0.3">
      <c r="B539" s="95" t="s">
        <v>337</v>
      </c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</row>
    <row r="541" spans="1:43" x14ac:dyDescent="0.3">
      <c r="A541" s="93">
        <f t="shared" ref="A541:A573" si="64">E504</f>
        <v>0</v>
      </c>
      <c r="B541" s="94" t="s">
        <v>190</v>
      </c>
      <c r="C541" s="92">
        <f t="shared" ref="C541:AI548" si="65">B467</f>
        <v>0</v>
      </c>
      <c r="D541" s="93">
        <f t="shared" si="65"/>
        <v>0</v>
      </c>
      <c r="E541" s="93">
        <f t="shared" si="65"/>
        <v>0</v>
      </c>
      <c r="F541" s="93">
        <f t="shared" si="65"/>
        <v>0</v>
      </c>
      <c r="G541" s="93">
        <f t="shared" si="65"/>
        <v>0</v>
      </c>
      <c r="H541" s="93">
        <f t="shared" si="65"/>
        <v>0</v>
      </c>
      <c r="I541" s="93">
        <f t="shared" si="65"/>
        <v>0</v>
      </c>
      <c r="J541" s="93">
        <f t="shared" si="65"/>
        <v>0</v>
      </c>
      <c r="K541" s="93">
        <f t="shared" si="65"/>
        <v>0</v>
      </c>
      <c r="L541" s="93">
        <f t="shared" si="65"/>
        <v>0</v>
      </c>
      <c r="M541" s="93">
        <f t="shared" si="65"/>
        <v>0</v>
      </c>
      <c r="N541" s="93">
        <f t="shared" si="65"/>
        <v>0</v>
      </c>
      <c r="O541" s="93">
        <f t="shared" si="65"/>
        <v>0</v>
      </c>
      <c r="P541" s="93">
        <f t="shared" si="65"/>
        <v>0</v>
      </c>
      <c r="Q541" s="93">
        <f t="shared" si="65"/>
        <v>0</v>
      </c>
      <c r="R541" s="93">
        <f t="shared" si="65"/>
        <v>0</v>
      </c>
      <c r="S541" s="93">
        <f t="shared" si="65"/>
        <v>0</v>
      </c>
      <c r="T541" s="93">
        <f t="shared" si="65"/>
        <v>0</v>
      </c>
      <c r="U541" s="93">
        <f t="shared" si="65"/>
        <v>0</v>
      </c>
      <c r="V541" s="93">
        <f t="shared" si="65"/>
        <v>0</v>
      </c>
      <c r="W541" s="93">
        <f t="shared" si="65"/>
        <v>0</v>
      </c>
      <c r="X541" s="93">
        <f t="shared" si="65"/>
        <v>0</v>
      </c>
      <c r="Y541" s="93">
        <f t="shared" si="65"/>
        <v>0</v>
      </c>
      <c r="Z541" s="93">
        <f t="shared" si="65"/>
        <v>0</v>
      </c>
      <c r="AA541" s="93">
        <f t="shared" si="65"/>
        <v>0</v>
      </c>
      <c r="AB541" s="93">
        <f t="shared" si="65"/>
        <v>0</v>
      </c>
      <c r="AC541" s="93">
        <f t="shared" si="65"/>
        <v>0</v>
      </c>
      <c r="AD541" s="93">
        <f t="shared" si="65"/>
        <v>0</v>
      </c>
      <c r="AE541" s="93">
        <f t="shared" si="65"/>
        <v>0</v>
      </c>
      <c r="AF541" s="93">
        <f t="shared" si="65"/>
        <v>0</v>
      </c>
      <c r="AG541" s="93">
        <f t="shared" si="65"/>
        <v>0</v>
      </c>
      <c r="AH541" s="93">
        <f t="shared" si="65"/>
        <v>0</v>
      </c>
      <c r="AI541" s="93">
        <f t="shared" si="65"/>
        <v>0</v>
      </c>
      <c r="AQ541" s="83">
        <f t="shared" ref="AQ541:AQ573" si="66">K504</f>
        <v>0</v>
      </c>
    </row>
    <row r="542" spans="1:43" x14ac:dyDescent="0.3">
      <c r="A542" s="93">
        <f t="shared" si="64"/>
        <v>0</v>
      </c>
      <c r="B542" s="94" t="s">
        <v>190</v>
      </c>
      <c r="C542" s="93">
        <f t="shared" si="65"/>
        <v>0</v>
      </c>
      <c r="D542" s="92">
        <f t="shared" si="65"/>
        <v>0</v>
      </c>
      <c r="E542" s="93">
        <f t="shared" si="65"/>
        <v>0</v>
      </c>
      <c r="F542" s="93">
        <f t="shared" si="65"/>
        <v>0</v>
      </c>
      <c r="G542" s="93">
        <f t="shared" si="65"/>
        <v>0</v>
      </c>
      <c r="H542" s="93">
        <f t="shared" si="65"/>
        <v>0</v>
      </c>
      <c r="I542" s="93">
        <f t="shared" si="65"/>
        <v>0</v>
      </c>
      <c r="J542" s="93">
        <f t="shared" si="65"/>
        <v>0</v>
      </c>
      <c r="K542" s="93">
        <f t="shared" si="65"/>
        <v>0</v>
      </c>
      <c r="L542" s="93">
        <f t="shared" si="65"/>
        <v>0</v>
      </c>
      <c r="M542" s="93">
        <f t="shared" si="65"/>
        <v>0</v>
      </c>
      <c r="N542" s="93">
        <f t="shared" si="65"/>
        <v>0</v>
      </c>
      <c r="O542" s="93">
        <f t="shared" si="65"/>
        <v>0</v>
      </c>
      <c r="P542" s="93">
        <f t="shared" si="65"/>
        <v>0</v>
      </c>
      <c r="Q542" s="93">
        <f t="shared" si="65"/>
        <v>0</v>
      </c>
      <c r="R542" s="93">
        <f t="shared" si="65"/>
        <v>0</v>
      </c>
      <c r="S542" s="93">
        <f t="shared" si="65"/>
        <v>0</v>
      </c>
      <c r="T542" s="93">
        <f t="shared" si="65"/>
        <v>0</v>
      </c>
      <c r="U542" s="93">
        <f t="shared" si="65"/>
        <v>0</v>
      </c>
      <c r="V542" s="93">
        <f t="shared" si="65"/>
        <v>0</v>
      </c>
      <c r="W542" s="93">
        <f t="shared" si="65"/>
        <v>0</v>
      </c>
      <c r="X542" s="93">
        <f t="shared" si="65"/>
        <v>0</v>
      </c>
      <c r="Y542" s="93">
        <f t="shared" si="65"/>
        <v>0</v>
      </c>
      <c r="Z542" s="93">
        <f t="shared" si="65"/>
        <v>0</v>
      </c>
      <c r="AA542" s="93">
        <f t="shared" si="65"/>
        <v>0</v>
      </c>
      <c r="AB542" s="93">
        <f t="shared" si="65"/>
        <v>0</v>
      </c>
      <c r="AC542" s="93">
        <f t="shared" si="65"/>
        <v>0</v>
      </c>
      <c r="AD542" s="93">
        <f t="shared" si="65"/>
        <v>0</v>
      </c>
      <c r="AE542" s="93">
        <f t="shared" si="65"/>
        <v>0</v>
      </c>
      <c r="AF542" s="93">
        <f t="shared" si="65"/>
        <v>0</v>
      </c>
      <c r="AG542" s="93">
        <f t="shared" si="65"/>
        <v>0</v>
      </c>
      <c r="AH542" s="93">
        <f t="shared" si="65"/>
        <v>0</v>
      </c>
      <c r="AI542" s="93">
        <f t="shared" si="65"/>
        <v>0</v>
      </c>
      <c r="AQ542" s="83">
        <f t="shared" si="66"/>
        <v>0</v>
      </c>
    </row>
    <row r="543" spans="1:43" x14ac:dyDescent="0.3">
      <c r="A543" s="93">
        <f t="shared" si="64"/>
        <v>0</v>
      </c>
      <c r="B543" s="94" t="s">
        <v>190</v>
      </c>
      <c r="C543" s="93">
        <f t="shared" si="65"/>
        <v>0</v>
      </c>
      <c r="D543" s="93">
        <f t="shared" si="65"/>
        <v>0</v>
      </c>
      <c r="E543" s="92">
        <f t="shared" si="65"/>
        <v>0</v>
      </c>
      <c r="F543" s="93">
        <f t="shared" si="65"/>
        <v>0</v>
      </c>
      <c r="G543" s="93">
        <f t="shared" si="65"/>
        <v>0</v>
      </c>
      <c r="H543" s="93">
        <f t="shared" si="65"/>
        <v>0</v>
      </c>
      <c r="I543" s="93">
        <f t="shared" si="65"/>
        <v>0</v>
      </c>
      <c r="J543" s="93">
        <f t="shared" si="65"/>
        <v>0</v>
      </c>
      <c r="K543" s="93">
        <f t="shared" si="65"/>
        <v>0</v>
      </c>
      <c r="L543" s="93">
        <f t="shared" si="65"/>
        <v>0</v>
      </c>
      <c r="M543" s="93">
        <f t="shared" si="65"/>
        <v>0</v>
      </c>
      <c r="N543" s="93">
        <f t="shared" si="65"/>
        <v>0</v>
      </c>
      <c r="O543" s="93">
        <f t="shared" si="65"/>
        <v>0</v>
      </c>
      <c r="P543" s="93">
        <f t="shared" si="65"/>
        <v>0</v>
      </c>
      <c r="Q543" s="93">
        <f t="shared" si="65"/>
        <v>0</v>
      </c>
      <c r="R543" s="93">
        <f t="shared" si="65"/>
        <v>0</v>
      </c>
      <c r="S543" s="93">
        <f t="shared" si="65"/>
        <v>0</v>
      </c>
      <c r="T543" s="93">
        <f t="shared" si="65"/>
        <v>0</v>
      </c>
      <c r="U543" s="93">
        <f t="shared" si="65"/>
        <v>0</v>
      </c>
      <c r="V543" s="93">
        <f t="shared" si="65"/>
        <v>0</v>
      </c>
      <c r="W543" s="93">
        <f t="shared" si="65"/>
        <v>0</v>
      </c>
      <c r="X543" s="93">
        <f t="shared" si="65"/>
        <v>0</v>
      </c>
      <c r="Y543" s="93">
        <f t="shared" si="65"/>
        <v>0</v>
      </c>
      <c r="Z543" s="93">
        <f t="shared" si="65"/>
        <v>0</v>
      </c>
      <c r="AA543" s="93">
        <f t="shared" si="65"/>
        <v>0</v>
      </c>
      <c r="AB543" s="93">
        <f t="shared" si="65"/>
        <v>0</v>
      </c>
      <c r="AC543" s="93">
        <f t="shared" si="65"/>
        <v>0</v>
      </c>
      <c r="AD543" s="93">
        <f t="shared" si="65"/>
        <v>0</v>
      </c>
      <c r="AE543" s="93">
        <f t="shared" si="65"/>
        <v>0</v>
      </c>
      <c r="AF543" s="93">
        <f t="shared" si="65"/>
        <v>0</v>
      </c>
      <c r="AG543" s="93">
        <f t="shared" si="65"/>
        <v>0</v>
      </c>
      <c r="AH543" s="93">
        <f t="shared" si="65"/>
        <v>0</v>
      </c>
      <c r="AI543" s="93">
        <f t="shared" si="65"/>
        <v>0</v>
      </c>
      <c r="AQ543" s="83" t="str">
        <f t="shared" si="66"/>
        <v>D1θ</v>
      </c>
    </row>
    <row r="544" spans="1:43" x14ac:dyDescent="0.3">
      <c r="A544" s="93">
        <f t="shared" si="64"/>
        <v>0</v>
      </c>
      <c r="B544" s="94" t="s">
        <v>190</v>
      </c>
      <c r="C544" s="93">
        <f t="shared" si="65"/>
        <v>0</v>
      </c>
      <c r="D544" s="93">
        <f t="shared" si="65"/>
        <v>0</v>
      </c>
      <c r="E544" s="93">
        <f t="shared" si="65"/>
        <v>0</v>
      </c>
      <c r="F544" s="92">
        <f t="shared" si="65"/>
        <v>0</v>
      </c>
      <c r="G544" s="93">
        <f t="shared" si="65"/>
        <v>0</v>
      </c>
      <c r="H544" s="93">
        <f t="shared" si="65"/>
        <v>0</v>
      </c>
      <c r="I544" s="93">
        <f t="shared" si="65"/>
        <v>0</v>
      </c>
      <c r="J544" s="93">
        <f t="shared" si="65"/>
        <v>0</v>
      </c>
      <c r="K544" s="93">
        <f t="shared" si="65"/>
        <v>0</v>
      </c>
      <c r="L544" s="93">
        <f t="shared" si="65"/>
        <v>0</v>
      </c>
      <c r="M544" s="93">
        <f t="shared" si="65"/>
        <v>0</v>
      </c>
      <c r="N544" s="93">
        <f t="shared" si="65"/>
        <v>0</v>
      </c>
      <c r="O544" s="93">
        <f t="shared" si="65"/>
        <v>0</v>
      </c>
      <c r="P544" s="93">
        <f t="shared" si="65"/>
        <v>0</v>
      </c>
      <c r="Q544" s="93">
        <f t="shared" si="65"/>
        <v>0</v>
      </c>
      <c r="R544" s="93">
        <f t="shared" si="65"/>
        <v>0</v>
      </c>
      <c r="S544" s="93">
        <f t="shared" si="65"/>
        <v>0</v>
      </c>
      <c r="T544" s="93">
        <f t="shared" si="65"/>
        <v>0</v>
      </c>
      <c r="U544" s="93">
        <f t="shared" si="65"/>
        <v>0</v>
      </c>
      <c r="V544" s="93">
        <f t="shared" si="65"/>
        <v>0</v>
      </c>
      <c r="W544" s="93">
        <f t="shared" si="65"/>
        <v>0</v>
      </c>
      <c r="X544" s="93">
        <f t="shared" si="65"/>
        <v>0</v>
      </c>
      <c r="Y544" s="93">
        <f t="shared" si="65"/>
        <v>0</v>
      </c>
      <c r="Z544" s="93">
        <f t="shared" si="65"/>
        <v>0</v>
      </c>
      <c r="AA544" s="93">
        <f t="shared" si="65"/>
        <v>0</v>
      </c>
      <c r="AB544" s="93">
        <f t="shared" si="65"/>
        <v>0</v>
      </c>
      <c r="AC544" s="93">
        <f t="shared" si="65"/>
        <v>0</v>
      </c>
      <c r="AD544" s="93">
        <f t="shared" si="65"/>
        <v>0</v>
      </c>
      <c r="AE544" s="93">
        <f t="shared" si="65"/>
        <v>0</v>
      </c>
      <c r="AF544" s="93">
        <f t="shared" si="65"/>
        <v>0</v>
      </c>
      <c r="AG544" s="93">
        <f t="shared" si="65"/>
        <v>0</v>
      </c>
      <c r="AH544" s="93">
        <f t="shared" si="65"/>
        <v>0</v>
      </c>
      <c r="AI544" s="93">
        <f t="shared" si="65"/>
        <v>0</v>
      </c>
      <c r="AQ544" s="83" t="str">
        <f t="shared" si="66"/>
        <v>D2X</v>
      </c>
    </row>
    <row r="545" spans="1:43" x14ac:dyDescent="0.3">
      <c r="A545" s="93">
        <f t="shared" si="64"/>
        <v>0</v>
      </c>
      <c r="B545" s="94" t="s">
        <v>190</v>
      </c>
      <c r="C545" s="93">
        <f t="shared" si="65"/>
        <v>0</v>
      </c>
      <c r="D545" s="93">
        <f t="shared" si="65"/>
        <v>0</v>
      </c>
      <c r="E545" s="93">
        <f t="shared" si="65"/>
        <v>0</v>
      </c>
      <c r="F545" s="93">
        <f t="shared" si="65"/>
        <v>0</v>
      </c>
      <c r="G545" s="92">
        <f t="shared" si="65"/>
        <v>0</v>
      </c>
      <c r="H545" s="93">
        <f t="shared" si="65"/>
        <v>0</v>
      </c>
      <c r="I545" s="93">
        <f t="shared" si="65"/>
        <v>0</v>
      </c>
      <c r="J545" s="93">
        <f t="shared" si="65"/>
        <v>0</v>
      </c>
      <c r="K545" s="93">
        <f t="shared" si="65"/>
        <v>0</v>
      </c>
      <c r="L545" s="93">
        <f t="shared" si="65"/>
        <v>0</v>
      </c>
      <c r="M545" s="93">
        <f t="shared" si="65"/>
        <v>0</v>
      </c>
      <c r="N545" s="93">
        <f t="shared" si="65"/>
        <v>0</v>
      </c>
      <c r="O545" s="93">
        <f t="shared" si="65"/>
        <v>0</v>
      </c>
      <c r="P545" s="93">
        <f t="shared" si="65"/>
        <v>0</v>
      </c>
      <c r="Q545" s="93">
        <f t="shared" si="65"/>
        <v>0</v>
      </c>
      <c r="R545" s="93">
        <f t="shared" si="65"/>
        <v>0</v>
      </c>
      <c r="S545" s="93">
        <f t="shared" si="65"/>
        <v>0</v>
      </c>
      <c r="T545" s="93">
        <f t="shared" si="65"/>
        <v>0</v>
      </c>
      <c r="U545" s="93">
        <f t="shared" si="65"/>
        <v>0</v>
      </c>
      <c r="V545" s="93">
        <f t="shared" si="65"/>
        <v>0</v>
      </c>
      <c r="W545" s="93">
        <f t="shared" si="65"/>
        <v>0</v>
      </c>
      <c r="X545" s="93">
        <f t="shared" si="65"/>
        <v>0</v>
      </c>
      <c r="Y545" s="93">
        <f t="shared" si="65"/>
        <v>0</v>
      </c>
      <c r="Z545" s="93">
        <f t="shared" si="65"/>
        <v>0</v>
      </c>
      <c r="AA545" s="93">
        <f t="shared" si="65"/>
        <v>0</v>
      </c>
      <c r="AB545" s="93">
        <f t="shared" si="65"/>
        <v>0</v>
      </c>
      <c r="AC545" s="93">
        <f t="shared" si="65"/>
        <v>0</v>
      </c>
      <c r="AD545" s="93">
        <f t="shared" si="65"/>
        <v>0</v>
      </c>
      <c r="AE545" s="93">
        <f t="shared" si="65"/>
        <v>0</v>
      </c>
      <c r="AF545" s="93">
        <f t="shared" si="65"/>
        <v>0</v>
      </c>
      <c r="AG545" s="93">
        <f t="shared" si="65"/>
        <v>0</v>
      </c>
      <c r="AH545" s="93">
        <f t="shared" si="65"/>
        <v>0</v>
      </c>
      <c r="AI545" s="93">
        <f t="shared" si="65"/>
        <v>0</v>
      </c>
      <c r="AQ545" s="83" t="str">
        <f t="shared" si="66"/>
        <v>D2Y</v>
      </c>
    </row>
    <row r="546" spans="1:43" x14ac:dyDescent="0.3">
      <c r="A546" s="93">
        <f t="shared" si="64"/>
        <v>0</v>
      </c>
      <c r="B546" s="94" t="s">
        <v>190</v>
      </c>
      <c r="C546" s="93">
        <f t="shared" si="65"/>
        <v>0</v>
      </c>
      <c r="D546" s="93">
        <f t="shared" si="65"/>
        <v>0</v>
      </c>
      <c r="E546" s="93">
        <f t="shared" si="65"/>
        <v>0</v>
      </c>
      <c r="F546" s="93">
        <f t="shared" si="65"/>
        <v>0</v>
      </c>
      <c r="G546" s="93">
        <f t="shared" si="65"/>
        <v>0</v>
      </c>
      <c r="H546" s="92">
        <f t="shared" si="65"/>
        <v>0</v>
      </c>
      <c r="I546" s="93">
        <f t="shared" si="65"/>
        <v>0</v>
      </c>
      <c r="J546" s="93">
        <f t="shared" si="65"/>
        <v>0</v>
      </c>
      <c r="K546" s="93">
        <f t="shared" si="65"/>
        <v>0</v>
      </c>
      <c r="L546" s="93">
        <f t="shared" si="65"/>
        <v>0</v>
      </c>
      <c r="M546" s="93">
        <f t="shared" si="65"/>
        <v>0</v>
      </c>
      <c r="N546" s="93">
        <f t="shared" si="65"/>
        <v>0</v>
      </c>
      <c r="O546" s="93">
        <f t="shared" si="65"/>
        <v>0</v>
      </c>
      <c r="P546" s="93">
        <f t="shared" si="65"/>
        <v>0</v>
      </c>
      <c r="Q546" s="93">
        <f t="shared" si="65"/>
        <v>0</v>
      </c>
      <c r="R546" s="93">
        <f t="shared" si="65"/>
        <v>0</v>
      </c>
      <c r="S546" s="93">
        <f t="shared" si="65"/>
        <v>0</v>
      </c>
      <c r="T546" s="93">
        <f t="shared" si="65"/>
        <v>0</v>
      </c>
      <c r="U546" s="93">
        <f t="shared" si="65"/>
        <v>0</v>
      </c>
      <c r="V546" s="93">
        <f t="shared" si="65"/>
        <v>0</v>
      </c>
      <c r="W546" s="93">
        <f t="shared" si="65"/>
        <v>0</v>
      </c>
      <c r="X546" s="93">
        <f t="shared" si="65"/>
        <v>0</v>
      </c>
      <c r="Y546" s="93">
        <f t="shared" si="65"/>
        <v>0</v>
      </c>
      <c r="Z546" s="93">
        <f t="shared" si="65"/>
        <v>0</v>
      </c>
      <c r="AA546" s="93">
        <f t="shared" si="65"/>
        <v>0</v>
      </c>
      <c r="AB546" s="93">
        <f t="shared" si="65"/>
        <v>0</v>
      </c>
      <c r="AC546" s="93">
        <f t="shared" si="65"/>
        <v>0</v>
      </c>
      <c r="AD546" s="93">
        <f t="shared" si="65"/>
        <v>0</v>
      </c>
      <c r="AE546" s="93">
        <f t="shared" si="65"/>
        <v>0</v>
      </c>
      <c r="AF546" s="93">
        <f t="shared" si="65"/>
        <v>0</v>
      </c>
      <c r="AG546" s="93">
        <f t="shared" si="65"/>
        <v>0</v>
      </c>
      <c r="AH546" s="93">
        <f t="shared" si="65"/>
        <v>0</v>
      </c>
      <c r="AI546" s="93">
        <f t="shared" si="65"/>
        <v>0</v>
      </c>
      <c r="AQ546" s="83" t="str">
        <f t="shared" si="66"/>
        <v>D2θ</v>
      </c>
    </row>
    <row r="547" spans="1:43" x14ac:dyDescent="0.3">
      <c r="A547" s="93">
        <f t="shared" si="64"/>
        <v>0</v>
      </c>
      <c r="B547" s="94" t="s">
        <v>190</v>
      </c>
      <c r="C547" s="93">
        <f t="shared" si="65"/>
        <v>0</v>
      </c>
      <c r="D547" s="93">
        <f t="shared" si="65"/>
        <v>0</v>
      </c>
      <c r="E547" s="93">
        <f t="shared" si="65"/>
        <v>0</v>
      </c>
      <c r="F547" s="93">
        <f t="shared" si="65"/>
        <v>0</v>
      </c>
      <c r="G547" s="93">
        <f t="shared" si="65"/>
        <v>0</v>
      </c>
      <c r="H547" s="93">
        <f t="shared" si="65"/>
        <v>0</v>
      </c>
      <c r="I547" s="92">
        <f t="shared" si="65"/>
        <v>0</v>
      </c>
      <c r="J547" s="93">
        <f t="shared" si="65"/>
        <v>0</v>
      </c>
      <c r="K547" s="93">
        <f t="shared" si="65"/>
        <v>0</v>
      </c>
      <c r="L547" s="93">
        <f t="shared" si="65"/>
        <v>0</v>
      </c>
      <c r="M547" s="93">
        <f t="shared" si="65"/>
        <v>0</v>
      </c>
      <c r="N547" s="93">
        <f t="shared" si="65"/>
        <v>0</v>
      </c>
      <c r="O547" s="93">
        <f t="shared" si="65"/>
        <v>0</v>
      </c>
      <c r="P547" s="93">
        <f t="shared" si="65"/>
        <v>0</v>
      </c>
      <c r="Q547" s="93">
        <f t="shared" si="65"/>
        <v>0</v>
      </c>
      <c r="R547" s="93">
        <f t="shared" si="65"/>
        <v>0</v>
      </c>
      <c r="S547" s="93">
        <f t="shared" si="65"/>
        <v>0</v>
      </c>
      <c r="T547" s="93">
        <f t="shared" si="65"/>
        <v>0</v>
      </c>
      <c r="U547" s="93">
        <f t="shared" si="65"/>
        <v>0</v>
      </c>
      <c r="V547" s="93">
        <f t="shared" si="65"/>
        <v>0</v>
      </c>
      <c r="W547" s="93">
        <f t="shared" si="65"/>
        <v>0</v>
      </c>
      <c r="X547" s="93">
        <f t="shared" si="65"/>
        <v>0</v>
      </c>
      <c r="Y547" s="93">
        <f t="shared" si="65"/>
        <v>0</v>
      </c>
      <c r="Z547" s="93">
        <f t="shared" si="65"/>
        <v>0</v>
      </c>
      <c r="AA547" s="93">
        <f t="shared" si="65"/>
        <v>0</v>
      </c>
      <c r="AB547" s="93">
        <f t="shared" si="65"/>
        <v>0</v>
      </c>
      <c r="AC547" s="93">
        <f t="shared" si="65"/>
        <v>0</v>
      </c>
      <c r="AD547" s="93">
        <f t="shared" si="65"/>
        <v>0</v>
      </c>
      <c r="AE547" s="93">
        <f t="shared" si="65"/>
        <v>0</v>
      </c>
      <c r="AF547" s="93">
        <f t="shared" si="65"/>
        <v>0</v>
      </c>
      <c r="AG547" s="93">
        <f t="shared" si="65"/>
        <v>0</v>
      </c>
      <c r="AH547" s="93">
        <f t="shared" si="65"/>
        <v>0</v>
      </c>
      <c r="AI547" s="93">
        <f t="shared" si="65"/>
        <v>0</v>
      </c>
      <c r="AQ547" s="83" t="str">
        <f t="shared" si="66"/>
        <v>D3X</v>
      </c>
    </row>
    <row r="548" spans="1:43" x14ac:dyDescent="0.3">
      <c r="A548" s="93">
        <f t="shared" si="64"/>
        <v>0</v>
      </c>
      <c r="B548" s="94" t="s">
        <v>190</v>
      </c>
      <c r="C548" s="93">
        <f t="shared" si="65"/>
        <v>0</v>
      </c>
      <c r="D548" s="93">
        <f t="shared" si="65"/>
        <v>0</v>
      </c>
      <c r="E548" s="93">
        <f t="shared" si="65"/>
        <v>0</v>
      </c>
      <c r="F548" s="93">
        <f t="shared" si="65"/>
        <v>0</v>
      </c>
      <c r="G548" s="93">
        <f t="shared" si="65"/>
        <v>0</v>
      </c>
      <c r="H548" s="93">
        <f t="shared" si="65"/>
        <v>0</v>
      </c>
      <c r="I548" s="93">
        <f t="shared" si="65"/>
        <v>0</v>
      </c>
      <c r="J548" s="92">
        <f t="shared" si="65"/>
        <v>0</v>
      </c>
      <c r="K548" s="93">
        <f t="shared" si="65"/>
        <v>0</v>
      </c>
      <c r="L548" s="93">
        <f t="shared" si="65"/>
        <v>0</v>
      </c>
      <c r="M548" s="93">
        <f t="shared" si="65"/>
        <v>0</v>
      </c>
      <c r="N548" s="93">
        <f t="shared" si="65"/>
        <v>0</v>
      </c>
      <c r="O548" s="93">
        <f t="shared" si="65"/>
        <v>0</v>
      </c>
      <c r="P548" s="93">
        <f t="shared" si="65"/>
        <v>0</v>
      </c>
      <c r="Q548" s="93">
        <f t="shared" si="65"/>
        <v>0</v>
      </c>
      <c r="R548" s="93">
        <f t="shared" si="65"/>
        <v>0</v>
      </c>
      <c r="S548" s="93">
        <f t="shared" si="65"/>
        <v>0</v>
      </c>
      <c r="T548" s="93">
        <f t="shared" si="65"/>
        <v>0</v>
      </c>
      <c r="U548" s="93">
        <f t="shared" si="65"/>
        <v>0</v>
      </c>
      <c r="V548" s="93">
        <f t="shared" si="65"/>
        <v>0</v>
      </c>
      <c r="W548" s="93">
        <f t="shared" si="65"/>
        <v>0</v>
      </c>
      <c r="X548" s="93">
        <f t="shared" si="65"/>
        <v>0</v>
      </c>
      <c r="Y548" s="93">
        <f t="shared" si="65"/>
        <v>0</v>
      </c>
      <c r="Z548" s="93">
        <f t="shared" si="65"/>
        <v>0</v>
      </c>
      <c r="AA548" s="93">
        <f t="shared" ref="AA548:AI548" si="67">Z474</f>
        <v>0</v>
      </c>
      <c r="AB548" s="93">
        <f t="shared" si="67"/>
        <v>0</v>
      </c>
      <c r="AC548" s="93">
        <f t="shared" si="67"/>
        <v>0</v>
      </c>
      <c r="AD548" s="93">
        <f t="shared" si="67"/>
        <v>0</v>
      </c>
      <c r="AE548" s="93">
        <f t="shared" si="67"/>
        <v>0</v>
      </c>
      <c r="AF548" s="93">
        <f t="shared" si="67"/>
        <v>0</v>
      </c>
      <c r="AG548" s="93">
        <f t="shared" si="67"/>
        <v>0</v>
      </c>
      <c r="AH548" s="93">
        <f t="shared" si="67"/>
        <v>0</v>
      </c>
      <c r="AI548" s="93">
        <f t="shared" si="67"/>
        <v>0</v>
      </c>
      <c r="AQ548" s="83" t="str">
        <f t="shared" si="66"/>
        <v>D3Y</v>
      </c>
    </row>
    <row r="549" spans="1:43" x14ac:dyDescent="0.3">
      <c r="A549" s="93">
        <f t="shared" si="64"/>
        <v>0</v>
      </c>
      <c r="B549" s="94" t="s">
        <v>190</v>
      </c>
      <c r="C549" s="93">
        <f t="shared" ref="C549:AI556" si="68">B475</f>
        <v>0</v>
      </c>
      <c r="D549" s="93">
        <f t="shared" si="68"/>
        <v>0</v>
      </c>
      <c r="E549" s="93">
        <f t="shared" si="68"/>
        <v>0</v>
      </c>
      <c r="F549" s="93">
        <f t="shared" si="68"/>
        <v>0</v>
      </c>
      <c r="G549" s="93">
        <f t="shared" si="68"/>
        <v>0</v>
      </c>
      <c r="H549" s="93">
        <f t="shared" si="68"/>
        <v>0</v>
      </c>
      <c r="I549" s="93">
        <f t="shared" si="68"/>
        <v>0</v>
      </c>
      <c r="J549" s="93">
        <f t="shared" si="68"/>
        <v>0</v>
      </c>
      <c r="K549" s="92">
        <f t="shared" si="68"/>
        <v>0</v>
      </c>
      <c r="L549" s="93">
        <f t="shared" si="68"/>
        <v>0</v>
      </c>
      <c r="M549" s="93">
        <f t="shared" si="68"/>
        <v>0</v>
      </c>
      <c r="N549" s="93">
        <f t="shared" si="68"/>
        <v>0</v>
      </c>
      <c r="O549" s="93">
        <f t="shared" si="68"/>
        <v>0</v>
      </c>
      <c r="P549" s="93">
        <f t="shared" si="68"/>
        <v>0</v>
      </c>
      <c r="Q549" s="93">
        <f t="shared" si="68"/>
        <v>0</v>
      </c>
      <c r="R549" s="93">
        <f t="shared" si="68"/>
        <v>0</v>
      </c>
      <c r="S549" s="93">
        <f t="shared" si="68"/>
        <v>0</v>
      </c>
      <c r="T549" s="93">
        <f t="shared" si="68"/>
        <v>0</v>
      </c>
      <c r="U549" s="93">
        <f t="shared" si="68"/>
        <v>0</v>
      </c>
      <c r="V549" s="93">
        <f t="shared" si="68"/>
        <v>0</v>
      </c>
      <c r="W549" s="93">
        <f t="shared" si="68"/>
        <v>0</v>
      </c>
      <c r="X549" s="93">
        <f t="shared" si="68"/>
        <v>0</v>
      </c>
      <c r="Y549" s="93">
        <f t="shared" si="68"/>
        <v>0</v>
      </c>
      <c r="Z549" s="93">
        <f t="shared" si="68"/>
        <v>0</v>
      </c>
      <c r="AA549" s="93">
        <f t="shared" si="68"/>
        <v>0</v>
      </c>
      <c r="AB549" s="93">
        <f t="shared" si="68"/>
        <v>0</v>
      </c>
      <c r="AC549" s="93">
        <f t="shared" si="68"/>
        <v>0</v>
      </c>
      <c r="AD549" s="93">
        <f t="shared" si="68"/>
        <v>0</v>
      </c>
      <c r="AE549" s="93">
        <f t="shared" si="68"/>
        <v>0</v>
      </c>
      <c r="AF549" s="93">
        <f t="shared" si="68"/>
        <v>0</v>
      </c>
      <c r="AG549" s="93">
        <f t="shared" si="68"/>
        <v>0</v>
      </c>
      <c r="AH549" s="93">
        <f t="shared" si="68"/>
        <v>0</v>
      </c>
      <c r="AI549" s="93">
        <f t="shared" si="68"/>
        <v>0</v>
      </c>
      <c r="AQ549" s="83" t="str">
        <f t="shared" si="66"/>
        <v>D3θ</v>
      </c>
    </row>
    <row r="550" spans="1:43" x14ac:dyDescent="0.3">
      <c r="A550" s="93">
        <f t="shared" si="64"/>
        <v>0</v>
      </c>
      <c r="B550" s="94" t="s">
        <v>190</v>
      </c>
      <c r="C550" s="93">
        <f t="shared" si="68"/>
        <v>0</v>
      </c>
      <c r="D550" s="93">
        <f t="shared" si="68"/>
        <v>0</v>
      </c>
      <c r="E550" s="93">
        <f t="shared" si="68"/>
        <v>0</v>
      </c>
      <c r="F550" s="93">
        <f t="shared" si="68"/>
        <v>0</v>
      </c>
      <c r="G550" s="93">
        <f t="shared" si="68"/>
        <v>0</v>
      </c>
      <c r="H550" s="93">
        <f t="shared" si="68"/>
        <v>0</v>
      </c>
      <c r="I550" s="93">
        <f t="shared" si="68"/>
        <v>0</v>
      </c>
      <c r="J550" s="93">
        <f t="shared" si="68"/>
        <v>0</v>
      </c>
      <c r="K550" s="93">
        <f t="shared" si="68"/>
        <v>0</v>
      </c>
      <c r="L550" s="92">
        <f t="shared" si="68"/>
        <v>0</v>
      </c>
      <c r="M550" s="93">
        <f t="shared" si="68"/>
        <v>0</v>
      </c>
      <c r="N550" s="93">
        <f t="shared" si="68"/>
        <v>0</v>
      </c>
      <c r="O550" s="93">
        <f t="shared" si="68"/>
        <v>0</v>
      </c>
      <c r="P550" s="93">
        <f t="shared" si="68"/>
        <v>0</v>
      </c>
      <c r="Q550" s="93">
        <f t="shared" si="68"/>
        <v>0</v>
      </c>
      <c r="R550" s="93">
        <f t="shared" si="68"/>
        <v>0</v>
      </c>
      <c r="S550" s="93">
        <f t="shared" si="68"/>
        <v>0</v>
      </c>
      <c r="T550" s="93">
        <f t="shared" si="68"/>
        <v>0</v>
      </c>
      <c r="U550" s="93">
        <f t="shared" si="68"/>
        <v>0</v>
      </c>
      <c r="V550" s="93">
        <f t="shared" si="68"/>
        <v>0</v>
      </c>
      <c r="W550" s="93">
        <f t="shared" si="68"/>
        <v>0</v>
      </c>
      <c r="X550" s="93">
        <f t="shared" si="68"/>
        <v>0</v>
      </c>
      <c r="Y550" s="93">
        <f t="shared" si="68"/>
        <v>0</v>
      </c>
      <c r="Z550" s="93">
        <f t="shared" si="68"/>
        <v>0</v>
      </c>
      <c r="AA550" s="93">
        <f t="shared" si="68"/>
        <v>0</v>
      </c>
      <c r="AB550" s="93">
        <f t="shared" si="68"/>
        <v>0</v>
      </c>
      <c r="AC550" s="93">
        <f t="shared" si="68"/>
        <v>0</v>
      </c>
      <c r="AD550" s="93">
        <f t="shared" si="68"/>
        <v>0</v>
      </c>
      <c r="AE550" s="93">
        <f t="shared" si="68"/>
        <v>0</v>
      </c>
      <c r="AF550" s="93">
        <f t="shared" si="68"/>
        <v>0</v>
      </c>
      <c r="AG550" s="93">
        <f t="shared" si="68"/>
        <v>0</v>
      </c>
      <c r="AH550" s="93">
        <f t="shared" si="68"/>
        <v>0</v>
      </c>
      <c r="AI550" s="93">
        <f t="shared" si="68"/>
        <v>0</v>
      </c>
      <c r="AQ550" s="83" t="str">
        <f t="shared" si="66"/>
        <v>D4X</v>
      </c>
    </row>
    <row r="551" spans="1:43" x14ac:dyDescent="0.3">
      <c r="A551" s="93">
        <f t="shared" si="64"/>
        <v>0</v>
      </c>
      <c r="B551" s="94" t="s">
        <v>190</v>
      </c>
      <c r="C551" s="93">
        <f t="shared" si="68"/>
        <v>0</v>
      </c>
      <c r="D551" s="93">
        <f t="shared" si="68"/>
        <v>0</v>
      </c>
      <c r="E551" s="93">
        <f t="shared" si="68"/>
        <v>0</v>
      </c>
      <c r="F551" s="93">
        <f t="shared" si="68"/>
        <v>0</v>
      </c>
      <c r="G551" s="93">
        <f t="shared" si="68"/>
        <v>0</v>
      </c>
      <c r="H551" s="93">
        <f t="shared" si="68"/>
        <v>0</v>
      </c>
      <c r="I551" s="93">
        <f t="shared" si="68"/>
        <v>0</v>
      </c>
      <c r="J551" s="93">
        <f t="shared" si="68"/>
        <v>0</v>
      </c>
      <c r="K551" s="93">
        <f t="shared" si="68"/>
        <v>0</v>
      </c>
      <c r="L551" s="93">
        <f t="shared" si="68"/>
        <v>0</v>
      </c>
      <c r="M551" s="92">
        <f t="shared" si="68"/>
        <v>0</v>
      </c>
      <c r="N551" s="93">
        <f t="shared" si="68"/>
        <v>0</v>
      </c>
      <c r="O551" s="93">
        <f t="shared" si="68"/>
        <v>0</v>
      </c>
      <c r="P551" s="93">
        <f t="shared" si="68"/>
        <v>0</v>
      </c>
      <c r="Q551" s="93">
        <f t="shared" si="68"/>
        <v>0</v>
      </c>
      <c r="R551" s="93">
        <f t="shared" si="68"/>
        <v>0</v>
      </c>
      <c r="S551" s="93">
        <f t="shared" si="68"/>
        <v>0</v>
      </c>
      <c r="T551" s="93">
        <f t="shared" si="68"/>
        <v>0</v>
      </c>
      <c r="U551" s="93">
        <f t="shared" si="68"/>
        <v>0</v>
      </c>
      <c r="V551" s="93">
        <f t="shared" si="68"/>
        <v>0</v>
      </c>
      <c r="W551" s="93">
        <f t="shared" si="68"/>
        <v>0</v>
      </c>
      <c r="X551" s="93">
        <f t="shared" si="68"/>
        <v>0</v>
      </c>
      <c r="Y551" s="93">
        <f t="shared" si="68"/>
        <v>0</v>
      </c>
      <c r="Z551" s="93">
        <f t="shared" si="68"/>
        <v>0</v>
      </c>
      <c r="AA551" s="93">
        <f t="shared" si="68"/>
        <v>0</v>
      </c>
      <c r="AB551" s="93">
        <f t="shared" si="68"/>
        <v>0</v>
      </c>
      <c r="AC551" s="93">
        <f t="shared" si="68"/>
        <v>0</v>
      </c>
      <c r="AD551" s="93">
        <f t="shared" si="68"/>
        <v>0</v>
      </c>
      <c r="AE551" s="93">
        <f t="shared" si="68"/>
        <v>0</v>
      </c>
      <c r="AF551" s="93">
        <f t="shared" si="68"/>
        <v>0</v>
      </c>
      <c r="AG551" s="93">
        <f t="shared" si="68"/>
        <v>0</v>
      </c>
      <c r="AH551" s="93">
        <f t="shared" si="68"/>
        <v>0</v>
      </c>
      <c r="AI551" s="93">
        <f t="shared" si="68"/>
        <v>0</v>
      </c>
      <c r="AQ551" s="83" t="str">
        <f t="shared" si="66"/>
        <v>D4Y</v>
      </c>
    </row>
    <row r="552" spans="1:43" x14ac:dyDescent="0.3">
      <c r="A552" s="93">
        <f t="shared" si="64"/>
        <v>0</v>
      </c>
      <c r="B552" s="94" t="s">
        <v>190</v>
      </c>
      <c r="C552" s="93">
        <f t="shared" si="68"/>
        <v>0</v>
      </c>
      <c r="D552" s="93">
        <f t="shared" si="68"/>
        <v>0</v>
      </c>
      <c r="E552" s="93">
        <f t="shared" si="68"/>
        <v>0</v>
      </c>
      <c r="F552" s="93">
        <f t="shared" si="68"/>
        <v>0</v>
      </c>
      <c r="G552" s="93">
        <f t="shared" si="68"/>
        <v>0</v>
      </c>
      <c r="H552" s="93">
        <f t="shared" si="68"/>
        <v>0</v>
      </c>
      <c r="I552" s="93">
        <f t="shared" si="68"/>
        <v>0</v>
      </c>
      <c r="J552" s="93">
        <f t="shared" si="68"/>
        <v>0</v>
      </c>
      <c r="K552" s="93">
        <f t="shared" si="68"/>
        <v>0</v>
      </c>
      <c r="L552" s="93">
        <f t="shared" si="68"/>
        <v>0</v>
      </c>
      <c r="M552" s="93">
        <f t="shared" si="68"/>
        <v>0</v>
      </c>
      <c r="N552" s="92">
        <f t="shared" si="68"/>
        <v>0</v>
      </c>
      <c r="O552" s="93">
        <f t="shared" si="68"/>
        <v>0</v>
      </c>
      <c r="P552" s="93">
        <f t="shared" si="68"/>
        <v>0</v>
      </c>
      <c r="Q552" s="93">
        <f t="shared" si="68"/>
        <v>0</v>
      </c>
      <c r="R552" s="93">
        <f t="shared" si="68"/>
        <v>0</v>
      </c>
      <c r="S552" s="93">
        <f t="shared" si="68"/>
        <v>0</v>
      </c>
      <c r="T552" s="93">
        <f t="shared" si="68"/>
        <v>0</v>
      </c>
      <c r="U552" s="93">
        <f t="shared" si="68"/>
        <v>0</v>
      </c>
      <c r="V552" s="93">
        <f t="shared" si="68"/>
        <v>0</v>
      </c>
      <c r="W552" s="93">
        <f t="shared" si="68"/>
        <v>0</v>
      </c>
      <c r="X552" s="93">
        <f t="shared" si="68"/>
        <v>0</v>
      </c>
      <c r="Y552" s="93">
        <f t="shared" si="68"/>
        <v>0</v>
      </c>
      <c r="Z552" s="93">
        <f t="shared" si="68"/>
        <v>0</v>
      </c>
      <c r="AA552" s="93">
        <f t="shared" si="68"/>
        <v>0</v>
      </c>
      <c r="AB552" s="93">
        <f t="shared" si="68"/>
        <v>0</v>
      </c>
      <c r="AC552" s="93">
        <f t="shared" si="68"/>
        <v>0</v>
      </c>
      <c r="AD552" s="93">
        <f t="shared" si="68"/>
        <v>0</v>
      </c>
      <c r="AE552" s="93">
        <f t="shared" si="68"/>
        <v>0</v>
      </c>
      <c r="AF552" s="93">
        <f t="shared" si="68"/>
        <v>0</v>
      </c>
      <c r="AG552" s="93">
        <f t="shared" si="68"/>
        <v>0</v>
      </c>
      <c r="AH552" s="93">
        <f t="shared" si="68"/>
        <v>0</v>
      </c>
      <c r="AI552" s="93">
        <f t="shared" si="68"/>
        <v>0</v>
      </c>
      <c r="AQ552" s="83" t="str">
        <f t="shared" si="66"/>
        <v>D4θ</v>
      </c>
    </row>
    <row r="553" spans="1:43" x14ac:dyDescent="0.3">
      <c r="A553" s="93">
        <f t="shared" si="64"/>
        <v>0</v>
      </c>
      <c r="B553" s="94" t="s">
        <v>190</v>
      </c>
      <c r="C553" s="93">
        <f t="shared" si="68"/>
        <v>0</v>
      </c>
      <c r="D553" s="93">
        <f t="shared" si="68"/>
        <v>0</v>
      </c>
      <c r="E553" s="93">
        <f t="shared" si="68"/>
        <v>0</v>
      </c>
      <c r="F553" s="93">
        <f t="shared" si="68"/>
        <v>0</v>
      </c>
      <c r="G553" s="93">
        <f t="shared" si="68"/>
        <v>0</v>
      </c>
      <c r="H553" s="93">
        <f t="shared" si="68"/>
        <v>0</v>
      </c>
      <c r="I553" s="93">
        <f t="shared" si="68"/>
        <v>0</v>
      </c>
      <c r="J553" s="93">
        <f t="shared" si="68"/>
        <v>0</v>
      </c>
      <c r="K553" s="93">
        <f t="shared" si="68"/>
        <v>0</v>
      </c>
      <c r="L553" s="93">
        <f t="shared" si="68"/>
        <v>0</v>
      </c>
      <c r="M553" s="93">
        <f t="shared" si="68"/>
        <v>0</v>
      </c>
      <c r="N553" s="93">
        <f t="shared" si="68"/>
        <v>0</v>
      </c>
      <c r="O553" s="92">
        <f t="shared" si="68"/>
        <v>0</v>
      </c>
      <c r="P553" s="93">
        <f t="shared" si="68"/>
        <v>0</v>
      </c>
      <c r="Q553" s="93">
        <f t="shared" si="68"/>
        <v>0</v>
      </c>
      <c r="R553" s="93">
        <f t="shared" si="68"/>
        <v>0</v>
      </c>
      <c r="S553" s="93">
        <f t="shared" si="68"/>
        <v>0</v>
      </c>
      <c r="T553" s="93">
        <f t="shared" si="68"/>
        <v>0</v>
      </c>
      <c r="U553" s="93">
        <f t="shared" si="68"/>
        <v>0</v>
      </c>
      <c r="V553" s="93">
        <f t="shared" si="68"/>
        <v>0</v>
      </c>
      <c r="W553" s="93">
        <f t="shared" si="68"/>
        <v>0</v>
      </c>
      <c r="X553" s="93">
        <f t="shared" si="68"/>
        <v>0</v>
      </c>
      <c r="Y553" s="93">
        <f t="shared" si="68"/>
        <v>0</v>
      </c>
      <c r="Z553" s="93">
        <f t="shared" si="68"/>
        <v>0</v>
      </c>
      <c r="AA553" s="93">
        <f t="shared" si="68"/>
        <v>0</v>
      </c>
      <c r="AB553" s="93">
        <f t="shared" si="68"/>
        <v>0</v>
      </c>
      <c r="AC553" s="93">
        <f t="shared" si="68"/>
        <v>0</v>
      </c>
      <c r="AD553" s="93">
        <f t="shared" si="68"/>
        <v>0</v>
      </c>
      <c r="AE553" s="93">
        <f t="shared" si="68"/>
        <v>0</v>
      </c>
      <c r="AF553" s="93">
        <f t="shared" si="68"/>
        <v>0</v>
      </c>
      <c r="AG553" s="93">
        <f t="shared" si="68"/>
        <v>0</v>
      </c>
      <c r="AH553" s="93">
        <f t="shared" si="68"/>
        <v>0</v>
      </c>
      <c r="AI553" s="93">
        <f t="shared" si="68"/>
        <v>0</v>
      </c>
      <c r="AQ553" s="83" t="str">
        <f t="shared" si="66"/>
        <v>D5X</v>
      </c>
    </row>
    <row r="554" spans="1:43" x14ac:dyDescent="0.3">
      <c r="A554" s="93">
        <f t="shared" si="64"/>
        <v>0</v>
      </c>
      <c r="B554" s="94" t="s">
        <v>190</v>
      </c>
      <c r="C554" s="93">
        <f t="shared" si="68"/>
        <v>0</v>
      </c>
      <c r="D554" s="93">
        <f t="shared" si="68"/>
        <v>0</v>
      </c>
      <c r="E554" s="93">
        <f t="shared" si="68"/>
        <v>0</v>
      </c>
      <c r="F554" s="93">
        <f t="shared" si="68"/>
        <v>0</v>
      </c>
      <c r="G554" s="93">
        <f t="shared" si="68"/>
        <v>0</v>
      </c>
      <c r="H554" s="93">
        <f t="shared" si="68"/>
        <v>0</v>
      </c>
      <c r="I554" s="93">
        <f t="shared" si="68"/>
        <v>0</v>
      </c>
      <c r="J554" s="93">
        <f t="shared" si="68"/>
        <v>0</v>
      </c>
      <c r="K554" s="93">
        <f t="shared" si="68"/>
        <v>0</v>
      </c>
      <c r="L554" s="93">
        <f t="shared" si="68"/>
        <v>0</v>
      </c>
      <c r="M554" s="93">
        <f t="shared" si="68"/>
        <v>0</v>
      </c>
      <c r="N554" s="93">
        <f t="shared" si="68"/>
        <v>0</v>
      </c>
      <c r="O554" s="93">
        <f t="shared" si="68"/>
        <v>0</v>
      </c>
      <c r="P554" s="92">
        <f t="shared" si="68"/>
        <v>0</v>
      </c>
      <c r="Q554" s="93">
        <f t="shared" si="68"/>
        <v>0</v>
      </c>
      <c r="R554" s="93">
        <f t="shared" si="68"/>
        <v>0</v>
      </c>
      <c r="S554" s="93">
        <f t="shared" si="68"/>
        <v>0</v>
      </c>
      <c r="T554" s="93">
        <f t="shared" si="68"/>
        <v>0</v>
      </c>
      <c r="U554" s="93">
        <f t="shared" si="68"/>
        <v>0</v>
      </c>
      <c r="V554" s="93">
        <f t="shared" si="68"/>
        <v>0</v>
      </c>
      <c r="W554" s="93">
        <f t="shared" si="68"/>
        <v>0</v>
      </c>
      <c r="X554" s="93">
        <f t="shared" si="68"/>
        <v>0</v>
      </c>
      <c r="Y554" s="93">
        <f t="shared" si="68"/>
        <v>0</v>
      </c>
      <c r="Z554" s="93">
        <f t="shared" si="68"/>
        <v>0</v>
      </c>
      <c r="AA554" s="93">
        <f t="shared" si="68"/>
        <v>0</v>
      </c>
      <c r="AB554" s="93">
        <f t="shared" si="68"/>
        <v>0</v>
      </c>
      <c r="AC554" s="93">
        <f t="shared" si="68"/>
        <v>0</v>
      </c>
      <c r="AD554" s="93">
        <f t="shared" si="68"/>
        <v>0</v>
      </c>
      <c r="AE554" s="93">
        <f t="shared" si="68"/>
        <v>0</v>
      </c>
      <c r="AF554" s="93">
        <f t="shared" si="68"/>
        <v>0</v>
      </c>
      <c r="AG554" s="93">
        <f t="shared" si="68"/>
        <v>0</v>
      </c>
      <c r="AH554" s="93">
        <f t="shared" si="68"/>
        <v>0</v>
      </c>
      <c r="AI554" s="93">
        <f t="shared" si="68"/>
        <v>0</v>
      </c>
      <c r="AQ554" s="83" t="str">
        <f t="shared" si="66"/>
        <v>D5Y</v>
      </c>
    </row>
    <row r="555" spans="1:43" x14ac:dyDescent="0.3">
      <c r="A555" s="93">
        <f t="shared" si="64"/>
        <v>0</v>
      </c>
      <c r="B555" s="94" t="s">
        <v>190</v>
      </c>
      <c r="C555" s="93">
        <f t="shared" si="68"/>
        <v>0</v>
      </c>
      <c r="D555" s="93">
        <f t="shared" si="68"/>
        <v>0</v>
      </c>
      <c r="E555" s="93">
        <f t="shared" si="68"/>
        <v>0</v>
      </c>
      <c r="F555" s="93">
        <f t="shared" si="68"/>
        <v>0</v>
      </c>
      <c r="G555" s="93">
        <f t="shared" si="68"/>
        <v>0</v>
      </c>
      <c r="H555" s="93">
        <f t="shared" si="68"/>
        <v>0</v>
      </c>
      <c r="I555" s="93">
        <f t="shared" si="68"/>
        <v>0</v>
      </c>
      <c r="J555" s="93">
        <f t="shared" si="68"/>
        <v>0</v>
      </c>
      <c r="K555" s="93">
        <f t="shared" si="68"/>
        <v>0</v>
      </c>
      <c r="L555" s="93">
        <f t="shared" si="68"/>
        <v>0</v>
      </c>
      <c r="M555" s="93">
        <f t="shared" si="68"/>
        <v>0</v>
      </c>
      <c r="N555" s="93">
        <f t="shared" si="68"/>
        <v>0</v>
      </c>
      <c r="O555" s="93">
        <f t="shared" si="68"/>
        <v>0</v>
      </c>
      <c r="P555" s="93">
        <f t="shared" si="68"/>
        <v>0</v>
      </c>
      <c r="Q555" s="92">
        <f t="shared" si="68"/>
        <v>0</v>
      </c>
      <c r="R555" s="93">
        <f t="shared" si="68"/>
        <v>0</v>
      </c>
      <c r="S555" s="93">
        <f t="shared" si="68"/>
        <v>0</v>
      </c>
      <c r="T555" s="93">
        <f t="shared" si="68"/>
        <v>0</v>
      </c>
      <c r="U555" s="93">
        <f t="shared" si="68"/>
        <v>0</v>
      </c>
      <c r="V555" s="93">
        <f t="shared" si="68"/>
        <v>0</v>
      </c>
      <c r="W555" s="93">
        <f t="shared" si="68"/>
        <v>0</v>
      </c>
      <c r="X555" s="93">
        <f t="shared" si="68"/>
        <v>0</v>
      </c>
      <c r="Y555" s="93">
        <f t="shared" si="68"/>
        <v>0</v>
      </c>
      <c r="Z555" s="93">
        <f t="shared" si="68"/>
        <v>0</v>
      </c>
      <c r="AA555" s="93">
        <f t="shared" si="68"/>
        <v>0</v>
      </c>
      <c r="AB555" s="93">
        <f t="shared" si="68"/>
        <v>0</v>
      </c>
      <c r="AC555" s="93">
        <f t="shared" si="68"/>
        <v>0</v>
      </c>
      <c r="AD555" s="93">
        <f t="shared" si="68"/>
        <v>0</v>
      </c>
      <c r="AE555" s="93">
        <f t="shared" si="68"/>
        <v>0</v>
      </c>
      <c r="AF555" s="93">
        <f t="shared" si="68"/>
        <v>0</v>
      </c>
      <c r="AG555" s="93">
        <f t="shared" si="68"/>
        <v>0</v>
      </c>
      <c r="AH555" s="93">
        <f t="shared" si="68"/>
        <v>0</v>
      </c>
      <c r="AI555" s="93">
        <f t="shared" si="68"/>
        <v>0</v>
      </c>
      <c r="AQ555" s="83" t="str">
        <f t="shared" si="66"/>
        <v>D5θ</v>
      </c>
    </row>
    <row r="556" spans="1:43" x14ac:dyDescent="0.3">
      <c r="A556" s="93">
        <f t="shared" si="64"/>
        <v>0</v>
      </c>
      <c r="B556" s="94" t="s">
        <v>190</v>
      </c>
      <c r="C556" s="93">
        <f t="shared" si="68"/>
        <v>0</v>
      </c>
      <c r="D556" s="93">
        <f t="shared" si="68"/>
        <v>0</v>
      </c>
      <c r="E556" s="93">
        <f t="shared" si="68"/>
        <v>0</v>
      </c>
      <c r="F556" s="93">
        <f t="shared" si="68"/>
        <v>0</v>
      </c>
      <c r="G556" s="93">
        <f t="shared" si="68"/>
        <v>0</v>
      </c>
      <c r="H556" s="93">
        <f t="shared" si="68"/>
        <v>0</v>
      </c>
      <c r="I556" s="93">
        <f t="shared" si="68"/>
        <v>0</v>
      </c>
      <c r="J556" s="93">
        <f t="shared" si="68"/>
        <v>0</v>
      </c>
      <c r="K556" s="93">
        <f t="shared" si="68"/>
        <v>0</v>
      </c>
      <c r="L556" s="93">
        <f t="shared" si="68"/>
        <v>0</v>
      </c>
      <c r="M556" s="93">
        <f t="shared" si="68"/>
        <v>0</v>
      </c>
      <c r="N556" s="93">
        <f t="shared" si="68"/>
        <v>0</v>
      </c>
      <c r="O556" s="93">
        <f t="shared" si="68"/>
        <v>0</v>
      </c>
      <c r="P556" s="93">
        <f t="shared" si="68"/>
        <v>0</v>
      </c>
      <c r="Q556" s="93">
        <f t="shared" si="68"/>
        <v>0</v>
      </c>
      <c r="R556" s="92">
        <f t="shared" si="68"/>
        <v>0</v>
      </c>
      <c r="S556" s="93">
        <f t="shared" si="68"/>
        <v>0</v>
      </c>
      <c r="T556" s="93">
        <f t="shared" si="68"/>
        <v>0</v>
      </c>
      <c r="U556" s="93">
        <f t="shared" si="68"/>
        <v>0</v>
      </c>
      <c r="V556" s="93">
        <f t="shared" si="68"/>
        <v>0</v>
      </c>
      <c r="W556" s="93">
        <f t="shared" si="68"/>
        <v>0</v>
      </c>
      <c r="X556" s="93">
        <f t="shared" si="68"/>
        <v>0</v>
      </c>
      <c r="Y556" s="93">
        <f t="shared" si="68"/>
        <v>0</v>
      </c>
      <c r="Z556" s="93">
        <f t="shared" si="68"/>
        <v>0</v>
      </c>
      <c r="AA556" s="93">
        <f t="shared" ref="AA556:AI556" si="69">Z482</f>
        <v>0</v>
      </c>
      <c r="AB556" s="93">
        <f t="shared" si="69"/>
        <v>0</v>
      </c>
      <c r="AC556" s="93">
        <f t="shared" si="69"/>
        <v>0</v>
      </c>
      <c r="AD556" s="93">
        <f t="shared" si="69"/>
        <v>0</v>
      </c>
      <c r="AE556" s="93">
        <f t="shared" si="69"/>
        <v>0</v>
      </c>
      <c r="AF556" s="93">
        <f t="shared" si="69"/>
        <v>0</v>
      </c>
      <c r="AG556" s="93">
        <f t="shared" si="69"/>
        <v>0</v>
      </c>
      <c r="AH556" s="93">
        <f t="shared" si="69"/>
        <v>0</v>
      </c>
      <c r="AI556" s="93">
        <f t="shared" si="69"/>
        <v>0</v>
      </c>
      <c r="AQ556" s="83" t="str">
        <f t="shared" si="66"/>
        <v>D6X</v>
      </c>
    </row>
    <row r="557" spans="1:43" x14ac:dyDescent="0.3">
      <c r="A557" s="93">
        <f t="shared" si="64"/>
        <v>0</v>
      </c>
      <c r="B557" s="94" t="s">
        <v>190</v>
      </c>
      <c r="C557" s="93">
        <f t="shared" ref="C557:AI564" si="70">B483</f>
        <v>0</v>
      </c>
      <c r="D557" s="93">
        <f t="shared" si="70"/>
        <v>0</v>
      </c>
      <c r="E557" s="93">
        <f t="shared" si="70"/>
        <v>0</v>
      </c>
      <c r="F557" s="93">
        <f t="shared" si="70"/>
        <v>0</v>
      </c>
      <c r="G557" s="93">
        <f t="shared" si="70"/>
        <v>0</v>
      </c>
      <c r="H557" s="93">
        <f t="shared" si="70"/>
        <v>0</v>
      </c>
      <c r="I557" s="93">
        <f t="shared" si="70"/>
        <v>0</v>
      </c>
      <c r="J557" s="93">
        <f t="shared" si="70"/>
        <v>0</v>
      </c>
      <c r="K557" s="93">
        <f t="shared" si="70"/>
        <v>0</v>
      </c>
      <c r="L557" s="93">
        <f t="shared" si="70"/>
        <v>0</v>
      </c>
      <c r="M557" s="93">
        <f t="shared" si="70"/>
        <v>0</v>
      </c>
      <c r="N557" s="93">
        <f t="shared" si="70"/>
        <v>0</v>
      </c>
      <c r="O557" s="93">
        <f t="shared" si="70"/>
        <v>0</v>
      </c>
      <c r="P557" s="93">
        <f t="shared" si="70"/>
        <v>0</v>
      </c>
      <c r="Q557" s="93">
        <f t="shared" si="70"/>
        <v>0</v>
      </c>
      <c r="R557" s="93">
        <f t="shared" si="70"/>
        <v>0</v>
      </c>
      <c r="S557" s="92">
        <f t="shared" si="70"/>
        <v>0</v>
      </c>
      <c r="T557" s="93">
        <f t="shared" si="70"/>
        <v>0</v>
      </c>
      <c r="U557" s="93">
        <f t="shared" si="70"/>
        <v>0</v>
      </c>
      <c r="V557" s="93">
        <f t="shared" si="70"/>
        <v>0</v>
      </c>
      <c r="W557" s="93">
        <f t="shared" si="70"/>
        <v>0</v>
      </c>
      <c r="X557" s="93">
        <f t="shared" si="70"/>
        <v>0</v>
      </c>
      <c r="Y557" s="93">
        <f t="shared" si="70"/>
        <v>0</v>
      </c>
      <c r="Z557" s="93">
        <f t="shared" si="70"/>
        <v>0</v>
      </c>
      <c r="AA557" s="93">
        <f t="shared" si="70"/>
        <v>0</v>
      </c>
      <c r="AB557" s="93">
        <f t="shared" si="70"/>
        <v>0</v>
      </c>
      <c r="AC557" s="93">
        <f t="shared" si="70"/>
        <v>0</v>
      </c>
      <c r="AD557" s="93">
        <f t="shared" si="70"/>
        <v>0</v>
      </c>
      <c r="AE557" s="93">
        <f t="shared" si="70"/>
        <v>0</v>
      </c>
      <c r="AF557" s="93">
        <f t="shared" si="70"/>
        <v>0</v>
      </c>
      <c r="AG557" s="93">
        <f t="shared" si="70"/>
        <v>0</v>
      </c>
      <c r="AH557" s="93">
        <f t="shared" si="70"/>
        <v>0</v>
      </c>
      <c r="AI557" s="93">
        <f t="shared" si="70"/>
        <v>0</v>
      </c>
      <c r="AQ557" s="83" t="str">
        <f t="shared" si="66"/>
        <v>D6Y</v>
      </c>
    </row>
    <row r="558" spans="1:43" x14ac:dyDescent="0.3">
      <c r="A558" s="93">
        <f t="shared" si="64"/>
        <v>0</v>
      </c>
      <c r="B558" s="94" t="s">
        <v>190</v>
      </c>
      <c r="C558" s="93">
        <f t="shared" si="70"/>
        <v>0</v>
      </c>
      <c r="D558" s="93">
        <f t="shared" si="70"/>
        <v>0</v>
      </c>
      <c r="E558" s="93">
        <f t="shared" si="70"/>
        <v>0</v>
      </c>
      <c r="F558" s="93">
        <f t="shared" si="70"/>
        <v>0</v>
      </c>
      <c r="G558" s="93">
        <f t="shared" si="70"/>
        <v>0</v>
      </c>
      <c r="H558" s="93">
        <f t="shared" si="70"/>
        <v>0</v>
      </c>
      <c r="I558" s="93">
        <f t="shared" si="70"/>
        <v>0</v>
      </c>
      <c r="J558" s="93">
        <f t="shared" si="70"/>
        <v>0</v>
      </c>
      <c r="K558" s="93">
        <f t="shared" si="70"/>
        <v>0</v>
      </c>
      <c r="L558" s="93">
        <f t="shared" si="70"/>
        <v>0</v>
      </c>
      <c r="M558" s="93">
        <f t="shared" si="70"/>
        <v>0</v>
      </c>
      <c r="N558" s="93">
        <f t="shared" si="70"/>
        <v>0</v>
      </c>
      <c r="O558" s="93">
        <f t="shared" si="70"/>
        <v>0</v>
      </c>
      <c r="P558" s="93">
        <f t="shared" si="70"/>
        <v>0</v>
      </c>
      <c r="Q558" s="93">
        <f t="shared" si="70"/>
        <v>0</v>
      </c>
      <c r="R558" s="93">
        <f t="shared" si="70"/>
        <v>0</v>
      </c>
      <c r="S558" s="93">
        <f t="shared" si="70"/>
        <v>0</v>
      </c>
      <c r="T558" s="92">
        <f t="shared" si="70"/>
        <v>0</v>
      </c>
      <c r="U558" s="93">
        <f t="shared" si="70"/>
        <v>0</v>
      </c>
      <c r="V558" s="93">
        <f t="shared" si="70"/>
        <v>0</v>
      </c>
      <c r="W558" s="93">
        <f t="shared" si="70"/>
        <v>0</v>
      </c>
      <c r="X558" s="93">
        <f t="shared" si="70"/>
        <v>0</v>
      </c>
      <c r="Y558" s="93">
        <f t="shared" si="70"/>
        <v>0</v>
      </c>
      <c r="Z558" s="93">
        <f t="shared" si="70"/>
        <v>0</v>
      </c>
      <c r="AA558" s="93">
        <f t="shared" si="70"/>
        <v>0</v>
      </c>
      <c r="AB558" s="93">
        <f t="shared" si="70"/>
        <v>0</v>
      </c>
      <c r="AC558" s="93">
        <f t="shared" si="70"/>
        <v>0</v>
      </c>
      <c r="AD558" s="93">
        <f t="shared" si="70"/>
        <v>0</v>
      </c>
      <c r="AE558" s="93">
        <f t="shared" si="70"/>
        <v>0</v>
      </c>
      <c r="AF558" s="93">
        <f t="shared" si="70"/>
        <v>0</v>
      </c>
      <c r="AG558" s="93">
        <f t="shared" si="70"/>
        <v>0</v>
      </c>
      <c r="AH558" s="93">
        <f t="shared" si="70"/>
        <v>0</v>
      </c>
      <c r="AI558" s="93">
        <f t="shared" si="70"/>
        <v>0</v>
      </c>
      <c r="AQ558" s="83" t="str">
        <f t="shared" si="66"/>
        <v>D6θ</v>
      </c>
    </row>
    <row r="559" spans="1:43" x14ac:dyDescent="0.3">
      <c r="A559" s="93">
        <f t="shared" si="64"/>
        <v>0</v>
      </c>
      <c r="B559" s="94" t="s">
        <v>190</v>
      </c>
      <c r="C559" s="93">
        <f t="shared" si="70"/>
        <v>0</v>
      </c>
      <c r="D559" s="93">
        <f t="shared" si="70"/>
        <v>0</v>
      </c>
      <c r="E559" s="93">
        <f t="shared" si="70"/>
        <v>0</v>
      </c>
      <c r="F559" s="93">
        <f t="shared" si="70"/>
        <v>0</v>
      </c>
      <c r="G559" s="93">
        <f t="shared" si="70"/>
        <v>0</v>
      </c>
      <c r="H559" s="93">
        <f t="shared" si="70"/>
        <v>0</v>
      </c>
      <c r="I559" s="93">
        <f t="shared" si="70"/>
        <v>0</v>
      </c>
      <c r="J559" s="93">
        <f t="shared" si="70"/>
        <v>0</v>
      </c>
      <c r="K559" s="93">
        <f t="shared" si="70"/>
        <v>0</v>
      </c>
      <c r="L559" s="93">
        <f t="shared" si="70"/>
        <v>0</v>
      </c>
      <c r="M559" s="93">
        <f t="shared" si="70"/>
        <v>0</v>
      </c>
      <c r="N559" s="93">
        <f t="shared" si="70"/>
        <v>0</v>
      </c>
      <c r="O559" s="93">
        <f t="shared" si="70"/>
        <v>0</v>
      </c>
      <c r="P559" s="93">
        <f t="shared" si="70"/>
        <v>0</v>
      </c>
      <c r="Q559" s="93">
        <f t="shared" si="70"/>
        <v>0</v>
      </c>
      <c r="R559" s="93">
        <f t="shared" si="70"/>
        <v>0</v>
      </c>
      <c r="S559" s="93">
        <f t="shared" si="70"/>
        <v>0</v>
      </c>
      <c r="T559" s="93">
        <f t="shared" si="70"/>
        <v>0</v>
      </c>
      <c r="U559" s="92">
        <f t="shared" si="70"/>
        <v>0</v>
      </c>
      <c r="V559" s="93">
        <f t="shared" si="70"/>
        <v>0</v>
      </c>
      <c r="W559" s="93">
        <f t="shared" si="70"/>
        <v>0</v>
      </c>
      <c r="X559" s="93">
        <f t="shared" si="70"/>
        <v>0</v>
      </c>
      <c r="Y559" s="93">
        <f t="shared" si="70"/>
        <v>0</v>
      </c>
      <c r="Z559" s="93">
        <f t="shared" si="70"/>
        <v>0</v>
      </c>
      <c r="AA559" s="93">
        <f t="shared" si="70"/>
        <v>0</v>
      </c>
      <c r="AB559" s="93">
        <f t="shared" si="70"/>
        <v>0</v>
      </c>
      <c r="AC559" s="93">
        <f t="shared" si="70"/>
        <v>0</v>
      </c>
      <c r="AD559" s="93">
        <f t="shared" si="70"/>
        <v>0</v>
      </c>
      <c r="AE559" s="93">
        <f t="shared" si="70"/>
        <v>0</v>
      </c>
      <c r="AF559" s="93">
        <f t="shared" si="70"/>
        <v>0</v>
      </c>
      <c r="AG559" s="93">
        <f t="shared" si="70"/>
        <v>0</v>
      </c>
      <c r="AH559" s="93">
        <f t="shared" si="70"/>
        <v>0</v>
      </c>
      <c r="AI559" s="93">
        <f t="shared" si="70"/>
        <v>0</v>
      </c>
      <c r="AQ559" s="83" t="str">
        <f t="shared" si="66"/>
        <v>D7X</v>
      </c>
    </row>
    <row r="560" spans="1:43" x14ac:dyDescent="0.3">
      <c r="A560" s="93">
        <f t="shared" si="64"/>
        <v>0</v>
      </c>
      <c r="B560" s="94" t="s">
        <v>190</v>
      </c>
      <c r="C560" s="93">
        <f t="shared" si="70"/>
        <v>0</v>
      </c>
      <c r="D560" s="93">
        <f t="shared" si="70"/>
        <v>0</v>
      </c>
      <c r="E560" s="93">
        <f t="shared" si="70"/>
        <v>0</v>
      </c>
      <c r="F560" s="93">
        <f t="shared" si="70"/>
        <v>0</v>
      </c>
      <c r="G560" s="93">
        <f t="shared" si="70"/>
        <v>0</v>
      </c>
      <c r="H560" s="93">
        <f t="shared" si="70"/>
        <v>0</v>
      </c>
      <c r="I560" s="93">
        <f t="shared" si="70"/>
        <v>0</v>
      </c>
      <c r="J560" s="93">
        <f t="shared" si="70"/>
        <v>0</v>
      </c>
      <c r="K560" s="93">
        <f t="shared" si="70"/>
        <v>0</v>
      </c>
      <c r="L560" s="93">
        <f t="shared" si="70"/>
        <v>0</v>
      </c>
      <c r="M560" s="93">
        <f t="shared" si="70"/>
        <v>0</v>
      </c>
      <c r="N560" s="93">
        <f t="shared" si="70"/>
        <v>0</v>
      </c>
      <c r="O560" s="93">
        <f t="shared" si="70"/>
        <v>0</v>
      </c>
      <c r="P560" s="93">
        <f t="shared" si="70"/>
        <v>0</v>
      </c>
      <c r="Q560" s="93">
        <f t="shared" si="70"/>
        <v>0</v>
      </c>
      <c r="R560" s="93">
        <f t="shared" si="70"/>
        <v>0</v>
      </c>
      <c r="S560" s="93">
        <f t="shared" si="70"/>
        <v>0</v>
      </c>
      <c r="T560" s="93">
        <f t="shared" si="70"/>
        <v>0</v>
      </c>
      <c r="U560" s="93">
        <f t="shared" si="70"/>
        <v>0</v>
      </c>
      <c r="V560" s="92">
        <f t="shared" si="70"/>
        <v>0</v>
      </c>
      <c r="W560" s="93">
        <f t="shared" si="70"/>
        <v>0</v>
      </c>
      <c r="X560" s="93">
        <f t="shared" si="70"/>
        <v>0</v>
      </c>
      <c r="Y560" s="93">
        <f t="shared" si="70"/>
        <v>0</v>
      </c>
      <c r="Z560" s="93">
        <f t="shared" si="70"/>
        <v>0</v>
      </c>
      <c r="AA560" s="93">
        <f t="shared" si="70"/>
        <v>0</v>
      </c>
      <c r="AB560" s="93">
        <f t="shared" si="70"/>
        <v>0</v>
      </c>
      <c r="AC560" s="93">
        <f t="shared" si="70"/>
        <v>0</v>
      </c>
      <c r="AD560" s="93">
        <f t="shared" si="70"/>
        <v>0</v>
      </c>
      <c r="AE560" s="93">
        <f t="shared" si="70"/>
        <v>0</v>
      </c>
      <c r="AF560" s="93">
        <f t="shared" si="70"/>
        <v>0</v>
      </c>
      <c r="AG560" s="93">
        <f t="shared" si="70"/>
        <v>0</v>
      </c>
      <c r="AH560" s="93">
        <f t="shared" si="70"/>
        <v>0</v>
      </c>
      <c r="AI560" s="93">
        <f t="shared" si="70"/>
        <v>0</v>
      </c>
      <c r="AQ560" s="83" t="str">
        <f t="shared" si="66"/>
        <v>D7Y</v>
      </c>
    </row>
    <row r="561" spans="1:43" x14ac:dyDescent="0.3">
      <c r="A561" s="93">
        <f t="shared" si="64"/>
        <v>0</v>
      </c>
      <c r="B561" s="94" t="s">
        <v>190</v>
      </c>
      <c r="C561" s="93">
        <f t="shared" si="70"/>
        <v>0</v>
      </c>
      <c r="D561" s="93">
        <f t="shared" si="70"/>
        <v>0</v>
      </c>
      <c r="E561" s="93">
        <f t="shared" si="70"/>
        <v>0</v>
      </c>
      <c r="F561" s="93">
        <f t="shared" si="70"/>
        <v>0</v>
      </c>
      <c r="G561" s="93">
        <f t="shared" si="70"/>
        <v>0</v>
      </c>
      <c r="H561" s="93">
        <f t="shared" si="70"/>
        <v>0</v>
      </c>
      <c r="I561" s="93">
        <f t="shared" si="70"/>
        <v>0</v>
      </c>
      <c r="J561" s="93">
        <f t="shared" si="70"/>
        <v>0</v>
      </c>
      <c r="K561" s="93">
        <f t="shared" si="70"/>
        <v>0</v>
      </c>
      <c r="L561" s="93">
        <f t="shared" si="70"/>
        <v>0</v>
      </c>
      <c r="M561" s="93">
        <f t="shared" si="70"/>
        <v>0</v>
      </c>
      <c r="N561" s="93">
        <f t="shared" si="70"/>
        <v>0</v>
      </c>
      <c r="O561" s="93">
        <f t="shared" si="70"/>
        <v>0</v>
      </c>
      <c r="P561" s="93">
        <f t="shared" si="70"/>
        <v>0</v>
      </c>
      <c r="Q561" s="93">
        <f t="shared" si="70"/>
        <v>0</v>
      </c>
      <c r="R561" s="93">
        <f t="shared" si="70"/>
        <v>0</v>
      </c>
      <c r="S561" s="93">
        <f t="shared" si="70"/>
        <v>0</v>
      </c>
      <c r="T561" s="93">
        <f t="shared" si="70"/>
        <v>0</v>
      </c>
      <c r="U561" s="93">
        <f t="shared" si="70"/>
        <v>0</v>
      </c>
      <c r="V561" s="93">
        <f t="shared" si="70"/>
        <v>0</v>
      </c>
      <c r="W561" s="92">
        <f t="shared" si="70"/>
        <v>0</v>
      </c>
      <c r="X561" s="93">
        <f t="shared" si="70"/>
        <v>0</v>
      </c>
      <c r="Y561" s="93">
        <f t="shared" si="70"/>
        <v>0</v>
      </c>
      <c r="Z561" s="93">
        <f t="shared" si="70"/>
        <v>0</v>
      </c>
      <c r="AA561" s="93">
        <f t="shared" si="70"/>
        <v>0</v>
      </c>
      <c r="AB561" s="93">
        <f t="shared" si="70"/>
        <v>0</v>
      </c>
      <c r="AC561" s="93">
        <f t="shared" si="70"/>
        <v>0</v>
      </c>
      <c r="AD561" s="93">
        <f t="shared" si="70"/>
        <v>0</v>
      </c>
      <c r="AE561" s="93">
        <f t="shared" si="70"/>
        <v>0</v>
      </c>
      <c r="AF561" s="93">
        <f t="shared" si="70"/>
        <v>0</v>
      </c>
      <c r="AG561" s="93">
        <f t="shared" si="70"/>
        <v>0</v>
      </c>
      <c r="AH561" s="93">
        <f t="shared" si="70"/>
        <v>0</v>
      </c>
      <c r="AI561" s="93">
        <f t="shared" si="70"/>
        <v>0</v>
      </c>
      <c r="AQ561" s="83" t="str">
        <f t="shared" si="66"/>
        <v>D7θ</v>
      </c>
    </row>
    <row r="562" spans="1:43" x14ac:dyDescent="0.3">
      <c r="A562" s="93">
        <f t="shared" si="64"/>
        <v>0</v>
      </c>
      <c r="B562" s="94" t="s">
        <v>190</v>
      </c>
      <c r="C562" s="93">
        <f t="shared" si="70"/>
        <v>0</v>
      </c>
      <c r="D562" s="93">
        <f t="shared" si="70"/>
        <v>0</v>
      </c>
      <c r="E562" s="93">
        <f t="shared" si="70"/>
        <v>0</v>
      </c>
      <c r="F562" s="93">
        <f t="shared" si="70"/>
        <v>0</v>
      </c>
      <c r="G562" s="93">
        <f t="shared" si="70"/>
        <v>0</v>
      </c>
      <c r="H562" s="93">
        <f t="shared" si="70"/>
        <v>0</v>
      </c>
      <c r="I562" s="93">
        <f t="shared" si="70"/>
        <v>0</v>
      </c>
      <c r="J562" s="93">
        <f t="shared" si="70"/>
        <v>0</v>
      </c>
      <c r="K562" s="93">
        <f t="shared" si="70"/>
        <v>0</v>
      </c>
      <c r="L562" s="93">
        <f t="shared" si="70"/>
        <v>0</v>
      </c>
      <c r="M562" s="93">
        <f t="shared" si="70"/>
        <v>0</v>
      </c>
      <c r="N562" s="93">
        <f t="shared" si="70"/>
        <v>0</v>
      </c>
      <c r="O562" s="93">
        <f t="shared" si="70"/>
        <v>0</v>
      </c>
      <c r="P562" s="93">
        <f t="shared" si="70"/>
        <v>0</v>
      </c>
      <c r="Q562" s="93">
        <f t="shared" si="70"/>
        <v>0</v>
      </c>
      <c r="R562" s="93">
        <f t="shared" si="70"/>
        <v>0</v>
      </c>
      <c r="S562" s="93">
        <f t="shared" si="70"/>
        <v>0</v>
      </c>
      <c r="T562" s="93">
        <f t="shared" si="70"/>
        <v>0</v>
      </c>
      <c r="U562" s="93">
        <f t="shared" si="70"/>
        <v>0</v>
      </c>
      <c r="V562" s="93">
        <f t="shared" si="70"/>
        <v>0</v>
      </c>
      <c r="W562" s="93">
        <f t="shared" si="70"/>
        <v>0</v>
      </c>
      <c r="X562" s="92">
        <f t="shared" si="70"/>
        <v>0</v>
      </c>
      <c r="Y562" s="93">
        <f t="shared" si="70"/>
        <v>0</v>
      </c>
      <c r="Z562" s="93">
        <f t="shared" si="70"/>
        <v>0</v>
      </c>
      <c r="AA562" s="93">
        <f t="shared" si="70"/>
        <v>0</v>
      </c>
      <c r="AB562" s="93">
        <f t="shared" si="70"/>
        <v>0</v>
      </c>
      <c r="AC562" s="93">
        <f t="shared" si="70"/>
        <v>0</v>
      </c>
      <c r="AD562" s="93">
        <f t="shared" si="70"/>
        <v>0</v>
      </c>
      <c r="AE562" s="93">
        <f t="shared" si="70"/>
        <v>0</v>
      </c>
      <c r="AF562" s="93">
        <f t="shared" si="70"/>
        <v>0</v>
      </c>
      <c r="AG562" s="93">
        <f t="shared" si="70"/>
        <v>0</v>
      </c>
      <c r="AH562" s="93">
        <f t="shared" si="70"/>
        <v>0</v>
      </c>
      <c r="AI562" s="93">
        <f t="shared" si="70"/>
        <v>0</v>
      </c>
      <c r="AQ562" s="83" t="str">
        <f t="shared" si="66"/>
        <v>D8X</v>
      </c>
    </row>
    <row r="563" spans="1:43" x14ac:dyDescent="0.3">
      <c r="A563" s="93">
        <f t="shared" si="64"/>
        <v>0</v>
      </c>
      <c r="B563" s="94" t="s">
        <v>190</v>
      </c>
      <c r="C563" s="93">
        <f t="shared" si="70"/>
        <v>0</v>
      </c>
      <c r="D563" s="93">
        <f t="shared" si="70"/>
        <v>0</v>
      </c>
      <c r="E563" s="93">
        <f t="shared" si="70"/>
        <v>0</v>
      </c>
      <c r="F563" s="93">
        <f t="shared" si="70"/>
        <v>0</v>
      </c>
      <c r="G563" s="93">
        <f t="shared" si="70"/>
        <v>0</v>
      </c>
      <c r="H563" s="93">
        <f t="shared" si="70"/>
        <v>0</v>
      </c>
      <c r="I563" s="93">
        <f t="shared" si="70"/>
        <v>0</v>
      </c>
      <c r="J563" s="93">
        <f t="shared" si="70"/>
        <v>0</v>
      </c>
      <c r="K563" s="93">
        <f t="shared" si="70"/>
        <v>0</v>
      </c>
      <c r="L563" s="93">
        <f t="shared" si="70"/>
        <v>0</v>
      </c>
      <c r="M563" s="93">
        <f t="shared" si="70"/>
        <v>0</v>
      </c>
      <c r="N563" s="93">
        <f t="shared" si="70"/>
        <v>0</v>
      </c>
      <c r="O563" s="93">
        <f t="shared" si="70"/>
        <v>0</v>
      </c>
      <c r="P563" s="93">
        <f t="shared" si="70"/>
        <v>0</v>
      </c>
      <c r="Q563" s="93">
        <f t="shared" si="70"/>
        <v>0</v>
      </c>
      <c r="R563" s="93">
        <f t="shared" si="70"/>
        <v>0</v>
      </c>
      <c r="S563" s="93">
        <f t="shared" si="70"/>
        <v>0</v>
      </c>
      <c r="T563" s="93">
        <f t="shared" si="70"/>
        <v>0</v>
      </c>
      <c r="U563" s="93">
        <f t="shared" si="70"/>
        <v>0</v>
      </c>
      <c r="V563" s="93">
        <f t="shared" si="70"/>
        <v>0</v>
      </c>
      <c r="W563" s="93">
        <f t="shared" si="70"/>
        <v>0</v>
      </c>
      <c r="X563" s="93">
        <f t="shared" si="70"/>
        <v>0</v>
      </c>
      <c r="Y563" s="92">
        <f t="shared" si="70"/>
        <v>0</v>
      </c>
      <c r="Z563" s="93">
        <f t="shared" si="70"/>
        <v>0</v>
      </c>
      <c r="AA563" s="93">
        <f t="shared" si="70"/>
        <v>0</v>
      </c>
      <c r="AB563" s="93">
        <f t="shared" si="70"/>
        <v>0</v>
      </c>
      <c r="AC563" s="93">
        <f t="shared" si="70"/>
        <v>0</v>
      </c>
      <c r="AD563" s="93">
        <f t="shared" si="70"/>
        <v>0</v>
      </c>
      <c r="AE563" s="93">
        <f t="shared" si="70"/>
        <v>0</v>
      </c>
      <c r="AF563" s="93">
        <f t="shared" si="70"/>
        <v>0</v>
      </c>
      <c r="AG563" s="93">
        <f t="shared" si="70"/>
        <v>0</v>
      </c>
      <c r="AH563" s="93">
        <f t="shared" si="70"/>
        <v>0</v>
      </c>
      <c r="AI563" s="93">
        <f t="shared" si="70"/>
        <v>0</v>
      </c>
      <c r="AQ563" s="83" t="str">
        <f t="shared" si="66"/>
        <v>D8Y</v>
      </c>
    </row>
    <row r="564" spans="1:43" x14ac:dyDescent="0.3">
      <c r="A564" s="93">
        <f t="shared" si="64"/>
        <v>0</v>
      </c>
      <c r="B564" s="94" t="s">
        <v>190</v>
      </c>
      <c r="C564" s="93">
        <f t="shared" si="70"/>
        <v>0</v>
      </c>
      <c r="D564" s="93">
        <f t="shared" si="70"/>
        <v>0</v>
      </c>
      <c r="E564" s="93">
        <f t="shared" si="70"/>
        <v>0</v>
      </c>
      <c r="F564" s="93">
        <f t="shared" si="70"/>
        <v>0</v>
      </c>
      <c r="G564" s="93">
        <f t="shared" si="70"/>
        <v>0</v>
      </c>
      <c r="H564" s="93">
        <f t="shared" si="70"/>
        <v>0</v>
      </c>
      <c r="I564" s="93">
        <f t="shared" si="70"/>
        <v>0</v>
      </c>
      <c r="J564" s="93">
        <f t="shared" si="70"/>
        <v>0</v>
      </c>
      <c r="K564" s="93">
        <f t="shared" si="70"/>
        <v>0</v>
      </c>
      <c r="L564" s="93">
        <f t="shared" si="70"/>
        <v>0</v>
      </c>
      <c r="M564" s="93">
        <f t="shared" si="70"/>
        <v>0</v>
      </c>
      <c r="N564" s="93">
        <f t="shared" si="70"/>
        <v>0</v>
      </c>
      <c r="O564" s="93">
        <f t="shared" si="70"/>
        <v>0</v>
      </c>
      <c r="P564" s="93">
        <f t="shared" si="70"/>
        <v>0</v>
      </c>
      <c r="Q564" s="93">
        <f t="shared" si="70"/>
        <v>0</v>
      </c>
      <c r="R564" s="93">
        <f t="shared" si="70"/>
        <v>0</v>
      </c>
      <c r="S564" s="93">
        <f t="shared" si="70"/>
        <v>0</v>
      </c>
      <c r="T564" s="93">
        <f t="shared" si="70"/>
        <v>0</v>
      </c>
      <c r="U564" s="93">
        <f t="shared" si="70"/>
        <v>0</v>
      </c>
      <c r="V564" s="93">
        <f t="shared" si="70"/>
        <v>0</v>
      </c>
      <c r="W564" s="93">
        <f t="shared" si="70"/>
        <v>0</v>
      </c>
      <c r="X564" s="93">
        <f t="shared" si="70"/>
        <v>0</v>
      </c>
      <c r="Y564" s="93">
        <f t="shared" si="70"/>
        <v>0</v>
      </c>
      <c r="Z564" s="92">
        <f t="shared" si="70"/>
        <v>0</v>
      </c>
      <c r="AA564" s="93">
        <f t="shared" ref="AA564:AI564" si="71">Z490</f>
        <v>0</v>
      </c>
      <c r="AB564" s="93">
        <f t="shared" si="71"/>
        <v>0</v>
      </c>
      <c r="AC564" s="93">
        <f t="shared" si="71"/>
        <v>0</v>
      </c>
      <c r="AD564" s="93">
        <f t="shared" si="71"/>
        <v>0</v>
      </c>
      <c r="AE564" s="93">
        <f t="shared" si="71"/>
        <v>0</v>
      </c>
      <c r="AF564" s="93">
        <f t="shared" si="71"/>
        <v>0</v>
      </c>
      <c r="AG564" s="93">
        <f t="shared" si="71"/>
        <v>0</v>
      </c>
      <c r="AH564" s="93">
        <f t="shared" si="71"/>
        <v>0</v>
      </c>
      <c r="AI564" s="93">
        <f t="shared" si="71"/>
        <v>0</v>
      </c>
      <c r="AQ564" s="83" t="str">
        <f t="shared" si="66"/>
        <v>D8θ</v>
      </c>
    </row>
    <row r="565" spans="1:43" x14ac:dyDescent="0.3">
      <c r="A565" s="93">
        <f t="shared" si="64"/>
        <v>0</v>
      </c>
      <c r="B565" s="94" t="s">
        <v>190</v>
      </c>
      <c r="C565" s="93">
        <f t="shared" ref="C565:AI572" si="72">B491</f>
        <v>0</v>
      </c>
      <c r="D565" s="93">
        <f t="shared" si="72"/>
        <v>0</v>
      </c>
      <c r="E565" s="93">
        <f t="shared" si="72"/>
        <v>0</v>
      </c>
      <c r="F565" s="93">
        <f t="shared" si="72"/>
        <v>0</v>
      </c>
      <c r="G565" s="93">
        <f t="shared" si="72"/>
        <v>0</v>
      </c>
      <c r="H565" s="93">
        <f t="shared" si="72"/>
        <v>0</v>
      </c>
      <c r="I565" s="93">
        <f t="shared" si="72"/>
        <v>0</v>
      </c>
      <c r="J565" s="93">
        <f t="shared" si="72"/>
        <v>0</v>
      </c>
      <c r="K565" s="93">
        <f t="shared" si="72"/>
        <v>0</v>
      </c>
      <c r="L565" s="93">
        <f t="shared" si="72"/>
        <v>0</v>
      </c>
      <c r="M565" s="93">
        <f t="shared" si="72"/>
        <v>0</v>
      </c>
      <c r="N565" s="93">
        <f t="shared" si="72"/>
        <v>0</v>
      </c>
      <c r="O565" s="93">
        <f t="shared" si="72"/>
        <v>0</v>
      </c>
      <c r="P565" s="93">
        <f t="shared" si="72"/>
        <v>0</v>
      </c>
      <c r="Q565" s="93">
        <f t="shared" si="72"/>
        <v>0</v>
      </c>
      <c r="R565" s="93">
        <f t="shared" si="72"/>
        <v>0</v>
      </c>
      <c r="S565" s="93">
        <f t="shared" si="72"/>
        <v>0</v>
      </c>
      <c r="T565" s="93">
        <f t="shared" si="72"/>
        <v>0</v>
      </c>
      <c r="U565" s="93">
        <f t="shared" si="72"/>
        <v>0</v>
      </c>
      <c r="V565" s="93">
        <f t="shared" si="72"/>
        <v>0</v>
      </c>
      <c r="W565" s="93">
        <f t="shared" si="72"/>
        <v>0</v>
      </c>
      <c r="X565" s="93">
        <f t="shared" si="72"/>
        <v>0</v>
      </c>
      <c r="Y565" s="93">
        <f t="shared" si="72"/>
        <v>0</v>
      </c>
      <c r="Z565" s="93">
        <f t="shared" si="72"/>
        <v>0</v>
      </c>
      <c r="AA565" s="92">
        <f t="shared" si="72"/>
        <v>0</v>
      </c>
      <c r="AB565" s="93">
        <f t="shared" si="72"/>
        <v>0</v>
      </c>
      <c r="AC565" s="93">
        <f t="shared" si="72"/>
        <v>0</v>
      </c>
      <c r="AD565" s="93">
        <f t="shared" si="72"/>
        <v>0</v>
      </c>
      <c r="AE565" s="93">
        <f t="shared" si="72"/>
        <v>0</v>
      </c>
      <c r="AF565" s="93">
        <f t="shared" si="72"/>
        <v>0</v>
      </c>
      <c r="AG565" s="93">
        <f t="shared" si="72"/>
        <v>0</v>
      </c>
      <c r="AH565" s="93">
        <f t="shared" si="72"/>
        <v>0</v>
      </c>
      <c r="AI565" s="93">
        <f t="shared" si="72"/>
        <v>0</v>
      </c>
      <c r="AQ565" s="83" t="str">
        <f t="shared" si="66"/>
        <v>D9X</v>
      </c>
    </row>
    <row r="566" spans="1:43" x14ac:dyDescent="0.3">
      <c r="A566" s="93">
        <f t="shared" si="64"/>
        <v>0</v>
      </c>
      <c r="B566" s="94" t="s">
        <v>190</v>
      </c>
      <c r="C566" s="93">
        <f t="shared" si="72"/>
        <v>0</v>
      </c>
      <c r="D566" s="93">
        <f t="shared" si="72"/>
        <v>0</v>
      </c>
      <c r="E566" s="93">
        <f t="shared" si="72"/>
        <v>0</v>
      </c>
      <c r="F566" s="93">
        <f t="shared" si="72"/>
        <v>0</v>
      </c>
      <c r="G566" s="93">
        <f t="shared" si="72"/>
        <v>0</v>
      </c>
      <c r="H566" s="93">
        <f t="shared" si="72"/>
        <v>0</v>
      </c>
      <c r="I566" s="93">
        <f t="shared" si="72"/>
        <v>0</v>
      </c>
      <c r="J566" s="93">
        <f t="shared" si="72"/>
        <v>0</v>
      </c>
      <c r="K566" s="93">
        <f t="shared" si="72"/>
        <v>0</v>
      </c>
      <c r="L566" s="93">
        <f t="shared" si="72"/>
        <v>0</v>
      </c>
      <c r="M566" s="93">
        <f t="shared" si="72"/>
        <v>0</v>
      </c>
      <c r="N566" s="93">
        <f t="shared" si="72"/>
        <v>0</v>
      </c>
      <c r="O566" s="93">
        <f t="shared" si="72"/>
        <v>0</v>
      </c>
      <c r="P566" s="93">
        <f t="shared" si="72"/>
        <v>0</v>
      </c>
      <c r="Q566" s="93">
        <f t="shared" si="72"/>
        <v>0</v>
      </c>
      <c r="R566" s="93">
        <f t="shared" si="72"/>
        <v>0</v>
      </c>
      <c r="S566" s="93">
        <f t="shared" si="72"/>
        <v>0</v>
      </c>
      <c r="T566" s="93">
        <f t="shared" si="72"/>
        <v>0</v>
      </c>
      <c r="U566" s="93">
        <f t="shared" si="72"/>
        <v>0</v>
      </c>
      <c r="V566" s="93">
        <f t="shared" si="72"/>
        <v>0</v>
      </c>
      <c r="W566" s="93">
        <f t="shared" si="72"/>
        <v>0</v>
      </c>
      <c r="X566" s="93">
        <f t="shared" si="72"/>
        <v>0</v>
      </c>
      <c r="Y566" s="93">
        <f t="shared" si="72"/>
        <v>0</v>
      </c>
      <c r="Z566" s="93">
        <f t="shared" si="72"/>
        <v>0</v>
      </c>
      <c r="AA566" s="93">
        <f t="shared" si="72"/>
        <v>0</v>
      </c>
      <c r="AB566" s="92">
        <f t="shared" si="72"/>
        <v>0</v>
      </c>
      <c r="AC566" s="93">
        <f t="shared" si="72"/>
        <v>0</v>
      </c>
      <c r="AD566" s="93">
        <f t="shared" si="72"/>
        <v>0</v>
      </c>
      <c r="AE566" s="93">
        <f t="shared" si="72"/>
        <v>0</v>
      </c>
      <c r="AF566" s="93">
        <f t="shared" si="72"/>
        <v>0</v>
      </c>
      <c r="AG566" s="93">
        <f t="shared" si="72"/>
        <v>0</v>
      </c>
      <c r="AH566" s="93">
        <f t="shared" si="72"/>
        <v>0</v>
      </c>
      <c r="AI566" s="93">
        <f t="shared" si="72"/>
        <v>0</v>
      </c>
      <c r="AQ566" s="83" t="str">
        <f t="shared" si="66"/>
        <v>D9Y</v>
      </c>
    </row>
    <row r="567" spans="1:43" x14ac:dyDescent="0.3">
      <c r="A567" s="93">
        <f t="shared" si="64"/>
        <v>0</v>
      </c>
      <c r="B567" s="94" t="s">
        <v>190</v>
      </c>
      <c r="C567" s="93">
        <f t="shared" si="72"/>
        <v>0</v>
      </c>
      <c r="D567" s="93">
        <f t="shared" si="72"/>
        <v>0</v>
      </c>
      <c r="E567" s="93">
        <f t="shared" si="72"/>
        <v>0</v>
      </c>
      <c r="F567" s="93">
        <f t="shared" si="72"/>
        <v>0</v>
      </c>
      <c r="G567" s="93">
        <f t="shared" si="72"/>
        <v>0</v>
      </c>
      <c r="H567" s="93">
        <f t="shared" si="72"/>
        <v>0</v>
      </c>
      <c r="I567" s="93">
        <f t="shared" si="72"/>
        <v>0</v>
      </c>
      <c r="J567" s="93">
        <f t="shared" si="72"/>
        <v>0</v>
      </c>
      <c r="K567" s="93">
        <f t="shared" si="72"/>
        <v>0</v>
      </c>
      <c r="L567" s="93">
        <f t="shared" si="72"/>
        <v>0</v>
      </c>
      <c r="M567" s="93">
        <f t="shared" si="72"/>
        <v>0</v>
      </c>
      <c r="N567" s="93">
        <f t="shared" si="72"/>
        <v>0</v>
      </c>
      <c r="O567" s="93">
        <f t="shared" si="72"/>
        <v>0</v>
      </c>
      <c r="P567" s="93">
        <f t="shared" si="72"/>
        <v>0</v>
      </c>
      <c r="Q567" s="93">
        <f t="shared" si="72"/>
        <v>0</v>
      </c>
      <c r="R567" s="93">
        <f t="shared" si="72"/>
        <v>0</v>
      </c>
      <c r="S567" s="93">
        <f t="shared" si="72"/>
        <v>0</v>
      </c>
      <c r="T567" s="93">
        <f t="shared" si="72"/>
        <v>0</v>
      </c>
      <c r="U567" s="93">
        <f t="shared" si="72"/>
        <v>0</v>
      </c>
      <c r="V567" s="93">
        <f t="shared" si="72"/>
        <v>0</v>
      </c>
      <c r="W567" s="93">
        <f t="shared" si="72"/>
        <v>0</v>
      </c>
      <c r="X567" s="93">
        <f t="shared" si="72"/>
        <v>0</v>
      </c>
      <c r="Y567" s="93">
        <f t="shared" si="72"/>
        <v>0</v>
      </c>
      <c r="Z567" s="93">
        <f t="shared" si="72"/>
        <v>0</v>
      </c>
      <c r="AA567" s="93">
        <f t="shared" si="72"/>
        <v>0</v>
      </c>
      <c r="AB567" s="93">
        <f t="shared" si="72"/>
        <v>0</v>
      </c>
      <c r="AC567" s="92">
        <f t="shared" si="72"/>
        <v>0</v>
      </c>
      <c r="AD567" s="93">
        <f t="shared" si="72"/>
        <v>0</v>
      </c>
      <c r="AE567" s="93">
        <f t="shared" si="72"/>
        <v>0</v>
      </c>
      <c r="AF567" s="93">
        <f t="shared" si="72"/>
        <v>0</v>
      </c>
      <c r="AG567" s="93">
        <f t="shared" si="72"/>
        <v>0</v>
      </c>
      <c r="AH567" s="93">
        <f t="shared" si="72"/>
        <v>0</v>
      </c>
      <c r="AI567" s="93">
        <f t="shared" si="72"/>
        <v>0</v>
      </c>
      <c r="AQ567" s="83" t="str">
        <f t="shared" si="66"/>
        <v>D9θ</v>
      </c>
    </row>
    <row r="568" spans="1:43" x14ac:dyDescent="0.3">
      <c r="A568" s="93">
        <f t="shared" si="64"/>
        <v>0</v>
      </c>
      <c r="B568" s="94" t="s">
        <v>190</v>
      </c>
      <c r="C568" s="93">
        <f t="shared" si="72"/>
        <v>0</v>
      </c>
      <c r="D568" s="93">
        <f t="shared" si="72"/>
        <v>0</v>
      </c>
      <c r="E568" s="93">
        <f t="shared" si="72"/>
        <v>0</v>
      </c>
      <c r="F568" s="93">
        <f t="shared" si="72"/>
        <v>0</v>
      </c>
      <c r="G568" s="93">
        <f t="shared" si="72"/>
        <v>0</v>
      </c>
      <c r="H568" s="93">
        <f t="shared" si="72"/>
        <v>0</v>
      </c>
      <c r="I568" s="93">
        <f t="shared" si="72"/>
        <v>0</v>
      </c>
      <c r="J568" s="93">
        <f t="shared" si="72"/>
        <v>0</v>
      </c>
      <c r="K568" s="93">
        <f t="shared" si="72"/>
        <v>0</v>
      </c>
      <c r="L568" s="93">
        <f t="shared" si="72"/>
        <v>0</v>
      </c>
      <c r="M568" s="93">
        <f t="shared" si="72"/>
        <v>0</v>
      </c>
      <c r="N568" s="93">
        <f t="shared" si="72"/>
        <v>0</v>
      </c>
      <c r="O568" s="93">
        <f t="shared" si="72"/>
        <v>0</v>
      </c>
      <c r="P568" s="93">
        <f t="shared" si="72"/>
        <v>0</v>
      </c>
      <c r="Q568" s="93">
        <f t="shared" si="72"/>
        <v>0</v>
      </c>
      <c r="R568" s="93">
        <f t="shared" si="72"/>
        <v>0</v>
      </c>
      <c r="S568" s="93">
        <f t="shared" si="72"/>
        <v>0</v>
      </c>
      <c r="T568" s="93">
        <f t="shared" si="72"/>
        <v>0</v>
      </c>
      <c r="U568" s="93">
        <f t="shared" si="72"/>
        <v>0</v>
      </c>
      <c r="V568" s="93">
        <f t="shared" si="72"/>
        <v>0</v>
      </c>
      <c r="W568" s="93">
        <f t="shared" si="72"/>
        <v>0</v>
      </c>
      <c r="X568" s="93">
        <f t="shared" si="72"/>
        <v>0</v>
      </c>
      <c r="Y568" s="93">
        <f t="shared" si="72"/>
        <v>0</v>
      </c>
      <c r="Z568" s="93">
        <f t="shared" si="72"/>
        <v>0</v>
      </c>
      <c r="AA568" s="93">
        <f t="shared" si="72"/>
        <v>0</v>
      </c>
      <c r="AB568" s="93">
        <f t="shared" si="72"/>
        <v>0</v>
      </c>
      <c r="AC568" s="93">
        <f t="shared" si="72"/>
        <v>0</v>
      </c>
      <c r="AD568" s="92">
        <f t="shared" si="72"/>
        <v>0</v>
      </c>
      <c r="AE568" s="93">
        <f t="shared" si="72"/>
        <v>0</v>
      </c>
      <c r="AF568" s="93">
        <f t="shared" si="72"/>
        <v>0</v>
      </c>
      <c r="AG568" s="93">
        <f t="shared" si="72"/>
        <v>0</v>
      </c>
      <c r="AH568" s="93">
        <f t="shared" si="72"/>
        <v>0</v>
      </c>
      <c r="AI568" s="93">
        <f t="shared" si="72"/>
        <v>0</v>
      </c>
      <c r="AQ568" s="83" t="str">
        <f t="shared" si="66"/>
        <v>D10X</v>
      </c>
    </row>
    <row r="569" spans="1:43" x14ac:dyDescent="0.3">
      <c r="A569" s="93">
        <f t="shared" si="64"/>
        <v>0</v>
      </c>
      <c r="B569" s="94" t="s">
        <v>190</v>
      </c>
      <c r="C569" s="93">
        <f t="shared" si="72"/>
        <v>0</v>
      </c>
      <c r="D569" s="93">
        <f t="shared" si="72"/>
        <v>0</v>
      </c>
      <c r="E569" s="93">
        <f t="shared" si="72"/>
        <v>0</v>
      </c>
      <c r="F569" s="93">
        <f t="shared" si="72"/>
        <v>0</v>
      </c>
      <c r="G569" s="93">
        <f t="shared" si="72"/>
        <v>0</v>
      </c>
      <c r="H569" s="93">
        <f t="shared" si="72"/>
        <v>0</v>
      </c>
      <c r="I569" s="93">
        <f t="shared" si="72"/>
        <v>0</v>
      </c>
      <c r="J569" s="93">
        <f t="shared" si="72"/>
        <v>0</v>
      </c>
      <c r="K569" s="93">
        <f t="shared" si="72"/>
        <v>0</v>
      </c>
      <c r="L569" s="93">
        <f t="shared" si="72"/>
        <v>0</v>
      </c>
      <c r="M569" s="93">
        <f t="shared" si="72"/>
        <v>0</v>
      </c>
      <c r="N569" s="93">
        <f t="shared" si="72"/>
        <v>0</v>
      </c>
      <c r="O569" s="93">
        <f t="shared" si="72"/>
        <v>0</v>
      </c>
      <c r="P569" s="93">
        <f t="shared" si="72"/>
        <v>0</v>
      </c>
      <c r="Q569" s="93">
        <f t="shared" si="72"/>
        <v>0</v>
      </c>
      <c r="R569" s="93">
        <f t="shared" si="72"/>
        <v>0</v>
      </c>
      <c r="S569" s="93">
        <f t="shared" si="72"/>
        <v>0</v>
      </c>
      <c r="T569" s="93">
        <f t="shared" si="72"/>
        <v>0</v>
      </c>
      <c r="U569" s="93">
        <f t="shared" si="72"/>
        <v>0</v>
      </c>
      <c r="V569" s="93">
        <f t="shared" si="72"/>
        <v>0</v>
      </c>
      <c r="W569" s="93">
        <f t="shared" si="72"/>
        <v>0</v>
      </c>
      <c r="X569" s="93">
        <f t="shared" si="72"/>
        <v>0</v>
      </c>
      <c r="Y569" s="93">
        <f t="shared" si="72"/>
        <v>0</v>
      </c>
      <c r="Z569" s="93">
        <f t="shared" si="72"/>
        <v>0</v>
      </c>
      <c r="AA569" s="93">
        <f t="shared" si="72"/>
        <v>0</v>
      </c>
      <c r="AB569" s="93">
        <f t="shared" si="72"/>
        <v>0</v>
      </c>
      <c r="AC569" s="93">
        <f t="shared" si="72"/>
        <v>0</v>
      </c>
      <c r="AD569" s="93">
        <f t="shared" si="72"/>
        <v>0</v>
      </c>
      <c r="AE569" s="92">
        <f t="shared" si="72"/>
        <v>0</v>
      </c>
      <c r="AF569" s="93">
        <f t="shared" si="72"/>
        <v>0</v>
      </c>
      <c r="AG569" s="93">
        <f t="shared" si="72"/>
        <v>0</v>
      </c>
      <c r="AH569" s="93">
        <f t="shared" si="72"/>
        <v>0</v>
      </c>
      <c r="AI569" s="93">
        <f t="shared" si="72"/>
        <v>0</v>
      </c>
      <c r="AQ569" s="83" t="str">
        <f t="shared" si="66"/>
        <v>D10Y</v>
      </c>
    </row>
    <row r="570" spans="1:43" x14ac:dyDescent="0.3">
      <c r="A570" s="93">
        <f t="shared" si="64"/>
        <v>0</v>
      </c>
      <c r="B570" s="94" t="s">
        <v>190</v>
      </c>
      <c r="C570" s="93">
        <f t="shared" si="72"/>
        <v>0</v>
      </c>
      <c r="D570" s="93">
        <f t="shared" si="72"/>
        <v>0</v>
      </c>
      <c r="E570" s="93">
        <f t="shared" si="72"/>
        <v>0</v>
      </c>
      <c r="F570" s="93">
        <f t="shared" si="72"/>
        <v>0</v>
      </c>
      <c r="G570" s="93">
        <f t="shared" si="72"/>
        <v>0</v>
      </c>
      <c r="H570" s="93">
        <f t="shared" si="72"/>
        <v>0</v>
      </c>
      <c r="I570" s="93">
        <f t="shared" si="72"/>
        <v>0</v>
      </c>
      <c r="J570" s="93">
        <f t="shared" si="72"/>
        <v>0</v>
      </c>
      <c r="K570" s="93">
        <f t="shared" si="72"/>
        <v>0</v>
      </c>
      <c r="L570" s="93">
        <f t="shared" si="72"/>
        <v>0</v>
      </c>
      <c r="M570" s="93">
        <f t="shared" si="72"/>
        <v>0</v>
      </c>
      <c r="N570" s="93">
        <f t="shared" si="72"/>
        <v>0</v>
      </c>
      <c r="O570" s="93">
        <f t="shared" si="72"/>
        <v>0</v>
      </c>
      <c r="P570" s="93">
        <f t="shared" si="72"/>
        <v>0</v>
      </c>
      <c r="Q570" s="93">
        <f t="shared" si="72"/>
        <v>0</v>
      </c>
      <c r="R570" s="93">
        <f t="shared" si="72"/>
        <v>0</v>
      </c>
      <c r="S570" s="93">
        <f t="shared" si="72"/>
        <v>0</v>
      </c>
      <c r="T570" s="93">
        <f t="shared" si="72"/>
        <v>0</v>
      </c>
      <c r="U570" s="93">
        <f t="shared" si="72"/>
        <v>0</v>
      </c>
      <c r="V570" s="93">
        <f t="shared" si="72"/>
        <v>0</v>
      </c>
      <c r="W570" s="93">
        <f t="shared" si="72"/>
        <v>0</v>
      </c>
      <c r="X570" s="93">
        <f t="shared" si="72"/>
        <v>0</v>
      </c>
      <c r="Y570" s="93">
        <f t="shared" si="72"/>
        <v>0</v>
      </c>
      <c r="Z570" s="93">
        <f t="shared" si="72"/>
        <v>0</v>
      </c>
      <c r="AA570" s="93">
        <f t="shared" si="72"/>
        <v>0</v>
      </c>
      <c r="AB570" s="93">
        <f t="shared" si="72"/>
        <v>0</v>
      </c>
      <c r="AC570" s="93">
        <f t="shared" si="72"/>
        <v>0</v>
      </c>
      <c r="AD570" s="93">
        <f t="shared" si="72"/>
        <v>0</v>
      </c>
      <c r="AE570" s="93">
        <f t="shared" si="72"/>
        <v>0</v>
      </c>
      <c r="AF570" s="92">
        <f t="shared" si="72"/>
        <v>0</v>
      </c>
      <c r="AG570" s="93">
        <f t="shared" si="72"/>
        <v>0</v>
      </c>
      <c r="AH570" s="93">
        <f t="shared" si="72"/>
        <v>0</v>
      </c>
      <c r="AI570" s="93">
        <f t="shared" si="72"/>
        <v>0</v>
      </c>
      <c r="AQ570" s="83" t="str">
        <f t="shared" si="66"/>
        <v>D10θ</v>
      </c>
    </row>
    <row r="571" spans="1:43" x14ac:dyDescent="0.3">
      <c r="A571" s="93">
        <f t="shared" si="64"/>
        <v>0</v>
      </c>
      <c r="B571" s="94" t="s">
        <v>190</v>
      </c>
      <c r="C571" s="93">
        <f t="shared" si="72"/>
        <v>0</v>
      </c>
      <c r="D571" s="93">
        <f t="shared" si="72"/>
        <v>0</v>
      </c>
      <c r="E571" s="93">
        <f t="shared" si="72"/>
        <v>0</v>
      </c>
      <c r="F571" s="93">
        <f t="shared" si="72"/>
        <v>0</v>
      </c>
      <c r="G571" s="93">
        <f t="shared" si="72"/>
        <v>0</v>
      </c>
      <c r="H571" s="93">
        <f t="shared" si="72"/>
        <v>0</v>
      </c>
      <c r="I571" s="93">
        <f t="shared" si="72"/>
        <v>0</v>
      </c>
      <c r="J571" s="93">
        <f t="shared" si="72"/>
        <v>0</v>
      </c>
      <c r="K571" s="93">
        <f t="shared" si="72"/>
        <v>0</v>
      </c>
      <c r="L571" s="93">
        <f t="shared" si="72"/>
        <v>0</v>
      </c>
      <c r="M571" s="93">
        <f t="shared" si="72"/>
        <v>0</v>
      </c>
      <c r="N571" s="93">
        <f t="shared" si="72"/>
        <v>0</v>
      </c>
      <c r="O571" s="93">
        <f t="shared" si="72"/>
        <v>0</v>
      </c>
      <c r="P571" s="93">
        <f t="shared" si="72"/>
        <v>0</v>
      </c>
      <c r="Q571" s="93">
        <f t="shared" si="72"/>
        <v>0</v>
      </c>
      <c r="R571" s="93">
        <f t="shared" si="72"/>
        <v>0</v>
      </c>
      <c r="S571" s="93">
        <f t="shared" si="72"/>
        <v>0</v>
      </c>
      <c r="T571" s="93">
        <f t="shared" si="72"/>
        <v>0</v>
      </c>
      <c r="U571" s="93">
        <f t="shared" si="72"/>
        <v>0</v>
      </c>
      <c r="V571" s="93">
        <f t="shared" si="72"/>
        <v>0</v>
      </c>
      <c r="W571" s="93">
        <f t="shared" si="72"/>
        <v>0</v>
      </c>
      <c r="X571" s="93">
        <f t="shared" si="72"/>
        <v>0</v>
      </c>
      <c r="Y571" s="93">
        <f t="shared" si="72"/>
        <v>0</v>
      </c>
      <c r="Z571" s="93">
        <f t="shared" si="72"/>
        <v>0</v>
      </c>
      <c r="AA571" s="93">
        <f t="shared" si="72"/>
        <v>0</v>
      </c>
      <c r="AB571" s="93">
        <f t="shared" si="72"/>
        <v>0</v>
      </c>
      <c r="AC571" s="93">
        <f t="shared" si="72"/>
        <v>0</v>
      </c>
      <c r="AD571" s="93">
        <f t="shared" si="72"/>
        <v>0</v>
      </c>
      <c r="AE571" s="93">
        <f t="shared" si="72"/>
        <v>0</v>
      </c>
      <c r="AF571" s="93">
        <f t="shared" si="72"/>
        <v>0</v>
      </c>
      <c r="AG571" s="92">
        <f t="shared" si="72"/>
        <v>0</v>
      </c>
      <c r="AH571" s="93">
        <f t="shared" si="72"/>
        <v>0</v>
      </c>
      <c r="AI571" s="93">
        <f t="shared" si="72"/>
        <v>0</v>
      </c>
      <c r="AQ571" s="83" t="str">
        <f t="shared" si="66"/>
        <v>D11X</v>
      </c>
    </row>
    <row r="572" spans="1:43" x14ac:dyDescent="0.3">
      <c r="A572" s="93">
        <f t="shared" si="64"/>
        <v>0</v>
      </c>
      <c r="B572" s="94" t="s">
        <v>190</v>
      </c>
      <c r="C572" s="93">
        <f t="shared" si="72"/>
        <v>0</v>
      </c>
      <c r="D572" s="93">
        <f t="shared" si="72"/>
        <v>0</v>
      </c>
      <c r="E572" s="93">
        <f t="shared" si="72"/>
        <v>0</v>
      </c>
      <c r="F572" s="93">
        <f t="shared" si="72"/>
        <v>0</v>
      </c>
      <c r="G572" s="93">
        <f t="shared" si="72"/>
        <v>0</v>
      </c>
      <c r="H572" s="93">
        <f t="shared" si="72"/>
        <v>0</v>
      </c>
      <c r="I572" s="93">
        <f t="shared" si="72"/>
        <v>0</v>
      </c>
      <c r="J572" s="93">
        <f t="shared" si="72"/>
        <v>0</v>
      </c>
      <c r="K572" s="93">
        <f t="shared" si="72"/>
        <v>0</v>
      </c>
      <c r="L572" s="93">
        <f t="shared" si="72"/>
        <v>0</v>
      </c>
      <c r="M572" s="93">
        <f t="shared" si="72"/>
        <v>0</v>
      </c>
      <c r="N572" s="93">
        <f t="shared" si="72"/>
        <v>0</v>
      </c>
      <c r="O572" s="93">
        <f t="shared" si="72"/>
        <v>0</v>
      </c>
      <c r="P572" s="93">
        <f t="shared" si="72"/>
        <v>0</v>
      </c>
      <c r="Q572" s="93">
        <f t="shared" si="72"/>
        <v>0</v>
      </c>
      <c r="R572" s="93">
        <f t="shared" si="72"/>
        <v>0</v>
      </c>
      <c r="S572" s="93">
        <f t="shared" si="72"/>
        <v>0</v>
      </c>
      <c r="T572" s="93">
        <f t="shared" si="72"/>
        <v>0</v>
      </c>
      <c r="U572" s="93">
        <f t="shared" si="72"/>
        <v>0</v>
      </c>
      <c r="V572" s="93">
        <f t="shared" si="72"/>
        <v>0</v>
      </c>
      <c r="W572" s="93">
        <f t="shared" si="72"/>
        <v>0</v>
      </c>
      <c r="X572" s="93">
        <f t="shared" si="72"/>
        <v>0</v>
      </c>
      <c r="Y572" s="93">
        <f t="shared" si="72"/>
        <v>0</v>
      </c>
      <c r="Z572" s="93">
        <f t="shared" si="72"/>
        <v>0</v>
      </c>
      <c r="AA572" s="93">
        <f t="shared" ref="AA572:AI572" si="73">Z498</f>
        <v>0</v>
      </c>
      <c r="AB572" s="93">
        <f t="shared" si="73"/>
        <v>0</v>
      </c>
      <c r="AC572" s="93">
        <f t="shared" si="73"/>
        <v>0</v>
      </c>
      <c r="AD572" s="93">
        <f t="shared" si="73"/>
        <v>0</v>
      </c>
      <c r="AE572" s="93">
        <f t="shared" si="73"/>
        <v>0</v>
      </c>
      <c r="AF572" s="93">
        <f t="shared" si="73"/>
        <v>0</v>
      </c>
      <c r="AG572" s="93">
        <f t="shared" si="73"/>
        <v>0</v>
      </c>
      <c r="AH572" s="92">
        <f t="shared" si="73"/>
        <v>0</v>
      </c>
      <c r="AI572" s="93">
        <f t="shared" si="73"/>
        <v>0</v>
      </c>
      <c r="AQ572" s="83" t="str">
        <f t="shared" si="66"/>
        <v>D11Y</v>
      </c>
    </row>
    <row r="573" spans="1:43" x14ac:dyDescent="0.3">
      <c r="A573" s="93">
        <f t="shared" si="64"/>
        <v>0</v>
      </c>
      <c r="B573" s="94" t="s">
        <v>190</v>
      </c>
      <c r="C573" s="93">
        <f t="shared" ref="C573:AI573" si="74">B499</f>
        <v>0</v>
      </c>
      <c r="D573" s="93">
        <f t="shared" si="74"/>
        <v>0</v>
      </c>
      <c r="E573" s="93">
        <f t="shared" si="74"/>
        <v>0</v>
      </c>
      <c r="F573" s="93">
        <f t="shared" si="74"/>
        <v>0</v>
      </c>
      <c r="G573" s="93">
        <f t="shared" si="74"/>
        <v>0</v>
      </c>
      <c r="H573" s="93">
        <f t="shared" si="74"/>
        <v>0</v>
      </c>
      <c r="I573" s="93">
        <f t="shared" si="74"/>
        <v>0</v>
      </c>
      <c r="J573" s="93">
        <f t="shared" si="74"/>
        <v>0</v>
      </c>
      <c r="K573" s="93">
        <f t="shared" si="74"/>
        <v>0</v>
      </c>
      <c r="L573" s="93">
        <f t="shared" si="74"/>
        <v>0</v>
      </c>
      <c r="M573" s="93">
        <f t="shared" si="74"/>
        <v>0</v>
      </c>
      <c r="N573" s="93">
        <f t="shared" si="74"/>
        <v>0</v>
      </c>
      <c r="O573" s="93">
        <f t="shared" si="74"/>
        <v>0</v>
      </c>
      <c r="P573" s="93">
        <f t="shared" si="74"/>
        <v>0</v>
      </c>
      <c r="Q573" s="93">
        <f t="shared" si="74"/>
        <v>0</v>
      </c>
      <c r="R573" s="93">
        <f t="shared" si="74"/>
        <v>0</v>
      </c>
      <c r="S573" s="93">
        <f t="shared" si="74"/>
        <v>0</v>
      </c>
      <c r="T573" s="93">
        <f t="shared" si="74"/>
        <v>0</v>
      </c>
      <c r="U573" s="93">
        <f t="shared" si="74"/>
        <v>0</v>
      </c>
      <c r="V573" s="93">
        <f t="shared" si="74"/>
        <v>0</v>
      </c>
      <c r="W573" s="93">
        <f t="shared" si="74"/>
        <v>0</v>
      </c>
      <c r="X573" s="93">
        <f t="shared" si="74"/>
        <v>0</v>
      </c>
      <c r="Y573" s="93">
        <f t="shared" si="74"/>
        <v>0</v>
      </c>
      <c r="Z573" s="93">
        <f t="shared" si="74"/>
        <v>0</v>
      </c>
      <c r="AA573" s="93">
        <f t="shared" si="74"/>
        <v>0</v>
      </c>
      <c r="AB573" s="93">
        <f t="shared" si="74"/>
        <v>0</v>
      </c>
      <c r="AC573" s="93">
        <f t="shared" si="74"/>
        <v>0</v>
      </c>
      <c r="AD573" s="93">
        <f t="shared" si="74"/>
        <v>0</v>
      </c>
      <c r="AE573" s="93">
        <f t="shared" si="74"/>
        <v>0</v>
      </c>
      <c r="AF573" s="93">
        <f t="shared" si="74"/>
        <v>0</v>
      </c>
      <c r="AG573" s="93">
        <f t="shared" si="74"/>
        <v>0</v>
      </c>
      <c r="AH573" s="93">
        <f t="shared" si="74"/>
        <v>0</v>
      </c>
      <c r="AI573" s="92">
        <f t="shared" si="74"/>
        <v>0</v>
      </c>
      <c r="AQ573" s="83" t="str">
        <f t="shared" si="66"/>
        <v>D11θ</v>
      </c>
    </row>
    <row r="576" spans="1:43" x14ac:dyDescent="0.3">
      <c r="B576" s="103" t="s">
        <v>338</v>
      </c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</row>
    <row r="577" spans="2:40" x14ac:dyDescent="0.3">
      <c r="AL577" s="82" t="s">
        <v>339</v>
      </c>
      <c r="AN577" s="82" t="s">
        <v>340</v>
      </c>
    </row>
    <row r="578" spans="2:40" x14ac:dyDescent="0.3">
      <c r="B578" s="93">
        <f>IF($N504="RESTRINGIDO", 1, IF(OR($N504="", $C467=""), 1, B467))</f>
        <v>1</v>
      </c>
      <c r="C578" s="93">
        <f>IF(OR($N504="RESTRINGIDO", $N505="RESTRINGIDO"), 0, C467)</f>
        <v>0</v>
      </c>
      <c r="D578" s="93">
        <f>IF(OR($N504="RESTRINGIDO", $N506="RESTRINGIDO"), 0, D467)</f>
        <v>0</v>
      </c>
      <c r="E578" s="93">
        <f>IF(OR($N504="RESTRINGIDO", $N507="RESTRINGIDO"), 0, E467)</f>
        <v>0</v>
      </c>
      <c r="F578" s="93">
        <f>IF(OR($N504="RESTRINGIDO", $N508="RESTRINGIDO"), 0, F467)</f>
        <v>0</v>
      </c>
      <c r="G578" s="93">
        <f>IF(OR($N504="RESTRINGIDO", $N509="RESTRINGIDO"), 0, G467)</f>
        <v>0</v>
      </c>
      <c r="H578" s="93">
        <f>IF(OR($N504="RESTRINGIDO", $N510="RESTRINGIDO"), 0, H467)</f>
        <v>0</v>
      </c>
      <c r="I578" s="93">
        <f>IF(OR($N504="RESTRINGIDO", $N511="RESTRINGIDO"), 0, I467)</f>
        <v>0</v>
      </c>
      <c r="J578" s="93">
        <f>IF(OR($N504="RESTRINGIDO", $N512="RESTRINGIDO"), 0, J467)</f>
        <v>0</v>
      </c>
      <c r="K578" s="93">
        <f>IF(OR($N504="RESTRINGIDO", $N513="RESTRINGIDO"), 0, K467)</f>
        <v>0</v>
      </c>
      <c r="L578" s="93">
        <f>IF(OR($N504="RESTRINGIDO", $N514="RESTRINGIDO"), 0, L467)</f>
        <v>0</v>
      </c>
      <c r="M578" s="93">
        <f>IF(OR($N504="RESTRINGIDO", $N515="RESTRINGIDO"), 0, M467)</f>
        <v>0</v>
      </c>
      <c r="N578" s="93">
        <f>IF(OR($N504="RESTRINGIDO", $N516="RESTRINGIDO"), 0, N467)</f>
        <v>0</v>
      </c>
      <c r="O578" s="93">
        <f>IF(OR($N504="RESTRINGIDO", $N517="RESTRINGIDO"), 0, O467)</f>
        <v>0</v>
      </c>
      <c r="P578" s="93">
        <f>IF(OR($N504="RESTRINGIDO", $N518="RESTRINGIDO"), 0, P467)</f>
        <v>0</v>
      </c>
      <c r="Q578" s="93">
        <f>IF(OR($N504="RESTRINGIDO", $N519="RESTRINGIDO"), 0, Q467)</f>
        <v>0</v>
      </c>
      <c r="R578" s="93">
        <f>IF(OR($N504="RESTRINGIDO", $N520="RESTRINGIDO"), 0, R467)</f>
        <v>0</v>
      </c>
      <c r="S578" s="93">
        <f>IF(OR($N504="RESTRINGIDO", $N521="RESTRINGIDO"), 0, S467)</f>
        <v>0</v>
      </c>
      <c r="T578" s="93">
        <f>IF(OR($N504="RESTRINGIDO", $N522="RESTRINGIDO"), 0, T467)</f>
        <v>0</v>
      </c>
      <c r="U578" s="93">
        <f>IF(OR($N504="RESTRINGIDO", $N523="RESTRINGIDO"), 0, U467)</f>
        <v>0</v>
      </c>
      <c r="V578" s="93">
        <f>IF(OR($N504="RESTRINGIDO", $N524="RESTRINGIDO"), 0, V467)</f>
        <v>0</v>
      </c>
      <c r="W578" s="93">
        <f>IF(OR($N504="RESTRINGIDO", $N525="RESTRINGIDO"), 0, W467)</f>
        <v>0</v>
      </c>
      <c r="X578" s="93">
        <f>IF(OR($N504="RESTRINGIDO", $N526="RESTRINGIDO"), 0, X467)</f>
        <v>0</v>
      </c>
      <c r="Y578" s="93">
        <f>IF(OR($N504="RESTRINGIDO", $N527="RESTRINGIDO"), 0, Y467)</f>
        <v>0</v>
      </c>
      <c r="Z578" s="93">
        <f>IF(OR($N504="RESTRINGIDO", $N528="RESTRINGIDO"), 0, Z467)</f>
        <v>0</v>
      </c>
      <c r="AA578" s="93">
        <f>IF(OR($N504="RESTRINGIDO", $N529="RESTRINGIDO"), 0, AA467)</f>
        <v>0</v>
      </c>
      <c r="AB578" s="93">
        <f>IF(OR($N504="RESTRINGIDO", $N530="RESTRINGIDO"), 0, AB467)</f>
        <v>0</v>
      </c>
      <c r="AC578" s="93">
        <f>IF(OR($N504="RESTRINGIDO", $N531="RESTRINGIDO"), 0, AC467)</f>
        <v>0</v>
      </c>
      <c r="AD578" s="93">
        <f>IF(OR($N504="RESTRINGIDO", $N532="RESTRINGIDO"), 0, AD467)</f>
        <v>0</v>
      </c>
      <c r="AE578" s="93">
        <f>IF(OR($N504="RESTRINGIDO", $N533="RESTRINGIDO"), 0, AE467)</f>
        <v>0</v>
      </c>
      <c r="AF578" s="93">
        <f>IF(OR($N504="RESTRINGIDO", $N534="RESTRINGIDO"), 0, AF467)</f>
        <v>0</v>
      </c>
      <c r="AG578" s="93">
        <f>IF(OR($N504="RESTRINGIDO", $N535="RESTRINGIDO"), 0, AG467)</f>
        <v>0</v>
      </c>
      <c r="AH578" s="93">
        <f>IF(OR($N504="RESTRINGIDO", $N536="RESTRINGIDO"), 0, AH467)</f>
        <v>0</v>
      </c>
      <c r="AJ578" s="93">
        <f t="shared" ref="AJ578:AJ610" si="75">IF($N504="LIBRE", IF(ISNUMBER(E504), E504, 0), 0)</f>
        <v>0</v>
      </c>
      <c r="AL578" s="104">
        <f t="array" ref="AL578:AL610">MMULT(MINVERSE(B578:AH610), AJ578:AJ610)</f>
        <v>0</v>
      </c>
      <c r="AN578" s="104">
        <f t="array" ref="AN578:AN610">MMULT(B467:AH499, AL578:AL610) - IF(ISNUMBER(E504:E536), E504:E536, 0)</f>
        <v>0</v>
      </c>
    </row>
    <row r="579" spans="2:40" x14ac:dyDescent="0.3">
      <c r="B579" s="93">
        <f>IF(OR($N505="RESTRINGIDO", $N504="RESTRINGIDO"), 0, B468)</f>
        <v>0</v>
      </c>
      <c r="C579" s="93">
        <f>IF($N505="RESTRINGIDO", 1, IF(OR($N505="", $C468=""), 1, C468))</f>
        <v>1</v>
      </c>
      <c r="D579" s="93">
        <f>IF(OR($N505="RESTRINGIDO", $N506="RESTRINGIDO"), 0, D468)</f>
        <v>0</v>
      </c>
      <c r="E579" s="93">
        <f>IF(OR($N505="RESTRINGIDO", $N507="RESTRINGIDO"), 0, E468)</f>
        <v>0</v>
      </c>
      <c r="F579" s="93">
        <f>IF(OR($N505="RESTRINGIDO", $N508="RESTRINGIDO"), 0, F468)</f>
        <v>0</v>
      </c>
      <c r="G579" s="93">
        <f>IF(OR($N505="RESTRINGIDO", $N509="RESTRINGIDO"), 0, G468)</f>
        <v>0</v>
      </c>
      <c r="H579" s="93">
        <f>IF(OR($N505="RESTRINGIDO", $N510="RESTRINGIDO"), 0, H468)</f>
        <v>0</v>
      </c>
      <c r="I579" s="93">
        <f>IF(OR($N505="RESTRINGIDO", $N511="RESTRINGIDO"), 0, I468)</f>
        <v>0</v>
      </c>
      <c r="J579" s="93">
        <f>IF(OR($N505="RESTRINGIDO", $N512="RESTRINGIDO"), 0, J468)</f>
        <v>0</v>
      </c>
      <c r="K579" s="93">
        <f>IF(OR($N505="RESTRINGIDO", $N513="RESTRINGIDO"), 0, K468)</f>
        <v>0</v>
      </c>
      <c r="L579" s="93">
        <f>IF(OR($N505="RESTRINGIDO", $N514="RESTRINGIDO"), 0, L468)</f>
        <v>0</v>
      </c>
      <c r="M579" s="93">
        <f>IF(OR($N505="RESTRINGIDO", $N515="RESTRINGIDO"), 0, M468)</f>
        <v>0</v>
      </c>
      <c r="N579" s="93">
        <f>IF(OR($N505="RESTRINGIDO", $N516="RESTRINGIDO"), 0, N468)</f>
        <v>0</v>
      </c>
      <c r="O579" s="93">
        <f>IF(OR($N505="RESTRINGIDO", $N517="RESTRINGIDO"), 0, O468)</f>
        <v>0</v>
      </c>
      <c r="P579" s="93">
        <f>IF(OR($N505="RESTRINGIDO", $N518="RESTRINGIDO"), 0, P468)</f>
        <v>0</v>
      </c>
      <c r="Q579" s="93">
        <f>IF(OR($N505="RESTRINGIDO", $N519="RESTRINGIDO"), 0, Q468)</f>
        <v>0</v>
      </c>
      <c r="R579" s="93">
        <f>IF(OR($N505="RESTRINGIDO", $N520="RESTRINGIDO"), 0, R468)</f>
        <v>0</v>
      </c>
      <c r="S579" s="93">
        <f>IF(OR($N505="RESTRINGIDO", $N521="RESTRINGIDO"), 0, S468)</f>
        <v>0</v>
      </c>
      <c r="T579" s="93">
        <f>IF(OR($N505="RESTRINGIDO", $N522="RESTRINGIDO"), 0, T468)</f>
        <v>0</v>
      </c>
      <c r="U579" s="93">
        <f>IF(OR($N505="RESTRINGIDO", $N523="RESTRINGIDO"), 0, U468)</f>
        <v>0</v>
      </c>
      <c r="V579" s="93">
        <f>IF(OR($N505="RESTRINGIDO", $N524="RESTRINGIDO"), 0, V468)</f>
        <v>0</v>
      </c>
      <c r="W579" s="93">
        <f>IF(OR($N505="RESTRINGIDO", $N525="RESTRINGIDO"), 0, W468)</f>
        <v>0</v>
      </c>
      <c r="X579" s="93">
        <f>IF(OR($N505="RESTRINGIDO", $N526="RESTRINGIDO"), 0, X468)</f>
        <v>0</v>
      </c>
      <c r="Y579" s="93">
        <f>IF(OR($N505="RESTRINGIDO", $N527="RESTRINGIDO"), 0, Y468)</f>
        <v>0</v>
      </c>
      <c r="Z579" s="93">
        <f>IF(OR($N505="RESTRINGIDO", $N528="RESTRINGIDO"), 0, Z468)</f>
        <v>0</v>
      </c>
      <c r="AA579" s="93">
        <f>IF(OR($N505="RESTRINGIDO", $N529="RESTRINGIDO"), 0, AA468)</f>
        <v>0</v>
      </c>
      <c r="AB579" s="93">
        <f>IF(OR($N505="RESTRINGIDO", $N530="RESTRINGIDO"), 0, AB468)</f>
        <v>0</v>
      </c>
      <c r="AC579" s="93">
        <f>IF(OR($N505="RESTRINGIDO", $N531="RESTRINGIDO"), 0, AC468)</f>
        <v>0</v>
      </c>
      <c r="AD579" s="93">
        <f>IF(OR($N505="RESTRINGIDO", $N532="RESTRINGIDO"), 0, AD468)</f>
        <v>0</v>
      </c>
      <c r="AE579" s="93">
        <f>IF(OR($N505="RESTRINGIDO", $N533="RESTRINGIDO"), 0, AE468)</f>
        <v>0</v>
      </c>
      <c r="AF579" s="93">
        <f>IF(OR($N505="RESTRINGIDO", $N534="RESTRINGIDO"), 0, AF468)</f>
        <v>0</v>
      </c>
      <c r="AG579" s="93">
        <f>IF(OR($N505="RESTRINGIDO", $N535="RESTRINGIDO"), 0, AG468)</f>
        <v>0</v>
      </c>
      <c r="AH579" s="93">
        <f>IF(OR($N505="RESTRINGIDO", $N536="RESTRINGIDO"), 0, AH468)</f>
        <v>0</v>
      </c>
      <c r="AJ579" s="93">
        <f t="shared" si="75"/>
        <v>0</v>
      </c>
      <c r="AL579" s="104">
        <v>0</v>
      </c>
      <c r="AN579" s="104">
        <v>0</v>
      </c>
    </row>
    <row r="580" spans="2:40" x14ac:dyDescent="0.3">
      <c r="B580" s="93">
        <f>IF(OR($N506="RESTRINGIDO", $N504="RESTRINGIDO"), 0, B469)</f>
        <v>0</v>
      </c>
      <c r="C580" s="93">
        <f>IF(OR($N506="RESTRINGIDO", $N505="RESTRINGIDO"), 0, C469)</f>
        <v>0</v>
      </c>
      <c r="D580" s="93">
        <f>IF($N506="RESTRINGIDO", 1, IF(OR($N506="", $C469=""), 1, D469))</f>
        <v>1</v>
      </c>
      <c r="E580" s="93">
        <f>IF(OR($N506="RESTRINGIDO", $N507="RESTRINGIDO"), 0, E469)</f>
        <v>0</v>
      </c>
      <c r="F580" s="93">
        <f>IF(OR($N506="RESTRINGIDO", $N508="RESTRINGIDO"), 0, F469)</f>
        <v>0</v>
      </c>
      <c r="G580" s="93">
        <f>IF(OR($N506="RESTRINGIDO", $N509="RESTRINGIDO"), 0, G469)</f>
        <v>0</v>
      </c>
      <c r="H580" s="93">
        <f>IF(OR($N506="RESTRINGIDO", $N510="RESTRINGIDO"), 0, H469)</f>
        <v>0</v>
      </c>
      <c r="I580" s="93">
        <f>IF(OR($N506="RESTRINGIDO", $N511="RESTRINGIDO"), 0, I469)</f>
        <v>0</v>
      </c>
      <c r="J580" s="93">
        <f>IF(OR($N506="RESTRINGIDO", $N512="RESTRINGIDO"), 0, J469)</f>
        <v>0</v>
      </c>
      <c r="K580" s="93">
        <f>IF(OR($N506="RESTRINGIDO", $N513="RESTRINGIDO"), 0, K469)</f>
        <v>0</v>
      </c>
      <c r="L580" s="93">
        <f>IF(OR($N506="RESTRINGIDO", $N514="RESTRINGIDO"), 0, L469)</f>
        <v>0</v>
      </c>
      <c r="M580" s="93">
        <f>IF(OR($N506="RESTRINGIDO", $N515="RESTRINGIDO"), 0, M469)</f>
        <v>0</v>
      </c>
      <c r="N580" s="93">
        <f>IF(OR($N506="RESTRINGIDO", $N516="RESTRINGIDO"), 0, N469)</f>
        <v>0</v>
      </c>
      <c r="O580" s="93">
        <f>IF(OR($N506="RESTRINGIDO", $N517="RESTRINGIDO"), 0, O469)</f>
        <v>0</v>
      </c>
      <c r="P580" s="93">
        <f>IF(OR($N506="RESTRINGIDO", $N518="RESTRINGIDO"), 0, P469)</f>
        <v>0</v>
      </c>
      <c r="Q580" s="93">
        <f>IF(OR($N506="RESTRINGIDO", $N519="RESTRINGIDO"), 0, Q469)</f>
        <v>0</v>
      </c>
      <c r="R580" s="93">
        <f>IF(OR($N506="RESTRINGIDO", $N520="RESTRINGIDO"), 0, R469)</f>
        <v>0</v>
      </c>
      <c r="S580" s="93">
        <f>IF(OR($N506="RESTRINGIDO", $N521="RESTRINGIDO"), 0, S469)</f>
        <v>0</v>
      </c>
      <c r="T580" s="93">
        <f>IF(OR($N506="RESTRINGIDO", $N522="RESTRINGIDO"), 0, T469)</f>
        <v>0</v>
      </c>
      <c r="U580" s="93">
        <f>IF(OR($N506="RESTRINGIDO", $N523="RESTRINGIDO"), 0, U469)</f>
        <v>0</v>
      </c>
      <c r="V580" s="93">
        <f>IF(OR($N506="RESTRINGIDO", $N524="RESTRINGIDO"), 0, V469)</f>
        <v>0</v>
      </c>
      <c r="W580" s="93">
        <f>IF(OR($N506="RESTRINGIDO", $N525="RESTRINGIDO"), 0, W469)</f>
        <v>0</v>
      </c>
      <c r="X580" s="93">
        <f>IF(OR($N506="RESTRINGIDO", $N526="RESTRINGIDO"), 0, X469)</f>
        <v>0</v>
      </c>
      <c r="Y580" s="93">
        <f>IF(OR($N506="RESTRINGIDO", $N527="RESTRINGIDO"), 0, Y469)</f>
        <v>0</v>
      </c>
      <c r="Z580" s="93">
        <f>IF(OR($N506="RESTRINGIDO", $N528="RESTRINGIDO"), 0, Z469)</f>
        <v>0</v>
      </c>
      <c r="AA580" s="93">
        <f>IF(OR($N506="RESTRINGIDO", $N529="RESTRINGIDO"), 0, AA469)</f>
        <v>0</v>
      </c>
      <c r="AB580" s="93">
        <f>IF(OR($N506="RESTRINGIDO", $N530="RESTRINGIDO"), 0, AB469)</f>
        <v>0</v>
      </c>
      <c r="AC580" s="93">
        <f>IF(OR($N506="RESTRINGIDO", $N531="RESTRINGIDO"), 0, AC469)</f>
        <v>0</v>
      </c>
      <c r="AD580" s="93">
        <f>IF(OR($N506="RESTRINGIDO", $N532="RESTRINGIDO"), 0, AD469)</f>
        <v>0</v>
      </c>
      <c r="AE580" s="93">
        <f>IF(OR($N506="RESTRINGIDO", $N533="RESTRINGIDO"), 0, AE469)</f>
        <v>0</v>
      </c>
      <c r="AF580" s="93">
        <f>IF(OR($N506="RESTRINGIDO", $N534="RESTRINGIDO"), 0, AF469)</f>
        <v>0</v>
      </c>
      <c r="AG580" s="93">
        <f>IF(OR($N506="RESTRINGIDO", $N535="RESTRINGIDO"), 0, AG469)</f>
        <v>0</v>
      </c>
      <c r="AH580" s="93">
        <f>IF(OR($N506="RESTRINGIDO", $N536="RESTRINGIDO"), 0, AH469)</f>
        <v>0</v>
      </c>
      <c r="AJ580" s="93">
        <f t="shared" si="75"/>
        <v>0</v>
      </c>
      <c r="AL580" s="104">
        <v>0</v>
      </c>
      <c r="AN580" s="104">
        <v>0</v>
      </c>
    </row>
    <row r="581" spans="2:40" x14ac:dyDescent="0.3">
      <c r="B581" s="93">
        <f>IF(OR($N507="RESTRINGIDO", $N504="RESTRINGIDO"), 0, B470)</f>
        <v>0</v>
      </c>
      <c r="C581" s="93">
        <f>IF(OR($N507="RESTRINGIDO", $N505="RESTRINGIDO"), 0, C470)</f>
        <v>0</v>
      </c>
      <c r="D581" s="93">
        <f>IF(OR($N507="RESTRINGIDO", $N506="RESTRINGIDO"), 0, D470)</f>
        <v>0</v>
      </c>
      <c r="E581" s="93">
        <f>IF($N507="RESTRINGIDO", 1, IF(OR($N507="", $C470=""), 1, E470))</f>
        <v>1</v>
      </c>
      <c r="F581" s="93">
        <f>IF(OR($N507="RESTRINGIDO", $N508="RESTRINGIDO"), 0, F470)</f>
        <v>0</v>
      </c>
      <c r="G581" s="93">
        <f>IF(OR($N507="RESTRINGIDO", $N509="RESTRINGIDO"), 0, G470)</f>
        <v>0</v>
      </c>
      <c r="H581" s="93">
        <f>IF(OR($N507="RESTRINGIDO", $N510="RESTRINGIDO"), 0, H470)</f>
        <v>0</v>
      </c>
      <c r="I581" s="93">
        <f>IF(OR($N507="RESTRINGIDO", $N511="RESTRINGIDO"), 0, I470)</f>
        <v>0</v>
      </c>
      <c r="J581" s="93">
        <f>IF(OR($N507="RESTRINGIDO", $N512="RESTRINGIDO"), 0, J470)</f>
        <v>0</v>
      </c>
      <c r="K581" s="93">
        <f>IF(OR($N507="RESTRINGIDO", $N513="RESTRINGIDO"), 0, K470)</f>
        <v>0</v>
      </c>
      <c r="L581" s="93">
        <f>IF(OR($N507="RESTRINGIDO", $N514="RESTRINGIDO"), 0, L470)</f>
        <v>0</v>
      </c>
      <c r="M581" s="93">
        <f>IF(OR($N507="RESTRINGIDO", $N515="RESTRINGIDO"), 0, M470)</f>
        <v>0</v>
      </c>
      <c r="N581" s="93">
        <f>IF(OR($N507="RESTRINGIDO", $N516="RESTRINGIDO"), 0, N470)</f>
        <v>0</v>
      </c>
      <c r="O581" s="93">
        <f>IF(OR($N507="RESTRINGIDO", $N517="RESTRINGIDO"), 0, O470)</f>
        <v>0</v>
      </c>
      <c r="P581" s="93">
        <f>IF(OR($N507="RESTRINGIDO", $N518="RESTRINGIDO"), 0, P470)</f>
        <v>0</v>
      </c>
      <c r="Q581" s="93">
        <f>IF(OR($N507="RESTRINGIDO", $N519="RESTRINGIDO"), 0, Q470)</f>
        <v>0</v>
      </c>
      <c r="R581" s="93">
        <f>IF(OR($N507="RESTRINGIDO", $N520="RESTRINGIDO"), 0, R470)</f>
        <v>0</v>
      </c>
      <c r="S581" s="93">
        <f>IF(OR($N507="RESTRINGIDO", $N521="RESTRINGIDO"), 0, S470)</f>
        <v>0</v>
      </c>
      <c r="T581" s="93">
        <f>IF(OR($N507="RESTRINGIDO", $N522="RESTRINGIDO"), 0, T470)</f>
        <v>0</v>
      </c>
      <c r="U581" s="93">
        <f>IF(OR($N507="RESTRINGIDO", $N523="RESTRINGIDO"), 0, U470)</f>
        <v>0</v>
      </c>
      <c r="V581" s="93">
        <f>IF(OR($N507="RESTRINGIDO", $N524="RESTRINGIDO"), 0, V470)</f>
        <v>0</v>
      </c>
      <c r="W581" s="93">
        <f>IF(OR($N507="RESTRINGIDO", $N525="RESTRINGIDO"), 0, W470)</f>
        <v>0</v>
      </c>
      <c r="X581" s="93">
        <f>IF(OR($N507="RESTRINGIDO", $N526="RESTRINGIDO"), 0, X470)</f>
        <v>0</v>
      </c>
      <c r="Y581" s="93">
        <f>IF(OR($N507="RESTRINGIDO", $N527="RESTRINGIDO"), 0, Y470)</f>
        <v>0</v>
      </c>
      <c r="Z581" s="93">
        <f>IF(OR($N507="RESTRINGIDO", $N528="RESTRINGIDO"), 0, Z470)</f>
        <v>0</v>
      </c>
      <c r="AA581" s="93">
        <f>IF(OR($N507="RESTRINGIDO", $N529="RESTRINGIDO"), 0, AA470)</f>
        <v>0</v>
      </c>
      <c r="AB581" s="93">
        <f>IF(OR($N507="RESTRINGIDO", $N530="RESTRINGIDO"), 0, AB470)</f>
        <v>0</v>
      </c>
      <c r="AC581" s="93">
        <f>IF(OR($N507="RESTRINGIDO", $N531="RESTRINGIDO"), 0, AC470)</f>
        <v>0</v>
      </c>
      <c r="AD581" s="93">
        <f>IF(OR($N507="RESTRINGIDO", $N532="RESTRINGIDO"), 0, AD470)</f>
        <v>0</v>
      </c>
      <c r="AE581" s="93">
        <f>IF(OR($N507="RESTRINGIDO", $N533="RESTRINGIDO"), 0, AE470)</f>
        <v>0</v>
      </c>
      <c r="AF581" s="93">
        <f>IF(OR($N507="RESTRINGIDO", $N534="RESTRINGIDO"), 0, AF470)</f>
        <v>0</v>
      </c>
      <c r="AG581" s="93">
        <f>IF(OR($N507="RESTRINGIDO", $N535="RESTRINGIDO"), 0, AG470)</f>
        <v>0</v>
      </c>
      <c r="AH581" s="93">
        <f>IF(OR($N507="RESTRINGIDO", $N536="RESTRINGIDO"), 0, AH470)</f>
        <v>0</v>
      </c>
      <c r="AJ581" s="93">
        <f t="shared" si="75"/>
        <v>0</v>
      </c>
      <c r="AL581" s="104">
        <v>0</v>
      </c>
      <c r="AN581" s="104">
        <v>0</v>
      </c>
    </row>
    <row r="582" spans="2:40" x14ac:dyDescent="0.3">
      <c r="B582" s="93">
        <f>IF(OR($N508="RESTRINGIDO", $N504="RESTRINGIDO"), 0, B471)</f>
        <v>0</v>
      </c>
      <c r="C582" s="93">
        <f>IF(OR($N508="RESTRINGIDO", $N505="RESTRINGIDO"), 0, C471)</f>
        <v>0</v>
      </c>
      <c r="D582" s="93">
        <f>IF(OR($N508="RESTRINGIDO", $N506="RESTRINGIDO"), 0, D471)</f>
        <v>0</v>
      </c>
      <c r="E582" s="93">
        <f>IF(OR($N508="RESTRINGIDO", $N507="RESTRINGIDO"), 0, E471)</f>
        <v>0</v>
      </c>
      <c r="F582" s="93">
        <f>IF($N508="RESTRINGIDO", 1, IF(OR($N508="", $C471=""), 1, F471))</f>
        <v>1</v>
      </c>
      <c r="G582" s="93">
        <f>IF(OR($N508="RESTRINGIDO", $N509="RESTRINGIDO"), 0, G471)</f>
        <v>0</v>
      </c>
      <c r="H582" s="93">
        <f>IF(OR($N508="RESTRINGIDO", $N510="RESTRINGIDO"), 0, H471)</f>
        <v>0</v>
      </c>
      <c r="I582" s="93">
        <f>IF(OR($N508="RESTRINGIDO", $N511="RESTRINGIDO"), 0, I471)</f>
        <v>0</v>
      </c>
      <c r="J582" s="93">
        <f>IF(OR($N508="RESTRINGIDO", $N512="RESTRINGIDO"), 0, J471)</f>
        <v>0</v>
      </c>
      <c r="K582" s="93">
        <f>IF(OR($N508="RESTRINGIDO", $N513="RESTRINGIDO"), 0, K471)</f>
        <v>0</v>
      </c>
      <c r="L582" s="93">
        <f>IF(OR($N508="RESTRINGIDO", $N514="RESTRINGIDO"), 0, L471)</f>
        <v>0</v>
      </c>
      <c r="M582" s="93">
        <f>IF(OR($N508="RESTRINGIDO", $N515="RESTRINGIDO"), 0, M471)</f>
        <v>0</v>
      </c>
      <c r="N582" s="93">
        <f>IF(OR($N508="RESTRINGIDO", $N516="RESTRINGIDO"), 0, N471)</f>
        <v>0</v>
      </c>
      <c r="O582" s="93">
        <f>IF(OR($N508="RESTRINGIDO", $N517="RESTRINGIDO"), 0, O471)</f>
        <v>0</v>
      </c>
      <c r="P582" s="93">
        <f>IF(OR($N508="RESTRINGIDO", $N518="RESTRINGIDO"), 0, P471)</f>
        <v>0</v>
      </c>
      <c r="Q582" s="93">
        <f>IF(OR($N508="RESTRINGIDO", $N519="RESTRINGIDO"), 0, Q471)</f>
        <v>0</v>
      </c>
      <c r="R582" s="93">
        <f>IF(OR($N508="RESTRINGIDO", $N520="RESTRINGIDO"), 0, R471)</f>
        <v>0</v>
      </c>
      <c r="S582" s="93">
        <f>IF(OR($N508="RESTRINGIDO", $N521="RESTRINGIDO"), 0, S471)</f>
        <v>0</v>
      </c>
      <c r="T582" s="93">
        <f>IF(OR($N508="RESTRINGIDO", $N522="RESTRINGIDO"), 0, T471)</f>
        <v>0</v>
      </c>
      <c r="U582" s="93">
        <f>IF(OR($N508="RESTRINGIDO", $N523="RESTRINGIDO"), 0, U471)</f>
        <v>0</v>
      </c>
      <c r="V582" s="93">
        <f>IF(OR($N508="RESTRINGIDO", $N524="RESTRINGIDO"), 0, V471)</f>
        <v>0</v>
      </c>
      <c r="W582" s="93">
        <f>IF(OR($N508="RESTRINGIDO", $N525="RESTRINGIDO"), 0, W471)</f>
        <v>0</v>
      </c>
      <c r="X582" s="93">
        <f>IF(OR($N508="RESTRINGIDO", $N526="RESTRINGIDO"), 0, X471)</f>
        <v>0</v>
      </c>
      <c r="Y582" s="93">
        <f>IF(OR($N508="RESTRINGIDO", $N527="RESTRINGIDO"), 0, Y471)</f>
        <v>0</v>
      </c>
      <c r="Z582" s="93">
        <f>IF(OR($N508="RESTRINGIDO", $N528="RESTRINGIDO"), 0, Z471)</f>
        <v>0</v>
      </c>
      <c r="AA582" s="93">
        <f>IF(OR($N508="RESTRINGIDO", $N529="RESTRINGIDO"), 0, AA471)</f>
        <v>0</v>
      </c>
      <c r="AB582" s="93">
        <f>IF(OR($N508="RESTRINGIDO", $N530="RESTRINGIDO"), 0, AB471)</f>
        <v>0</v>
      </c>
      <c r="AC582" s="93">
        <f>IF(OR($N508="RESTRINGIDO", $N531="RESTRINGIDO"), 0, AC471)</f>
        <v>0</v>
      </c>
      <c r="AD582" s="93">
        <f>IF(OR($N508="RESTRINGIDO", $N532="RESTRINGIDO"), 0, AD471)</f>
        <v>0</v>
      </c>
      <c r="AE582" s="93">
        <f>IF(OR($N508="RESTRINGIDO", $N533="RESTRINGIDO"), 0, AE471)</f>
        <v>0</v>
      </c>
      <c r="AF582" s="93">
        <f>IF(OR($N508="RESTRINGIDO", $N534="RESTRINGIDO"), 0, AF471)</f>
        <v>0</v>
      </c>
      <c r="AG582" s="93">
        <f>IF(OR($N508="RESTRINGIDO", $N535="RESTRINGIDO"), 0, AG471)</f>
        <v>0</v>
      </c>
      <c r="AH582" s="93">
        <f>IF(OR($N508="RESTRINGIDO", $N536="RESTRINGIDO"), 0, AH471)</f>
        <v>0</v>
      </c>
      <c r="AJ582" s="93">
        <f t="shared" si="75"/>
        <v>0</v>
      </c>
      <c r="AL582" s="104">
        <v>0</v>
      </c>
      <c r="AN582" s="104">
        <v>0</v>
      </c>
    </row>
    <row r="583" spans="2:40" x14ac:dyDescent="0.3">
      <c r="B583" s="93">
        <f>IF(OR($N509="RESTRINGIDO", $N504="RESTRINGIDO"), 0, B472)</f>
        <v>0</v>
      </c>
      <c r="C583" s="93">
        <f>IF(OR($N509="RESTRINGIDO", $N505="RESTRINGIDO"), 0, C472)</f>
        <v>0</v>
      </c>
      <c r="D583" s="93">
        <f>IF(OR($N509="RESTRINGIDO", $N506="RESTRINGIDO"), 0, D472)</f>
        <v>0</v>
      </c>
      <c r="E583" s="93">
        <f>IF(OR($N509="RESTRINGIDO", $N507="RESTRINGIDO"), 0, E472)</f>
        <v>0</v>
      </c>
      <c r="F583" s="93">
        <f>IF(OR($N509="RESTRINGIDO", $N508="RESTRINGIDO"), 0, F472)</f>
        <v>0</v>
      </c>
      <c r="G583" s="93">
        <f>IF($N509="RESTRINGIDO", 1, IF(OR($N509="", $C472=""), 1, G472))</f>
        <v>1</v>
      </c>
      <c r="H583" s="93">
        <f>IF(OR($N509="RESTRINGIDO", $N510="RESTRINGIDO"), 0, H472)</f>
        <v>0</v>
      </c>
      <c r="I583" s="93">
        <f>IF(OR($N509="RESTRINGIDO", $N511="RESTRINGIDO"), 0, I472)</f>
        <v>0</v>
      </c>
      <c r="J583" s="93">
        <f>IF(OR($N509="RESTRINGIDO", $N512="RESTRINGIDO"), 0, J472)</f>
        <v>0</v>
      </c>
      <c r="K583" s="93">
        <f>IF(OR($N509="RESTRINGIDO", $N513="RESTRINGIDO"), 0, K472)</f>
        <v>0</v>
      </c>
      <c r="L583" s="93">
        <f>IF(OR($N509="RESTRINGIDO", $N514="RESTRINGIDO"), 0, L472)</f>
        <v>0</v>
      </c>
      <c r="M583" s="93">
        <f>IF(OR($N509="RESTRINGIDO", $N515="RESTRINGIDO"), 0, M472)</f>
        <v>0</v>
      </c>
      <c r="N583" s="93">
        <f>IF(OR($N509="RESTRINGIDO", $N516="RESTRINGIDO"), 0, N472)</f>
        <v>0</v>
      </c>
      <c r="O583" s="93">
        <f>IF(OR($N509="RESTRINGIDO", $N517="RESTRINGIDO"), 0, O472)</f>
        <v>0</v>
      </c>
      <c r="P583" s="93">
        <f>IF(OR($N509="RESTRINGIDO", $N518="RESTRINGIDO"), 0, P472)</f>
        <v>0</v>
      </c>
      <c r="Q583" s="93">
        <f>IF(OR($N509="RESTRINGIDO", $N519="RESTRINGIDO"), 0, Q472)</f>
        <v>0</v>
      </c>
      <c r="R583" s="93">
        <f>IF(OR($N509="RESTRINGIDO", $N520="RESTRINGIDO"), 0, R472)</f>
        <v>0</v>
      </c>
      <c r="S583" s="93">
        <f>IF(OR($N509="RESTRINGIDO", $N521="RESTRINGIDO"), 0, S472)</f>
        <v>0</v>
      </c>
      <c r="T583" s="93">
        <f>IF(OR($N509="RESTRINGIDO", $N522="RESTRINGIDO"), 0, T472)</f>
        <v>0</v>
      </c>
      <c r="U583" s="93">
        <f>IF(OR($N509="RESTRINGIDO", $N523="RESTRINGIDO"), 0, U472)</f>
        <v>0</v>
      </c>
      <c r="V583" s="93">
        <f>IF(OR($N509="RESTRINGIDO", $N524="RESTRINGIDO"), 0, V472)</f>
        <v>0</v>
      </c>
      <c r="W583" s="93">
        <f>IF(OR($N509="RESTRINGIDO", $N525="RESTRINGIDO"), 0, W472)</f>
        <v>0</v>
      </c>
      <c r="X583" s="93">
        <f>IF(OR($N509="RESTRINGIDO", $N526="RESTRINGIDO"), 0, X472)</f>
        <v>0</v>
      </c>
      <c r="Y583" s="93">
        <f>IF(OR($N509="RESTRINGIDO", $N527="RESTRINGIDO"), 0, Y472)</f>
        <v>0</v>
      </c>
      <c r="Z583" s="93">
        <f>IF(OR($N509="RESTRINGIDO", $N528="RESTRINGIDO"), 0, Z472)</f>
        <v>0</v>
      </c>
      <c r="AA583" s="93">
        <f>IF(OR($N509="RESTRINGIDO", $N529="RESTRINGIDO"), 0, AA472)</f>
        <v>0</v>
      </c>
      <c r="AB583" s="93">
        <f>IF(OR($N509="RESTRINGIDO", $N530="RESTRINGIDO"), 0, AB472)</f>
        <v>0</v>
      </c>
      <c r="AC583" s="93">
        <f>IF(OR($N509="RESTRINGIDO", $N531="RESTRINGIDO"), 0, AC472)</f>
        <v>0</v>
      </c>
      <c r="AD583" s="93">
        <f>IF(OR($N509="RESTRINGIDO", $N532="RESTRINGIDO"), 0, AD472)</f>
        <v>0</v>
      </c>
      <c r="AE583" s="93">
        <f>IF(OR($N509="RESTRINGIDO", $N533="RESTRINGIDO"), 0, AE472)</f>
        <v>0</v>
      </c>
      <c r="AF583" s="93">
        <f>IF(OR($N509="RESTRINGIDO", $N534="RESTRINGIDO"), 0, AF472)</f>
        <v>0</v>
      </c>
      <c r="AG583" s="93">
        <f>IF(OR($N509="RESTRINGIDO", $N535="RESTRINGIDO"), 0, AG472)</f>
        <v>0</v>
      </c>
      <c r="AH583" s="93">
        <f>IF(OR($N509="RESTRINGIDO", $N536="RESTRINGIDO"), 0, AH472)</f>
        <v>0</v>
      </c>
      <c r="AJ583" s="93">
        <f t="shared" si="75"/>
        <v>0</v>
      </c>
      <c r="AL583" s="104">
        <v>0</v>
      </c>
      <c r="AN583" s="104">
        <v>0</v>
      </c>
    </row>
    <row r="584" spans="2:40" x14ac:dyDescent="0.3">
      <c r="B584" s="93">
        <f>IF(OR($N510="RESTRINGIDO", $N504="RESTRINGIDO"), 0, B473)</f>
        <v>0</v>
      </c>
      <c r="C584" s="93">
        <f>IF(OR($N510="RESTRINGIDO", $N505="RESTRINGIDO"), 0, C473)</f>
        <v>0</v>
      </c>
      <c r="D584" s="93">
        <f>IF(OR($N510="RESTRINGIDO", $N506="RESTRINGIDO"), 0, D473)</f>
        <v>0</v>
      </c>
      <c r="E584" s="93">
        <f>IF(OR($N510="RESTRINGIDO", $N507="RESTRINGIDO"), 0, E473)</f>
        <v>0</v>
      </c>
      <c r="F584" s="93">
        <f>IF(OR($N510="RESTRINGIDO", $N508="RESTRINGIDO"), 0, F473)</f>
        <v>0</v>
      </c>
      <c r="G584" s="93">
        <f>IF(OR($N510="RESTRINGIDO", $N509="RESTRINGIDO"), 0, G473)</f>
        <v>0</v>
      </c>
      <c r="H584" s="93">
        <f>IF($N510="RESTRINGIDO", 1, IF(OR($N510="", $C473=""), 1, H473))</f>
        <v>1</v>
      </c>
      <c r="I584" s="93">
        <f>IF(OR($N510="RESTRINGIDO", $N511="RESTRINGIDO"), 0, I473)</f>
        <v>0</v>
      </c>
      <c r="J584" s="93">
        <f>IF(OR($N510="RESTRINGIDO", $N512="RESTRINGIDO"), 0, J473)</f>
        <v>0</v>
      </c>
      <c r="K584" s="93">
        <f>IF(OR($N510="RESTRINGIDO", $N513="RESTRINGIDO"), 0, K473)</f>
        <v>0</v>
      </c>
      <c r="L584" s="93">
        <f>IF(OR($N510="RESTRINGIDO", $N514="RESTRINGIDO"), 0, L473)</f>
        <v>0</v>
      </c>
      <c r="M584" s="93">
        <f>IF(OR($N510="RESTRINGIDO", $N515="RESTRINGIDO"), 0, M473)</f>
        <v>0</v>
      </c>
      <c r="N584" s="93">
        <f>IF(OR($N510="RESTRINGIDO", $N516="RESTRINGIDO"), 0, N473)</f>
        <v>0</v>
      </c>
      <c r="O584" s="93">
        <f>IF(OR($N510="RESTRINGIDO", $N517="RESTRINGIDO"), 0, O473)</f>
        <v>0</v>
      </c>
      <c r="P584" s="93">
        <f>IF(OR($N510="RESTRINGIDO", $N518="RESTRINGIDO"), 0, P473)</f>
        <v>0</v>
      </c>
      <c r="Q584" s="93">
        <f>IF(OR($N510="RESTRINGIDO", $N519="RESTRINGIDO"), 0, Q473)</f>
        <v>0</v>
      </c>
      <c r="R584" s="93">
        <f>IF(OR($N510="RESTRINGIDO", $N520="RESTRINGIDO"), 0, R473)</f>
        <v>0</v>
      </c>
      <c r="S584" s="93">
        <f>IF(OR($N510="RESTRINGIDO", $N521="RESTRINGIDO"), 0, S473)</f>
        <v>0</v>
      </c>
      <c r="T584" s="93">
        <f>IF(OR($N510="RESTRINGIDO", $N522="RESTRINGIDO"), 0, T473)</f>
        <v>0</v>
      </c>
      <c r="U584" s="93">
        <f>IF(OR($N510="RESTRINGIDO", $N523="RESTRINGIDO"), 0, U473)</f>
        <v>0</v>
      </c>
      <c r="V584" s="93">
        <f>IF(OR($N510="RESTRINGIDO", $N524="RESTRINGIDO"), 0, V473)</f>
        <v>0</v>
      </c>
      <c r="W584" s="93">
        <f>IF(OR($N510="RESTRINGIDO", $N525="RESTRINGIDO"), 0, W473)</f>
        <v>0</v>
      </c>
      <c r="X584" s="93">
        <f>IF(OR($N510="RESTRINGIDO", $N526="RESTRINGIDO"), 0, X473)</f>
        <v>0</v>
      </c>
      <c r="Y584" s="93">
        <f>IF(OR($N510="RESTRINGIDO", $N527="RESTRINGIDO"), 0, Y473)</f>
        <v>0</v>
      </c>
      <c r="Z584" s="93">
        <f>IF(OR($N510="RESTRINGIDO", $N528="RESTRINGIDO"), 0, Z473)</f>
        <v>0</v>
      </c>
      <c r="AA584" s="93">
        <f>IF(OR($N510="RESTRINGIDO", $N529="RESTRINGIDO"), 0, AA473)</f>
        <v>0</v>
      </c>
      <c r="AB584" s="93">
        <f>IF(OR($N510="RESTRINGIDO", $N530="RESTRINGIDO"), 0, AB473)</f>
        <v>0</v>
      </c>
      <c r="AC584" s="93">
        <f>IF(OR($N510="RESTRINGIDO", $N531="RESTRINGIDO"), 0, AC473)</f>
        <v>0</v>
      </c>
      <c r="AD584" s="93">
        <f>IF(OR($N510="RESTRINGIDO", $N532="RESTRINGIDO"), 0, AD473)</f>
        <v>0</v>
      </c>
      <c r="AE584" s="93">
        <f>IF(OR($N510="RESTRINGIDO", $N533="RESTRINGIDO"), 0, AE473)</f>
        <v>0</v>
      </c>
      <c r="AF584" s="93">
        <f>IF(OR($N510="RESTRINGIDO", $N534="RESTRINGIDO"), 0, AF473)</f>
        <v>0</v>
      </c>
      <c r="AG584" s="93">
        <f>IF(OR($N510="RESTRINGIDO", $N535="RESTRINGIDO"), 0, AG473)</f>
        <v>0</v>
      </c>
      <c r="AH584" s="93">
        <f>IF(OR($N510="RESTRINGIDO", $N536="RESTRINGIDO"), 0, AH473)</f>
        <v>0</v>
      </c>
      <c r="AJ584" s="93">
        <f t="shared" si="75"/>
        <v>0</v>
      </c>
      <c r="AL584" s="104">
        <v>0</v>
      </c>
      <c r="AN584" s="104">
        <v>0</v>
      </c>
    </row>
    <row r="585" spans="2:40" x14ac:dyDescent="0.3">
      <c r="B585" s="93">
        <f>IF(OR($N511="RESTRINGIDO", $N504="RESTRINGIDO"), 0, B474)</f>
        <v>0</v>
      </c>
      <c r="C585" s="93">
        <f>IF(OR($N511="RESTRINGIDO", $N505="RESTRINGIDO"), 0, C474)</f>
        <v>0</v>
      </c>
      <c r="D585" s="93">
        <f>IF(OR($N511="RESTRINGIDO", $N506="RESTRINGIDO"), 0, D474)</f>
        <v>0</v>
      </c>
      <c r="E585" s="93">
        <f>IF(OR($N511="RESTRINGIDO", $N507="RESTRINGIDO"), 0, E474)</f>
        <v>0</v>
      </c>
      <c r="F585" s="93">
        <f>IF(OR($N511="RESTRINGIDO", $N508="RESTRINGIDO"), 0, F474)</f>
        <v>0</v>
      </c>
      <c r="G585" s="93">
        <f>IF(OR($N511="RESTRINGIDO", $N509="RESTRINGIDO"), 0, G474)</f>
        <v>0</v>
      </c>
      <c r="H585" s="93">
        <f>IF(OR($N511="RESTRINGIDO", $N510="RESTRINGIDO"), 0, H474)</f>
        <v>0</v>
      </c>
      <c r="I585" s="93">
        <f>IF($N511="RESTRINGIDO", 1, IF(OR($N511="", $C474=""), 1, I474))</f>
        <v>1</v>
      </c>
      <c r="J585" s="93">
        <f>IF(OR($N511="RESTRINGIDO", $N512="RESTRINGIDO"), 0, J474)</f>
        <v>0</v>
      </c>
      <c r="K585" s="93">
        <f>IF(OR($N511="RESTRINGIDO", $N513="RESTRINGIDO"), 0, K474)</f>
        <v>0</v>
      </c>
      <c r="L585" s="93">
        <f>IF(OR($N511="RESTRINGIDO", $N514="RESTRINGIDO"), 0, L474)</f>
        <v>0</v>
      </c>
      <c r="M585" s="93">
        <f>IF(OR($N511="RESTRINGIDO", $N515="RESTRINGIDO"), 0, M474)</f>
        <v>0</v>
      </c>
      <c r="N585" s="93">
        <f>IF(OR($N511="RESTRINGIDO", $N516="RESTRINGIDO"), 0, N474)</f>
        <v>0</v>
      </c>
      <c r="O585" s="93">
        <f>IF(OR($N511="RESTRINGIDO", $N517="RESTRINGIDO"), 0, O474)</f>
        <v>0</v>
      </c>
      <c r="P585" s="93">
        <f>IF(OR($N511="RESTRINGIDO", $N518="RESTRINGIDO"), 0, P474)</f>
        <v>0</v>
      </c>
      <c r="Q585" s="93">
        <f>IF(OR($N511="RESTRINGIDO", $N519="RESTRINGIDO"), 0, Q474)</f>
        <v>0</v>
      </c>
      <c r="R585" s="93">
        <f>IF(OR($N511="RESTRINGIDO", $N520="RESTRINGIDO"), 0, R474)</f>
        <v>0</v>
      </c>
      <c r="S585" s="93">
        <f>IF(OR($N511="RESTRINGIDO", $N521="RESTRINGIDO"), 0, S474)</f>
        <v>0</v>
      </c>
      <c r="T585" s="93">
        <f>IF(OR($N511="RESTRINGIDO", $N522="RESTRINGIDO"), 0, T474)</f>
        <v>0</v>
      </c>
      <c r="U585" s="93">
        <f>IF(OR($N511="RESTRINGIDO", $N523="RESTRINGIDO"), 0, U474)</f>
        <v>0</v>
      </c>
      <c r="V585" s="93">
        <f>IF(OR($N511="RESTRINGIDO", $N524="RESTRINGIDO"), 0, V474)</f>
        <v>0</v>
      </c>
      <c r="W585" s="93">
        <f>IF(OR($N511="RESTRINGIDO", $N525="RESTRINGIDO"), 0, W474)</f>
        <v>0</v>
      </c>
      <c r="X585" s="93">
        <f>IF(OR($N511="RESTRINGIDO", $N526="RESTRINGIDO"), 0, X474)</f>
        <v>0</v>
      </c>
      <c r="Y585" s="93">
        <f>IF(OR($N511="RESTRINGIDO", $N527="RESTRINGIDO"), 0, Y474)</f>
        <v>0</v>
      </c>
      <c r="Z585" s="93">
        <f>IF(OR($N511="RESTRINGIDO", $N528="RESTRINGIDO"), 0, Z474)</f>
        <v>0</v>
      </c>
      <c r="AA585" s="93">
        <f>IF(OR($N511="RESTRINGIDO", $N529="RESTRINGIDO"), 0, AA474)</f>
        <v>0</v>
      </c>
      <c r="AB585" s="93">
        <f>IF(OR($N511="RESTRINGIDO", $N530="RESTRINGIDO"), 0, AB474)</f>
        <v>0</v>
      </c>
      <c r="AC585" s="93">
        <f>IF(OR($N511="RESTRINGIDO", $N531="RESTRINGIDO"), 0, AC474)</f>
        <v>0</v>
      </c>
      <c r="AD585" s="93">
        <f>IF(OR($N511="RESTRINGIDO", $N532="RESTRINGIDO"), 0, AD474)</f>
        <v>0</v>
      </c>
      <c r="AE585" s="93">
        <f>IF(OR($N511="RESTRINGIDO", $N533="RESTRINGIDO"), 0, AE474)</f>
        <v>0</v>
      </c>
      <c r="AF585" s="93">
        <f>IF(OR($N511="RESTRINGIDO", $N534="RESTRINGIDO"), 0, AF474)</f>
        <v>0</v>
      </c>
      <c r="AG585" s="93">
        <f>IF(OR($N511="RESTRINGIDO", $N535="RESTRINGIDO"), 0, AG474)</f>
        <v>0</v>
      </c>
      <c r="AH585" s="93">
        <f>IF(OR($N511="RESTRINGIDO", $N536="RESTRINGIDO"), 0, AH474)</f>
        <v>0</v>
      </c>
      <c r="AJ585" s="93">
        <f t="shared" si="75"/>
        <v>0</v>
      </c>
      <c r="AL585" s="104">
        <v>0</v>
      </c>
      <c r="AN585" s="104">
        <v>0</v>
      </c>
    </row>
    <row r="586" spans="2:40" x14ac:dyDescent="0.3">
      <c r="B586" s="93">
        <f>IF(OR($N512="RESTRINGIDO", $N504="RESTRINGIDO"), 0, B475)</f>
        <v>0</v>
      </c>
      <c r="C586" s="93">
        <f>IF(OR($N512="RESTRINGIDO", $N505="RESTRINGIDO"), 0, C475)</f>
        <v>0</v>
      </c>
      <c r="D586" s="93">
        <f>IF(OR($N512="RESTRINGIDO", $N506="RESTRINGIDO"), 0, D475)</f>
        <v>0</v>
      </c>
      <c r="E586" s="93">
        <f>IF(OR($N512="RESTRINGIDO", $N507="RESTRINGIDO"), 0, E475)</f>
        <v>0</v>
      </c>
      <c r="F586" s="93">
        <f>IF(OR($N512="RESTRINGIDO", $N508="RESTRINGIDO"), 0, F475)</f>
        <v>0</v>
      </c>
      <c r="G586" s="93">
        <f>IF(OR($N512="RESTRINGIDO", $N509="RESTRINGIDO"), 0, G475)</f>
        <v>0</v>
      </c>
      <c r="H586" s="93">
        <f>IF(OR($N512="RESTRINGIDO", $N510="RESTRINGIDO"), 0, H475)</f>
        <v>0</v>
      </c>
      <c r="I586" s="93">
        <f>IF(OR($N512="RESTRINGIDO", $N511="RESTRINGIDO"), 0, I475)</f>
        <v>0</v>
      </c>
      <c r="J586" s="93">
        <f>IF($N512="RESTRINGIDO", 1, IF(OR($N512="", $C475=""), 1, J475))</f>
        <v>1</v>
      </c>
      <c r="K586" s="93">
        <f>IF(OR($N512="RESTRINGIDO", $N513="RESTRINGIDO"), 0, K475)</f>
        <v>0</v>
      </c>
      <c r="L586" s="93">
        <f>IF(OR($N512="RESTRINGIDO", $N514="RESTRINGIDO"), 0, L475)</f>
        <v>0</v>
      </c>
      <c r="M586" s="93">
        <f>IF(OR($N512="RESTRINGIDO", $N515="RESTRINGIDO"), 0, M475)</f>
        <v>0</v>
      </c>
      <c r="N586" s="93">
        <f>IF(OR($N512="RESTRINGIDO", $N516="RESTRINGIDO"), 0, N475)</f>
        <v>0</v>
      </c>
      <c r="O586" s="93">
        <f>IF(OR($N512="RESTRINGIDO", $N517="RESTRINGIDO"), 0, O475)</f>
        <v>0</v>
      </c>
      <c r="P586" s="93">
        <f>IF(OR($N512="RESTRINGIDO", $N518="RESTRINGIDO"), 0, P475)</f>
        <v>0</v>
      </c>
      <c r="Q586" s="93">
        <f>IF(OR($N512="RESTRINGIDO", $N519="RESTRINGIDO"), 0, Q475)</f>
        <v>0</v>
      </c>
      <c r="R586" s="93">
        <f>IF(OR($N512="RESTRINGIDO", $N520="RESTRINGIDO"), 0, R475)</f>
        <v>0</v>
      </c>
      <c r="S586" s="93">
        <f>IF(OR($N512="RESTRINGIDO", $N521="RESTRINGIDO"), 0, S475)</f>
        <v>0</v>
      </c>
      <c r="T586" s="93">
        <f>IF(OR($N512="RESTRINGIDO", $N522="RESTRINGIDO"), 0, T475)</f>
        <v>0</v>
      </c>
      <c r="U586" s="93">
        <f>IF(OR($N512="RESTRINGIDO", $N523="RESTRINGIDO"), 0, U475)</f>
        <v>0</v>
      </c>
      <c r="V586" s="93">
        <f>IF(OR($N512="RESTRINGIDO", $N524="RESTRINGIDO"), 0, V475)</f>
        <v>0</v>
      </c>
      <c r="W586" s="93">
        <f>IF(OR($N512="RESTRINGIDO", $N525="RESTRINGIDO"), 0, W475)</f>
        <v>0</v>
      </c>
      <c r="X586" s="93">
        <f>IF(OR($N512="RESTRINGIDO", $N526="RESTRINGIDO"), 0, X475)</f>
        <v>0</v>
      </c>
      <c r="Y586" s="93">
        <f>IF(OR($N512="RESTRINGIDO", $N527="RESTRINGIDO"), 0, Y475)</f>
        <v>0</v>
      </c>
      <c r="Z586" s="93">
        <f>IF(OR($N512="RESTRINGIDO", $N528="RESTRINGIDO"), 0, Z475)</f>
        <v>0</v>
      </c>
      <c r="AA586" s="93">
        <f>IF(OR($N512="RESTRINGIDO", $N529="RESTRINGIDO"), 0, AA475)</f>
        <v>0</v>
      </c>
      <c r="AB586" s="93">
        <f>IF(OR($N512="RESTRINGIDO", $N530="RESTRINGIDO"), 0, AB475)</f>
        <v>0</v>
      </c>
      <c r="AC586" s="93">
        <f>IF(OR($N512="RESTRINGIDO", $N531="RESTRINGIDO"), 0, AC475)</f>
        <v>0</v>
      </c>
      <c r="AD586" s="93">
        <f>IF(OR($N512="RESTRINGIDO", $N532="RESTRINGIDO"), 0, AD475)</f>
        <v>0</v>
      </c>
      <c r="AE586" s="93">
        <f>IF(OR($N512="RESTRINGIDO", $N533="RESTRINGIDO"), 0, AE475)</f>
        <v>0</v>
      </c>
      <c r="AF586" s="93">
        <f>IF(OR($N512="RESTRINGIDO", $N534="RESTRINGIDO"), 0, AF475)</f>
        <v>0</v>
      </c>
      <c r="AG586" s="93">
        <f>IF(OR($N512="RESTRINGIDO", $N535="RESTRINGIDO"), 0, AG475)</f>
        <v>0</v>
      </c>
      <c r="AH586" s="93">
        <f>IF(OR($N512="RESTRINGIDO", $N536="RESTRINGIDO"), 0, AH475)</f>
        <v>0</v>
      </c>
      <c r="AJ586" s="93">
        <f t="shared" si="75"/>
        <v>0</v>
      </c>
      <c r="AL586" s="104">
        <v>0</v>
      </c>
      <c r="AN586" s="104">
        <v>0</v>
      </c>
    </row>
    <row r="587" spans="2:40" x14ac:dyDescent="0.3">
      <c r="B587" s="93">
        <f>IF(OR($N513="RESTRINGIDO", $N504="RESTRINGIDO"), 0, B476)</f>
        <v>0</v>
      </c>
      <c r="C587" s="93">
        <f>IF(OR($N513="RESTRINGIDO", $N505="RESTRINGIDO"), 0, C476)</f>
        <v>0</v>
      </c>
      <c r="D587" s="93">
        <f>IF(OR($N513="RESTRINGIDO", $N506="RESTRINGIDO"), 0, D476)</f>
        <v>0</v>
      </c>
      <c r="E587" s="93">
        <f>IF(OR($N513="RESTRINGIDO", $N507="RESTRINGIDO"), 0, E476)</f>
        <v>0</v>
      </c>
      <c r="F587" s="93">
        <f>IF(OR($N513="RESTRINGIDO", $N508="RESTRINGIDO"), 0, F476)</f>
        <v>0</v>
      </c>
      <c r="G587" s="93">
        <f>IF(OR($N513="RESTRINGIDO", $N509="RESTRINGIDO"), 0, G476)</f>
        <v>0</v>
      </c>
      <c r="H587" s="93">
        <f>IF(OR($N513="RESTRINGIDO", $N510="RESTRINGIDO"), 0, H476)</f>
        <v>0</v>
      </c>
      <c r="I587" s="93">
        <f>IF(OR($N513="RESTRINGIDO", $N511="RESTRINGIDO"), 0, I476)</f>
        <v>0</v>
      </c>
      <c r="J587" s="93">
        <f>IF(OR($N513="RESTRINGIDO", $N512="RESTRINGIDO"), 0, J476)</f>
        <v>0</v>
      </c>
      <c r="K587" s="93">
        <f>IF($N513="RESTRINGIDO", 1, IF(OR($N513="", $C476=""), 1, K476))</f>
        <v>1</v>
      </c>
      <c r="L587" s="93">
        <f>IF(OR($N513="RESTRINGIDO", $N514="RESTRINGIDO"), 0, L476)</f>
        <v>0</v>
      </c>
      <c r="M587" s="93">
        <f>IF(OR($N513="RESTRINGIDO", $N515="RESTRINGIDO"), 0, M476)</f>
        <v>0</v>
      </c>
      <c r="N587" s="93">
        <f>IF(OR($N513="RESTRINGIDO", $N516="RESTRINGIDO"), 0, N476)</f>
        <v>0</v>
      </c>
      <c r="O587" s="93">
        <f>IF(OR($N513="RESTRINGIDO", $N517="RESTRINGIDO"), 0, O476)</f>
        <v>0</v>
      </c>
      <c r="P587" s="93">
        <f>IF(OR($N513="RESTRINGIDO", $N518="RESTRINGIDO"), 0, P476)</f>
        <v>0</v>
      </c>
      <c r="Q587" s="93">
        <f>IF(OR($N513="RESTRINGIDO", $N519="RESTRINGIDO"), 0, Q476)</f>
        <v>0</v>
      </c>
      <c r="R587" s="93">
        <f>IF(OR($N513="RESTRINGIDO", $N520="RESTRINGIDO"), 0, R476)</f>
        <v>0</v>
      </c>
      <c r="S587" s="93">
        <f>IF(OR($N513="RESTRINGIDO", $N521="RESTRINGIDO"), 0, S476)</f>
        <v>0</v>
      </c>
      <c r="T587" s="93">
        <f>IF(OR($N513="RESTRINGIDO", $N522="RESTRINGIDO"), 0, T476)</f>
        <v>0</v>
      </c>
      <c r="U587" s="93">
        <f>IF(OR($N513="RESTRINGIDO", $N523="RESTRINGIDO"), 0, U476)</f>
        <v>0</v>
      </c>
      <c r="V587" s="93">
        <f>IF(OR($N513="RESTRINGIDO", $N524="RESTRINGIDO"), 0, V476)</f>
        <v>0</v>
      </c>
      <c r="W587" s="93">
        <f>IF(OR($N513="RESTRINGIDO", $N525="RESTRINGIDO"), 0, W476)</f>
        <v>0</v>
      </c>
      <c r="X587" s="93">
        <f>IF(OR($N513="RESTRINGIDO", $N526="RESTRINGIDO"), 0, X476)</f>
        <v>0</v>
      </c>
      <c r="Y587" s="93">
        <f>IF(OR($N513="RESTRINGIDO", $N527="RESTRINGIDO"), 0, Y476)</f>
        <v>0</v>
      </c>
      <c r="Z587" s="93">
        <f>IF(OR($N513="RESTRINGIDO", $N528="RESTRINGIDO"), 0, Z476)</f>
        <v>0</v>
      </c>
      <c r="AA587" s="93">
        <f>IF(OR($N513="RESTRINGIDO", $N529="RESTRINGIDO"), 0, AA476)</f>
        <v>0</v>
      </c>
      <c r="AB587" s="93">
        <f>IF(OR($N513="RESTRINGIDO", $N530="RESTRINGIDO"), 0, AB476)</f>
        <v>0</v>
      </c>
      <c r="AC587" s="93">
        <f>IF(OR($N513="RESTRINGIDO", $N531="RESTRINGIDO"), 0, AC476)</f>
        <v>0</v>
      </c>
      <c r="AD587" s="93">
        <f>IF(OR($N513="RESTRINGIDO", $N532="RESTRINGIDO"), 0, AD476)</f>
        <v>0</v>
      </c>
      <c r="AE587" s="93">
        <f>IF(OR($N513="RESTRINGIDO", $N533="RESTRINGIDO"), 0, AE476)</f>
        <v>0</v>
      </c>
      <c r="AF587" s="93">
        <f>IF(OR($N513="RESTRINGIDO", $N534="RESTRINGIDO"), 0, AF476)</f>
        <v>0</v>
      </c>
      <c r="AG587" s="93">
        <f>IF(OR($N513="RESTRINGIDO", $N535="RESTRINGIDO"), 0, AG476)</f>
        <v>0</v>
      </c>
      <c r="AH587" s="93">
        <f>IF(OR($N513="RESTRINGIDO", $N536="RESTRINGIDO"), 0, AH476)</f>
        <v>0</v>
      </c>
      <c r="AJ587" s="93">
        <f t="shared" si="75"/>
        <v>0</v>
      </c>
      <c r="AL587" s="104">
        <v>0</v>
      </c>
      <c r="AN587" s="104">
        <v>0</v>
      </c>
    </row>
    <row r="588" spans="2:40" x14ac:dyDescent="0.3">
      <c r="B588" s="93">
        <f>IF(OR($N514="RESTRINGIDO", $N504="RESTRINGIDO"), 0, B477)</f>
        <v>0</v>
      </c>
      <c r="C588" s="93">
        <f>IF(OR($N514="RESTRINGIDO", $N505="RESTRINGIDO"), 0, C477)</f>
        <v>0</v>
      </c>
      <c r="D588" s="93">
        <f>IF(OR($N514="RESTRINGIDO", $N506="RESTRINGIDO"), 0, D477)</f>
        <v>0</v>
      </c>
      <c r="E588" s="93">
        <f>IF(OR($N514="RESTRINGIDO", $N507="RESTRINGIDO"), 0, E477)</f>
        <v>0</v>
      </c>
      <c r="F588" s="93">
        <f>IF(OR($N514="RESTRINGIDO", $N508="RESTRINGIDO"), 0, F477)</f>
        <v>0</v>
      </c>
      <c r="G588" s="93">
        <f>IF(OR($N514="RESTRINGIDO", $N509="RESTRINGIDO"), 0, G477)</f>
        <v>0</v>
      </c>
      <c r="H588" s="93">
        <f>IF(OR($N514="RESTRINGIDO", $N510="RESTRINGIDO"), 0, H477)</f>
        <v>0</v>
      </c>
      <c r="I588" s="93">
        <f>IF(OR($N514="RESTRINGIDO", $N511="RESTRINGIDO"), 0, I477)</f>
        <v>0</v>
      </c>
      <c r="J588" s="93">
        <f>IF(OR($N514="RESTRINGIDO", $N512="RESTRINGIDO"), 0, J477)</f>
        <v>0</v>
      </c>
      <c r="K588" s="93">
        <f>IF(OR($N514="RESTRINGIDO", $N513="RESTRINGIDO"), 0, K477)</f>
        <v>0</v>
      </c>
      <c r="L588" s="93">
        <f>IF($N514="RESTRINGIDO", 1, IF(OR($N514="", $C477=""), 1, L477))</f>
        <v>1</v>
      </c>
      <c r="M588" s="93">
        <f>IF(OR($N514="RESTRINGIDO", $N515="RESTRINGIDO"), 0, M477)</f>
        <v>0</v>
      </c>
      <c r="N588" s="93">
        <f>IF(OR($N514="RESTRINGIDO", $N516="RESTRINGIDO"), 0, N477)</f>
        <v>0</v>
      </c>
      <c r="O588" s="93">
        <f>IF(OR($N514="RESTRINGIDO", $N517="RESTRINGIDO"), 0, O477)</f>
        <v>0</v>
      </c>
      <c r="P588" s="93">
        <f>IF(OR($N514="RESTRINGIDO", $N518="RESTRINGIDO"), 0, P477)</f>
        <v>0</v>
      </c>
      <c r="Q588" s="93">
        <f>IF(OR($N514="RESTRINGIDO", $N519="RESTRINGIDO"), 0, Q477)</f>
        <v>0</v>
      </c>
      <c r="R588" s="93">
        <f>IF(OR($N514="RESTRINGIDO", $N520="RESTRINGIDO"), 0, R477)</f>
        <v>0</v>
      </c>
      <c r="S588" s="93">
        <f>IF(OR($N514="RESTRINGIDO", $N521="RESTRINGIDO"), 0, S477)</f>
        <v>0</v>
      </c>
      <c r="T588" s="93">
        <f>IF(OR($N514="RESTRINGIDO", $N522="RESTRINGIDO"), 0, T477)</f>
        <v>0</v>
      </c>
      <c r="U588" s="93">
        <f>IF(OR($N514="RESTRINGIDO", $N523="RESTRINGIDO"), 0, U477)</f>
        <v>0</v>
      </c>
      <c r="V588" s="93">
        <f>IF(OR($N514="RESTRINGIDO", $N524="RESTRINGIDO"), 0, V477)</f>
        <v>0</v>
      </c>
      <c r="W588" s="93">
        <f>IF(OR($N514="RESTRINGIDO", $N525="RESTRINGIDO"), 0, W477)</f>
        <v>0</v>
      </c>
      <c r="X588" s="93">
        <f>IF(OR($N514="RESTRINGIDO", $N526="RESTRINGIDO"), 0, X477)</f>
        <v>0</v>
      </c>
      <c r="Y588" s="93">
        <f>IF(OR($N514="RESTRINGIDO", $N527="RESTRINGIDO"), 0, Y477)</f>
        <v>0</v>
      </c>
      <c r="Z588" s="93">
        <f>IF(OR($N514="RESTRINGIDO", $N528="RESTRINGIDO"), 0, Z477)</f>
        <v>0</v>
      </c>
      <c r="AA588" s="93">
        <f>IF(OR($N514="RESTRINGIDO", $N529="RESTRINGIDO"), 0, AA477)</f>
        <v>0</v>
      </c>
      <c r="AB588" s="93">
        <f>IF(OR($N514="RESTRINGIDO", $N530="RESTRINGIDO"), 0, AB477)</f>
        <v>0</v>
      </c>
      <c r="AC588" s="93">
        <f>IF(OR($N514="RESTRINGIDO", $N531="RESTRINGIDO"), 0, AC477)</f>
        <v>0</v>
      </c>
      <c r="AD588" s="93">
        <f>IF(OR($N514="RESTRINGIDO", $N532="RESTRINGIDO"), 0, AD477)</f>
        <v>0</v>
      </c>
      <c r="AE588" s="93">
        <f>IF(OR($N514="RESTRINGIDO", $N533="RESTRINGIDO"), 0, AE477)</f>
        <v>0</v>
      </c>
      <c r="AF588" s="93">
        <f>IF(OR($N514="RESTRINGIDO", $N534="RESTRINGIDO"), 0, AF477)</f>
        <v>0</v>
      </c>
      <c r="AG588" s="93">
        <f>IF(OR($N514="RESTRINGIDO", $N535="RESTRINGIDO"), 0, AG477)</f>
        <v>0</v>
      </c>
      <c r="AH588" s="93">
        <f>IF(OR($N514="RESTRINGIDO", $N536="RESTRINGIDO"), 0, AH477)</f>
        <v>0</v>
      </c>
      <c r="AJ588" s="93">
        <f t="shared" si="75"/>
        <v>0</v>
      </c>
      <c r="AL588" s="104">
        <v>0</v>
      </c>
      <c r="AN588" s="104">
        <v>0</v>
      </c>
    </row>
    <row r="589" spans="2:40" x14ac:dyDescent="0.3">
      <c r="B589" s="93">
        <f>IF(OR($N515="RESTRINGIDO", $N504="RESTRINGIDO"), 0, B478)</f>
        <v>0</v>
      </c>
      <c r="C589" s="93">
        <f>IF(OR($N515="RESTRINGIDO", $N505="RESTRINGIDO"), 0, C478)</f>
        <v>0</v>
      </c>
      <c r="D589" s="93">
        <f>IF(OR($N515="RESTRINGIDO", $N506="RESTRINGIDO"), 0, D478)</f>
        <v>0</v>
      </c>
      <c r="E589" s="93">
        <f>IF(OR($N515="RESTRINGIDO", $N507="RESTRINGIDO"), 0, E478)</f>
        <v>0</v>
      </c>
      <c r="F589" s="93">
        <f>IF(OR($N515="RESTRINGIDO", $N508="RESTRINGIDO"), 0, F478)</f>
        <v>0</v>
      </c>
      <c r="G589" s="93">
        <f>IF(OR($N515="RESTRINGIDO", $N509="RESTRINGIDO"), 0, G478)</f>
        <v>0</v>
      </c>
      <c r="H589" s="93">
        <f>IF(OR($N515="RESTRINGIDO", $N510="RESTRINGIDO"), 0, H478)</f>
        <v>0</v>
      </c>
      <c r="I589" s="93">
        <f>IF(OR($N515="RESTRINGIDO", $N511="RESTRINGIDO"), 0, I478)</f>
        <v>0</v>
      </c>
      <c r="J589" s="93">
        <f>IF(OR($N515="RESTRINGIDO", $N512="RESTRINGIDO"), 0, J478)</f>
        <v>0</v>
      </c>
      <c r="K589" s="93">
        <f>IF(OR($N515="RESTRINGIDO", $N513="RESTRINGIDO"), 0, K478)</f>
        <v>0</v>
      </c>
      <c r="L589" s="93">
        <f>IF(OR($N515="RESTRINGIDO", $N514="RESTRINGIDO"), 0, L478)</f>
        <v>0</v>
      </c>
      <c r="M589" s="93">
        <f>IF($N515="RESTRINGIDO", 1, IF(OR($N515="", $C478=""), 1, M478))</f>
        <v>1</v>
      </c>
      <c r="N589" s="93">
        <f>IF(OR($N515="RESTRINGIDO", $N516="RESTRINGIDO"), 0, N478)</f>
        <v>0</v>
      </c>
      <c r="O589" s="93">
        <f>IF(OR($N515="RESTRINGIDO", $N517="RESTRINGIDO"), 0, O478)</f>
        <v>0</v>
      </c>
      <c r="P589" s="93">
        <f>IF(OR($N515="RESTRINGIDO", $N518="RESTRINGIDO"), 0, P478)</f>
        <v>0</v>
      </c>
      <c r="Q589" s="93">
        <f>IF(OR($N515="RESTRINGIDO", $N519="RESTRINGIDO"), 0, Q478)</f>
        <v>0</v>
      </c>
      <c r="R589" s="93">
        <f>IF(OR($N515="RESTRINGIDO", $N520="RESTRINGIDO"), 0, R478)</f>
        <v>0</v>
      </c>
      <c r="S589" s="93">
        <f>IF(OR($N515="RESTRINGIDO", $N521="RESTRINGIDO"), 0, S478)</f>
        <v>0</v>
      </c>
      <c r="T589" s="93">
        <f>IF(OR($N515="RESTRINGIDO", $N522="RESTRINGIDO"), 0, T478)</f>
        <v>0</v>
      </c>
      <c r="U589" s="93">
        <f>IF(OR($N515="RESTRINGIDO", $N523="RESTRINGIDO"), 0, U478)</f>
        <v>0</v>
      </c>
      <c r="V589" s="93">
        <f>IF(OR($N515="RESTRINGIDO", $N524="RESTRINGIDO"), 0, V478)</f>
        <v>0</v>
      </c>
      <c r="W589" s="93">
        <f>IF(OR($N515="RESTRINGIDO", $N525="RESTRINGIDO"), 0, W478)</f>
        <v>0</v>
      </c>
      <c r="X589" s="93">
        <f>IF(OR($N515="RESTRINGIDO", $N526="RESTRINGIDO"), 0, X478)</f>
        <v>0</v>
      </c>
      <c r="Y589" s="93">
        <f>IF(OR($N515="RESTRINGIDO", $N527="RESTRINGIDO"), 0, Y478)</f>
        <v>0</v>
      </c>
      <c r="Z589" s="93">
        <f>IF(OR($N515="RESTRINGIDO", $N528="RESTRINGIDO"), 0, Z478)</f>
        <v>0</v>
      </c>
      <c r="AA589" s="93">
        <f>IF(OR($N515="RESTRINGIDO", $N529="RESTRINGIDO"), 0, AA478)</f>
        <v>0</v>
      </c>
      <c r="AB589" s="93">
        <f>IF(OR($N515="RESTRINGIDO", $N530="RESTRINGIDO"), 0, AB478)</f>
        <v>0</v>
      </c>
      <c r="AC589" s="93">
        <f>IF(OR($N515="RESTRINGIDO", $N531="RESTRINGIDO"), 0, AC478)</f>
        <v>0</v>
      </c>
      <c r="AD589" s="93">
        <f>IF(OR($N515="RESTRINGIDO", $N532="RESTRINGIDO"), 0, AD478)</f>
        <v>0</v>
      </c>
      <c r="AE589" s="93">
        <f>IF(OR($N515="RESTRINGIDO", $N533="RESTRINGIDO"), 0, AE478)</f>
        <v>0</v>
      </c>
      <c r="AF589" s="93">
        <f>IF(OR($N515="RESTRINGIDO", $N534="RESTRINGIDO"), 0, AF478)</f>
        <v>0</v>
      </c>
      <c r="AG589" s="93">
        <f>IF(OR($N515="RESTRINGIDO", $N535="RESTRINGIDO"), 0, AG478)</f>
        <v>0</v>
      </c>
      <c r="AH589" s="93">
        <f>IF(OR($N515="RESTRINGIDO", $N536="RESTRINGIDO"), 0, AH478)</f>
        <v>0</v>
      </c>
      <c r="AJ589" s="93">
        <f t="shared" si="75"/>
        <v>0</v>
      </c>
      <c r="AL589" s="104">
        <v>0</v>
      </c>
      <c r="AN589" s="104">
        <v>0</v>
      </c>
    </row>
    <row r="590" spans="2:40" x14ac:dyDescent="0.3">
      <c r="B590" s="93">
        <f>IF(OR($N516="RESTRINGIDO", $N504="RESTRINGIDO"), 0, B479)</f>
        <v>0</v>
      </c>
      <c r="C590" s="93">
        <f>IF(OR($N516="RESTRINGIDO", $N505="RESTRINGIDO"), 0, C479)</f>
        <v>0</v>
      </c>
      <c r="D590" s="93">
        <f>IF(OR($N516="RESTRINGIDO", $N506="RESTRINGIDO"), 0, D479)</f>
        <v>0</v>
      </c>
      <c r="E590" s="93">
        <f>IF(OR($N516="RESTRINGIDO", $N507="RESTRINGIDO"), 0, E479)</f>
        <v>0</v>
      </c>
      <c r="F590" s="93">
        <f>IF(OR($N516="RESTRINGIDO", $N508="RESTRINGIDO"), 0, F479)</f>
        <v>0</v>
      </c>
      <c r="G590" s="93">
        <f>IF(OR($N516="RESTRINGIDO", $N509="RESTRINGIDO"), 0, G479)</f>
        <v>0</v>
      </c>
      <c r="H590" s="93">
        <f>IF(OR($N516="RESTRINGIDO", $N510="RESTRINGIDO"), 0, H479)</f>
        <v>0</v>
      </c>
      <c r="I590" s="93">
        <f>IF(OR($N516="RESTRINGIDO", $N511="RESTRINGIDO"), 0, I479)</f>
        <v>0</v>
      </c>
      <c r="J590" s="93">
        <f>IF(OR($N516="RESTRINGIDO", $N512="RESTRINGIDO"), 0, J479)</f>
        <v>0</v>
      </c>
      <c r="K590" s="93">
        <f>IF(OR($N516="RESTRINGIDO", $N513="RESTRINGIDO"), 0, K479)</f>
        <v>0</v>
      </c>
      <c r="L590" s="93">
        <f>IF(OR($N516="RESTRINGIDO", $N514="RESTRINGIDO"), 0, L479)</f>
        <v>0</v>
      </c>
      <c r="M590" s="93">
        <f>IF(OR($N516="RESTRINGIDO", $N515="RESTRINGIDO"), 0, M479)</f>
        <v>0</v>
      </c>
      <c r="N590" s="93">
        <f>IF($N516="RESTRINGIDO", 1, IF(OR($N516="", $C479=""), 1, N479))</f>
        <v>1</v>
      </c>
      <c r="O590" s="93">
        <f>IF(OR($N516="RESTRINGIDO", $N517="RESTRINGIDO"), 0, O479)</f>
        <v>0</v>
      </c>
      <c r="P590" s="93">
        <f>IF(OR($N516="RESTRINGIDO", $N518="RESTRINGIDO"), 0, P479)</f>
        <v>0</v>
      </c>
      <c r="Q590" s="93">
        <f>IF(OR($N516="RESTRINGIDO", $N519="RESTRINGIDO"), 0, Q479)</f>
        <v>0</v>
      </c>
      <c r="R590" s="93">
        <f>IF(OR($N516="RESTRINGIDO", $N520="RESTRINGIDO"), 0, R479)</f>
        <v>0</v>
      </c>
      <c r="S590" s="93">
        <f>IF(OR($N516="RESTRINGIDO", $N521="RESTRINGIDO"), 0, S479)</f>
        <v>0</v>
      </c>
      <c r="T590" s="93">
        <f>IF(OR($N516="RESTRINGIDO", $N522="RESTRINGIDO"), 0, T479)</f>
        <v>0</v>
      </c>
      <c r="U590" s="93">
        <f>IF(OR($N516="RESTRINGIDO", $N523="RESTRINGIDO"), 0, U479)</f>
        <v>0</v>
      </c>
      <c r="V590" s="93">
        <f>IF(OR($N516="RESTRINGIDO", $N524="RESTRINGIDO"), 0, V479)</f>
        <v>0</v>
      </c>
      <c r="W590" s="93">
        <f>IF(OR($N516="RESTRINGIDO", $N525="RESTRINGIDO"), 0, W479)</f>
        <v>0</v>
      </c>
      <c r="X590" s="93">
        <f>IF(OR($N516="RESTRINGIDO", $N526="RESTRINGIDO"), 0, X479)</f>
        <v>0</v>
      </c>
      <c r="Y590" s="93">
        <f>IF(OR($N516="RESTRINGIDO", $N527="RESTRINGIDO"), 0, Y479)</f>
        <v>0</v>
      </c>
      <c r="Z590" s="93">
        <f>IF(OR($N516="RESTRINGIDO", $N528="RESTRINGIDO"), 0, Z479)</f>
        <v>0</v>
      </c>
      <c r="AA590" s="93">
        <f>IF(OR($N516="RESTRINGIDO", $N529="RESTRINGIDO"), 0, AA479)</f>
        <v>0</v>
      </c>
      <c r="AB590" s="93">
        <f>IF(OR($N516="RESTRINGIDO", $N530="RESTRINGIDO"), 0, AB479)</f>
        <v>0</v>
      </c>
      <c r="AC590" s="93">
        <f>IF(OR($N516="RESTRINGIDO", $N531="RESTRINGIDO"), 0, AC479)</f>
        <v>0</v>
      </c>
      <c r="AD590" s="93">
        <f>IF(OR($N516="RESTRINGIDO", $N532="RESTRINGIDO"), 0, AD479)</f>
        <v>0</v>
      </c>
      <c r="AE590" s="93">
        <f>IF(OR($N516="RESTRINGIDO", $N533="RESTRINGIDO"), 0, AE479)</f>
        <v>0</v>
      </c>
      <c r="AF590" s="93">
        <f>IF(OR($N516="RESTRINGIDO", $N534="RESTRINGIDO"), 0, AF479)</f>
        <v>0</v>
      </c>
      <c r="AG590" s="93">
        <f>IF(OR($N516="RESTRINGIDO", $N535="RESTRINGIDO"), 0, AG479)</f>
        <v>0</v>
      </c>
      <c r="AH590" s="93">
        <f>IF(OR($N516="RESTRINGIDO", $N536="RESTRINGIDO"), 0, AH479)</f>
        <v>0</v>
      </c>
      <c r="AJ590" s="93">
        <f t="shared" si="75"/>
        <v>0</v>
      </c>
      <c r="AL590" s="104">
        <v>0</v>
      </c>
      <c r="AN590" s="104">
        <v>0</v>
      </c>
    </row>
    <row r="591" spans="2:40" x14ac:dyDescent="0.3">
      <c r="B591" s="93">
        <f>IF(OR($N517="RESTRINGIDO", $N504="RESTRINGIDO"), 0, B480)</f>
        <v>0</v>
      </c>
      <c r="C591" s="93">
        <f>IF(OR($N517="RESTRINGIDO", $N505="RESTRINGIDO"), 0, C480)</f>
        <v>0</v>
      </c>
      <c r="D591" s="93">
        <f>IF(OR($N517="RESTRINGIDO", $N506="RESTRINGIDO"), 0, D480)</f>
        <v>0</v>
      </c>
      <c r="E591" s="93">
        <f>IF(OR($N517="RESTRINGIDO", $N507="RESTRINGIDO"), 0, E480)</f>
        <v>0</v>
      </c>
      <c r="F591" s="93">
        <f>IF(OR($N517="RESTRINGIDO", $N508="RESTRINGIDO"), 0, F480)</f>
        <v>0</v>
      </c>
      <c r="G591" s="93">
        <f>IF(OR($N517="RESTRINGIDO", $N509="RESTRINGIDO"), 0, G480)</f>
        <v>0</v>
      </c>
      <c r="H591" s="93">
        <f>IF(OR($N517="RESTRINGIDO", $N510="RESTRINGIDO"), 0, H480)</f>
        <v>0</v>
      </c>
      <c r="I591" s="93">
        <f>IF(OR($N517="RESTRINGIDO", $N511="RESTRINGIDO"), 0, I480)</f>
        <v>0</v>
      </c>
      <c r="J591" s="93">
        <f>IF(OR($N517="RESTRINGIDO", $N512="RESTRINGIDO"), 0, J480)</f>
        <v>0</v>
      </c>
      <c r="K591" s="93">
        <f>IF(OR($N517="RESTRINGIDO", $N513="RESTRINGIDO"), 0, K480)</f>
        <v>0</v>
      </c>
      <c r="L591" s="93">
        <f>IF(OR($N517="RESTRINGIDO", $N514="RESTRINGIDO"), 0, L480)</f>
        <v>0</v>
      </c>
      <c r="M591" s="93">
        <f>IF(OR($N517="RESTRINGIDO", $N515="RESTRINGIDO"), 0, M480)</f>
        <v>0</v>
      </c>
      <c r="N591" s="93">
        <f>IF(OR($N517="RESTRINGIDO", $N516="RESTRINGIDO"), 0, N480)</f>
        <v>0</v>
      </c>
      <c r="O591" s="93">
        <f>IF($N517="RESTRINGIDO", 1, IF(OR($N517="", $C480=""), 1, O480))</f>
        <v>1</v>
      </c>
      <c r="P591" s="93">
        <f>IF(OR($N517="RESTRINGIDO", $N518="RESTRINGIDO"), 0, P480)</f>
        <v>0</v>
      </c>
      <c r="Q591" s="93">
        <f>IF(OR($N517="RESTRINGIDO", $N519="RESTRINGIDO"), 0, Q480)</f>
        <v>0</v>
      </c>
      <c r="R591" s="93">
        <f>IF(OR($N517="RESTRINGIDO", $N520="RESTRINGIDO"), 0, R480)</f>
        <v>0</v>
      </c>
      <c r="S591" s="93">
        <f>IF(OR($N517="RESTRINGIDO", $N521="RESTRINGIDO"), 0, S480)</f>
        <v>0</v>
      </c>
      <c r="T591" s="93">
        <f>IF(OR($N517="RESTRINGIDO", $N522="RESTRINGIDO"), 0, T480)</f>
        <v>0</v>
      </c>
      <c r="U591" s="93">
        <f>IF(OR($N517="RESTRINGIDO", $N523="RESTRINGIDO"), 0, U480)</f>
        <v>0</v>
      </c>
      <c r="V591" s="93">
        <f>IF(OR($N517="RESTRINGIDO", $N524="RESTRINGIDO"), 0, V480)</f>
        <v>0</v>
      </c>
      <c r="W591" s="93">
        <f>IF(OR($N517="RESTRINGIDO", $N525="RESTRINGIDO"), 0, W480)</f>
        <v>0</v>
      </c>
      <c r="X591" s="93">
        <f>IF(OR($N517="RESTRINGIDO", $N526="RESTRINGIDO"), 0, X480)</f>
        <v>0</v>
      </c>
      <c r="Y591" s="93">
        <f>IF(OR($N517="RESTRINGIDO", $N527="RESTRINGIDO"), 0, Y480)</f>
        <v>0</v>
      </c>
      <c r="Z591" s="93">
        <f>IF(OR($N517="RESTRINGIDO", $N528="RESTRINGIDO"), 0, Z480)</f>
        <v>0</v>
      </c>
      <c r="AA591" s="93">
        <f>IF(OR($N517="RESTRINGIDO", $N529="RESTRINGIDO"), 0, AA480)</f>
        <v>0</v>
      </c>
      <c r="AB591" s="93">
        <f>IF(OR($N517="RESTRINGIDO", $N530="RESTRINGIDO"), 0, AB480)</f>
        <v>0</v>
      </c>
      <c r="AC591" s="93">
        <f>IF(OR($N517="RESTRINGIDO", $N531="RESTRINGIDO"), 0, AC480)</f>
        <v>0</v>
      </c>
      <c r="AD591" s="93">
        <f>IF(OR($N517="RESTRINGIDO", $N532="RESTRINGIDO"), 0, AD480)</f>
        <v>0</v>
      </c>
      <c r="AE591" s="93">
        <f>IF(OR($N517="RESTRINGIDO", $N533="RESTRINGIDO"), 0, AE480)</f>
        <v>0</v>
      </c>
      <c r="AF591" s="93">
        <f>IF(OR($N517="RESTRINGIDO", $N534="RESTRINGIDO"), 0, AF480)</f>
        <v>0</v>
      </c>
      <c r="AG591" s="93">
        <f>IF(OR($N517="RESTRINGIDO", $N535="RESTRINGIDO"), 0, AG480)</f>
        <v>0</v>
      </c>
      <c r="AH591" s="93">
        <f>IF(OR($N517="RESTRINGIDO", $N536="RESTRINGIDO"), 0, AH480)</f>
        <v>0</v>
      </c>
      <c r="AJ591" s="93">
        <f t="shared" si="75"/>
        <v>0</v>
      </c>
      <c r="AL591" s="104">
        <v>0</v>
      </c>
      <c r="AN591" s="104">
        <v>0</v>
      </c>
    </row>
    <row r="592" spans="2:40" x14ac:dyDescent="0.3">
      <c r="B592" s="93">
        <f>IF(OR($N518="RESTRINGIDO", $N504="RESTRINGIDO"), 0, B481)</f>
        <v>0</v>
      </c>
      <c r="C592" s="93">
        <f>IF(OR($N518="RESTRINGIDO", $N505="RESTRINGIDO"), 0, C481)</f>
        <v>0</v>
      </c>
      <c r="D592" s="93">
        <f>IF(OR($N518="RESTRINGIDO", $N506="RESTRINGIDO"), 0, D481)</f>
        <v>0</v>
      </c>
      <c r="E592" s="93">
        <f>IF(OR($N518="RESTRINGIDO", $N507="RESTRINGIDO"), 0, E481)</f>
        <v>0</v>
      </c>
      <c r="F592" s="93">
        <f>IF(OR($N518="RESTRINGIDO", $N508="RESTRINGIDO"), 0, F481)</f>
        <v>0</v>
      </c>
      <c r="G592" s="93">
        <f>IF(OR($N518="RESTRINGIDO", $N509="RESTRINGIDO"), 0, G481)</f>
        <v>0</v>
      </c>
      <c r="H592" s="93">
        <f>IF(OR($N518="RESTRINGIDO", $N510="RESTRINGIDO"), 0, H481)</f>
        <v>0</v>
      </c>
      <c r="I592" s="93">
        <f>IF(OR($N518="RESTRINGIDO", $N511="RESTRINGIDO"), 0, I481)</f>
        <v>0</v>
      </c>
      <c r="J592" s="93">
        <f>IF(OR($N518="RESTRINGIDO", $N512="RESTRINGIDO"), 0, J481)</f>
        <v>0</v>
      </c>
      <c r="K592" s="93">
        <f>IF(OR($N518="RESTRINGIDO", $N513="RESTRINGIDO"), 0, K481)</f>
        <v>0</v>
      </c>
      <c r="L592" s="93">
        <f>IF(OR($N518="RESTRINGIDO", $N514="RESTRINGIDO"), 0, L481)</f>
        <v>0</v>
      </c>
      <c r="M592" s="93">
        <f>IF(OR($N518="RESTRINGIDO", $N515="RESTRINGIDO"), 0, M481)</f>
        <v>0</v>
      </c>
      <c r="N592" s="93">
        <f>IF(OR($N518="RESTRINGIDO", $N516="RESTRINGIDO"), 0, N481)</f>
        <v>0</v>
      </c>
      <c r="O592" s="93">
        <f>IF(OR($N518="RESTRINGIDO", $N517="RESTRINGIDO"), 0, O481)</f>
        <v>0</v>
      </c>
      <c r="P592" s="93">
        <f>IF($N518="RESTRINGIDO", 1, IF(OR($N518="", $C481=""), 1, P481))</f>
        <v>1</v>
      </c>
      <c r="Q592" s="93">
        <f>IF(OR($N518="RESTRINGIDO", $N519="RESTRINGIDO"), 0, Q481)</f>
        <v>0</v>
      </c>
      <c r="R592" s="93">
        <f>IF(OR($N518="RESTRINGIDO", $N520="RESTRINGIDO"), 0, R481)</f>
        <v>0</v>
      </c>
      <c r="S592" s="93">
        <f>IF(OR($N518="RESTRINGIDO", $N521="RESTRINGIDO"), 0, S481)</f>
        <v>0</v>
      </c>
      <c r="T592" s="93">
        <f>IF(OR($N518="RESTRINGIDO", $N522="RESTRINGIDO"), 0, T481)</f>
        <v>0</v>
      </c>
      <c r="U592" s="93">
        <f>IF(OR($N518="RESTRINGIDO", $N523="RESTRINGIDO"), 0, U481)</f>
        <v>0</v>
      </c>
      <c r="V592" s="93">
        <f>IF(OR($N518="RESTRINGIDO", $N524="RESTRINGIDO"), 0, V481)</f>
        <v>0</v>
      </c>
      <c r="W592" s="93">
        <f>IF(OR($N518="RESTRINGIDO", $N525="RESTRINGIDO"), 0, W481)</f>
        <v>0</v>
      </c>
      <c r="X592" s="93">
        <f>IF(OR($N518="RESTRINGIDO", $N526="RESTRINGIDO"), 0, X481)</f>
        <v>0</v>
      </c>
      <c r="Y592" s="93">
        <f>IF(OR($N518="RESTRINGIDO", $N527="RESTRINGIDO"), 0, Y481)</f>
        <v>0</v>
      </c>
      <c r="Z592" s="93">
        <f>IF(OR($N518="RESTRINGIDO", $N528="RESTRINGIDO"), 0, Z481)</f>
        <v>0</v>
      </c>
      <c r="AA592" s="93">
        <f>IF(OR($N518="RESTRINGIDO", $N529="RESTRINGIDO"), 0, AA481)</f>
        <v>0</v>
      </c>
      <c r="AB592" s="93">
        <f>IF(OR($N518="RESTRINGIDO", $N530="RESTRINGIDO"), 0, AB481)</f>
        <v>0</v>
      </c>
      <c r="AC592" s="93">
        <f>IF(OR($N518="RESTRINGIDO", $N531="RESTRINGIDO"), 0, AC481)</f>
        <v>0</v>
      </c>
      <c r="AD592" s="93">
        <f>IF(OR($N518="RESTRINGIDO", $N532="RESTRINGIDO"), 0, AD481)</f>
        <v>0</v>
      </c>
      <c r="AE592" s="93">
        <f>IF(OR($N518="RESTRINGIDO", $N533="RESTRINGIDO"), 0, AE481)</f>
        <v>0</v>
      </c>
      <c r="AF592" s="93">
        <f>IF(OR($N518="RESTRINGIDO", $N534="RESTRINGIDO"), 0, AF481)</f>
        <v>0</v>
      </c>
      <c r="AG592" s="93">
        <f>IF(OR($N518="RESTRINGIDO", $N535="RESTRINGIDO"), 0, AG481)</f>
        <v>0</v>
      </c>
      <c r="AH592" s="93">
        <f>IF(OR($N518="RESTRINGIDO", $N536="RESTRINGIDO"), 0, AH481)</f>
        <v>0</v>
      </c>
      <c r="AJ592" s="93">
        <f t="shared" si="75"/>
        <v>0</v>
      </c>
      <c r="AL592" s="104">
        <v>0</v>
      </c>
      <c r="AN592" s="104">
        <v>0</v>
      </c>
    </row>
    <row r="593" spans="2:40" x14ac:dyDescent="0.3">
      <c r="B593" s="93">
        <f>IF(OR($N519="RESTRINGIDO", $N504="RESTRINGIDO"), 0, B482)</f>
        <v>0</v>
      </c>
      <c r="C593" s="93">
        <f>IF(OR($N519="RESTRINGIDO", $N505="RESTRINGIDO"), 0, C482)</f>
        <v>0</v>
      </c>
      <c r="D593" s="93">
        <f>IF(OR($N519="RESTRINGIDO", $N506="RESTRINGIDO"), 0, D482)</f>
        <v>0</v>
      </c>
      <c r="E593" s="93">
        <f>IF(OR($N519="RESTRINGIDO", $N507="RESTRINGIDO"), 0, E482)</f>
        <v>0</v>
      </c>
      <c r="F593" s="93">
        <f>IF(OR($N519="RESTRINGIDO", $N508="RESTRINGIDO"), 0, F482)</f>
        <v>0</v>
      </c>
      <c r="G593" s="93">
        <f>IF(OR($N519="RESTRINGIDO", $N509="RESTRINGIDO"), 0, G482)</f>
        <v>0</v>
      </c>
      <c r="H593" s="93">
        <f>IF(OR($N519="RESTRINGIDO", $N510="RESTRINGIDO"), 0, H482)</f>
        <v>0</v>
      </c>
      <c r="I593" s="93">
        <f>IF(OR($N519="RESTRINGIDO", $N511="RESTRINGIDO"), 0, I482)</f>
        <v>0</v>
      </c>
      <c r="J593" s="93">
        <f>IF(OR($N519="RESTRINGIDO", $N512="RESTRINGIDO"), 0, J482)</f>
        <v>0</v>
      </c>
      <c r="K593" s="93">
        <f>IF(OR($N519="RESTRINGIDO", $N513="RESTRINGIDO"), 0, K482)</f>
        <v>0</v>
      </c>
      <c r="L593" s="93">
        <f>IF(OR($N519="RESTRINGIDO", $N514="RESTRINGIDO"), 0, L482)</f>
        <v>0</v>
      </c>
      <c r="M593" s="93">
        <f>IF(OR($N519="RESTRINGIDO", $N515="RESTRINGIDO"), 0, M482)</f>
        <v>0</v>
      </c>
      <c r="N593" s="93">
        <f>IF(OR($N519="RESTRINGIDO", $N516="RESTRINGIDO"), 0, N482)</f>
        <v>0</v>
      </c>
      <c r="O593" s="93">
        <f>IF(OR($N519="RESTRINGIDO", $N517="RESTRINGIDO"), 0, O482)</f>
        <v>0</v>
      </c>
      <c r="P593" s="93">
        <f>IF(OR($N519="RESTRINGIDO", $N518="RESTRINGIDO"), 0, P482)</f>
        <v>0</v>
      </c>
      <c r="Q593" s="93">
        <f>IF($N519="RESTRINGIDO", 1, IF(OR($N519="", $C482=""), 1, Q482))</f>
        <v>1</v>
      </c>
      <c r="R593" s="93">
        <f>IF(OR($N519="RESTRINGIDO", $N520="RESTRINGIDO"), 0, R482)</f>
        <v>0</v>
      </c>
      <c r="S593" s="93">
        <f>IF(OR($N519="RESTRINGIDO", $N521="RESTRINGIDO"), 0, S482)</f>
        <v>0</v>
      </c>
      <c r="T593" s="93">
        <f>IF(OR($N519="RESTRINGIDO", $N522="RESTRINGIDO"), 0, T482)</f>
        <v>0</v>
      </c>
      <c r="U593" s="93">
        <f>IF(OR($N519="RESTRINGIDO", $N523="RESTRINGIDO"), 0, U482)</f>
        <v>0</v>
      </c>
      <c r="V593" s="93">
        <f>IF(OR($N519="RESTRINGIDO", $N524="RESTRINGIDO"), 0, V482)</f>
        <v>0</v>
      </c>
      <c r="W593" s="93">
        <f>IF(OR($N519="RESTRINGIDO", $N525="RESTRINGIDO"), 0, W482)</f>
        <v>0</v>
      </c>
      <c r="X593" s="93">
        <f>IF(OR($N519="RESTRINGIDO", $N526="RESTRINGIDO"), 0, X482)</f>
        <v>0</v>
      </c>
      <c r="Y593" s="93">
        <f>IF(OR($N519="RESTRINGIDO", $N527="RESTRINGIDO"), 0, Y482)</f>
        <v>0</v>
      </c>
      <c r="Z593" s="93">
        <f>IF(OR($N519="RESTRINGIDO", $N528="RESTRINGIDO"), 0, Z482)</f>
        <v>0</v>
      </c>
      <c r="AA593" s="93">
        <f>IF(OR($N519="RESTRINGIDO", $N529="RESTRINGIDO"), 0, AA482)</f>
        <v>0</v>
      </c>
      <c r="AB593" s="93">
        <f>IF(OR($N519="RESTRINGIDO", $N530="RESTRINGIDO"), 0, AB482)</f>
        <v>0</v>
      </c>
      <c r="AC593" s="93">
        <f>IF(OR($N519="RESTRINGIDO", $N531="RESTRINGIDO"), 0, AC482)</f>
        <v>0</v>
      </c>
      <c r="AD593" s="93">
        <f>IF(OR($N519="RESTRINGIDO", $N532="RESTRINGIDO"), 0, AD482)</f>
        <v>0</v>
      </c>
      <c r="AE593" s="93">
        <f>IF(OR($N519="RESTRINGIDO", $N533="RESTRINGIDO"), 0, AE482)</f>
        <v>0</v>
      </c>
      <c r="AF593" s="93">
        <f>IF(OR($N519="RESTRINGIDO", $N534="RESTRINGIDO"), 0, AF482)</f>
        <v>0</v>
      </c>
      <c r="AG593" s="93">
        <f>IF(OR($N519="RESTRINGIDO", $N535="RESTRINGIDO"), 0, AG482)</f>
        <v>0</v>
      </c>
      <c r="AH593" s="93">
        <f>IF(OR($N519="RESTRINGIDO", $N536="RESTRINGIDO"), 0, AH482)</f>
        <v>0</v>
      </c>
      <c r="AJ593" s="93">
        <f t="shared" si="75"/>
        <v>0</v>
      </c>
      <c r="AL593" s="104">
        <v>0</v>
      </c>
      <c r="AN593" s="104">
        <v>0</v>
      </c>
    </row>
    <row r="594" spans="2:40" x14ac:dyDescent="0.3">
      <c r="B594" s="93">
        <f>IF(OR($N520="RESTRINGIDO", $N504="RESTRINGIDO"), 0, B483)</f>
        <v>0</v>
      </c>
      <c r="C594" s="93">
        <f>IF(OR($N520="RESTRINGIDO", $N505="RESTRINGIDO"), 0, C483)</f>
        <v>0</v>
      </c>
      <c r="D594" s="93">
        <f>IF(OR($N520="RESTRINGIDO", $N506="RESTRINGIDO"), 0, D483)</f>
        <v>0</v>
      </c>
      <c r="E594" s="93">
        <f>IF(OR($N520="RESTRINGIDO", $N507="RESTRINGIDO"), 0, E483)</f>
        <v>0</v>
      </c>
      <c r="F594" s="93">
        <f>IF(OR($N520="RESTRINGIDO", $N508="RESTRINGIDO"), 0, F483)</f>
        <v>0</v>
      </c>
      <c r="G594" s="93">
        <f>IF(OR($N520="RESTRINGIDO", $N509="RESTRINGIDO"), 0, G483)</f>
        <v>0</v>
      </c>
      <c r="H594" s="93">
        <f>IF(OR($N520="RESTRINGIDO", $N510="RESTRINGIDO"), 0, H483)</f>
        <v>0</v>
      </c>
      <c r="I594" s="93">
        <f>IF(OR($N520="RESTRINGIDO", $N511="RESTRINGIDO"), 0, I483)</f>
        <v>0</v>
      </c>
      <c r="J594" s="93">
        <f>IF(OR($N520="RESTRINGIDO", $N512="RESTRINGIDO"), 0, J483)</f>
        <v>0</v>
      </c>
      <c r="K594" s="93">
        <f>IF(OR($N520="RESTRINGIDO", $N513="RESTRINGIDO"), 0, K483)</f>
        <v>0</v>
      </c>
      <c r="L594" s="93">
        <f>IF(OR($N520="RESTRINGIDO", $N514="RESTRINGIDO"), 0, L483)</f>
        <v>0</v>
      </c>
      <c r="M594" s="93">
        <f>IF(OR($N520="RESTRINGIDO", $N515="RESTRINGIDO"), 0, M483)</f>
        <v>0</v>
      </c>
      <c r="N594" s="93">
        <f>IF(OR($N520="RESTRINGIDO", $N516="RESTRINGIDO"), 0, N483)</f>
        <v>0</v>
      </c>
      <c r="O594" s="93">
        <f>IF(OR($N520="RESTRINGIDO", $N517="RESTRINGIDO"), 0, O483)</f>
        <v>0</v>
      </c>
      <c r="P594" s="93">
        <f>IF(OR($N520="RESTRINGIDO", $N518="RESTRINGIDO"), 0, P483)</f>
        <v>0</v>
      </c>
      <c r="Q594" s="93">
        <f>IF(OR($N520="RESTRINGIDO", $N519="RESTRINGIDO"), 0, Q483)</f>
        <v>0</v>
      </c>
      <c r="R594" s="93">
        <f>IF($N520="RESTRINGIDO", 1, IF(OR($N520="", $C483=""), 1, R483))</f>
        <v>1</v>
      </c>
      <c r="S594" s="93">
        <f>IF(OR($N520="RESTRINGIDO", $N521="RESTRINGIDO"), 0, S483)</f>
        <v>0</v>
      </c>
      <c r="T594" s="93">
        <f>IF(OR($N520="RESTRINGIDO", $N522="RESTRINGIDO"), 0, T483)</f>
        <v>0</v>
      </c>
      <c r="U594" s="93">
        <f>IF(OR($N520="RESTRINGIDO", $N523="RESTRINGIDO"), 0, U483)</f>
        <v>0</v>
      </c>
      <c r="V594" s="93">
        <f>IF(OR($N520="RESTRINGIDO", $N524="RESTRINGIDO"), 0, V483)</f>
        <v>0</v>
      </c>
      <c r="W594" s="93">
        <f>IF(OR($N520="RESTRINGIDO", $N525="RESTRINGIDO"), 0, W483)</f>
        <v>0</v>
      </c>
      <c r="X594" s="93">
        <f>IF(OR($N520="RESTRINGIDO", $N526="RESTRINGIDO"), 0, X483)</f>
        <v>0</v>
      </c>
      <c r="Y594" s="93">
        <f>IF(OR($N520="RESTRINGIDO", $N527="RESTRINGIDO"), 0, Y483)</f>
        <v>0</v>
      </c>
      <c r="Z594" s="93">
        <f>IF(OR($N520="RESTRINGIDO", $N528="RESTRINGIDO"), 0, Z483)</f>
        <v>0</v>
      </c>
      <c r="AA594" s="93">
        <f>IF(OR($N520="RESTRINGIDO", $N529="RESTRINGIDO"), 0, AA483)</f>
        <v>0</v>
      </c>
      <c r="AB594" s="93">
        <f>IF(OR($N520="RESTRINGIDO", $N530="RESTRINGIDO"), 0, AB483)</f>
        <v>0</v>
      </c>
      <c r="AC594" s="93">
        <f>IF(OR($N520="RESTRINGIDO", $N531="RESTRINGIDO"), 0, AC483)</f>
        <v>0</v>
      </c>
      <c r="AD594" s="93">
        <f>IF(OR($N520="RESTRINGIDO", $N532="RESTRINGIDO"), 0, AD483)</f>
        <v>0</v>
      </c>
      <c r="AE594" s="93">
        <f>IF(OR($N520="RESTRINGIDO", $N533="RESTRINGIDO"), 0, AE483)</f>
        <v>0</v>
      </c>
      <c r="AF594" s="93">
        <f>IF(OR($N520="RESTRINGIDO", $N534="RESTRINGIDO"), 0, AF483)</f>
        <v>0</v>
      </c>
      <c r="AG594" s="93">
        <f>IF(OR($N520="RESTRINGIDO", $N535="RESTRINGIDO"), 0, AG483)</f>
        <v>0</v>
      </c>
      <c r="AH594" s="93">
        <f>IF(OR($N520="RESTRINGIDO", $N536="RESTRINGIDO"), 0, AH483)</f>
        <v>0</v>
      </c>
      <c r="AJ594" s="93">
        <f t="shared" si="75"/>
        <v>0</v>
      </c>
      <c r="AL594" s="104">
        <v>0</v>
      </c>
      <c r="AN594" s="104">
        <v>0</v>
      </c>
    </row>
    <row r="595" spans="2:40" x14ac:dyDescent="0.3">
      <c r="B595" s="93">
        <f>IF(OR($N521="RESTRINGIDO", $N504="RESTRINGIDO"), 0, B484)</f>
        <v>0</v>
      </c>
      <c r="C595" s="93">
        <f>IF(OR($N521="RESTRINGIDO", $N505="RESTRINGIDO"), 0, C484)</f>
        <v>0</v>
      </c>
      <c r="D595" s="93">
        <f>IF(OR($N521="RESTRINGIDO", $N506="RESTRINGIDO"), 0, D484)</f>
        <v>0</v>
      </c>
      <c r="E595" s="93">
        <f>IF(OR($N521="RESTRINGIDO", $N507="RESTRINGIDO"), 0, E484)</f>
        <v>0</v>
      </c>
      <c r="F595" s="93">
        <f>IF(OR($N521="RESTRINGIDO", $N508="RESTRINGIDO"), 0, F484)</f>
        <v>0</v>
      </c>
      <c r="G595" s="93">
        <f>IF(OR($N521="RESTRINGIDO", $N509="RESTRINGIDO"), 0, G484)</f>
        <v>0</v>
      </c>
      <c r="H595" s="93">
        <f>IF(OR($N521="RESTRINGIDO", $N510="RESTRINGIDO"), 0, H484)</f>
        <v>0</v>
      </c>
      <c r="I595" s="93">
        <f>IF(OR($N521="RESTRINGIDO", $N511="RESTRINGIDO"), 0, I484)</f>
        <v>0</v>
      </c>
      <c r="J595" s="93">
        <f>IF(OR($N521="RESTRINGIDO", $N512="RESTRINGIDO"), 0, J484)</f>
        <v>0</v>
      </c>
      <c r="K595" s="93">
        <f>IF(OR($N521="RESTRINGIDO", $N513="RESTRINGIDO"), 0, K484)</f>
        <v>0</v>
      </c>
      <c r="L595" s="93">
        <f>IF(OR($N521="RESTRINGIDO", $N514="RESTRINGIDO"), 0, L484)</f>
        <v>0</v>
      </c>
      <c r="M595" s="93">
        <f>IF(OR($N521="RESTRINGIDO", $N515="RESTRINGIDO"), 0, M484)</f>
        <v>0</v>
      </c>
      <c r="N595" s="93">
        <f>IF(OR($N521="RESTRINGIDO", $N516="RESTRINGIDO"), 0, N484)</f>
        <v>0</v>
      </c>
      <c r="O595" s="93">
        <f>IF(OR($N521="RESTRINGIDO", $N517="RESTRINGIDO"), 0, O484)</f>
        <v>0</v>
      </c>
      <c r="P595" s="93">
        <f>IF(OR($N521="RESTRINGIDO", $N518="RESTRINGIDO"), 0, P484)</f>
        <v>0</v>
      </c>
      <c r="Q595" s="93">
        <f>IF(OR($N521="RESTRINGIDO", $N519="RESTRINGIDO"), 0, Q484)</f>
        <v>0</v>
      </c>
      <c r="R595" s="93">
        <f>IF(OR($N521="RESTRINGIDO", $N520="RESTRINGIDO"), 0, R484)</f>
        <v>0</v>
      </c>
      <c r="S595" s="93">
        <f>IF($N521="RESTRINGIDO", 1, IF(OR($N521="", $C484=""), 1, S484))</f>
        <v>1</v>
      </c>
      <c r="T595" s="93">
        <f>IF(OR($N521="RESTRINGIDO", $N522="RESTRINGIDO"), 0, T484)</f>
        <v>0</v>
      </c>
      <c r="U595" s="93">
        <f>IF(OR($N521="RESTRINGIDO", $N523="RESTRINGIDO"), 0, U484)</f>
        <v>0</v>
      </c>
      <c r="V595" s="93">
        <f>IF(OR($N521="RESTRINGIDO", $N524="RESTRINGIDO"), 0, V484)</f>
        <v>0</v>
      </c>
      <c r="W595" s="93">
        <f>IF(OR($N521="RESTRINGIDO", $N525="RESTRINGIDO"), 0, W484)</f>
        <v>0</v>
      </c>
      <c r="X595" s="93">
        <f>IF(OR($N521="RESTRINGIDO", $N526="RESTRINGIDO"), 0, X484)</f>
        <v>0</v>
      </c>
      <c r="Y595" s="93">
        <f>IF(OR($N521="RESTRINGIDO", $N527="RESTRINGIDO"), 0, Y484)</f>
        <v>0</v>
      </c>
      <c r="Z595" s="93">
        <f>IF(OR($N521="RESTRINGIDO", $N528="RESTRINGIDO"), 0, Z484)</f>
        <v>0</v>
      </c>
      <c r="AA595" s="93">
        <f>IF(OR($N521="RESTRINGIDO", $N529="RESTRINGIDO"), 0, AA484)</f>
        <v>0</v>
      </c>
      <c r="AB595" s="93">
        <f>IF(OR($N521="RESTRINGIDO", $N530="RESTRINGIDO"), 0, AB484)</f>
        <v>0</v>
      </c>
      <c r="AC595" s="93">
        <f>IF(OR($N521="RESTRINGIDO", $N531="RESTRINGIDO"), 0, AC484)</f>
        <v>0</v>
      </c>
      <c r="AD595" s="93">
        <f>IF(OR($N521="RESTRINGIDO", $N532="RESTRINGIDO"), 0, AD484)</f>
        <v>0</v>
      </c>
      <c r="AE595" s="93">
        <f>IF(OR($N521="RESTRINGIDO", $N533="RESTRINGIDO"), 0, AE484)</f>
        <v>0</v>
      </c>
      <c r="AF595" s="93">
        <f>IF(OR($N521="RESTRINGIDO", $N534="RESTRINGIDO"), 0, AF484)</f>
        <v>0</v>
      </c>
      <c r="AG595" s="93">
        <f>IF(OR($N521="RESTRINGIDO", $N535="RESTRINGIDO"), 0, AG484)</f>
        <v>0</v>
      </c>
      <c r="AH595" s="93">
        <f>IF(OR($N521="RESTRINGIDO", $N536="RESTRINGIDO"), 0, AH484)</f>
        <v>0</v>
      </c>
      <c r="AJ595" s="93">
        <f t="shared" si="75"/>
        <v>0</v>
      </c>
      <c r="AL595" s="104">
        <v>0</v>
      </c>
      <c r="AN595" s="104">
        <v>0</v>
      </c>
    </row>
    <row r="596" spans="2:40" x14ac:dyDescent="0.3">
      <c r="B596" s="93">
        <f>IF(OR($N522="RESTRINGIDO", $N504="RESTRINGIDO"), 0, B485)</f>
        <v>0</v>
      </c>
      <c r="C596" s="93">
        <f>IF(OR($N522="RESTRINGIDO", $N505="RESTRINGIDO"), 0, C485)</f>
        <v>0</v>
      </c>
      <c r="D596" s="93">
        <f>IF(OR($N522="RESTRINGIDO", $N506="RESTRINGIDO"), 0, D485)</f>
        <v>0</v>
      </c>
      <c r="E596" s="93">
        <f>IF(OR($N522="RESTRINGIDO", $N507="RESTRINGIDO"), 0, E485)</f>
        <v>0</v>
      </c>
      <c r="F596" s="93">
        <f>IF(OR($N522="RESTRINGIDO", $N508="RESTRINGIDO"), 0, F485)</f>
        <v>0</v>
      </c>
      <c r="G596" s="93">
        <f>IF(OR($N522="RESTRINGIDO", $N509="RESTRINGIDO"), 0, G485)</f>
        <v>0</v>
      </c>
      <c r="H596" s="93">
        <f>IF(OR($N522="RESTRINGIDO", $N510="RESTRINGIDO"), 0, H485)</f>
        <v>0</v>
      </c>
      <c r="I596" s="93">
        <f>IF(OR($N522="RESTRINGIDO", $N511="RESTRINGIDO"), 0, I485)</f>
        <v>0</v>
      </c>
      <c r="J596" s="93">
        <f>IF(OR($N522="RESTRINGIDO", $N512="RESTRINGIDO"), 0, J485)</f>
        <v>0</v>
      </c>
      <c r="K596" s="93">
        <f>IF(OR($N522="RESTRINGIDO", $N513="RESTRINGIDO"), 0, K485)</f>
        <v>0</v>
      </c>
      <c r="L596" s="93">
        <f>IF(OR($N522="RESTRINGIDO", $N514="RESTRINGIDO"), 0, L485)</f>
        <v>0</v>
      </c>
      <c r="M596" s="93">
        <f>IF(OR($N522="RESTRINGIDO", $N515="RESTRINGIDO"), 0, M485)</f>
        <v>0</v>
      </c>
      <c r="N596" s="93">
        <f>IF(OR($N522="RESTRINGIDO", $N516="RESTRINGIDO"), 0, N485)</f>
        <v>0</v>
      </c>
      <c r="O596" s="93">
        <f>IF(OR($N522="RESTRINGIDO", $N517="RESTRINGIDO"), 0, O485)</f>
        <v>0</v>
      </c>
      <c r="P596" s="93">
        <f>IF(OR($N522="RESTRINGIDO", $N518="RESTRINGIDO"), 0, P485)</f>
        <v>0</v>
      </c>
      <c r="Q596" s="93">
        <f>IF(OR($N522="RESTRINGIDO", $N519="RESTRINGIDO"), 0, Q485)</f>
        <v>0</v>
      </c>
      <c r="R596" s="93">
        <f>IF(OR($N522="RESTRINGIDO", $N520="RESTRINGIDO"), 0, R485)</f>
        <v>0</v>
      </c>
      <c r="S596" s="93">
        <f>IF(OR($N522="RESTRINGIDO", $N521="RESTRINGIDO"), 0, S485)</f>
        <v>0</v>
      </c>
      <c r="T596" s="93">
        <f>IF($N522="RESTRINGIDO", 1, IF(OR($N522="", $C485=""), 1, T485))</f>
        <v>1</v>
      </c>
      <c r="U596" s="93">
        <f>IF(OR($N522="RESTRINGIDO", $N523="RESTRINGIDO"), 0, U485)</f>
        <v>0</v>
      </c>
      <c r="V596" s="93">
        <f>IF(OR($N522="RESTRINGIDO", $N524="RESTRINGIDO"), 0, V485)</f>
        <v>0</v>
      </c>
      <c r="W596" s="93">
        <f>IF(OR($N522="RESTRINGIDO", $N525="RESTRINGIDO"), 0, W485)</f>
        <v>0</v>
      </c>
      <c r="X596" s="93">
        <f>IF(OR($N522="RESTRINGIDO", $N526="RESTRINGIDO"), 0, X485)</f>
        <v>0</v>
      </c>
      <c r="Y596" s="93">
        <f>IF(OR($N522="RESTRINGIDO", $N527="RESTRINGIDO"), 0, Y485)</f>
        <v>0</v>
      </c>
      <c r="Z596" s="93">
        <f>IF(OR($N522="RESTRINGIDO", $N528="RESTRINGIDO"), 0, Z485)</f>
        <v>0</v>
      </c>
      <c r="AA596" s="93">
        <f>IF(OR($N522="RESTRINGIDO", $N529="RESTRINGIDO"), 0, AA485)</f>
        <v>0</v>
      </c>
      <c r="AB596" s="93">
        <f>IF(OR($N522="RESTRINGIDO", $N530="RESTRINGIDO"), 0, AB485)</f>
        <v>0</v>
      </c>
      <c r="AC596" s="93">
        <f>IF(OR($N522="RESTRINGIDO", $N531="RESTRINGIDO"), 0, AC485)</f>
        <v>0</v>
      </c>
      <c r="AD596" s="93">
        <f>IF(OR($N522="RESTRINGIDO", $N532="RESTRINGIDO"), 0, AD485)</f>
        <v>0</v>
      </c>
      <c r="AE596" s="93">
        <f>IF(OR($N522="RESTRINGIDO", $N533="RESTRINGIDO"), 0, AE485)</f>
        <v>0</v>
      </c>
      <c r="AF596" s="93">
        <f>IF(OR($N522="RESTRINGIDO", $N534="RESTRINGIDO"), 0, AF485)</f>
        <v>0</v>
      </c>
      <c r="AG596" s="93">
        <f>IF(OR($N522="RESTRINGIDO", $N535="RESTRINGIDO"), 0, AG485)</f>
        <v>0</v>
      </c>
      <c r="AH596" s="93">
        <f>IF(OR($N522="RESTRINGIDO", $N536="RESTRINGIDO"), 0, AH485)</f>
        <v>0</v>
      </c>
      <c r="AJ596" s="93">
        <f t="shared" si="75"/>
        <v>0</v>
      </c>
      <c r="AL596" s="104">
        <v>0</v>
      </c>
      <c r="AN596" s="104">
        <v>0</v>
      </c>
    </row>
    <row r="597" spans="2:40" x14ac:dyDescent="0.3">
      <c r="B597" s="93">
        <f>IF(OR($N523="RESTRINGIDO", $N504="RESTRINGIDO"), 0, B486)</f>
        <v>0</v>
      </c>
      <c r="C597" s="93">
        <f>IF(OR($N523="RESTRINGIDO", $N505="RESTRINGIDO"), 0, C486)</f>
        <v>0</v>
      </c>
      <c r="D597" s="93">
        <f>IF(OR($N523="RESTRINGIDO", $N506="RESTRINGIDO"), 0, D486)</f>
        <v>0</v>
      </c>
      <c r="E597" s="93">
        <f>IF(OR($N523="RESTRINGIDO", $N507="RESTRINGIDO"), 0, E486)</f>
        <v>0</v>
      </c>
      <c r="F597" s="93">
        <f>IF(OR($N523="RESTRINGIDO", $N508="RESTRINGIDO"), 0, F486)</f>
        <v>0</v>
      </c>
      <c r="G597" s="93">
        <f>IF(OR($N523="RESTRINGIDO", $N509="RESTRINGIDO"), 0, G486)</f>
        <v>0</v>
      </c>
      <c r="H597" s="93">
        <f>IF(OR($N523="RESTRINGIDO", $N510="RESTRINGIDO"), 0, H486)</f>
        <v>0</v>
      </c>
      <c r="I597" s="93">
        <f>IF(OR($N523="RESTRINGIDO", $N511="RESTRINGIDO"), 0, I486)</f>
        <v>0</v>
      </c>
      <c r="J597" s="93">
        <f>IF(OR($N523="RESTRINGIDO", $N512="RESTRINGIDO"), 0, J486)</f>
        <v>0</v>
      </c>
      <c r="K597" s="93">
        <f>IF(OR($N523="RESTRINGIDO", $N513="RESTRINGIDO"), 0, K486)</f>
        <v>0</v>
      </c>
      <c r="L597" s="93">
        <f>IF(OR($N523="RESTRINGIDO", $N514="RESTRINGIDO"), 0, L486)</f>
        <v>0</v>
      </c>
      <c r="M597" s="93">
        <f>IF(OR($N523="RESTRINGIDO", $N515="RESTRINGIDO"), 0, M486)</f>
        <v>0</v>
      </c>
      <c r="N597" s="93">
        <f>IF(OR($N523="RESTRINGIDO", $N516="RESTRINGIDO"), 0, N486)</f>
        <v>0</v>
      </c>
      <c r="O597" s="93">
        <f>IF(OR($N523="RESTRINGIDO", $N517="RESTRINGIDO"), 0, O486)</f>
        <v>0</v>
      </c>
      <c r="P597" s="93">
        <f>IF(OR($N523="RESTRINGIDO", $N518="RESTRINGIDO"), 0, P486)</f>
        <v>0</v>
      </c>
      <c r="Q597" s="93">
        <f>IF(OR($N523="RESTRINGIDO", $N519="RESTRINGIDO"), 0, Q486)</f>
        <v>0</v>
      </c>
      <c r="R597" s="93">
        <f>IF(OR($N523="RESTRINGIDO", $N520="RESTRINGIDO"), 0, R486)</f>
        <v>0</v>
      </c>
      <c r="S597" s="93">
        <f>IF(OR($N523="RESTRINGIDO", $N521="RESTRINGIDO"), 0, S486)</f>
        <v>0</v>
      </c>
      <c r="T597" s="93">
        <f>IF(OR($N523="RESTRINGIDO", $N522="RESTRINGIDO"), 0, T486)</f>
        <v>0</v>
      </c>
      <c r="U597" s="93">
        <f>IF($N523="RESTRINGIDO", 1, IF(OR($N523="", $C486=""), 1, U486))</f>
        <v>1</v>
      </c>
      <c r="V597" s="93">
        <f>IF(OR($N523="RESTRINGIDO", $N524="RESTRINGIDO"), 0, V486)</f>
        <v>0</v>
      </c>
      <c r="W597" s="93">
        <f>IF(OR($N523="RESTRINGIDO", $N525="RESTRINGIDO"), 0, W486)</f>
        <v>0</v>
      </c>
      <c r="X597" s="93">
        <f>IF(OR($N523="RESTRINGIDO", $N526="RESTRINGIDO"), 0, X486)</f>
        <v>0</v>
      </c>
      <c r="Y597" s="93">
        <f>IF(OR($N523="RESTRINGIDO", $N527="RESTRINGIDO"), 0, Y486)</f>
        <v>0</v>
      </c>
      <c r="Z597" s="93">
        <f>IF(OR($N523="RESTRINGIDO", $N528="RESTRINGIDO"), 0, Z486)</f>
        <v>0</v>
      </c>
      <c r="AA597" s="93">
        <f>IF(OR($N523="RESTRINGIDO", $N529="RESTRINGIDO"), 0, AA486)</f>
        <v>0</v>
      </c>
      <c r="AB597" s="93">
        <f>IF(OR($N523="RESTRINGIDO", $N530="RESTRINGIDO"), 0, AB486)</f>
        <v>0</v>
      </c>
      <c r="AC597" s="93">
        <f>IF(OR($N523="RESTRINGIDO", $N531="RESTRINGIDO"), 0, AC486)</f>
        <v>0</v>
      </c>
      <c r="AD597" s="93">
        <f>IF(OR($N523="RESTRINGIDO", $N532="RESTRINGIDO"), 0, AD486)</f>
        <v>0</v>
      </c>
      <c r="AE597" s="93">
        <f>IF(OR($N523="RESTRINGIDO", $N533="RESTRINGIDO"), 0, AE486)</f>
        <v>0</v>
      </c>
      <c r="AF597" s="93">
        <f>IF(OR($N523="RESTRINGIDO", $N534="RESTRINGIDO"), 0, AF486)</f>
        <v>0</v>
      </c>
      <c r="AG597" s="93">
        <f>IF(OR($N523="RESTRINGIDO", $N535="RESTRINGIDO"), 0, AG486)</f>
        <v>0</v>
      </c>
      <c r="AH597" s="93">
        <f>IF(OR($N523="RESTRINGIDO", $N536="RESTRINGIDO"), 0, AH486)</f>
        <v>0</v>
      </c>
      <c r="AJ597" s="93">
        <f t="shared" si="75"/>
        <v>0</v>
      </c>
      <c r="AL597" s="104">
        <v>0</v>
      </c>
      <c r="AN597" s="104">
        <v>0</v>
      </c>
    </row>
    <row r="598" spans="2:40" x14ac:dyDescent="0.3">
      <c r="B598" s="93">
        <f>IF(OR($N524="RESTRINGIDO", $N504="RESTRINGIDO"), 0, B487)</f>
        <v>0</v>
      </c>
      <c r="C598" s="93">
        <f>IF(OR($N524="RESTRINGIDO", $N505="RESTRINGIDO"), 0, C487)</f>
        <v>0</v>
      </c>
      <c r="D598" s="93">
        <f>IF(OR($N524="RESTRINGIDO", $N506="RESTRINGIDO"), 0, D487)</f>
        <v>0</v>
      </c>
      <c r="E598" s="93">
        <f>IF(OR($N524="RESTRINGIDO", $N507="RESTRINGIDO"), 0, E487)</f>
        <v>0</v>
      </c>
      <c r="F598" s="93">
        <f>IF(OR($N524="RESTRINGIDO", $N508="RESTRINGIDO"), 0, F487)</f>
        <v>0</v>
      </c>
      <c r="G598" s="93">
        <f>IF(OR($N524="RESTRINGIDO", $N509="RESTRINGIDO"), 0, G487)</f>
        <v>0</v>
      </c>
      <c r="H598" s="93">
        <f>IF(OR($N524="RESTRINGIDO", $N510="RESTRINGIDO"), 0, H487)</f>
        <v>0</v>
      </c>
      <c r="I598" s="93">
        <f>IF(OR($N524="RESTRINGIDO", $N511="RESTRINGIDO"), 0, I487)</f>
        <v>0</v>
      </c>
      <c r="J598" s="93">
        <f>IF(OR($N524="RESTRINGIDO", $N512="RESTRINGIDO"), 0, J487)</f>
        <v>0</v>
      </c>
      <c r="K598" s="93">
        <f>IF(OR($N524="RESTRINGIDO", $N513="RESTRINGIDO"), 0, K487)</f>
        <v>0</v>
      </c>
      <c r="L598" s="93">
        <f>IF(OR($N524="RESTRINGIDO", $N514="RESTRINGIDO"), 0, L487)</f>
        <v>0</v>
      </c>
      <c r="M598" s="93">
        <f>IF(OR($N524="RESTRINGIDO", $N515="RESTRINGIDO"), 0, M487)</f>
        <v>0</v>
      </c>
      <c r="N598" s="93">
        <f>IF(OR($N524="RESTRINGIDO", $N516="RESTRINGIDO"), 0, N487)</f>
        <v>0</v>
      </c>
      <c r="O598" s="93">
        <f>IF(OR($N524="RESTRINGIDO", $N517="RESTRINGIDO"), 0, O487)</f>
        <v>0</v>
      </c>
      <c r="P598" s="93">
        <f>IF(OR($N524="RESTRINGIDO", $N518="RESTRINGIDO"), 0, P487)</f>
        <v>0</v>
      </c>
      <c r="Q598" s="93">
        <f>IF(OR($N524="RESTRINGIDO", $N519="RESTRINGIDO"), 0, Q487)</f>
        <v>0</v>
      </c>
      <c r="R598" s="93">
        <f>IF(OR($N524="RESTRINGIDO", $N520="RESTRINGIDO"), 0, R487)</f>
        <v>0</v>
      </c>
      <c r="S598" s="93">
        <f>IF(OR($N524="RESTRINGIDO", $N521="RESTRINGIDO"), 0, S487)</f>
        <v>0</v>
      </c>
      <c r="T598" s="93">
        <f>IF(OR($N524="RESTRINGIDO", $N522="RESTRINGIDO"), 0, T487)</f>
        <v>0</v>
      </c>
      <c r="U598" s="93">
        <f>IF(OR($N524="RESTRINGIDO", $N523="RESTRINGIDO"), 0, U487)</f>
        <v>0</v>
      </c>
      <c r="V598" s="93">
        <f>IF($N524="RESTRINGIDO", 1, IF(OR($N524="", $C487=""), 1, V487))</f>
        <v>1</v>
      </c>
      <c r="W598" s="93">
        <f>IF(OR($N524="RESTRINGIDO", $N525="RESTRINGIDO"), 0, W487)</f>
        <v>0</v>
      </c>
      <c r="X598" s="93">
        <f>IF(OR($N524="RESTRINGIDO", $N526="RESTRINGIDO"), 0, X487)</f>
        <v>0</v>
      </c>
      <c r="Y598" s="93">
        <f>IF(OR($N524="RESTRINGIDO", $N527="RESTRINGIDO"), 0, Y487)</f>
        <v>0</v>
      </c>
      <c r="Z598" s="93">
        <f>IF(OR($N524="RESTRINGIDO", $N528="RESTRINGIDO"), 0, Z487)</f>
        <v>0</v>
      </c>
      <c r="AA598" s="93">
        <f>IF(OR($N524="RESTRINGIDO", $N529="RESTRINGIDO"), 0, AA487)</f>
        <v>0</v>
      </c>
      <c r="AB598" s="93">
        <f>IF(OR($N524="RESTRINGIDO", $N530="RESTRINGIDO"), 0, AB487)</f>
        <v>0</v>
      </c>
      <c r="AC598" s="93">
        <f>IF(OR($N524="RESTRINGIDO", $N531="RESTRINGIDO"), 0, AC487)</f>
        <v>0</v>
      </c>
      <c r="AD598" s="93">
        <f>IF(OR($N524="RESTRINGIDO", $N532="RESTRINGIDO"), 0, AD487)</f>
        <v>0</v>
      </c>
      <c r="AE598" s="93">
        <f>IF(OR($N524="RESTRINGIDO", $N533="RESTRINGIDO"), 0, AE487)</f>
        <v>0</v>
      </c>
      <c r="AF598" s="93">
        <f>IF(OR($N524="RESTRINGIDO", $N534="RESTRINGIDO"), 0, AF487)</f>
        <v>0</v>
      </c>
      <c r="AG598" s="93">
        <f>IF(OR($N524="RESTRINGIDO", $N535="RESTRINGIDO"), 0, AG487)</f>
        <v>0</v>
      </c>
      <c r="AH598" s="93">
        <f>IF(OR($N524="RESTRINGIDO", $N536="RESTRINGIDO"), 0, AH487)</f>
        <v>0</v>
      </c>
      <c r="AJ598" s="93">
        <f t="shared" si="75"/>
        <v>0</v>
      </c>
      <c r="AL598" s="104">
        <v>0</v>
      </c>
      <c r="AN598" s="104">
        <v>0</v>
      </c>
    </row>
    <row r="599" spans="2:40" x14ac:dyDescent="0.3">
      <c r="B599" s="93">
        <f>IF(OR($N525="RESTRINGIDO", $N504="RESTRINGIDO"), 0, B488)</f>
        <v>0</v>
      </c>
      <c r="C599" s="93">
        <f>IF(OR($N525="RESTRINGIDO", $N505="RESTRINGIDO"), 0, C488)</f>
        <v>0</v>
      </c>
      <c r="D599" s="93">
        <f>IF(OR($N525="RESTRINGIDO", $N506="RESTRINGIDO"), 0, D488)</f>
        <v>0</v>
      </c>
      <c r="E599" s="93">
        <f>IF(OR($N525="RESTRINGIDO", $N507="RESTRINGIDO"), 0, E488)</f>
        <v>0</v>
      </c>
      <c r="F599" s="93">
        <f>IF(OR($N525="RESTRINGIDO", $N508="RESTRINGIDO"), 0, F488)</f>
        <v>0</v>
      </c>
      <c r="G599" s="93">
        <f>IF(OR($N525="RESTRINGIDO", $N509="RESTRINGIDO"), 0, G488)</f>
        <v>0</v>
      </c>
      <c r="H599" s="93">
        <f>IF(OR($N525="RESTRINGIDO", $N510="RESTRINGIDO"), 0, H488)</f>
        <v>0</v>
      </c>
      <c r="I599" s="93">
        <f>IF(OR($N525="RESTRINGIDO", $N511="RESTRINGIDO"), 0, I488)</f>
        <v>0</v>
      </c>
      <c r="J599" s="93">
        <f>IF(OR($N525="RESTRINGIDO", $N512="RESTRINGIDO"), 0, J488)</f>
        <v>0</v>
      </c>
      <c r="K599" s="93">
        <f>IF(OR($N525="RESTRINGIDO", $N513="RESTRINGIDO"), 0, K488)</f>
        <v>0</v>
      </c>
      <c r="L599" s="93">
        <f>IF(OR($N525="RESTRINGIDO", $N514="RESTRINGIDO"), 0, L488)</f>
        <v>0</v>
      </c>
      <c r="M599" s="93">
        <f>IF(OR($N525="RESTRINGIDO", $N515="RESTRINGIDO"), 0, M488)</f>
        <v>0</v>
      </c>
      <c r="N599" s="93">
        <f>IF(OR($N525="RESTRINGIDO", $N516="RESTRINGIDO"), 0, N488)</f>
        <v>0</v>
      </c>
      <c r="O599" s="93">
        <f>IF(OR($N525="RESTRINGIDO", $N517="RESTRINGIDO"), 0, O488)</f>
        <v>0</v>
      </c>
      <c r="P599" s="93">
        <f>IF(OR($N525="RESTRINGIDO", $N518="RESTRINGIDO"), 0, P488)</f>
        <v>0</v>
      </c>
      <c r="Q599" s="93">
        <f>IF(OR($N525="RESTRINGIDO", $N519="RESTRINGIDO"), 0, Q488)</f>
        <v>0</v>
      </c>
      <c r="R599" s="93">
        <f>IF(OR($N525="RESTRINGIDO", $N520="RESTRINGIDO"), 0, R488)</f>
        <v>0</v>
      </c>
      <c r="S599" s="93">
        <f>IF(OR($N525="RESTRINGIDO", $N521="RESTRINGIDO"), 0, S488)</f>
        <v>0</v>
      </c>
      <c r="T599" s="93">
        <f>IF(OR($N525="RESTRINGIDO", $N522="RESTRINGIDO"), 0, T488)</f>
        <v>0</v>
      </c>
      <c r="U599" s="93">
        <f>IF(OR($N525="RESTRINGIDO", $N523="RESTRINGIDO"), 0, U488)</f>
        <v>0</v>
      </c>
      <c r="V599" s="93">
        <f>IF(OR($N525="RESTRINGIDO", $N524="RESTRINGIDO"), 0, V488)</f>
        <v>0</v>
      </c>
      <c r="W599" s="93">
        <f>IF($N525="RESTRINGIDO", 1, IF(OR($N525="", $C488=""), 1, W488))</f>
        <v>1</v>
      </c>
      <c r="X599" s="93">
        <f>IF(OR($N525="RESTRINGIDO", $N526="RESTRINGIDO"), 0, X488)</f>
        <v>0</v>
      </c>
      <c r="Y599" s="93">
        <f>IF(OR($N525="RESTRINGIDO", $N527="RESTRINGIDO"), 0, Y488)</f>
        <v>0</v>
      </c>
      <c r="Z599" s="93">
        <f>IF(OR($N525="RESTRINGIDO", $N528="RESTRINGIDO"), 0, Z488)</f>
        <v>0</v>
      </c>
      <c r="AA599" s="93">
        <f>IF(OR($N525="RESTRINGIDO", $N529="RESTRINGIDO"), 0, AA488)</f>
        <v>0</v>
      </c>
      <c r="AB599" s="93">
        <f>IF(OR($N525="RESTRINGIDO", $N530="RESTRINGIDO"), 0, AB488)</f>
        <v>0</v>
      </c>
      <c r="AC599" s="93">
        <f>IF(OR($N525="RESTRINGIDO", $N531="RESTRINGIDO"), 0, AC488)</f>
        <v>0</v>
      </c>
      <c r="AD599" s="93">
        <f>IF(OR($N525="RESTRINGIDO", $N532="RESTRINGIDO"), 0, AD488)</f>
        <v>0</v>
      </c>
      <c r="AE599" s="93">
        <f>IF(OR($N525="RESTRINGIDO", $N533="RESTRINGIDO"), 0, AE488)</f>
        <v>0</v>
      </c>
      <c r="AF599" s="93">
        <f>IF(OR($N525="RESTRINGIDO", $N534="RESTRINGIDO"), 0, AF488)</f>
        <v>0</v>
      </c>
      <c r="AG599" s="93">
        <f>IF(OR($N525="RESTRINGIDO", $N535="RESTRINGIDO"), 0, AG488)</f>
        <v>0</v>
      </c>
      <c r="AH599" s="93">
        <f>IF(OR($N525="RESTRINGIDO", $N536="RESTRINGIDO"), 0, AH488)</f>
        <v>0</v>
      </c>
      <c r="AJ599" s="93">
        <f t="shared" si="75"/>
        <v>0</v>
      </c>
      <c r="AL599" s="104">
        <v>0</v>
      </c>
      <c r="AN599" s="104">
        <v>0</v>
      </c>
    </row>
    <row r="600" spans="2:40" x14ac:dyDescent="0.3">
      <c r="B600" s="93">
        <f>IF(OR($N526="RESTRINGIDO", $N504="RESTRINGIDO"), 0, B489)</f>
        <v>0</v>
      </c>
      <c r="C600" s="93">
        <f>IF(OR($N526="RESTRINGIDO", $N505="RESTRINGIDO"), 0, C489)</f>
        <v>0</v>
      </c>
      <c r="D600" s="93">
        <f>IF(OR($N526="RESTRINGIDO", $N506="RESTRINGIDO"), 0, D489)</f>
        <v>0</v>
      </c>
      <c r="E600" s="93">
        <f>IF(OR($N526="RESTRINGIDO", $N507="RESTRINGIDO"), 0, E489)</f>
        <v>0</v>
      </c>
      <c r="F600" s="93">
        <f>IF(OR($N526="RESTRINGIDO", $N508="RESTRINGIDO"), 0, F489)</f>
        <v>0</v>
      </c>
      <c r="G600" s="93">
        <f>IF(OR($N526="RESTRINGIDO", $N509="RESTRINGIDO"), 0, G489)</f>
        <v>0</v>
      </c>
      <c r="H600" s="93">
        <f>IF(OR($N526="RESTRINGIDO", $N510="RESTRINGIDO"), 0, H489)</f>
        <v>0</v>
      </c>
      <c r="I600" s="93">
        <f>IF(OR($N526="RESTRINGIDO", $N511="RESTRINGIDO"), 0, I489)</f>
        <v>0</v>
      </c>
      <c r="J600" s="93">
        <f>IF(OR($N526="RESTRINGIDO", $N512="RESTRINGIDO"), 0, J489)</f>
        <v>0</v>
      </c>
      <c r="K600" s="93">
        <f>IF(OR($N526="RESTRINGIDO", $N513="RESTRINGIDO"), 0, K489)</f>
        <v>0</v>
      </c>
      <c r="L600" s="93">
        <f>IF(OR($N526="RESTRINGIDO", $N514="RESTRINGIDO"), 0, L489)</f>
        <v>0</v>
      </c>
      <c r="M600" s="93">
        <f>IF(OR($N526="RESTRINGIDO", $N515="RESTRINGIDO"), 0, M489)</f>
        <v>0</v>
      </c>
      <c r="N600" s="93">
        <f>IF(OR($N526="RESTRINGIDO", $N516="RESTRINGIDO"), 0, N489)</f>
        <v>0</v>
      </c>
      <c r="O600" s="93">
        <f>IF(OR($N526="RESTRINGIDO", $N517="RESTRINGIDO"), 0, O489)</f>
        <v>0</v>
      </c>
      <c r="P600" s="93">
        <f>IF(OR($N526="RESTRINGIDO", $N518="RESTRINGIDO"), 0, P489)</f>
        <v>0</v>
      </c>
      <c r="Q600" s="93">
        <f>IF(OR($N526="RESTRINGIDO", $N519="RESTRINGIDO"), 0, Q489)</f>
        <v>0</v>
      </c>
      <c r="R600" s="93">
        <f>IF(OR($N526="RESTRINGIDO", $N520="RESTRINGIDO"), 0, R489)</f>
        <v>0</v>
      </c>
      <c r="S600" s="93">
        <f>IF(OR($N526="RESTRINGIDO", $N521="RESTRINGIDO"), 0, S489)</f>
        <v>0</v>
      </c>
      <c r="T600" s="93">
        <f>IF(OR($N526="RESTRINGIDO", $N522="RESTRINGIDO"), 0, T489)</f>
        <v>0</v>
      </c>
      <c r="U600" s="93">
        <f>IF(OR($N526="RESTRINGIDO", $N523="RESTRINGIDO"), 0, U489)</f>
        <v>0</v>
      </c>
      <c r="V600" s="93">
        <f>IF(OR($N526="RESTRINGIDO", $N524="RESTRINGIDO"), 0, V489)</f>
        <v>0</v>
      </c>
      <c r="W600" s="93">
        <f>IF(OR($N526="RESTRINGIDO", $N525="RESTRINGIDO"), 0, W489)</f>
        <v>0</v>
      </c>
      <c r="X600" s="93">
        <f>IF($N526="RESTRINGIDO", 1, IF(OR($N526="", $C489=""), 1, X489))</f>
        <v>1</v>
      </c>
      <c r="Y600" s="93">
        <f>IF(OR($N526="RESTRINGIDO", $N527="RESTRINGIDO"), 0, Y489)</f>
        <v>0</v>
      </c>
      <c r="Z600" s="93">
        <f>IF(OR($N526="RESTRINGIDO", $N528="RESTRINGIDO"), 0, Z489)</f>
        <v>0</v>
      </c>
      <c r="AA600" s="93">
        <f>IF(OR($N526="RESTRINGIDO", $N529="RESTRINGIDO"), 0, AA489)</f>
        <v>0</v>
      </c>
      <c r="AB600" s="93">
        <f>IF(OR($N526="RESTRINGIDO", $N530="RESTRINGIDO"), 0, AB489)</f>
        <v>0</v>
      </c>
      <c r="AC600" s="93">
        <f>IF(OR($N526="RESTRINGIDO", $N531="RESTRINGIDO"), 0, AC489)</f>
        <v>0</v>
      </c>
      <c r="AD600" s="93">
        <f>IF(OR($N526="RESTRINGIDO", $N532="RESTRINGIDO"), 0, AD489)</f>
        <v>0</v>
      </c>
      <c r="AE600" s="93">
        <f>IF(OR($N526="RESTRINGIDO", $N533="RESTRINGIDO"), 0, AE489)</f>
        <v>0</v>
      </c>
      <c r="AF600" s="93">
        <f>IF(OR($N526="RESTRINGIDO", $N534="RESTRINGIDO"), 0, AF489)</f>
        <v>0</v>
      </c>
      <c r="AG600" s="93">
        <f>IF(OR($N526="RESTRINGIDO", $N535="RESTRINGIDO"), 0, AG489)</f>
        <v>0</v>
      </c>
      <c r="AH600" s="93">
        <f>IF(OR($N526="RESTRINGIDO", $N536="RESTRINGIDO"), 0, AH489)</f>
        <v>0</v>
      </c>
      <c r="AJ600" s="93">
        <f t="shared" si="75"/>
        <v>0</v>
      </c>
      <c r="AL600" s="104">
        <v>0</v>
      </c>
      <c r="AN600" s="104">
        <v>0</v>
      </c>
    </row>
    <row r="601" spans="2:40" x14ac:dyDescent="0.3">
      <c r="B601" s="93">
        <f>IF(OR($N527="RESTRINGIDO", $N504="RESTRINGIDO"), 0, B490)</f>
        <v>0</v>
      </c>
      <c r="C601" s="93">
        <f>IF(OR($N527="RESTRINGIDO", $N505="RESTRINGIDO"), 0, C490)</f>
        <v>0</v>
      </c>
      <c r="D601" s="93">
        <f>IF(OR($N527="RESTRINGIDO", $N506="RESTRINGIDO"), 0, D490)</f>
        <v>0</v>
      </c>
      <c r="E601" s="93">
        <f>IF(OR($N527="RESTRINGIDO", $N507="RESTRINGIDO"), 0, E490)</f>
        <v>0</v>
      </c>
      <c r="F601" s="93">
        <f>IF(OR($N527="RESTRINGIDO", $N508="RESTRINGIDO"), 0, F490)</f>
        <v>0</v>
      </c>
      <c r="G601" s="93">
        <f>IF(OR($N527="RESTRINGIDO", $N509="RESTRINGIDO"), 0, G490)</f>
        <v>0</v>
      </c>
      <c r="H601" s="93">
        <f>IF(OR($N527="RESTRINGIDO", $N510="RESTRINGIDO"), 0, H490)</f>
        <v>0</v>
      </c>
      <c r="I601" s="93">
        <f>IF(OR($N527="RESTRINGIDO", $N511="RESTRINGIDO"), 0, I490)</f>
        <v>0</v>
      </c>
      <c r="J601" s="93">
        <f>IF(OR($N527="RESTRINGIDO", $N512="RESTRINGIDO"), 0, J490)</f>
        <v>0</v>
      </c>
      <c r="K601" s="93">
        <f>IF(OR($N527="RESTRINGIDO", $N513="RESTRINGIDO"), 0, K490)</f>
        <v>0</v>
      </c>
      <c r="L601" s="93">
        <f>IF(OR($N527="RESTRINGIDO", $N514="RESTRINGIDO"), 0, L490)</f>
        <v>0</v>
      </c>
      <c r="M601" s="93">
        <f>IF(OR($N527="RESTRINGIDO", $N515="RESTRINGIDO"), 0, M490)</f>
        <v>0</v>
      </c>
      <c r="N601" s="93">
        <f>IF(OR($N527="RESTRINGIDO", $N516="RESTRINGIDO"), 0, N490)</f>
        <v>0</v>
      </c>
      <c r="O601" s="93">
        <f>IF(OR($N527="RESTRINGIDO", $N517="RESTRINGIDO"), 0, O490)</f>
        <v>0</v>
      </c>
      <c r="P601" s="93">
        <f>IF(OR($N527="RESTRINGIDO", $N518="RESTRINGIDO"), 0, P490)</f>
        <v>0</v>
      </c>
      <c r="Q601" s="93">
        <f>IF(OR($N527="RESTRINGIDO", $N519="RESTRINGIDO"), 0, Q490)</f>
        <v>0</v>
      </c>
      <c r="R601" s="93">
        <f>IF(OR($N527="RESTRINGIDO", $N520="RESTRINGIDO"), 0, R490)</f>
        <v>0</v>
      </c>
      <c r="S601" s="93">
        <f>IF(OR($N527="RESTRINGIDO", $N521="RESTRINGIDO"), 0, S490)</f>
        <v>0</v>
      </c>
      <c r="T601" s="93">
        <f>IF(OR($N527="RESTRINGIDO", $N522="RESTRINGIDO"), 0, T490)</f>
        <v>0</v>
      </c>
      <c r="U601" s="93">
        <f>IF(OR($N527="RESTRINGIDO", $N523="RESTRINGIDO"), 0, U490)</f>
        <v>0</v>
      </c>
      <c r="V601" s="93">
        <f>IF(OR($N527="RESTRINGIDO", $N524="RESTRINGIDO"), 0, V490)</f>
        <v>0</v>
      </c>
      <c r="W601" s="93">
        <f>IF(OR($N527="RESTRINGIDO", $N525="RESTRINGIDO"), 0, W490)</f>
        <v>0</v>
      </c>
      <c r="X601" s="93">
        <f>IF(OR($N527="RESTRINGIDO", $N526="RESTRINGIDO"), 0, X490)</f>
        <v>0</v>
      </c>
      <c r="Y601" s="93">
        <f>IF($N527="RESTRINGIDO", 1, IF(OR($N527="", $C490=""), 1, Y490))</f>
        <v>1</v>
      </c>
      <c r="Z601" s="93">
        <f>IF(OR($N527="RESTRINGIDO", $N528="RESTRINGIDO"), 0, Z490)</f>
        <v>0</v>
      </c>
      <c r="AA601" s="93">
        <f>IF(OR($N527="RESTRINGIDO", $N529="RESTRINGIDO"), 0, AA490)</f>
        <v>0</v>
      </c>
      <c r="AB601" s="93">
        <f>IF(OR($N527="RESTRINGIDO", $N530="RESTRINGIDO"), 0, AB490)</f>
        <v>0</v>
      </c>
      <c r="AC601" s="93">
        <f>IF(OR($N527="RESTRINGIDO", $N531="RESTRINGIDO"), 0, AC490)</f>
        <v>0</v>
      </c>
      <c r="AD601" s="93">
        <f>IF(OR($N527="RESTRINGIDO", $N532="RESTRINGIDO"), 0, AD490)</f>
        <v>0</v>
      </c>
      <c r="AE601" s="93">
        <f>IF(OR($N527="RESTRINGIDO", $N533="RESTRINGIDO"), 0, AE490)</f>
        <v>0</v>
      </c>
      <c r="AF601" s="93">
        <f>IF(OR($N527="RESTRINGIDO", $N534="RESTRINGIDO"), 0, AF490)</f>
        <v>0</v>
      </c>
      <c r="AG601" s="93">
        <f>IF(OR($N527="RESTRINGIDO", $N535="RESTRINGIDO"), 0, AG490)</f>
        <v>0</v>
      </c>
      <c r="AH601" s="93">
        <f>IF(OR($N527="RESTRINGIDO", $N536="RESTRINGIDO"), 0, AH490)</f>
        <v>0</v>
      </c>
      <c r="AJ601" s="93">
        <f t="shared" si="75"/>
        <v>0</v>
      </c>
      <c r="AL601" s="104">
        <v>0</v>
      </c>
      <c r="AN601" s="104">
        <v>0</v>
      </c>
    </row>
    <row r="602" spans="2:40" x14ac:dyDescent="0.3">
      <c r="B602" s="93">
        <f>IF(OR($N528="RESTRINGIDO", $N504="RESTRINGIDO"), 0, B491)</f>
        <v>0</v>
      </c>
      <c r="C602" s="93">
        <f>IF(OR($N528="RESTRINGIDO", $N505="RESTRINGIDO"), 0, C491)</f>
        <v>0</v>
      </c>
      <c r="D602" s="93">
        <f>IF(OR($N528="RESTRINGIDO", $N506="RESTRINGIDO"), 0, D491)</f>
        <v>0</v>
      </c>
      <c r="E602" s="93">
        <f>IF(OR($N528="RESTRINGIDO", $N507="RESTRINGIDO"), 0, E491)</f>
        <v>0</v>
      </c>
      <c r="F602" s="93">
        <f>IF(OR($N528="RESTRINGIDO", $N508="RESTRINGIDO"), 0, F491)</f>
        <v>0</v>
      </c>
      <c r="G602" s="93">
        <f>IF(OR($N528="RESTRINGIDO", $N509="RESTRINGIDO"), 0, G491)</f>
        <v>0</v>
      </c>
      <c r="H602" s="93">
        <f>IF(OR($N528="RESTRINGIDO", $N510="RESTRINGIDO"), 0, H491)</f>
        <v>0</v>
      </c>
      <c r="I602" s="93">
        <f>IF(OR($N528="RESTRINGIDO", $N511="RESTRINGIDO"), 0, I491)</f>
        <v>0</v>
      </c>
      <c r="J602" s="93">
        <f>IF(OR($N528="RESTRINGIDO", $N512="RESTRINGIDO"), 0, J491)</f>
        <v>0</v>
      </c>
      <c r="K602" s="93">
        <f>IF(OR($N528="RESTRINGIDO", $N513="RESTRINGIDO"), 0, K491)</f>
        <v>0</v>
      </c>
      <c r="L602" s="93">
        <f>IF(OR($N528="RESTRINGIDO", $N514="RESTRINGIDO"), 0, L491)</f>
        <v>0</v>
      </c>
      <c r="M602" s="93">
        <f>IF(OR($N528="RESTRINGIDO", $N515="RESTRINGIDO"), 0, M491)</f>
        <v>0</v>
      </c>
      <c r="N602" s="93">
        <f>IF(OR($N528="RESTRINGIDO", $N516="RESTRINGIDO"), 0, N491)</f>
        <v>0</v>
      </c>
      <c r="O602" s="93">
        <f>IF(OR($N528="RESTRINGIDO", $N517="RESTRINGIDO"), 0, O491)</f>
        <v>0</v>
      </c>
      <c r="P602" s="93">
        <f>IF(OR($N528="RESTRINGIDO", $N518="RESTRINGIDO"), 0, P491)</f>
        <v>0</v>
      </c>
      <c r="Q602" s="93">
        <f>IF(OR($N528="RESTRINGIDO", $N519="RESTRINGIDO"), 0, Q491)</f>
        <v>0</v>
      </c>
      <c r="R602" s="93">
        <f>IF(OR($N528="RESTRINGIDO", $N520="RESTRINGIDO"), 0, R491)</f>
        <v>0</v>
      </c>
      <c r="S602" s="93">
        <f>IF(OR($N528="RESTRINGIDO", $N521="RESTRINGIDO"), 0, S491)</f>
        <v>0</v>
      </c>
      <c r="T602" s="93">
        <f>IF(OR($N528="RESTRINGIDO", $N522="RESTRINGIDO"), 0, T491)</f>
        <v>0</v>
      </c>
      <c r="U602" s="93">
        <f>IF(OR($N528="RESTRINGIDO", $N523="RESTRINGIDO"), 0, U491)</f>
        <v>0</v>
      </c>
      <c r="V602" s="93">
        <f>IF(OR($N528="RESTRINGIDO", $N524="RESTRINGIDO"), 0, V491)</f>
        <v>0</v>
      </c>
      <c r="W602" s="93">
        <f>IF(OR($N528="RESTRINGIDO", $N525="RESTRINGIDO"), 0, W491)</f>
        <v>0</v>
      </c>
      <c r="X602" s="93">
        <f>IF(OR($N528="RESTRINGIDO", $N526="RESTRINGIDO"), 0, X491)</f>
        <v>0</v>
      </c>
      <c r="Y602" s="93">
        <f>IF(OR($N528="RESTRINGIDO", $N527="RESTRINGIDO"), 0, Y491)</f>
        <v>0</v>
      </c>
      <c r="Z602" s="93">
        <f>IF($N528="RESTRINGIDO", 1, IF(OR($N528="", $C491=""), 1, Z491))</f>
        <v>1</v>
      </c>
      <c r="AA602" s="93">
        <f>IF(OR($N528="RESTRINGIDO", $N529="RESTRINGIDO"), 0, AA491)</f>
        <v>0</v>
      </c>
      <c r="AB602" s="93">
        <f>IF(OR($N528="RESTRINGIDO", $N530="RESTRINGIDO"), 0, AB491)</f>
        <v>0</v>
      </c>
      <c r="AC602" s="93">
        <f>IF(OR($N528="RESTRINGIDO", $N531="RESTRINGIDO"), 0, AC491)</f>
        <v>0</v>
      </c>
      <c r="AD602" s="93">
        <f>IF(OR($N528="RESTRINGIDO", $N532="RESTRINGIDO"), 0, AD491)</f>
        <v>0</v>
      </c>
      <c r="AE602" s="93">
        <f>IF(OR($N528="RESTRINGIDO", $N533="RESTRINGIDO"), 0, AE491)</f>
        <v>0</v>
      </c>
      <c r="AF602" s="93">
        <f>IF(OR($N528="RESTRINGIDO", $N534="RESTRINGIDO"), 0, AF491)</f>
        <v>0</v>
      </c>
      <c r="AG602" s="93">
        <f>IF(OR($N528="RESTRINGIDO", $N535="RESTRINGIDO"), 0, AG491)</f>
        <v>0</v>
      </c>
      <c r="AH602" s="93">
        <f>IF(OR($N528="RESTRINGIDO", $N536="RESTRINGIDO"), 0, AH491)</f>
        <v>0</v>
      </c>
      <c r="AJ602" s="93">
        <f t="shared" si="75"/>
        <v>0</v>
      </c>
      <c r="AL602" s="104">
        <v>0</v>
      </c>
      <c r="AN602" s="104">
        <v>0</v>
      </c>
    </row>
    <row r="603" spans="2:40" x14ac:dyDescent="0.3">
      <c r="B603" s="93">
        <f>IF(OR($N529="RESTRINGIDO", $N504="RESTRINGIDO"), 0, B492)</f>
        <v>0</v>
      </c>
      <c r="C603" s="93">
        <f>IF(OR($N529="RESTRINGIDO", $N505="RESTRINGIDO"), 0, C492)</f>
        <v>0</v>
      </c>
      <c r="D603" s="93">
        <f>IF(OR($N529="RESTRINGIDO", $N506="RESTRINGIDO"), 0, D492)</f>
        <v>0</v>
      </c>
      <c r="E603" s="93">
        <f>IF(OR($N529="RESTRINGIDO", $N507="RESTRINGIDO"), 0, E492)</f>
        <v>0</v>
      </c>
      <c r="F603" s="93">
        <f>IF(OR($N529="RESTRINGIDO", $N508="RESTRINGIDO"), 0, F492)</f>
        <v>0</v>
      </c>
      <c r="G603" s="93">
        <f>IF(OR($N529="RESTRINGIDO", $N509="RESTRINGIDO"), 0, G492)</f>
        <v>0</v>
      </c>
      <c r="H603" s="93">
        <f>IF(OR($N529="RESTRINGIDO", $N510="RESTRINGIDO"), 0, H492)</f>
        <v>0</v>
      </c>
      <c r="I603" s="93">
        <f>IF(OR($N529="RESTRINGIDO", $N511="RESTRINGIDO"), 0, I492)</f>
        <v>0</v>
      </c>
      <c r="J603" s="93">
        <f>IF(OR($N529="RESTRINGIDO", $N512="RESTRINGIDO"), 0, J492)</f>
        <v>0</v>
      </c>
      <c r="K603" s="93">
        <f>IF(OR($N529="RESTRINGIDO", $N513="RESTRINGIDO"), 0, K492)</f>
        <v>0</v>
      </c>
      <c r="L603" s="93">
        <f>IF(OR($N529="RESTRINGIDO", $N514="RESTRINGIDO"), 0, L492)</f>
        <v>0</v>
      </c>
      <c r="M603" s="93">
        <f>IF(OR($N529="RESTRINGIDO", $N515="RESTRINGIDO"), 0, M492)</f>
        <v>0</v>
      </c>
      <c r="N603" s="93">
        <f>IF(OR($N529="RESTRINGIDO", $N516="RESTRINGIDO"), 0, N492)</f>
        <v>0</v>
      </c>
      <c r="O603" s="93">
        <f>IF(OR($N529="RESTRINGIDO", $N517="RESTRINGIDO"), 0, O492)</f>
        <v>0</v>
      </c>
      <c r="P603" s="93">
        <f>IF(OR($N529="RESTRINGIDO", $N518="RESTRINGIDO"), 0, P492)</f>
        <v>0</v>
      </c>
      <c r="Q603" s="93">
        <f>IF(OR($N529="RESTRINGIDO", $N519="RESTRINGIDO"), 0, Q492)</f>
        <v>0</v>
      </c>
      <c r="R603" s="93">
        <f>IF(OR($N529="RESTRINGIDO", $N520="RESTRINGIDO"), 0, R492)</f>
        <v>0</v>
      </c>
      <c r="S603" s="93">
        <f>IF(OR($N529="RESTRINGIDO", $N521="RESTRINGIDO"), 0, S492)</f>
        <v>0</v>
      </c>
      <c r="T603" s="93">
        <f>IF(OR($N529="RESTRINGIDO", $N522="RESTRINGIDO"), 0, T492)</f>
        <v>0</v>
      </c>
      <c r="U603" s="93">
        <f>IF(OR($N529="RESTRINGIDO", $N523="RESTRINGIDO"), 0, U492)</f>
        <v>0</v>
      </c>
      <c r="V603" s="93">
        <f>IF(OR($N529="RESTRINGIDO", $N524="RESTRINGIDO"), 0, V492)</f>
        <v>0</v>
      </c>
      <c r="W603" s="93">
        <f>IF(OR($N529="RESTRINGIDO", $N525="RESTRINGIDO"), 0, W492)</f>
        <v>0</v>
      </c>
      <c r="X603" s="93">
        <f>IF(OR($N529="RESTRINGIDO", $N526="RESTRINGIDO"), 0, X492)</f>
        <v>0</v>
      </c>
      <c r="Y603" s="93">
        <f>IF(OR($N529="RESTRINGIDO", $N527="RESTRINGIDO"), 0, Y492)</f>
        <v>0</v>
      </c>
      <c r="Z603" s="93">
        <f>IF(OR($N529="RESTRINGIDO", $N528="RESTRINGIDO"), 0, Z492)</f>
        <v>0</v>
      </c>
      <c r="AA603" s="93">
        <f>IF($N529="RESTRINGIDO", 1, IF(OR($N529="", $C492=""), 1, AA492))</f>
        <v>1</v>
      </c>
      <c r="AB603" s="93">
        <f>IF(OR($N529="RESTRINGIDO", $N530="RESTRINGIDO"), 0, AB492)</f>
        <v>0</v>
      </c>
      <c r="AC603" s="93">
        <f>IF(OR($N529="RESTRINGIDO", $N531="RESTRINGIDO"), 0, AC492)</f>
        <v>0</v>
      </c>
      <c r="AD603" s="93">
        <f>IF(OR($N529="RESTRINGIDO", $N532="RESTRINGIDO"), 0, AD492)</f>
        <v>0</v>
      </c>
      <c r="AE603" s="93">
        <f>IF(OR($N529="RESTRINGIDO", $N533="RESTRINGIDO"), 0, AE492)</f>
        <v>0</v>
      </c>
      <c r="AF603" s="93">
        <f>IF(OR($N529="RESTRINGIDO", $N534="RESTRINGIDO"), 0, AF492)</f>
        <v>0</v>
      </c>
      <c r="AG603" s="93">
        <f>IF(OR($N529="RESTRINGIDO", $N535="RESTRINGIDO"), 0, AG492)</f>
        <v>0</v>
      </c>
      <c r="AH603" s="93">
        <f>IF(OR($N529="RESTRINGIDO", $N536="RESTRINGIDO"), 0, AH492)</f>
        <v>0</v>
      </c>
      <c r="AJ603" s="93">
        <f t="shared" si="75"/>
        <v>0</v>
      </c>
      <c r="AL603" s="104">
        <v>0</v>
      </c>
      <c r="AN603" s="104">
        <v>0</v>
      </c>
    </row>
    <row r="604" spans="2:40" x14ac:dyDescent="0.3">
      <c r="B604" s="93">
        <f>IF(OR($N530="RESTRINGIDO", $N504="RESTRINGIDO"), 0, B493)</f>
        <v>0</v>
      </c>
      <c r="C604" s="93">
        <f>IF(OR($N530="RESTRINGIDO", $N505="RESTRINGIDO"), 0, C493)</f>
        <v>0</v>
      </c>
      <c r="D604" s="93">
        <f>IF(OR($N530="RESTRINGIDO", $N506="RESTRINGIDO"), 0, D493)</f>
        <v>0</v>
      </c>
      <c r="E604" s="93">
        <f>IF(OR($N530="RESTRINGIDO", $N507="RESTRINGIDO"), 0, E493)</f>
        <v>0</v>
      </c>
      <c r="F604" s="93">
        <f>IF(OR($N530="RESTRINGIDO", $N508="RESTRINGIDO"), 0, F493)</f>
        <v>0</v>
      </c>
      <c r="G604" s="93">
        <f>IF(OR($N530="RESTRINGIDO", $N509="RESTRINGIDO"), 0, G493)</f>
        <v>0</v>
      </c>
      <c r="H604" s="93">
        <f>IF(OR($N530="RESTRINGIDO", $N510="RESTRINGIDO"), 0, H493)</f>
        <v>0</v>
      </c>
      <c r="I604" s="93">
        <f>IF(OR($N530="RESTRINGIDO", $N511="RESTRINGIDO"), 0, I493)</f>
        <v>0</v>
      </c>
      <c r="J604" s="93">
        <f>IF(OR($N530="RESTRINGIDO", $N512="RESTRINGIDO"), 0, J493)</f>
        <v>0</v>
      </c>
      <c r="K604" s="93">
        <f>IF(OR($N530="RESTRINGIDO", $N513="RESTRINGIDO"), 0, K493)</f>
        <v>0</v>
      </c>
      <c r="L604" s="93">
        <f>IF(OR($N530="RESTRINGIDO", $N514="RESTRINGIDO"), 0, L493)</f>
        <v>0</v>
      </c>
      <c r="M604" s="93">
        <f>IF(OR($N530="RESTRINGIDO", $N515="RESTRINGIDO"), 0, M493)</f>
        <v>0</v>
      </c>
      <c r="N604" s="93">
        <f>IF(OR($N530="RESTRINGIDO", $N516="RESTRINGIDO"), 0, N493)</f>
        <v>0</v>
      </c>
      <c r="O604" s="93">
        <f>IF(OR($N530="RESTRINGIDO", $N517="RESTRINGIDO"), 0, O493)</f>
        <v>0</v>
      </c>
      <c r="P604" s="93">
        <f>IF(OR($N530="RESTRINGIDO", $N518="RESTRINGIDO"), 0, P493)</f>
        <v>0</v>
      </c>
      <c r="Q604" s="93">
        <f>IF(OR($N530="RESTRINGIDO", $N519="RESTRINGIDO"), 0, Q493)</f>
        <v>0</v>
      </c>
      <c r="R604" s="93">
        <f>IF(OR($N530="RESTRINGIDO", $N520="RESTRINGIDO"), 0, R493)</f>
        <v>0</v>
      </c>
      <c r="S604" s="93">
        <f>IF(OR($N530="RESTRINGIDO", $N521="RESTRINGIDO"), 0, S493)</f>
        <v>0</v>
      </c>
      <c r="T604" s="93">
        <f>IF(OR($N530="RESTRINGIDO", $N522="RESTRINGIDO"), 0, T493)</f>
        <v>0</v>
      </c>
      <c r="U604" s="93">
        <f>IF(OR($N530="RESTRINGIDO", $N523="RESTRINGIDO"), 0, U493)</f>
        <v>0</v>
      </c>
      <c r="V604" s="93">
        <f>IF(OR($N530="RESTRINGIDO", $N524="RESTRINGIDO"), 0, V493)</f>
        <v>0</v>
      </c>
      <c r="W604" s="93">
        <f>IF(OR($N530="RESTRINGIDO", $N525="RESTRINGIDO"), 0, W493)</f>
        <v>0</v>
      </c>
      <c r="X604" s="93">
        <f>IF(OR($N530="RESTRINGIDO", $N526="RESTRINGIDO"), 0, X493)</f>
        <v>0</v>
      </c>
      <c r="Y604" s="93">
        <f>IF(OR($N530="RESTRINGIDO", $N527="RESTRINGIDO"), 0, Y493)</f>
        <v>0</v>
      </c>
      <c r="Z604" s="93">
        <f>IF(OR($N530="RESTRINGIDO", $N528="RESTRINGIDO"), 0, Z493)</f>
        <v>0</v>
      </c>
      <c r="AA604" s="93">
        <f>IF(OR($N530="RESTRINGIDO", $N529="RESTRINGIDO"), 0, AA493)</f>
        <v>0</v>
      </c>
      <c r="AB604" s="93">
        <f>IF($N530="RESTRINGIDO", 1, IF(OR($N530="", $C493=""), 1, AB493))</f>
        <v>1</v>
      </c>
      <c r="AC604" s="93">
        <f>IF(OR($N530="RESTRINGIDO", $N531="RESTRINGIDO"), 0, AC493)</f>
        <v>0</v>
      </c>
      <c r="AD604" s="93">
        <f>IF(OR($N530="RESTRINGIDO", $N532="RESTRINGIDO"), 0, AD493)</f>
        <v>0</v>
      </c>
      <c r="AE604" s="93">
        <f>IF(OR($N530="RESTRINGIDO", $N533="RESTRINGIDO"), 0, AE493)</f>
        <v>0</v>
      </c>
      <c r="AF604" s="93">
        <f>IF(OR($N530="RESTRINGIDO", $N534="RESTRINGIDO"), 0, AF493)</f>
        <v>0</v>
      </c>
      <c r="AG604" s="93">
        <f>IF(OR($N530="RESTRINGIDO", $N535="RESTRINGIDO"), 0, AG493)</f>
        <v>0</v>
      </c>
      <c r="AH604" s="93">
        <f>IF(OR($N530="RESTRINGIDO", $N536="RESTRINGIDO"), 0, AH493)</f>
        <v>0</v>
      </c>
      <c r="AJ604" s="93">
        <f t="shared" si="75"/>
        <v>0</v>
      </c>
      <c r="AL604" s="104">
        <v>0</v>
      </c>
      <c r="AN604" s="104">
        <v>0</v>
      </c>
    </row>
    <row r="605" spans="2:40" x14ac:dyDescent="0.3">
      <c r="B605" s="93">
        <f>IF(OR($N531="RESTRINGIDO", $N504="RESTRINGIDO"), 0, B494)</f>
        <v>0</v>
      </c>
      <c r="C605" s="93">
        <f>IF(OR($N531="RESTRINGIDO", $N505="RESTRINGIDO"), 0, C494)</f>
        <v>0</v>
      </c>
      <c r="D605" s="93">
        <f>IF(OR($N531="RESTRINGIDO", $N506="RESTRINGIDO"), 0, D494)</f>
        <v>0</v>
      </c>
      <c r="E605" s="93">
        <f>IF(OR($N531="RESTRINGIDO", $N507="RESTRINGIDO"), 0, E494)</f>
        <v>0</v>
      </c>
      <c r="F605" s="93">
        <f>IF(OR($N531="RESTRINGIDO", $N508="RESTRINGIDO"), 0, F494)</f>
        <v>0</v>
      </c>
      <c r="G605" s="93">
        <f>IF(OR($N531="RESTRINGIDO", $N509="RESTRINGIDO"), 0, G494)</f>
        <v>0</v>
      </c>
      <c r="H605" s="93">
        <f>IF(OR($N531="RESTRINGIDO", $N510="RESTRINGIDO"), 0, H494)</f>
        <v>0</v>
      </c>
      <c r="I605" s="93">
        <f>IF(OR($N531="RESTRINGIDO", $N511="RESTRINGIDO"), 0, I494)</f>
        <v>0</v>
      </c>
      <c r="J605" s="93">
        <f>IF(OR($N531="RESTRINGIDO", $N512="RESTRINGIDO"), 0, J494)</f>
        <v>0</v>
      </c>
      <c r="K605" s="93">
        <f>IF(OR($N531="RESTRINGIDO", $N513="RESTRINGIDO"), 0, K494)</f>
        <v>0</v>
      </c>
      <c r="L605" s="93">
        <f>IF(OR($N531="RESTRINGIDO", $N514="RESTRINGIDO"), 0, L494)</f>
        <v>0</v>
      </c>
      <c r="M605" s="93">
        <f>IF(OR($N531="RESTRINGIDO", $N515="RESTRINGIDO"), 0, M494)</f>
        <v>0</v>
      </c>
      <c r="N605" s="93">
        <f>IF(OR($N531="RESTRINGIDO", $N516="RESTRINGIDO"), 0, N494)</f>
        <v>0</v>
      </c>
      <c r="O605" s="93">
        <f>IF(OR($N531="RESTRINGIDO", $N517="RESTRINGIDO"), 0, O494)</f>
        <v>0</v>
      </c>
      <c r="P605" s="93">
        <f>IF(OR($N531="RESTRINGIDO", $N518="RESTRINGIDO"), 0, P494)</f>
        <v>0</v>
      </c>
      <c r="Q605" s="93">
        <f>IF(OR($N531="RESTRINGIDO", $N519="RESTRINGIDO"), 0, Q494)</f>
        <v>0</v>
      </c>
      <c r="R605" s="93">
        <f>IF(OR($N531="RESTRINGIDO", $N520="RESTRINGIDO"), 0, R494)</f>
        <v>0</v>
      </c>
      <c r="S605" s="93">
        <f>IF(OR($N531="RESTRINGIDO", $N521="RESTRINGIDO"), 0, S494)</f>
        <v>0</v>
      </c>
      <c r="T605" s="93">
        <f>IF(OR($N531="RESTRINGIDO", $N522="RESTRINGIDO"), 0, T494)</f>
        <v>0</v>
      </c>
      <c r="U605" s="93">
        <f>IF(OR($N531="RESTRINGIDO", $N523="RESTRINGIDO"), 0, U494)</f>
        <v>0</v>
      </c>
      <c r="V605" s="93">
        <f>IF(OR($N531="RESTRINGIDO", $N524="RESTRINGIDO"), 0, V494)</f>
        <v>0</v>
      </c>
      <c r="W605" s="93">
        <f>IF(OR($N531="RESTRINGIDO", $N525="RESTRINGIDO"), 0, W494)</f>
        <v>0</v>
      </c>
      <c r="X605" s="93">
        <f>IF(OR($N531="RESTRINGIDO", $N526="RESTRINGIDO"), 0, X494)</f>
        <v>0</v>
      </c>
      <c r="Y605" s="93">
        <f>IF(OR($N531="RESTRINGIDO", $N527="RESTRINGIDO"), 0, Y494)</f>
        <v>0</v>
      </c>
      <c r="Z605" s="93">
        <f>IF(OR($N531="RESTRINGIDO", $N528="RESTRINGIDO"), 0, Z494)</f>
        <v>0</v>
      </c>
      <c r="AA605" s="93">
        <f>IF(OR($N531="RESTRINGIDO", $N529="RESTRINGIDO"), 0, AA494)</f>
        <v>0</v>
      </c>
      <c r="AB605" s="93">
        <f>IF(OR($N531="RESTRINGIDO", $N530="RESTRINGIDO"), 0, AB494)</f>
        <v>0</v>
      </c>
      <c r="AC605" s="93">
        <f>IF($N531="RESTRINGIDO", 1, IF(OR($N531="", $C494=""), 1, AC494))</f>
        <v>1</v>
      </c>
      <c r="AD605" s="93">
        <f>IF(OR($N531="RESTRINGIDO", $N532="RESTRINGIDO"), 0, AD494)</f>
        <v>0</v>
      </c>
      <c r="AE605" s="93">
        <f>IF(OR($N531="RESTRINGIDO", $N533="RESTRINGIDO"), 0, AE494)</f>
        <v>0</v>
      </c>
      <c r="AF605" s="93">
        <f>IF(OR($N531="RESTRINGIDO", $N534="RESTRINGIDO"), 0, AF494)</f>
        <v>0</v>
      </c>
      <c r="AG605" s="93">
        <f>IF(OR($N531="RESTRINGIDO", $N535="RESTRINGIDO"), 0, AG494)</f>
        <v>0</v>
      </c>
      <c r="AH605" s="93">
        <f>IF(OR($N531="RESTRINGIDO", $N536="RESTRINGIDO"), 0, AH494)</f>
        <v>0</v>
      </c>
      <c r="AJ605" s="93">
        <f t="shared" si="75"/>
        <v>0</v>
      </c>
      <c r="AL605" s="104">
        <v>0</v>
      </c>
      <c r="AN605" s="104">
        <v>0</v>
      </c>
    </row>
    <row r="606" spans="2:40" x14ac:dyDescent="0.3">
      <c r="B606" s="93">
        <f>IF(OR($N532="RESTRINGIDO", $N504="RESTRINGIDO"), 0, B495)</f>
        <v>0</v>
      </c>
      <c r="C606" s="93">
        <f>IF(OR($N532="RESTRINGIDO", $N505="RESTRINGIDO"), 0, C495)</f>
        <v>0</v>
      </c>
      <c r="D606" s="93">
        <f>IF(OR($N532="RESTRINGIDO", $N506="RESTRINGIDO"), 0, D495)</f>
        <v>0</v>
      </c>
      <c r="E606" s="93">
        <f>IF(OR($N532="RESTRINGIDO", $N507="RESTRINGIDO"), 0, E495)</f>
        <v>0</v>
      </c>
      <c r="F606" s="93">
        <f>IF(OR($N532="RESTRINGIDO", $N508="RESTRINGIDO"), 0, F495)</f>
        <v>0</v>
      </c>
      <c r="G606" s="93">
        <f>IF(OR($N532="RESTRINGIDO", $N509="RESTRINGIDO"), 0, G495)</f>
        <v>0</v>
      </c>
      <c r="H606" s="93">
        <f>IF(OR($N532="RESTRINGIDO", $N510="RESTRINGIDO"), 0, H495)</f>
        <v>0</v>
      </c>
      <c r="I606" s="93">
        <f>IF(OR($N532="RESTRINGIDO", $N511="RESTRINGIDO"), 0, I495)</f>
        <v>0</v>
      </c>
      <c r="J606" s="93">
        <f>IF(OR($N532="RESTRINGIDO", $N512="RESTRINGIDO"), 0, J495)</f>
        <v>0</v>
      </c>
      <c r="K606" s="93">
        <f>IF(OR($N532="RESTRINGIDO", $N513="RESTRINGIDO"), 0, K495)</f>
        <v>0</v>
      </c>
      <c r="L606" s="93">
        <f>IF(OR($N532="RESTRINGIDO", $N514="RESTRINGIDO"), 0, L495)</f>
        <v>0</v>
      </c>
      <c r="M606" s="93">
        <f>IF(OR($N532="RESTRINGIDO", $N515="RESTRINGIDO"), 0, M495)</f>
        <v>0</v>
      </c>
      <c r="N606" s="93">
        <f>IF(OR($N532="RESTRINGIDO", $N516="RESTRINGIDO"), 0, N495)</f>
        <v>0</v>
      </c>
      <c r="O606" s="93">
        <f>IF(OR($N532="RESTRINGIDO", $N517="RESTRINGIDO"), 0, O495)</f>
        <v>0</v>
      </c>
      <c r="P606" s="93">
        <f>IF(OR($N532="RESTRINGIDO", $N518="RESTRINGIDO"), 0, P495)</f>
        <v>0</v>
      </c>
      <c r="Q606" s="93">
        <f>IF(OR($N532="RESTRINGIDO", $N519="RESTRINGIDO"), 0, Q495)</f>
        <v>0</v>
      </c>
      <c r="R606" s="93">
        <f>IF(OR($N532="RESTRINGIDO", $N520="RESTRINGIDO"), 0, R495)</f>
        <v>0</v>
      </c>
      <c r="S606" s="93">
        <f>IF(OR($N532="RESTRINGIDO", $N521="RESTRINGIDO"), 0, S495)</f>
        <v>0</v>
      </c>
      <c r="T606" s="93">
        <f>IF(OR($N532="RESTRINGIDO", $N522="RESTRINGIDO"), 0, T495)</f>
        <v>0</v>
      </c>
      <c r="U606" s="93">
        <f>IF(OR($N532="RESTRINGIDO", $N523="RESTRINGIDO"), 0, U495)</f>
        <v>0</v>
      </c>
      <c r="V606" s="93">
        <f>IF(OR($N532="RESTRINGIDO", $N524="RESTRINGIDO"), 0, V495)</f>
        <v>0</v>
      </c>
      <c r="W606" s="93">
        <f>IF(OR($N532="RESTRINGIDO", $N525="RESTRINGIDO"), 0, W495)</f>
        <v>0</v>
      </c>
      <c r="X606" s="93">
        <f>IF(OR($N532="RESTRINGIDO", $N526="RESTRINGIDO"), 0, X495)</f>
        <v>0</v>
      </c>
      <c r="Y606" s="93">
        <f>IF(OR($N532="RESTRINGIDO", $N527="RESTRINGIDO"), 0, Y495)</f>
        <v>0</v>
      </c>
      <c r="Z606" s="93">
        <f>IF(OR($N532="RESTRINGIDO", $N528="RESTRINGIDO"), 0, Z495)</f>
        <v>0</v>
      </c>
      <c r="AA606" s="93">
        <f>IF(OR($N532="RESTRINGIDO", $N529="RESTRINGIDO"), 0, AA495)</f>
        <v>0</v>
      </c>
      <c r="AB606" s="93">
        <f>IF(OR($N532="RESTRINGIDO", $N530="RESTRINGIDO"), 0, AB495)</f>
        <v>0</v>
      </c>
      <c r="AC606" s="93">
        <f>IF(OR($N532="RESTRINGIDO", $N531="RESTRINGIDO"), 0, AC495)</f>
        <v>0</v>
      </c>
      <c r="AD606" s="93">
        <f>IF($N532="RESTRINGIDO", 1, IF(OR($N532="", $C495=""), 1, AD495))</f>
        <v>1</v>
      </c>
      <c r="AE606" s="93">
        <f>IF(OR($N532="RESTRINGIDO", $N533="RESTRINGIDO"), 0, AE495)</f>
        <v>0</v>
      </c>
      <c r="AF606" s="93">
        <f>IF(OR($N532="RESTRINGIDO", $N534="RESTRINGIDO"), 0, AF495)</f>
        <v>0</v>
      </c>
      <c r="AG606" s="93">
        <f>IF(OR($N532="RESTRINGIDO", $N535="RESTRINGIDO"), 0, AG495)</f>
        <v>0</v>
      </c>
      <c r="AH606" s="93">
        <f>IF(OR($N532="RESTRINGIDO", $N536="RESTRINGIDO"), 0, AH495)</f>
        <v>0</v>
      </c>
      <c r="AJ606" s="93">
        <f t="shared" si="75"/>
        <v>0</v>
      </c>
      <c r="AL606" s="104">
        <v>0</v>
      </c>
      <c r="AN606" s="104">
        <v>0</v>
      </c>
    </row>
    <row r="607" spans="2:40" x14ac:dyDescent="0.3">
      <c r="B607" s="93">
        <f>IF(OR($N533="RESTRINGIDO", $N504="RESTRINGIDO"), 0, B496)</f>
        <v>0</v>
      </c>
      <c r="C607" s="93">
        <f>IF(OR($N533="RESTRINGIDO", $N505="RESTRINGIDO"), 0, C496)</f>
        <v>0</v>
      </c>
      <c r="D607" s="93">
        <f>IF(OR($N533="RESTRINGIDO", $N506="RESTRINGIDO"), 0, D496)</f>
        <v>0</v>
      </c>
      <c r="E607" s="93">
        <f>IF(OR($N533="RESTRINGIDO", $N507="RESTRINGIDO"), 0, E496)</f>
        <v>0</v>
      </c>
      <c r="F607" s="93">
        <f>IF(OR($N533="RESTRINGIDO", $N508="RESTRINGIDO"), 0, F496)</f>
        <v>0</v>
      </c>
      <c r="G607" s="93">
        <f>IF(OR($N533="RESTRINGIDO", $N509="RESTRINGIDO"), 0, G496)</f>
        <v>0</v>
      </c>
      <c r="H607" s="93">
        <f>IF(OR($N533="RESTRINGIDO", $N510="RESTRINGIDO"), 0, H496)</f>
        <v>0</v>
      </c>
      <c r="I607" s="93">
        <f>IF(OR($N533="RESTRINGIDO", $N511="RESTRINGIDO"), 0, I496)</f>
        <v>0</v>
      </c>
      <c r="J607" s="93">
        <f>IF(OR($N533="RESTRINGIDO", $N512="RESTRINGIDO"), 0, J496)</f>
        <v>0</v>
      </c>
      <c r="K607" s="93">
        <f>IF(OR($N533="RESTRINGIDO", $N513="RESTRINGIDO"), 0, K496)</f>
        <v>0</v>
      </c>
      <c r="L607" s="93">
        <f>IF(OR($N533="RESTRINGIDO", $N514="RESTRINGIDO"), 0, L496)</f>
        <v>0</v>
      </c>
      <c r="M607" s="93">
        <f>IF(OR($N533="RESTRINGIDO", $N515="RESTRINGIDO"), 0, M496)</f>
        <v>0</v>
      </c>
      <c r="N607" s="93">
        <f>IF(OR($N533="RESTRINGIDO", $N516="RESTRINGIDO"), 0, N496)</f>
        <v>0</v>
      </c>
      <c r="O607" s="93">
        <f>IF(OR($N533="RESTRINGIDO", $N517="RESTRINGIDO"), 0, O496)</f>
        <v>0</v>
      </c>
      <c r="P607" s="93">
        <f>IF(OR($N533="RESTRINGIDO", $N518="RESTRINGIDO"), 0, P496)</f>
        <v>0</v>
      </c>
      <c r="Q607" s="93">
        <f>IF(OR($N533="RESTRINGIDO", $N519="RESTRINGIDO"), 0, Q496)</f>
        <v>0</v>
      </c>
      <c r="R607" s="93">
        <f>IF(OR($N533="RESTRINGIDO", $N520="RESTRINGIDO"), 0, R496)</f>
        <v>0</v>
      </c>
      <c r="S607" s="93">
        <f>IF(OR($N533="RESTRINGIDO", $N521="RESTRINGIDO"), 0, S496)</f>
        <v>0</v>
      </c>
      <c r="T607" s="93">
        <f>IF(OR($N533="RESTRINGIDO", $N522="RESTRINGIDO"), 0, T496)</f>
        <v>0</v>
      </c>
      <c r="U607" s="93">
        <f>IF(OR($N533="RESTRINGIDO", $N523="RESTRINGIDO"), 0, U496)</f>
        <v>0</v>
      </c>
      <c r="V607" s="93">
        <f>IF(OR($N533="RESTRINGIDO", $N524="RESTRINGIDO"), 0, V496)</f>
        <v>0</v>
      </c>
      <c r="W607" s="93">
        <f>IF(OR($N533="RESTRINGIDO", $N525="RESTRINGIDO"), 0, W496)</f>
        <v>0</v>
      </c>
      <c r="X607" s="93">
        <f>IF(OR($N533="RESTRINGIDO", $N526="RESTRINGIDO"), 0, X496)</f>
        <v>0</v>
      </c>
      <c r="Y607" s="93">
        <f>IF(OR($N533="RESTRINGIDO", $N527="RESTRINGIDO"), 0, Y496)</f>
        <v>0</v>
      </c>
      <c r="Z607" s="93">
        <f>IF(OR($N533="RESTRINGIDO", $N528="RESTRINGIDO"), 0, Z496)</f>
        <v>0</v>
      </c>
      <c r="AA607" s="93">
        <f>IF(OR($N533="RESTRINGIDO", $N529="RESTRINGIDO"), 0, AA496)</f>
        <v>0</v>
      </c>
      <c r="AB607" s="93">
        <f>IF(OR($N533="RESTRINGIDO", $N530="RESTRINGIDO"), 0, AB496)</f>
        <v>0</v>
      </c>
      <c r="AC607" s="93">
        <f>IF(OR($N533="RESTRINGIDO", $N531="RESTRINGIDO"), 0, AC496)</f>
        <v>0</v>
      </c>
      <c r="AD607" s="93">
        <f>IF(OR($N533="RESTRINGIDO", $N532="RESTRINGIDO"), 0, AD496)</f>
        <v>0</v>
      </c>
      <c r="AE607" s="93">
        <f>IF($N533="RESTRINGIDO", 1, IF(OR($N533="", $C496=""), 1, AE496))</f>
        <v>1</v>
      </c>
      <c r="AF607" s="93">
        <f>IF(OR($N533="RESTRINGIDO", $N534="RESTRINGIDO"), 0, AF496)</f>
        <v>0</v>
      </c>
      <c r="AG607" s="93">
        <f>IF(OR($N533="RESTRINGIDO", $N535="RESTRINGIDO"), 0, AG496)</f>
        <v>0</v>
      </c>
      <c r="AH607" s="93">
        <f>IF(OR($N533="RESTRINGIDO", $N536="RESTRINGIDO"), 0, AH496)</f>
        <v>0</v>
      </c>
      <c r="AJ607" s="93">
        <f t="shared" si="75"/>
        <v>0</v>
      </c>
      <c r="AL607" s="104">
        <v>0</v>
      </c>
      <c r="AN607" s="104">
        <v>0</v>
      </c>
    </row>
    <row r="608" spans="2:40" x14ac:dyDescent="0.3">
      <c r="B608" s="93">
        <f>IF(OR($N534="RESTRINGIDO", $N504="RESTRINGIDO"), 0, B497)</f>
        <v>0</v>
      </c>
      <c r="C608" s="93">
        <f>IF(OR($N534="RESTRINGIDO", $N505="RESTRINGIDO"), 0, C497)</f>
        <v>0</v>
      </c>
      <c r="D608" s="93">
        <f>IF(OR($N534="RESTRINGIDO", $N506="RESTRINGIDO"), 0, D497)</f>
        <v>0</v>
      </c>
      <c r="E608" s="93">
        <f>IF(OR($N534="RESTRINGIDO", $N507="RESTRINGIDO"), 0, E497)</f>
        <v>0</v>
      </c>
      <c r="F608" s="93">
        <f>IF(OR($N534="RESTRINGIDO", $N508="RESTRINGIDO"), 0, F497)</f>
        <v>0</v>
      </c>
      <c r="G608" s="93">
        <f>IF(OR($N534="RESTRINGIDO", $N509="RESTRINGIDO"), 0, G497)</f>
        <v>0</v>
      </c>
      <c r="H608" s="93">
        <f>IF(OR($N534="RESTRINGIDO", $N510="RESTRINGIDO"), 0, H497)</f>
        <v>0</v>
      </c>
      <c r="I608" s="93">
        <f>IF(OR($N534="RESTRINGIDO", $N511="RESTRINGIDO"), 0, I497)</f>
        <v>0</v>
      </c>
      <c r="J608" s="93">
        <f>IF(OR($N534="RESTRINGIDO", $N512="RESTRINGIDO"), 0, J497)</f>
        <v>0</v>
      </c>
      <c r="K608" s="93">
        <f>IF(OR($N534="RESTRINGIDO", $N513="RESTRINGIDO"), 0, K497)</f>
        <v>0</v>
      </c>
      <c r="L608" s="93">
        <f>IF(OR($N534="RESTRINGIDO", $N514="RESTRINGIDO"), 0, L497)</f>
        <v>0</v>
      </c>
      <c r="M608" s="93">
        <f>IF(OR($N534="RESTRINGIDO", $N515="RESTRINGIDO"), 0, M497)</f>
        <v>0</v>
      </c>
      <c r="N608" s="93">
        <f>IF(OR($N534="RESTRINGIDO", $N516="RESTRINGIDO"), 0, N497)</f>
        <v>0</v>
      </c>
      <c r="O608" s="93">
        <f>IF(OR($N534="RESTRINGIDO", $N517="RESTRINGIDO"), 0, O497)</f>
        <v>0</v>
      </c>
      <c r="P608" s="93">
        <f>IF(OR($N534="RESTRINGIDO", $N518="RESTRINGIDO"), 0, P497)</f>
        <v>0</v>
      </c>
      <c r="Q608" s="93">
        <f>IF(OR($N534="RESTRINGIDO", $N519="RESTRINGIDO"), 0, Q497)</f>
        <v>0</v>
      </c>
      <c r="R608" s="93">
        <f>IF(OR($N534="RESTRINGIDO", $N520="RESTRINGIDO"), 0, R497)</f>
        <v>0</v>
      </c>
      <c r="S608" s="93">
        <f>IF(OR($N534="RESTRINGIDO", $N521="RESTRINGIDO"), 0, S497)</f>
        <v>0</v>
      </c>
      <c r="T608" s="93">
        <f>IF(OR($N534="RESTRINGIDO", $N522="RESTRINGIDO"), 0, T497)</f>
        <v>0</v>
      </c>
      <c r="U608" s="93">
        <f>IF(OR($N534="RESTRINGIDO", $N523="RESTRINGIDO"), 0, U497)</f>
        <v>0</v>
      </c>
      <c r="V608" s="93">
        <f>IF(OR($N534="RESTRINGIDO", $N524="RESTRINGIDO"), 0, V497)</f>
        <v>0</v>
      </c>
      <c r="W608" s="93">
        <f>IF(OR($N534="RESTRINGIDO", $N525="RESTRINGIDO"), 0, W497)</f>
        <v>0</v>
      </c>
      <c r="X608" s="93">
        <f>IF(OR($N534="RESTRINGIDO", $N526="RESTRINGIDO"), 0, X497)</f>
        <v>0</v>
      </c>
      <c r="Y608" s="93">
        <f>IF(OR($N534="RESTRINGIDO", $N527="RESTRINGIDO"), 0, Y497)</f>
        <v>0</v>
      </c>
      <c r="Z608" s="93">
        <f>IF(OR($N534="RESTRINGIDO", $N528="RESTRINGIDO"), 0, Z497)</f>
        <v>0</v>
      </c>
      <c r="AA608" s="93">
        <f>IF(OR($N534="RESTRINGIDO", $N529="RESTRINGIDO"), 0, AA497)</f>
        <v>0</v>
      </c>
      <c r="AB608" s="93">
        <f>IF(OR($N534="RESTRINGIDO", $N530="RESTRINGIDO"), 0, AB497)</f>
        <v>0</v>
      </c>
      <c r="AC608" s="93">
        <f>IF(OR($N534="RESTRINGIDO", $N531="RESTRINGIDO"), 0, AC497)</f>
        <v>0</v>
      </c>
      <c r="AD608" s="93">
        <f>IF(OR($N534="RESTRINGIDO", $N532="RESTRINGIDO"), 0, AD497)</f>
        <v>0</v>
      </c>
      <c r="AE608" s="93">
        <f>IF(OR($N534="RESTRINGIDO", $N533="RESTRINGIDO"), 0, AE497)</f>
        <v>0</v>
      </c>
      <c r="AF608" s="93">
        <f>IF($N534="RESTRINGIDO", 1, IF(OR($N534="", $C497=""), 1, AF497))</f>
        <v>1</v>
      </c>
      <c r="AG608" s="93">
        <f>IF(OR($N534="RESTRINGIDO", $N535="RESTRINGIDO"), 0, AG497)</f>
        <v>0</v>
      </c>
      <c r="AH608" s="93">
        <f>IF(OR($N534="RESTRINGIDO", $N536="RESTRINGIDO"), 0, AH497)</f>
        <v>0</v>
      </c>
      <c r="AJ608" s="93">
        <f t="shared" si="75"/>
        <v>0</v>
      </c>
      <c r="AL608" s="104">
        <v>0</v>
      </c>
      <c r="AN608" s="104">
        <v>0</v>
      </c>
    </row>
    <row r="609" spans="2:40" x14ac:dyDescent="0.3">
      <c r="B609" s="93">
        <f>IF(OR($N535="RESTRINGIDO", $N504="RESTRINGIDO"), 0, B498)</f>
        <v>0</v>
      </c>
      <c r="C609" s="93">
        <f>IF(OR($N535="RESTRINGIDO", $N505="RESTRINGIDO"), 0, C498)</f>
        <v>0</v>
      </c>
      <c r="D609" s="93">
        <f>IF(OR($N535="RESTRINGIDO", $N506="RESTRINGIDO"), 0, D498)</f>
        <v>0</v>
      </c>
      <c r="E609" s="93">
        <f>IF(OR($N535="RESTRINGIDO", $N507="RESTRINGIDO"), 0, E498)</f>
        <v>0</v>
      </c>
      <c r="F609" s="93">
        <f>IF(OR($N535="RESTRINGIDO", $N508="RESTRINGIDO"), 0, F498)</f>
        <v>0</v>
      </c>
      <c r="G609" s="93">
        <f>IF(OR($N535="RESTRINGIDO", $N509="RESTRINGIDO"), 0, G498)</f>
        <v>0</v>
      </c>
      <c r="H609" s="93">
        <f>IF(OR($N535="RESTRINGIDO", $N510="RESTRINGIDO"), 0, H498)</f>
        <v>0</v>
      </c>
      <c r="I609" s="93">
        <f>IF(OR($N535="RESTRINGIDO", $N511="RESTRINGIDO"), 0, I498)</f>
        <v>0</v>
      </c>
      <c r="J609" s="93">
        <f>IF(OR($N535="RESTRINGIDO", $N512="RESTRINGIDO"), 0, J498)</f>
        <v>0</v>
      </c>
      <c r="K609" s="93">
        <f>IF(OR($N535="RESTRINGIDO", $N513="RESTRINGIDO"), 0, K498)</f>
        <v>0</v>
      </c>
      <c r="L609" s="93">
        <f>IF(OR($N535="RESTRINGIDO", $N514="RESTRINGIDO"), 0, L498)</f>
        <v>0</v>
      </c>
      <c r="M609" s="93">
        <f>IF(OR($N535="RESTRINGIDO", $N515="RESTRINGIDO"), 0, M498)</f>
        <v>0</v>
      </c>
      <c r="N609" s="93">
        <f>IF(OR($N535="RESTRINGIDO", $N516="RESTRINGIDO"), 0, N498)</f>
        <v>0</v>
      </c>
      <c r="O609" s="93">
        <f>IF(OR($N535="RESTRINGIDO", $N517="RESTRINGIDO"), 0, O498)</f>
        <v>0</v>
      </c>
      <c r="P609" s="93">
        <f>IF(OR($N535="RESTRINGIDO", $N518="RESTRINGIDO"), 0, P498)</f>
        <v>0</v>
      </c>
      <c r="Q609" s="93">
        <f>IF(OR($N535="RESTRINGIDO", $N519="RESTRINGIDO"), 0, Q498)</f>
        <v>0</v>
      </c>
      <c r="R609" s="93">
        <f>IF(OR($N535="RESTRINGIDO", $N520="RESTRINGIDO"), 0, R498)</f>
        <v>0</v>
      </c>
      <c r="S609" s="93">
        <f>IF(OR($N535="RESTRINGIDO", $N521="RESTRINGIDO"), 0, S498)</f>
        <v>0</v>
      </c>
      <c r="T609" s="93">
        <f>IF(OR($N535="RESTRINGIDO", $N522="RESTRINGIDO"), 0, T498)</f>
        <v>0</v>
      </c>
      <c r="U609" s="93">
        <f>IF(OR($N535="RESTRINGIDO", $N523="RESTRINGIDO"), 0, U498)</f>
        <v>0</v>
      </c>
      <c r="V609" s="93">
        <f>IF(OR($N535="RESTRINGIDO", $N524="RESTRINGIDO"), 0, V498)</f>
        <v>0</v>
      </c>
      <c r="W609" s="93">
        <f>IF(OR($N535="RESTRINGIDO", $N525="RESTRINGIDO"), 0, W498)</f>
        <v>0</v>
      </c>
      <c r="X609" s="93">
        <f>IF(OR($N535="RESTRINGIDO", $N526="RESTRINGIDO"), 0, X498)</f>
        <v>0</v>
      </c>
      <c r="Y609" s="93">
        <f>IF(OR($N535="RESTRINGIDO", $N527="RESTRINGIDO"), 0, Y498)</f>
        <v>0</v>
      </c>
      <c r="Z609" s="93">
        <f>IF(OR($N535="RESTRINGIDO", $N528="RESTRINGIDO"), 0, Z498)</f>
        <v>0</v>
      </c>
      <c r="AA609" s="93">
        <f>IF(OR($N535="RESTRINGIDO", $N529="RESTRINGIDO"), 0, AA498)</f>
        <v>0</v>
      </c>
      <c r="AB609" s="93">
        <f>IF(OR($N535="RESTRINGIDO", $N530="RESTRINGIDO"), 0, AB498)</f>
        <v>0</v>
      </c>
      <c r="AC609" s="93">
        <f>IF(OR($N535="RESTRINGIDO", $N531="RESTRINGIDO"), 0, AC498)</f>
        <v>0</v>
      </c>
      <c r="AD609" s="93">
        <f>IF(OR($N535="RESTRINGIDO", $N532="RESTRINGIDO"), 0, AD498)</f>
        <v>0</v>
      </c>
      <c r="AE609" s="93">
        <f>IF(OR($N535="RESTRINGIDO", $N533="RESTRINGIDO"), 0, AE498)</f>
        <v>0</v>
      </c>
      <c r="AF609" s="93">
        <f>IF(OR($N535="RESTRINGIDO", $N534="RESTRINGIDO"), 0, AF498)</f>
        <v>0</v>
      </c>
      <c r="AG609" s="93">
        <f>IF($N535="RESTRINGIDO", 1, IF(OR($N535="", $C498=""), 1, AG498))</f>
        <v>1</v>
      </c>
      <c r="AH609" s="93">
        <f>IF(OR($N535="RESTRINGIDO", $N536="RESTRINGIDO"), 0, AH498)</f>
        <v>0</v>
      </c>
      <c r="AJ609" s="93">
        <f t="shared" si="75"/>
        <v>0</v>
      </c>
      <c r="AL609" s="104">
        <v>0</v>
      </c>
      <c r="AN609" s="104">
        <v>0</v>
      </c>
    </row>
    <row r="610" spans="2:40" x14ac:dyDescent="0.3">
      <c r="B610" s="93">
        <f>IF(OR($N536="RESTRINGIDO", $N504="RESTRINGIDO"), 0, B499)</f>
        <v>0</v>
      </c>
      <c r="C610" s="93">
        <f>IF(OR($N536="RESTRINGIDO", $N505="RESTRINGIDO"), 0, C499)</f>
        <v>0</v>
      </c>
      <c r="D610" s="93">
        <f>IF(OR($N536="RESTRINGIDO", $N506="RESTRINGIDO"), 0, D499)</f>
        <v>0</v>
      </c>
      <c r="E610" s="93">
        <f>IF(OR($N536="RESTRINGIDO", $N507="RESTRINGIDO"), 0, E499)</f>
        <v>0</v>
      </c>
      <c r="F610" s="93">
        <f>IF(OR($N536="RESTRINGIDO", $N508="RESTRINGIDO"), 0, F499)</f>
        <v>0</v>
      </c>
      <c r="G610" s="93">
        <f>IF(OR($N536="RESTRINGIDO", $N509="RESTRINGIDO"), 0, G499)</f>
        <v>0</v>
      </c>
      <c r="H610" s="93">
        <f>IF(OR($N536="RESTRINGIDO", $N510="RESTRINGIDO"), 0, H499)</f>
        <v>0</v>
      </c>
      <c r="I610" s="93">
        <f>IF(OR($N536="RESTRINGIDO", $N511="RESTRINGIDO"), 0, I499)</f>
        <v>0</v>
      </c>
      <c r="J610" s="93">
        <f>IF(OR($N536="RESTRINGIDO", $N512="RESTRINGIDO"), 0, J499)</f>
        <v>0</v>
      </c>
      <c r="K610" s="93">
        <f>IF(OR($N536="RESTRINGIDO", $N513="RESTRINGIDO"), 0, K499)</f>
        <v>0</v>
      </c>
      <c r="L610" s="93">
        <f>IF(OR($N536="RESTRINGIDO", $N514="RESTRINGIDO"), 0, L499)</f>
        <v>0</v>
      </c>
      <c r="M610" s="93">
        <f>IF(OR($N536="RESTRINGIDO", $N515="RESTRINGIDO"), 0, M499)</f>
        <v>0</v>
      </c>
      <c r="N610" s="93">
        <f>IF(OR($N536="RESTRINGIDO", $N516="RESTRINGIDO"), 0, N499)</f>
        <v>0</v>
      </c>
      <c r="O610" s="93">
        <f>IF(OR($N536="RESTRINGIDO", $N517="RESTRINGIDO"), 0, O499)</f>
        <v>0</v>
      </c>
      <c r="P610" s="93">
        <f>IF(OR($N536="RESTRINGIDO", $N518="RESTRINGIDO"), 0, P499)</f>
        <v>0</v>
      </c>
      <c r="Q610" s="93">
        <f>IF(OR($N536="RESTRINGIDO", $N519="RESTRINGIDO"), 0, Q499)</f>
        <v>0</v>
      </c>
      <c r="R610" s="93">
        <f>IF(OR($N536="RESTRINGIDO", $N520="RESTRINGIDO"), 0, R499)</f>
        <v>0</v>
      </c>
      <c r="S610" s="93">
        <f>IF(OR($N536="RESTRINGIDO", $N521="RESTRINGIDO"), 0, S499)</f>
        <v>0</v>
      </c>
      <c r="T610" s="93">
        <f>IF(OR($N536="RESTRINGIDO", $N522="RESTRINGIDO"), 0, T499)</f>
        <v>0</v>
      </c>
      <c r="U610" s="93">
        <f>IF(OR($N536="RESTRINGIDO", $N523="RESTRINGIDO"), 0, U499)</f>
        <v>0</v>
      </c>
      <c r="V610" s="93">
        <f>IF(OR($N536="RESTRINGIDO", $N524="RESTRINGIDO"), 0, V499)</f>
        <v>0</v>
      </c>
      <c r="W610" s="93">
        <f>IF(OR($N536="RESTRINGIDO", $N525="RESTRINGIDO"), 0, W499)</f>
        <v>0</v>
      </c>
      <c r="X610" s="93">
        <f>IF(OR($N536="RESTRINGIDO", $N526="RESTRINGIDO"), 0, X499)</f>
        <v>0</v>
      </c>
      <c r="Y610" s="93">
        <f>IF(OR($N536="RESTRINGIDO", $N527="RESTRINGIDO"), 0, Y499)</f>
        <v>0</v>
      </c>
      <c r="Z610" s="93">
        <f>IF(OR($N536="RESTRINGIDO", $N528="RESTRINGIDO"), 0, Z499)</f>
        <v>0</v>
      </c>
      <c r="AA610" s="93">
        <f>IF(OR($N536="RESTRINGIDO", $N529="RESTRINGIDO"), 0, AA499)</f>
        <v>0</v>
      </c>
      <c r="AB610" s="93">
        <f>IF(OR($N536="RESTRINGIDO", $N530="RESTRINGIDO"), 0, AB499)</f>
        <v>0</v>
      </c>
      <c r="AC610" s="93">
        <f>IF(OR($N536="RESTRINGIDO", $N531="RESTRINGIDO"), 0, AC499)</f>
        <v>0</v>
      </c>
      <c r="AD610" s="93">
        <f>IF(OR($N536="RESTRINGIDO", $N532="RESTRINGIDO"), 0, AD499)</f>
        <v>0</v>
      </c>
      <c r="AE610" s="93">
        <f>IF(OR($N536="RESTRINGIDO", $N533="RESTRINGIDO"), 0, AE499)</f>
        <v>0</v>
      </c>
      <c r="AF610" s="93">
        <f>IF(OR($N536="RESTRINGIDO", $N534="RESTRINGIDO"), 0, AF499)</f>
        <v>0</v>
      </c>
      <c r="AG610" s="93">
        <f>IF(OR($N536="RESTRINGIDO", $N535="RESTRINGIDO"), 0, AG499)</f>
        <v>0</v>
      </c>
      <c r="AH610" s="93">
        <f>IF($N536="RESTRINGIDO", 1, IF(OR($N536="", $C499=""), 1, AH499))</f>
        <v>1</v>
      </c>
      <c r="AJ610" s="93">
        <f t="shared" si="75"/>
        <v>0</v>
      </c>
      <c r="AL610" s="104">
        <v>0</v>
      </c>
      <c r="AN610" s="104">
        <v>0</v>
      </c>
    </row>
    <row r="615" spans="2:40" x14ac:dyDescent="0.3">
      <c r="B615" s="95" t="s">
        <v>341</v>
      </c>
      <c r="C615" s="96"/>
      <c r="D615" s="96"/>
      <c r="E615" s="96"/>
      <c r="F615" s="96"/>
      <c r="G615" s="96"/>
    </row>
    <row r="617" spans="2:40" x14ac:dyDescent="0.3">
      <c r="B617" s="99" t="s">
        <v>272</v>
      </c>
      <c r="C617" s="100" t="s">
        <v>125</v>
      </c>
      <c r="D617" s="83" t="s">
        <v>190</v>
      </c>
      <c r="E617" s="105">
        <f>IF(OR($G$5=0, 1&gt;$G$5), 0, IF(N504="RESTRINGIDO", 0, AL578))</f>
        <v>0</v>
      </c>
      <c r="F617" s="100" t="s">
        <v>125</v>
      </c>
      <c r="G617" s="83" t="s">
        <v>24</v>
      </c>
    </row>
    <row r="618" spans="2:40" x14ac:dyDescent="0.3">
      <c r="B618" s="99" t="s">
        <v>274</v>
      </c>
      <c r="C618" s="100" t="s">
        <v>126</v>
      </c>
      <c r="D618" s="83" t="s">
        <v>190</v>
      </c>
      <c r="E618" s="105">
        <f>IF(OR($G$5=0, 1&gt;$G$5), 0, IF(N505="RESTRINGIDO", 0, AL579))</f>
        <v>0</v>
      </c>
      <c r="F618" s="100" t="s">
        <v>126</v>
      </c>
      <c r="G618" s="83" t="s">
        <v>24</v>
      </c>
    </row>
    <row r="619" spans="2:40" x14ac:dyDescent="0.3">
      <c r="B619" s="99" t="s">
        <v>276</v>
      </c>
      <c r="C619" s="100" t="s">
        <v>127</v>
      </c>
      <c r="D619" s="83" t="s">
        <v>190</v>
      </c>
      <c r="E619" s="105">
        <f>IF(OR($G$5=0, 1&gt;$G$5), 0, IF(N506="RESTRINGIDO", 0, AL580))</f>
        <v>0</v>
      </c>
      <c r="F619" s="100" t="s">
        <v>127</v>
      </c>
      <c r="G619" s="83" t="s">
        <v>342</v>
      </c>
    </row>
    <row r="620" spans="2:40" x14ac:dyDescent="0.3">
      <c r="B620" s="99" t="s">
        <v>278</v>
      </c>
      <c r="C620" s="100" t="s">
        <v>128</v>
      </c>
      <c r="D620" s="83" t="s">
        <v>190</v>
      </c>
      <c r="E620" s="105">
        <f>IF(OR($G$5=0, 2&gt;$G$5), 0, IF(N507="RESTRINGIDO", 0, AL581))</f>
        <v>0</v>
      </c>
      <c r="F620" s="100" t="s">
        <v>128</v>
      </c>
      <c r="G620" s="83" t="s">
        <v>24</v>
      </c>
    </row>
    <row r="621" spans="2:40" x14ac:dyDescent="0.3">
      <c r="B621" s="99" t="s">
        <v>280</v>
      </c>
      <c r="C621" s="100" t="s">
        <v>129</v>
      </c>
      <c r="D621" s="83" t="s">
        <v>190</v>
      </c>
      <c r="E621" s="105">
        <f>IF(OR($G$5=0, 2&gt;$G$5), 0, IF(N508="RESTRINGIDO", 0, AL582))</f>
        <v>0</v>
      </c>
      <c r="F621" s="100" t="s">
        <v>129</v>
      </c>
      <c r="G621" s="83" t="s">
        <v>24</v>
      </c>
    </row>
    <row r="622" spans="2:40" x14ac:dyDescent="0.3">
      <c r="B622" s="99" t="s">
        <v>282</v>
      </c>
      <c r="C622" s="100" t="s">
        <v>130</v>
      </c>
      <c r="D622" s="83" t="s">
        <v>190</v>
      </c>
      <c r="E622" s="105">
        <f>IF(OR($G$5=0, 2&gt;$G$5), 0, IF(N509="RESTRINGIDO", 0, AL583))</f>
        <v>0</v>
      </c>
      <c r="F622" s="100" t="s">
        <v>130</v>
      </c>
      <c r="G622" s="83" t="s">
        <v>342</v>
      </c>
    </row>
    <row r="623" spans="2:40" x14ac:dyDescent="0.3">
      <c r="B623" s="99" t="s">
        <v>284</v>
      </c>
      <c r="C623" s="100" t="s">
        <v>131</v>
      </c>
      <c r="D623" s="83" t="s">
        <v>190</v>
      </c>
      <c r="E623" s="105">
        <f>IF(OR($G$5=0, 3&gt;$G$5), 0, IF(N510="RESTRINGIDO", 0, AL584))</f>
        <v>0</v>
      </c>
      <c r="F623" s="100" t="s">
        <v>131</v>
      </c>
      <c r="G623" s="83" t="s">
        <v>24</v>
      </c>
    </row>
    <row r="624" spans="2:40" x14ac:dyDescent="0.3">
      <c r="B624" s="99" t="s">
        <v>286</v>
      </c>
      <c r="C624" s="100" t="s">
        <v>132</v>
      </c>
      <c r="D624" s="83" t="s">
        <v>190</v>
      </c>
      <c r="E624" s="105">
        <f>IF(OR($G$5=0, 3&gt;$G$5), 0, IF(N511="RESTRINGIDO", 0, AL585))</f>
        <v>0</v>
      </c>
      <c r="F624" s="100" t="s">
        <v>132</v>
      </c>
      <c r="G624" s="83" t="s">
        <v>24</v>
      </c>
    </row>
    <row r="625" spans="2:7" x14ac:dyDescent="0.3">
      <c r="B625" s="99" t="s">
        <v>288</v>
      </c>
      <c r="C625" s="100" t="s">
        <v>133</v>
      </c>
      <c r="D625" s="83" t="s">
        <v>190</v>
      </c>
      <c r="E625" s="105">
        <f>IF(OR($G$5=0, 3&gt;$G$5), 0, IF(N512="RESTRINGIDO", 0, AL586))</f>
        <v>0</v>
      </c>
      <c r="F625" s="100" t="s">
        <v>133</v>
      </c>
      <c r="G625" s="83" t="s">
        <v>342</v>
      </c>
    </row>
    <row r="626" spans="2:7" x14ac:dyDescent="0.3">
      <c r="B626" s="99" t="s">
        <v>290</v>
      </c>
      <c r="C626" s="100" t="s">
        <v>134</v>
      </c>
      <c r="D626" s="83" t="s">
        <v>190</v>
      </c>
      <c r="E626" s="105">
        <f>IF(OR($G$5=0, 4&gt;$G$5), 0, IF(N513="RESTRINGIDO", 0, AL587))</f>
        <v>0</v>
      </c>
      <c r="F626" s="100" t="s">
        <v>134</v>
      </c>
      <c r="G626" s="83" t="s">
        <v>24</v>
      </c>
    </row>
    <row r="627" spans="2:7" x14ac:dyDescent="0.3">
      <c r="B627" s="99" t="s">
        <v>292</v>
      </c>
      <c r="C627" s="100" t="s">
        <v>135</v>
      </c>
      <c r="D627" s="83" t="s">
        <v>190</v>
      </c>
      <c r="E627" s="105">
        <f>IF(OR($G$5=0, 4&gt;$G$5), 0, IF(N514="RESTRINGIDO", 0, AL588))</f>
        <v>0</v>
      </c>
      <c r="F627" s="100" t="s">
        <v>135</v>
      </c>
      <c r="G627" s="83" t="s">
        <v>24</v>
      </c>
    </row>
    <row r="628" spans="2:7" x14ac:dyDescent="0.3">
      <c r="B628" s="99" t="s">
        <v>294</v>
      </c>
      <c r="C628" s="100" t="s">
        <v>136</v>
      </c>
      <c r="D628" s="83" t="s">
        <v>190</v>
      </c>
      <c r="E628" s="105">
        <f>IF(OR($G$5=0, 4&gt;$G$5), 0, IF(N515="RESTRINGIDO", 0, AL589))</f>
        <v>0</v>
      </c>
      <c r="F628" s="100" t="s">
        <v>136</v>
      </c>
      <c r="G628" s="83" t="s">
        <v>342</v>
      </c>
    </row>
    <row r="629" spans="2:7" x14ac:dyDescent="0.3">
      <c r="B629" s="99" t="s">
        <v>296</v>
      </c>
      <c r="C629" s="100" t="s">
        <v>137</v>
      </c>
      <c r="D629" s="83" t="s">
        <v>190</v>
      </c>
      <c r="E629" s="105">
        <f>IF(OR($G$5=0, 5&gt;$G$5), 0, IF(N516="RESTRINGIDO", 0, AL590))</f>
        <v>0</v>
      </c>
      <c r="F629" s="100" t="s">
        <v>137</v>
      </c>
      <c r="G629" s="83" t="s">
        <v>24</v>
      </c>
    </row>
    <row r="630" spans="2:7" x14ac:dyDescent="0.3">
      <c r="B630" s="99" t="s">
        <v>298</v>
      </c>
      <c r="C630" s="100" t="s">
        <v>138</v>
      </c>
      <c r="D630" s="83" t="s">
        <v>190</v>
      </c>
      <c r="E630" s="105">
        <f>IF(OR($G$5=0, 5&gt;$G$5), 0, IF(N517="RESTRINGIDO", 0, AL591))</f>
        <v>0</v>
      </c>
      <c r="F630" s="100" t="s">
        <v>138</v>
      </c>
      <c r="G630" s="83" t="s">
        <v>24</v>
      </c>
    </row>
    <row r="631" spans="2:7" x14ac:dyDescent="0.3">
      <c r="B631" s="99" t="s">
        <v>300</v>
      </c>
      <c r="C631" s="100" t="s">
        <v>139</v>
      </c>
      <c r="D631" s="83" t="s">
        <v>190</v>
      </c>
      <c r="E631" s="105">
        <f>IF(OR($G$5=0, 5&gt;$G$5), 0, IF(N518="RESTRINGIDO", 0, AL592))</f>
        <v>0</v>
      </c>
      <c r="F631" s="100" t="s">
        <v>139</v>
      </c>
      <c r="G631" s="83" t="s">
        <v>342</v>
      </c>
    </row>
    <row r="632" spans="2:7" x14ac:dyDescent="0.3">
      <c r="B632" s="99" t="s">
        <v>302</v>
      </c>
      <c r="C632" s="100" t="s">
        <v>140</v>
      </c>
      <c r="D632" s="83" t="s">
        <v>190</v>
      </c>
      <c r="E632" s="105">
        <f>IF(OR($G$5=0, 6&gt;$G$5), 0, IF(N519="RESTRINGIDO", 0, AL593))</f>
        <v>0</v>
      </c>
      <c r="F632" s="100" t="s">
        <v>140</v>
      </c>
      <c r="G632" s="83" t="s">
        <v>24</v>
      </c>
    </row>
    <row r="633" spans="2:7" x14ac:dyDescent="0.3">
      <c r="B633" s="99" t="s">
        <v>304</v>
      </c>
      <c r="C633" s="100" t="s">
        <v>141</v>
      </c>
      <c r="D633" s="83" t="s">
        <v>190</v>
      </c>
      <c r="E633" s="105">
        <f>IF(OR($G$5=0, 6&gt;$G$5), 0, IF(N520="RESTRINGIDO", 0, AL594))</f>
        <v>0</v>
      </c>
      <c r="F633" s="100" t="s">
        <v>141</v>
      </c>
      <c r="G633" s="83" t="s">
        <v>24</v>
      </c>
    </row>
    <row r="634" spans="2:7" x14ac:dyDescent="0.3">
      <c r="B634" s="99" t="s">
        <v>306</v>
      </c>
      <c r="C634" s="100" t="s">
        <v>142</v>
      </c>
      <c r="D634" s="83" t="s">
        <v>190</v>
      </c>
      <c r="E634" s="105">
        <f>IF(OR($G$5=0, 6&gt;$G$5), 0, IF(N521="RESTRINGIDO", 0, AL595))</f>
        <v>0</v>
      </c>
      <c r="F634" s="100" t="s">
        <v>142</v>
      </c>
      <c r="G634" s="83" t="s">
        <v>342</v>
      </c>
    </row>
    <row r="635" spans="2:7" x14ac:dyDescent="0.3">
      <c r="B635" s="99" t="s">
        <v>308</v>
      </c>
      <c r="C635" s="100" t="s">
        <v>143</v>
      </c>
      <c r="D635" s="83" t="s">
        <v>190</v>
      </c>
      <c r="E635" s="105">
        <f>IF(OR($G$5=0, 7&gt;$G$5), 0, IF(N522="RESTRINGIDO", 0, AL596))</f>
        <v>0</v>
      </c>
      <c r="F635" s="100" t="s">
        <v>143</v>
      </c>
      <c r="G635" s="83" t="s">
        <v>24</v>
      </c>
    </row>
    <row r="636" spans="2:7" x14ac:dyDescent="0.3">
      <c r="B636" s="99" t="s">
        <v>310</v>
      </c>
      <c r="C636" s="100" t="s">
        <v>144</v>
      </c>
      <c r="D636" s="83" t="s">
        <v>190</v>
      </c>
      <c r="E636" s="105">
        <f>IF(OR($G$5=0, 7&gt;$G$5), 0, IF(N523="RESTRINGIDO", 0, AL597))</f>
        <v>0</v>
      </c>
      <c r="F636" s="100" t="s">
        <v>144</v>
      </c>
      <c r="G636" s="83" t="s">
        <v>24</v>
      </c>
    </row>
    <row r="637" spans="2:7" x14ac:dyDescent="0.3">
      <c r="B637" s="99" t="s">
        <v>312</v>
      </c>
      <c r="C637" s="100" t="s">
        <v>145</v>
      </c>
      <c r="D637" s="83" t="s">
        <v>190</v>
      </c>
      <c r="E637" s="105">
        <f>IF(OR($G$5=0, 7&gt;$G$5), 0, IF(N524="RESTRINGIDO", 0, AL598))</f>
        <v>0</v>
      </c>
      <c r="F637" s="100" t="s">
        <v>145</v>
      </c>
      <c r="G637" s="83" t="s">
        <v>342</v>
      </c>
    </row>
    <row r="638" spans="2:7" x14ac:dyDescent="0.3">
      <c r="B638" s="99" t="s">
        <v>314</v>
      </c>
      <c r="C638" s="100" t="s">
        <v>146</v>
      </c>
      <c r="D638" s="83" t="s">
        <v>190</v>
      </c>
      <c r="E638" s="105">
        <f>IF(OR($G$5=0, 8&gt;$G$5), 0, IF(N525="RESTRINGIDO", 0, AL599))</f>
        <v>0</v>
      </c>
      <c r="F638" s="100" t="s">
        <v>146</v>
      </c>
      <c r="G638" s="83" t="s">
        <v>24</v>
      </c>
    </row>
    <row r="639" spans="2:7" x14ac:dyDescent="0.3">
      <c r="B639" s="99" t="s">
        <v>316</v>
      </c>
      <c r="C639" s="100" t="s">
        <v>147</v>
      </c>
      <c r="D639" s="83" t="s">
        <v>190</v>
      </c>
      <c r="E639" s="105">
        <f>IF(OR($G$5=0, 8&gt;$G$5), 0, IF(N526="RESTRINGIDO", 0, AL600))</f>
        <v>0</v>
      </c>
      <c r="F639" s="100" t="s">
        <v>147</v>
      </c>
      <c r="G639" s="83" t="s">
        <v>24</v>
      </c>
    </row>
    <row r="640" spans="2:7" x14ac:dyDescent="0.3">
      <c r="B640" s="99" t="s">
        <v>318</v>
      </c>
      <c r="C640" s="100" t="s">
        <v>148</v>
      </c>
      <c r="D640" s="83" t="s">
        <v>190</v>
      </c>
      <c r="E640" s="105">
        <f>IF(OR($G$5=0, 8&gt;$G$5), 0, IF(N527="RESTRINGIDO", 0, AL601))</f>
        <v>0</v>
      </c>
      <c r="F640" s="100" t="s">
        <v>148</v>
      </c>
      <c r="G640" s="83" t="s">
        <v>342</v>
      </c>
    </row>
    <row r="641" spans="2:7" x14ac:dyDescent="0.3">
      <c r="B641" s="99" t="s">
        <v>320</v>
      </c>
      <c r="C641" s="100" t="s">
        <v>149</v>
      </c>
      <c r="D641" s="83" t="s">
        <v>190</v>
      </c>
      <c r="E641" s="105">
        <f>IF(OR($G$5=0, 9&gt;$G$5), 0, IF(N528="RESTRINGIDO", 0, AL602))</f>
        <v>0</v>
      </c>
      <c r="F641" s="100" t="s">
        <v>149</v>
      </c>
      <c r="G641" s="83" t="s">
        <v>24</v>
      </c>
    </row>
    <row r="642" spans="2:7" x14ac:dyDescent="0.3">
      <c r="B642" s="99" t="s">
        <v>322</v>
      </c>
      <c r="C642" s="100" t="s">
        <v>150</v>
      </c>
      <c r="D642" s="83" t="s">
        <v>190</v>
      </c>
      <c r="E642" s="105">
        <f>IF(OR($G$5=0, 9&gt;$G$5), 0, IF(N529="RESTRINGIDO", 0, AL603))</f>
        <v>0</v>
      </c>
      <c r="F642" s="100" t="s">
        <v>150</v>
      </c>
      <c r="G642" s="83" t="s">
        <v>24</v>
      </c>
    </row>
    <row r="643" spans="2:7" x14ac:dyDescent="0.3">
      <c r="B643" s="99" t="s">
        <v>324</v>
      </c>
      <c r="C643" s="100" t="s">
        <v>151</v>
      </c>
      <c r="D643" s="83" t="s">
        <v>190</v>
      </c>
      <c r="E643" s="105">
        <f>IF(OR($G$5=0, 9&gt;$G$5), 0, IF(N530="RESTRINGIDO", 0, AL604))</f>
        <v>0</v>
      </c>
      <c r="F643" s="100" t="s">
        <v>151</v>
      </c>
      <c r="G643" s="83" t="s">
        <v>342</v>
      </c>
    </row>
    <row r="644" spans="2:7" x14ac:dyDescent="0.3">
      <c r="B644" s="99" t="s">
        <v>326</v>
      </c>
      <c r="C644" s="100" t="s">
        <v>152</v>
      </c>
      <c r="D644" s="83" t="s">
        <v>190</v>
      </c>
      <c r="E644" s="105">
        <f>IF(OR($G$5=0, 10&gt;$G$5), 0, IF(N531="RESTRINGIDO", 0, AL605))</f>
        <v>0</v>
      </c>
      <c r="F644" s="100" t="s">
        <v>152</v>
      </c>
      <c r="G644" s="83" t="s">
        <v>24</v>
      </c>
    </row>
    <row r="645" spans="2:7" x14ac:dyDescent="0.3">
      <c r="B645" s="99" t="s">
        <v>328</v>
      </c>
      <c r="C645" s="100" t="s">
        <v>153</v>
      </c>
      <c r="D645" s="83" t="s">
        <v>190</v>
      </c>
      <c r="E645" s="105">
        <f>IF(OR($G$5=0, 10&gt;$G$5), 0, IF(N532="RESTRINGIDO", 0, AL606))</f>
        <v>0</v>
      </c>
      <c r="F645" s="100" t="s">
        <v>153</v>
      </c>
      <c r="G645" s="83" t="s">
        <v>24</v>
      </c>
    </row>
    <row r="646" spans="2:7" x14ac:dyDescent="0.3">
      <c r="B646" s="99" t="s">
        <v>330</v>
      </c>
      <c r="C646" s="100" t="s">
        <v>154</v>
      </c>
      <c r="D646" s="83" t="s">
        <v>190</v>
      </c>
      <c r="E646" s="105">
        <f>IF(OR($G$5=0, 10&gt;$G$5), 0, IF(N533="RESTRINGIDO", 0, AL607))</f>
        <v>0</v>
      </c>
      <c r="F646" s="100" t="s">
        <v>154</v>
      </c>
      <c r="G646" s="83" t="s">
        <v>342</v>
      </c>
    </row>
    <row r="647" spans="2:7" x14ac:dyDescent="0.3">
      <c r="B647" s="99" t="s">
        <v>332</v>
      </c>
      <c r="C647" s="100" t="s">
        <v>155</v>
      </c>
      <c r="D647" s="83" t="s">
        <v>190</v>
      </c>
      <c r="E647" s="105">
        <f>IF(OR($G$5=0, 11&gt;$G$5), 0, IF(N534="RESTRINGIDO", 0, AL608))</f>
        <v>0</v>
      </c>
      <c r="F647" s="100" t="s">
        <v>155</v>
      </c>
      <c r="G647" s="83" t="s">
        <v>24</v>
      </c>
    </row>
    <row r="648" spans="2:7" x14ac:dyDescent="0.3">
      <c r="B648" s="99" t="s">
        <v>334</v>
      </c>
      <c r="C648" s="100" t="s">
        <v>156</v>
      </c>
      <c r="D648" s="83" t="s">
        <v>190</v>
      </c>
      <c r="E648" s="105">
        <f>IF(OR($G$5=0, 11&gt;$G$5), 0, IF(N535="RESTRINGIDO", 0, AL609))</f>
        <v>0</v>
      </c>
      <c r="F648" s="100" t="s">
        <v>156</v>
      </c>
      <c r="G648" s="83" t="s">
        <v>24</v>
      </c>
    </row>
    <row r="649" spans="2:7" x14ac:dyDescent="0.3">
      <c r="B649" s="99" t="s">
        <v>336</v>
      </c>
      <c r="C649" s="100" t="s">
        <v>157</v>
      </c>
      <c r="D649" s="83" t="s">
        <v>190</v>
      </c>
      <c r="E649" s="105">
        <f>IF(OR($G$5=0, 11&gt;$G$5), 0, IF(N536="RESTRINGIDO", 0, AL610))</f>
        <v>0</v>
      </c>
      <c r="F649" s="100" t="s">
        <v>157</v>
      </c>
      <c r="G649" s="83" t="s">
        <v>342</v>
      </c>
    </row>
    <row r="653" spans="2:7" x14ac:dyDescent="0.3">
      <c r="B653" s="95" t="s">
        <v>343</v>
      </c>
      <c r="C653" s="96"/>
      <c r="D653" s="96"/>
    </row>
    <row r="654" spans="2:7" x14ac:dyDescent="0.3">
      <c r="B654" s="106" t="s">
        <v>344</v>
      </c>
      <c r="C654" s="106" t="s">
        <v>345</v>
      </c>
      <c r="D654" s="106" t="s">
        <v>346</v>
      </c>
    </row>
    <row r="655" spans="2:7" x14ac:dyDescent="0.3">
      <c r="B655" s="83">
        <v>1</v>
      </c>
      <c r="C655" s="93">
        <v>0</v>
      </c>
      <c r="D655" s="104">
        <f>IF(E618="","", E618)</f>
        <v>0</v>
      </c>
    </row>
    <row r="656" spans="2:7" x14ac:dyDescent="0.3">
      <c r="B656" s="83">
        <v>2</v>
      </c>
      <c r="C656" s="93" t="str">
        <f t="shared" ref="C656:C665" si="76">IF(I9="","", C655+I9)</f>
        <v/>
      </c>
      <c r="D656" s="104" t="str">
        <f>IF(I9="","", E621)</f>
        <v/>
      </c>
    </row>
    <row r="657" spans="2:4" x14ac:dyDescent="0.3">
      <c r="B657" s="83">
        <v>3</v>
      </c>
      <c r="C657" s="93" t="str">
        <f t="shared" si="76"/>
        <v/>
      </c>
      <c r="D657" s="104" t="str">
        <f>IF(I10="","", E624)</f>
        <v/>
      </c>
    </row>
    <row r="658" spans="2:4" x14ac:dyDescent="0.3">
      <c r="B658" s="83">
        <v>4</v>
      </c>
      <c r="C658" s="93" t="str">
        <f t="shared" si="76"/>
        <v/>
      </c>
      <c r="D658" s="104" t="str">
        <f>IF(I11="","", E627)</f>
        <v/>
      </c>
    </row>
    <row r="659" spans="2:4" x14ac:dyDescent="0.3">
      <c r="B659" s="83">
        <v>5</v>
      </c>
      <c r="C659" s="93" t="str">
        <f t="shared" si="76"/>
        <v/>
      </c>
      <c r="D659" s="104" t="str">
        <f>IF(I12="","", E630)</f>
        <v/>
      </c>
    </row>
    <row r="660" spans="2:4" x14ac:dyDescent="0.3">
      <c r="B660" s="83">
        <v>6</v>
      </c>
      <c r="C660" s="93" t="str">
        <f t="shared" si="76"/>
        <v/>
      </c>
      <c r="D660" s="104" t="str">
        <f>IF(I13="","", E633)</f>
        <v/>
      </c>
    </row>
    <row r="661" spans="2:4" x14ac:dyDescent="0.3">
      <c r="B661" s="83">
        <v>7</v>
      </c>
      <c r="C661" s="93" t="str">
        <f t="shared" si="76"/>
        <v/>
      </c>
      <c r="D661" s="104" t="str">
        <f>IF(I14="","", E636)</f>
        <v/>
      </c>
    </row>
    <row r="662" spans="2:4" x14ac:dyDescent="0.3">
      <c r="B662" s="83">
        <v>8</v>
      </c>
      <c r="C662" s="93" t="str">
        <f t="shared" si="76"/>
        <v/>
      </c>
      <c r="D662" s="104" t="str">
        <f>IF(I15="","", E639)</f>
        <v/>
      </c>
    </row>
    <row r="663" spans="2:4" x14ac:dyDescent="0.3">
      <c r="B663" s="83">
        <v>9</v>
      </c>
      <c r="C663" s="93" t="str">
        <f t="shared" si="76"/>
        <v/>
      </c>
      <c r="D663" s="104" t="str">
        <f>IF(I16="","", E642)</f>
        <v/>
      </c>
    </row>
    <row r="664" spans="2:4" x14ac:dyDescent="0.3">
      <c r="B664" s="83">
        <v>10</v>
      </c>
      <c r="C664" s="93" t="str">
        <f t="shared" si="76"/>
        <v/>
      </c>
      <c r="D664" s="104" t="str">
        <f>IF(I17="","", E645)</f>
        <v/>
      </c>
    </row>
    <row r="665" spans="2:4" x14ac:dyDescent="0.3">
      <c r="B665" s="83">
        <v>11</v>
      </c>
      <c r="C665" s="93" t="str">
        <f t="shared" si="76"/>
        <v/>
      </c>
      <c r="D665" s="104" t="str">
        <f>IF(I18="","", E648)</f>
        <v/>
      </c>
    </row>
  </sheetData>
  <mergeCells count="32">
    <mergeCell ref="B615:G615"/>
    <mergeCell ref="B653:D653"/>
    <mergeCell ref="B465:AH465"/>
    <mergeCell ref="B502:AH502"/>
    <mergeCell ref="B503:F503"/>
    <mergeCell ref="H503:L503"/>
    <mergeCell ref="B539:AH539"/>
    <mergeCell ref="B576:AH576"/>
    <mergeCell ref="P7:P8"/>
    <mergeCell ref="Q7:Q8"/>
    <mergeCell ref="R7:R8"/>
    <mergeCell ref="S7:S8"/>
    <mergeCell ref="AK16:AS16"/>
    <mergeCell ref="B20:B21"/>
    <mergeCell ref="C20:E20"/>
    <mergeCell ref="F20:H20"/>
    <mergeCell ref="J7:J8"/>
    <mergeCell ref="K7:K8"/>
    <mergeCell ref="L7:L8"/>
    <mergeCell ref="M7:M8"/>
    <mergeCell ref="N7:N8"/>
    <mergeCell ref="O7:O8"/>
    <mergeCell ref="AK1:AY1"/>
    <mergeCell ref="AK2:AY2"/>
    <mergeCell ref="AP3:AT3"/>
    <mergeCell ref="AU3:AY3"/>
    <mergeCell ref="B7:B8"/>
    <mergeCell ref="C7:D7"/>
    <mergeCell ref="E7:F7"/>
    <mergeCell ref="G7:G8"/>
    <mergeCell ref="H7:H8"/>
    <mergeCell ref="I7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E28F-49DB-4F55-A564-629F2F7F7BA5}">
  <dimension ref="A1:AX665"/>
  <sheetViews>
    <sheetView tabSelected="1" workbookViewId="0"/>
  </sheetViews>
  <sheetFormatPr baseColWidth="10" defaultColWidth="8.88671875" defaultRowHeight="14.4" x14ac:dyDescent="0.3"/>
  <cols>
    <col min="1" max="1" width="11" customWidth="1"/>
    <col min="2" max="34" width="13" customWidth="1"/>
    <col min="35" max="35" width="10" customWidth="1"/>
    <col min="36" max="36" width="4" customWidth="1"/>
    <col min="37" max="59" width="15" customWidth="1"/>
  </cols>
  <sheetData>
    <row r="1" spans="2:50" x14ac:dyDescent="0.3">
      <c r="B1" s="79" t="s">
        <v>50</v>
      </c>
      <c r="C1" s="79">
        <v>150000</v>
      </c>
      <c r="D1" s="79" t="s">
        <v>212</v>
      </c>
      <c r="AK1" s="80" t="s">
        <v>416</v>
      </c>
      <c r="AL1" s="81"/>
      <c r="AM1" s="81"/>
      <c r="AN1" s="81"/>
      <c r="AO1" s="81"/>
      <c r="AP1" s="81"/>
      <c r="AQ1" s="81"/>
      <c r="AR1" s="81"/>
    </row>
    <row r="2" spans="2:50" ht="26.4" x14ac:dyDescent="0.3">
      <c r="B2" s="79" t="s">
        <v>214</v>
      </c>
      <c r="C2" s="79">
        <v>5</v>
      </c>
      <c r="D2" s="79" t="s">
        <v>24</v>
      </c>
      <c r="AK2" s="82" t="s">
        <v>215</v>
      </c>
      <c r="AL2" s="82" t="s">
        <v>216</v>
      </c>
      <c r="AM2" s="82" t="s">
        <v>217</v>
      </c>
      <c r="AN2" s="82" t="s">
        <v>218</v>
      </c>
      <c r="AO2" s="82" t="s">
        <v>219</v>
      </c>
      <c r="AP2" s="82" t="s">
        <v>220</v>
      </c>
      <c r="AQ2" s="82" t="s">
        <v>221</v>
      </c>
      <c r="AR2" s="82" t="s">
        <v>222</v>
      </c>
    </row>
    <row r="3" spans="2:50" ht="26.4" x14ac:dyDescent="0.3">
      <c r="B3" s="79" t="s">
        <v>223</v>
      </c>
      <c r="C3" s="79">
        <v>10</v>
      </c>
      <c r="D3" s="79" t="s">
        <v>24</v>
      </c>
      <c r="AK3" s="83" t="s">
        <v>224</v>
      </c>
      <c r="AL3" s="83"/>
      <c r="AM3" s="83"/>
      <c r="AN3" s="83" t="str">
        <f t="shared" ref="AN3:AN12" si="0">IF(AM3="","", RADIANS(AM3))</f>
        <v/>
      </c>
      <c r="AO3" s="83" t="str">
        <f t="shared" ref="AO3:AO12" si="1">IF(AL3="","", ROUND(AL3*COS(AN3), 4))</f>
        <v/>
      </c>
      <c r="AP3" s="83" t="str">
        <f t="shared" ref="AP3:AP12" si="2">IF(AL3="","", -ROUND(AL3*SIN(AN3), 4))</f>
        <v/>
      </c>
      <c r="AQ3" s="83"/>
      <c r="AR3" s="83" t="str">
        <f t="shared" ref="AR3:AR12" si="3">IF(AQ3="","", AQ3/100)</f>
        <v/>
      </c>
    </row>
    <row r="4" spans="2:50" ht="26.4" x14ac:dyDescent="0.3">
      <c r="B4" s="79" t="s">
        <v>49</v>
      </c>
      <c r="C4" s="79">
        <f>C2*C3</f>
        <v>50</v>
      </c>
      <c r="D4" s="79" t="s">
        <v>225</v>
      </c>
      <c r="F4" s="84" t="s">
        <v>226</v>
      </c>
      <c r="G4" s="85">
        <f>COUNT(I9:I18)</f>
        <v>0</v>
      </c>
      <c r="AK4" s="83" t="s">
        <v>227</v>
      </c>
      <c r="AL4" s="83"/>
      <c r="AM4" s="83"/>
      <c r="AN4" s="83" t="str">
        <f t="shared" si="0"/>
        <v/>
      </c>
      <c r="AO4" s="83" t="str">
        <f t="shared" si="1"/>
        <v/>
      </c>
      <c r="AP4" s="83" t="str">
        <f t="shared" si="2"/>
        <v/>
      </c>
      <c r="AQ4" s="83"/>
      <c r="AR4" s="83" t="str">
        <f t="shared" si="3"/>
        <v/>
      </c>
    </row>
    <row r="5" spans="2:50" ht="26.4" x14ac:dyDescent="0.3">
      <c r="B5" s="79" t="s">
        <v>51</v>
      </c>
      <c r="C5" s="79">
        <f>(C2*(C3*C3*C3))/12</f>
        <v>416.66666666666669</v>
      </c>
      <c r="D5" s="79" t="s">
        <v>228</v>
      </c>
      <c r="F5" s="84" t="s">
        <v>229</v>
      </c>
      <c r="G5" s="85">
        <f>IF(G4&gt;0, G4+1, 0)</f>
        <v>0</v>
      </c>
      <c r="AK5" s="83" t="s">
        <v>230</v>
      </c>
      <c r="AL5" s="83"/>
      <c r="AM5" s="83"/>
      <c r="AN5" s="83" t="str">
        <f t="shared" si="0"/>
        <v/>
      </c>
      <c r="AO5" s="83" t="str">
        <f t="shared" si="1"/>
        <v/>
      </c>
      <c r="AP5" s="83" t="str">
        <f t="shared" si="2"/>
        <v/>
      </c>
      <c r="AQ5" s="83"/>
      <c r="AR5" s="83" t="str">
        <f t="shared" si="3"/>
        <v/>
      </c>
    </row>
    <row r="6" spans="2:50" ht="26.4" x14ac:dyDescent="0.3">
      <c r="AK6" s="83" t="s">
        <v>231</v>
      </c>
      <c r="AL6" s="83"/>
      <c r="AM6" s="83"/>
      <c r="AN6" s="83" t="str">
        <f t="shared" si="0"/>
        <v/>
      </c>
      <c r="AO6" s="83" t="str">
        <f t="shared" si="1"/>
        <v/>
      </c>
      <c r="AP6" s="83" t="str">
        <f t="shared" si="2"/>
        <v/>
      </c>
      <c r="AQ6" s="83"/>
      <c r="AR6" s="83" t="str">
        <f t="shared" si="3"/>
        <v/>
      </c>
    </row>
    <row r="7" spans="2:50" ht="26.4" x14ac:dyDescent="0.3">
      <c r="B7" s="86" t="s">
        <v>91</v>
      </c>
      <c r="C7" s="86" t="s">
        <v>232</v>
      </c>
      <c r="D7" s="87"/>
      <c r="E7" s="86" t="s">
        <v>233</v>
      </c>
      <c r="F7" s="87"/>
      <c r="G7" s="86" t="s">
        <v>234</v>
      </c>
      <c r="H7" s="86" t="s">
        <v>235</v>
      </c>
      <c r="I7" s="86" t="s">
        <v>46</v>
      </c>
      <c r="J7" s="86" t="s">
        <v>236</v>
      </c>
      <c r="K7" s="86" t="s">
        <v>237</v>
      </c>
      <c r="L7" s="86" t="s">
        <v>50</v>
      </c>
      <c r="M7" s="86" t="s">
        <v>49</v>
      </c>
      <c r="N7" s="86" t="s">
        <v>51</v>
      </c>
      <c r="O7" s="86" t="s">
        <v>56</v>
      </c>
      <c r="P7" s="86" t="s">
        <v>238</v>
      </c>
      <c r="Q7" s="86" t="s">
        <v>239</v>
      </c>
      <c r="R7" s="86" t="s">
        <v>54</v>
      </c>
      <c r="S7" s="86" t="s">
        <v>55</v>
      </c>
      <c r="AK7" s="83" t="s">
        <v>240</v>
      </c>
      <c r="AL7" s="83"/>
      <c r="AM7" s="83"/>
      <c r="AN7" s="83" t="str">
        <f t="shared" si="0"/>
        <v/>
      </c>
      <c r="AO7" s="83" t="str">
        <f t="shared" si="1"/>
        <v/>
      </c>
      <c r="AP7" s="83" t="str">
        <f t="shared" si="2"/>
        <v/>
      </c>
      <c r="AQ7" s="83"/>
      <c r="AR7" s="83" t="str">
        <f t="shared" si="3"/>
        <v/>
      </c>
    </row>
    <row r="8" spans="2:50" ht="26.4" x14ac:dyDescent="0.3">
      <c r="B8" s="88"/>
      <c r="C8" s="89" t="s">
        <v>71</v>
      </c>
      <c r="D8" s="89" t="s">
        <v>72</v>
      </c>
      <c r="E8" s="89" t="s">
        <v>71</v>
      </c>
      <c r="F8" s="89" t="s">
        <v>72</v>
      </c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AK8" s="83" t="s">
        <v>241</v>
      </c>
      <c r="AL8" s="83"/>
      <c r="AM8" s="83"/>
      <c r="AN8" s="83" t="str">
        <f t="shared" si="0"/>
        <v/>
      </c>
      <c r="AO8" s="83" t="str">
        <f t="shared" si="1"/>
        <v/>
      </c>
      <c r="AP8" s="83" t="str">
        <f t="shared" si="2"/>
        <v/>
      </c>
      <c r="AQ8" s="83"/>
      <c r="AR8" s="83" t="str">
        <f t="shared" si="3"/>
        <v/>
      </c>
    </row>
    <row r="9" spans="2:50" ht="26.4" x14ac:dyDescent="0.3">
      <c r="B9" s="83">
        <v>1</v>
      </c>
      <c r="C9" s="83"/>
      <c r="D9" s="83"/>
      <c r="E9" s="83"/>
      <c r="F9" s="83"/>
      <c r="G9" s="83" t="str">
        <f t="shared" ref="G9:H18" si="4">IF(OR(C9="",E9=""),"", E9-C9)</f>
        <v/>
      </c>
      <c r="H9" s="83" t="str">
        <f t="shared" si="4"/>
        <v/>
      </c>
      <c r="I9" s="83" t="str">
        <f t="shared" ref="I9:I18" si="5">IF(OR(G9="",H9=""),"", SQRT(G9*G9+H9*H9))</f>
        <v/>
      </c>
      <c r="J9" s="83" t="str">
        <f t="shared" ref="J9:J18" si="6">IF(OR(I9="",I9=0),"", G9/I9)</f>
        <v/>
      </c>
      <c r="K9" s="83" t="str">
        <f t="shared" ref="K9:K18" si="7">IF(OR(I9="",I9=0),"", H9/I9)</f>
        <v/>
      </c>
      <c r="L9" s="83" t="str">
        <f t="shared" ref="L9:L18" si="8">IF(I9="","", $C$1)</f>
        <v/>
      </c>
      <c r="M9" s="83" t="str">
        <f t="shared" ref="M9:M18" si="9">IF(I9="","", $C$4)</f>
        <v/>
      </c>
      <c r="N9" s="83" t="str">
        <f t="shared" ref="N9:N18" si="10">IF(I9="","", $C$5)</f>
        <v/>
      </c>
      <c r="O9" s="83" t="str">
        <f t="shared" ref="O9:O18" si="11">IF(OR(I9="",I9=0),"", L9*M9/I9)</f>
        <v/>
      </c>
      <c r="P9" s="83" t="str">
        <f t="shared" ref="P9:P18" si="12">IF(OR(I9="",I9=0),"", 12*L9*N9/(I9^3))</f>
        <v/>
      </c>
      <c r="Q9" s="83" t="str">
        <f t="shared" ref="Q9:Q18" si="13">IF(OR(I9="",I9=0),"", 6*L9*N9/(I9^2))</f>
        <v/>
      </c>
      <c r="R9" s="83" t="str">
        <f t="shared" ref="R9:R18" si="14">IF(OR(I9="",I9=0),"", 4*L9*N9/I9)</f>
        <v/>
      </c>
      <c r="S9" s="83" t="str">
        <f t="shared" ref="S9:S18" si="15">IF(OR(I9="",I9=0),"", 2*L9*N9/I9)</f>
        <v/>
      </c>
      <c r="AK9" s="83" t="s">
        <v>242</v>
      </c>
      <c r="AL9" s="83"/>
      <c r="AM9" s="83"/>
      <c r="AN9" s="83" t="str">
        <f t="shared" si="0"/>
        <v/>
      </c>
      <c r="AO9" s="83" t="str">
        <f t="shared" si="1"/>
        <v/>
      </c>
      <c r="AP9" s="83" t="str">
        <f t="shared" si="2"/>
        <v/>
      </c>
      <c r="AQ9" s="83"/>
      <c r="AR9" s="83" t="str">
        <f t="shared" si="3"/>
        <v/>
      </c>
    </row>
    <row r="10" spans="2:50" ht="26.4" x14ac:dyDescent="0.3">
      <c r="B10" s="83">
        <v>2</v>
      </c>
      <c r="C10" s="83"/>
      <c r="D10" s="83"/>
      <c r="E10" s="83"/>
      <c r="F10" s="83"/>
      <c r="G10" s="83" t="str">
        <f t="shared" si="4"/>
        <v/>
      </c>
      <c r="H10" s="83" t="str">
        <f t="shared" si="4"/>
        <v/>
      </c>
      <c r="I10" s="83" t="str">
        <f t="shared" si="5"/>
        <v/>
      </c>
      <c r="J10" s="83" t="str">
        <f t="shared" si="6"/>
        <v/>
      </c>
      <c r="K10" s="83" t="str">
        <f t="shared" si="7"/>
        <v/>
      </c>
      <c r="L10" s="83" t="str">
        <f t="shared" si="8"/>
        <v/>
      </c>
      <c r="M10" s="83" t="str">
        <f t="shared" si="9"/>
        <v/>
      </c>
      <c r="N10" s="83" t="str">
        <f t="shared" si="10"/>
        <v/>
      </c>
      <c r="O10" s="83" t="str">
        <f t="shared" si="11"/>
        <v/>
      </c>
      <c r="P10" s="83" t="str">
        <f t="shared" si="12"/>
        <v/>
      </c>
      <c r="Q10" s="83" t="str">
        <f t="shared" si="13"/>
        <v/>
      </c>
      <c r="R10" s="83" t="str">
        <f t="shared" si="14"/>
        <v/>
      </c>
      <c r="S10" s="83" t="str">
        <f t="shared" si="15"/>
        <v/>
      </c>
      <c r="AK10" s="83" t="s">
        <v>243</v>
      </c>
      <c r="AL10" s="83"/>
      <c r="AM10" s="83"/>
      <c r="AN10" s="83" t="str">
        <f t="shared" si="0"/>
        <v/>
      </c>
      <c r="AO10" s="83" t="str">
        <f t="shared" si="1"/>
        <v/>
      </c>
      <c r="AP10" s="83" t="str">
        <f t="shared" si="2"/>
        <v/>
      </c>
      <c r="AQ10" s="83"/>
      <c r="AR10" s="83" t="str">
        <f t="shared" si="3"/>
        <v/>
      </c>
    </row>
    <row r="11" spans="2:50" ht="26.4" x14ac:dyDescent="0.3">
      <c r="B11" s="83">
        <v>3</v>
      </c>
      <c r="C11" s="83"/>
      <c r="D11" s="83"/>
      <c r="E11" s="83"/>
      <c r="F11" s="83"/>
      <c r="G11" s="83" t="str">
        <f t="shared" si="4"/>
        <v/>
      </c>
      <c r="H11" s="83" t="str">
        <f t="shared" si="4"/>
        <v/>
      </c>
      <c r="I11" s="83" t="str">
        <f t="shared" si="5"/>
        <v/>
      </c>
      <c r="J11" s="83" t="str">
        <f t="shared" si="6"/>
        <v/>
      </c>
      <c r="K11" s="83" t="str">
        <f t="shared" si="7"/>
        <v/>
      </c>
      <c r="L11" s="83" t="str">
        <f t="shared" si="8"/>
        <v/>
      </c>
      <c r="M11" s="83" t="str">
        <f t="shared" si="9"/>
        <v/>
      </c>
      <c r="N11" s="83" t="str">
        <f t="shared" si="10"/>
        <v/>
      </c>
      <c r="O11" s="83" t="str">
        <f t="shared" si="11"/>
        <v/>
      </c>
      <c r="P11" s="83" t="str">
        <f t="shared" si="12"/>
        <v/>
      </c>
      <c r="Q11" s="83" t="str">
        <f t="shared" si="13"/>
        <v/>
      </c>
      <c r="R11" s="83" t="str">
        <f t="shared" si="14"/>
        <v/>
      </c>
      <c r="S11" s="83" t="str">
        <f t="shared" si="15"/>
        <v/>
      </c>
      <c r="AK11" s="83" t="s">
        <v>244</v>
      </c>
      <c r="AL11" s="83"/>
      <c r="AM11" s="83"/>
      <c r="AN11" s="83" t="str">
        <f t="shared" si="0"/>
        <v/>
      </c>
      <c r="AO11" s="83" t="str">
        <f t="shared" si="1"/>
        <v/>
      </c>
      <c r="AP11" s="83" t="str">
        <f t="shared" si="2"/>
        <v/>
      </c>
      <c r="AQ11" s="83"/>
      <c r="AR11" s="83" t="str">
        <f t="shared" si="3"/>
        <v/>
      </c>
    </row>
    <row r="12" spans="2:50" ht="26.4" x14ac:dyDescent="0.3">
      <c r="B12" s="83">
        <v>4</v>
      </c>
      <c r="C12" s="83"/>
      <c r="D12" s="83"/>
      <c r="E12" s="83"/>
      <c r="F12" s="83"/>
      <c r="G12" s="83" t="str">
        <f t="shared" si="4"/>
        <v/>
      </c>
      <c r="H12" s="83" t="str">
        <f t="shared" si="4"/>
        <v/>
      </c>
      <c r="I12" s="83" t="str">
        <f t="shared" si="5"/>
        <v/>
      </c>
      <c r="J12" s="83" t="str">
        <f t="shared" si="6"/>
        <v/>
      </c>
      <c r="K12" s="83" t="str">
        <f t="shared" si="7"/>
        <v/>
      </c>
      <c r="L12" s="83" t="str">
        <f t="shared" si="8"/>
        <v/>
      </c>
      <c r="M12" s="83" t="str">
        <f t="shared" si="9"/>
        <v/>
      </c>
      <c r="N12" s="83" t="str">
        <f t="shared" si="10"/>
        <v/>
      </c>
      <c r="O12" s="83" t="str">
        <f t="shared" si="11"/>
        <v/>
      </c>
      <c r="P12" s="83" t="str">
        <f t="shared" si="12"/>
        <v/>
      </c>
      <c r="Q12" s="83" t="str">
        <f t="shared" si="13"/>
        <v/>
      </c>
      <c r="R12" s="83" t="str">
        <f t="shared" si="14"/>
        <v/>
      </c>
      <c r="S12" s="83" t="str">
        <f t="shared" si="15"/>
        <v/>
      </c>
      <c r="AK12" s="83" t="s">
        <v>245</v>
      </c>
      <c r="AL12" s="83"/>
      <c r="AM12" s="83"/>
      <c r="AN12" s="83" t="str">
        <f t="shared" si="0"/>
        <v/>
      </c>
      <c r="AO12" s="83" t="str">
        <f t="shared" si="1"/>
        <v/>
      </c>
      <c r="AP12" s="83" t="str">
        <f t="shared" si="2"/>
        <v/>
      </c>
      <c r="AQ12" s="83"/>
      <c r="AR12" s="83" t="str">
        <f t="shared" si="3"/>
        <v/>
      </c>
    </row>
    <row r="13" spans="2:50" x14ac:dyDescent="0.3">
      <c r="B13" s="83">
        <v>5</v>
      </c>
      <c r="C13" s="83"/>
      <c r="D13" s="83"/>
      <c r="E13" s="83"/>
      <c r="F13" s="83"/>
      <c r="G13" s="83" t="str">
        <f t="shared" si="4"/>
        <v/>
      </c>
      <c r="H13" s="83" t="str">
        <f t="shared" si="4"/>
        <v/>
      </c>
      <c r="I13" s="83" t="str">
        <f t="shared" si="5"/>
        <v/>
      </c>
      <c r="J13" s="83" t="str">
        <f t="shared" si="6"/>
        <v/>
      </c>
      <c r="K13" s="83" t="str">
        <f t="shared" si="7"/>
        <v/>
      </c>
      <c r="L13" s="83" t="str">
        <f t="shared" si="8"/>
        <v/>
      </c>
      <c r="M13" s="83" t="str">
        <f t="shared" si="9"/>
        <v/>
      </c>
      <c r="N13" s="83" t="str">
        <f t="shared" si="10"/>
        <v/>
      </c>
      <c r="O13" s="83" t="str">
        <f t="shared" si="11"/>
        <v/>
      </c>
      <c r="P13" s="83" t="str">
        <f t="shared" si="12"/>
        <v/>
      </c>
      <c r="Q13" s="83" t="str">
        <f t="shared" si="13"/>
        <v/>
      </c>
      <c r="R13" s="83" t="str">
        <f t="shared" si="14"/>
        <v/>
      </c>
      <c r="S13" s="83" t="str">
        <f t="shared" si="15"/>
        <v/>
      </c>
    </row>
    <row r="14" spans="2:50" x14ac:dyDescent="0.3">
      <c r="B14" s="83">
        <v>6</v>
      </c>
      <c r="C14" s="83"/>
      <c r="D14" s="83"/>
      <c r="E14" s="83"/>
      <c r="F14" s="83"/>
      <c r="G14" s="83" t="str">
        <f t="shared" si="4"/>
        <v/>
      </c>
      <c r="H14" s="83" t="str">
        <f t="shared" si="4"/>
        <v/>
      </c>
      <c r="I14" s="83" t="str">
        <f t="shared" si="5"/>
        <v/>
      </c>
      <c r="J14" s="83" t="str">
        <f t="shared" si="6"/>
        <v/>
      </c>
      <c r="K14" s="83" t="str">
        <f t="shared" si="7"/>
        <v/>
      </c>
      <c r="L14" s="83" t="str">
        <f t="shared" si="8"/>
        <v/>
      </c>
      <c r="M14" s="83" t="str">
        <f t="shared" si="9"/>
        <v/>
      </c>
      <c r="N14" s="83" t="str">
        <f t="shared" si="10"/>
        <v/>
      </c>
      <c r="O14" s="83" t="str">
        <f t="shared" si="11"/>
        <v/>
      </c>
      <c r="P14" s="83" t="str">
        <f t="shared" si="12"/>
        <v/>
      </c>
      <c r="Q14" s="83" t="str">
        <f t="shared" si="13"/>
        <v/>
      </c>
      <c r="R14" s="83" t="str">
        <f t="shared" si="14"/>
        <v/>
      </c>
      <c r="S14" s="83" t="str">
        <f t="shared" si="15"/>
        <v/>
      </c>
      <c r="AK14" s="80" t="s">
        <v>417</v>
      </c>
      <c r="AL14" s="81"/>
      <c r="AM14" s="81"/>
      <c r="AN14" s="81"/>
      <c r="AO14" s="81"/>
      <c r="AP14" s="81"/>
      <c r="AQ14" s="81"/>
      <c r="AR14" s="81"/>
      <c r="AS14" s="81"/>
    </row>
    <row r="15" spans="2:50" x14ac:dyDescent="0.3">
      <c r="B15" s="83">
        <v>7</v>
      </c>
      <c r="C15" s="83"/>
      <c r="D15" s="83"/>
      <c r="E15" s="83"/>
      <c r="F15" s="83"/>
      <c r="G15" s="83" t="str">
        <f t="shared" si="4"/>
        <v/>
      </c>
      <c r="H15" s="83" t="str">
        <f t="shared" si="4"/>
        <v/>
      </c>
      <c r="I15" s="83" t="str">
        <f t="shared" si="5"/>
        <v/>
      </c>
      <c r="J15" s="83" t="str">
        <f t="shared" si="6"/>
        <v/>
      </c>
      <c r="K15" s="83" t="str">
        <f t="shared" si="7"/>
        <v/>
      </c>
      <c r="L15" s="83" t="str">
        <f t="shared" si="8"/>
        <v/>
      </c>
      <c r="M15" s="83" t="str">
        <f t="shared" si="9"/>
        <v/>
      </c>
      <c r="N15" s="83" t="str">
        <f t="shared" si="10"/>
        <v/>
      </c>
      <c r="O15" s="83" t="str">
        <f t="shared" si="11"/>
        <v/>
      </c>
      <c r="P15" s="83" t="str">
        <f t="shared" si="12"/>
        <v/>
      </c>
      <c r="Q15" s="83" t="str">
        <f t="shared" si="13"/>
        <v/>
      </c>
      <c r="R15" s="83" t="str">
        <f t="shared" si="14"/>
        <v/>
      </c>
      <c r="S15" s="83" t="str">
        <f t="shared" si="15"/>
        <v/>
      </c>
      <c r="AK15" s="82" t="s">
        <v>91</v>
      </c>
      <c r="AL15" s="82" t="s">
        <v>351</v>
      </c>
      <c r="AM15" s="82" t="s">
        <v>352</v>
      </c>
      <c r="AN15" s="82" t="s">
        <v>353</v>
      </c>
      <c r="AO15" s="82" t="s">
        <v>354</v>
      </c>
      <c r="AP15" s="82" t="s">
        <v>251</v>
      </c>
      <c r="AQ15" s="82" t="s">
        <v>355</v>
      </c>
      <c r="AR15" s="82" t="s">
        <v>356</v>
      </c>
      <c r="AS15" s="82" t="s">
        <v>357</v>
      </c>
    </row>
    <row r="16" spans="2:50" x14ac:dyDescent="0.3">
      <c r="B16" s="83">
        <v>8</v>
      </c>
      <c r="C16" s="83"/>
      <c r="D16" s="83"/>
      <c r="E16" s="83"/>
      <c r="F16" s="83"/>
      <c r="G16" s="83" t="str">
        <f t="shared" si="4"/>
        <v/>
      </c>
      <c r="H16" s="83" t="str">
        <f t="shared" si="4"/>
        <v/>
      </c>
      <c r="I16" s="83" t="str">
        <f t="shared" si="5"/>
        <v/>
      </c>
      <c r="J16" s="83" t="str">
        <f t="shared" si="6"/>
        <v/>
      </c>
      <c r="K16" s="83" t="str">
        <f t="shared" si="7"/>
        <v/>
      </c>
      <c r="L16" s="83" t="str">
        <f t="shared" si="8"/>
        <v/>
      </c>
      <c r="M16" s="83" t="str">
        <f t="shared" si="9"/>
        <v/>
      </c>
      <c r="N16" s="83" t="str">
        <f t="shared" si="10"/>
        <v/>
      </c>
      <c r="O16" s="83" t="str">
        <f t="shared" si="11"/>
        <v/>
      </c>
      <c r="P16" s="83" t="str">
        <f t="shared" si="12"/>
        <v/>
      </c>
      <c r="Q16" s="83" t="str">
        <f t="shared" si="13"/>
        <v/>
      </c>
      <c r="R16" s="83" t="str">
        <f t="shared" si="14"/>
        <v/>
      </c>
      <c r="S16" s="83" t="str">
        <f t="shared" si="15"/>
        <v/>
      </c>
      <c r="AK16" s="83">
        <v>1</v>
      </c>
      <c r="AL16" s="83"/>
      <c r="AM16" s="83" t="str">
        <f t="shared" ref="AM16:AM25" si="16">IF(AN16="","", AN16/100)</f>
        <v/>
      </c>
      <c r="AN16" s="83" t="str">
        <f t="shared" ref="AN16:AN25" si="17">IF(I9="","", I9)</f>
        <v/>
      </c>
      <c r="AO16" s="83" t="str">
        <f t="shared" ref="AO16:AO25" si="18">IF(AL16="","", AL16/100)</f>
        <v/>
      </c>
      <c r="AP16" s="83" t="str">
        <f t="shared" ref="AP16:AP25" si="19">IF(AO16="","", (AO16*AN16)/2)</f>
        <v/>
      </c>
      <c r="AQ16" s="83" t="s">
        <v>361</v>
      </c>
      <c r="AR16" s="83" t="str">
        <f t="shared" ref="AR16:AR25" si="20">IF(AO16="","", +(AO16*(AN16^2))/12)</f>
        <v/>
      </c>
      <c r="AS16" s="83" t="str">
        <f t="shared" ref="AS16:AS25" si="21">IF(AR16="","", AR16/100)</f>
        <v/>
      </c>
      <c r="AU16" s="83" t="str">
        <f t="shared" ref="AU16:AU25" si="22">IF(AO16="","", (AO16*AN16)/2)</f>
        <v/>
      </c>
      <c r="AV16" s="83" t="s">
        <v>361</v>
      </c>
      <c r="AW16" s="83" t="str">
        <f t="shared" ref="AW16:AW25" si="23">IF(AO16="","", -(AO16*(AN16^2))/12)</f>
        <v/>
      </c>
      <c r="AX16" s="83" t="str">
        <f t="shared" ref="AX16:AX25" si="24">IF(AW16="","", AW16/100)</f>
        <v/>
      </c>
    </row>
    <row r="17" spans="2:50" x14ac:dyDescent="0.3">
      <c r="B17" s="83">
        <v>9</v>
      </c>
      <c r="C17" s="83"/>
      <c r="D17" s="83"/>
      <c r="E17" s="83"/>
      <c r="F17" s="83"/>
      <c r="G17" s="83" t="str">
        <f t="shared" si="4"/>
        <v/>
      </c>
      <c r="H17" s="83" t="str">
        <f t="shared" si="4"/>
        <v/>
      </c>
      <c r="I17" s="83" t="str">
        <f t="shared" si="5"/>
        <v/>
      </c>
      <c r="J17" s="83" t="str">
        <f t="shared" si="6"/>
        <v/>
      </c>
      <c r="K17" s="83" t="str">
        <f t="shared" si="7"/>
        <v/>
      </c>
      <c r="L17" s="83" t="str">
        <f t="shared" si="8"/>
        <v/>
      </c>
      <c r="M17" s="83" t="str">
        <f t="shared" si="9"/>
        <v/>
      </c>
      <c r="N17" s="83" t="str">
        <f t="shared" si="10"/>
        <v/>
      </c>
      <c r="O17" s="83" t="str">
        <f t="shared" si="11"/>
        <v/>
      </c>
      <c r="P17" s="83" t="str">
        <f t="shared" si="12"/>
        <v/>
      </c>
      <c r="Q17" s="83" t="str">
        <f t="shared" si="13"/>
        <v/>
      </c>
      <c r="R17" s="83" t="str">
        <f t="shared" si="14"/>
        <v/>
      </c>
      <c r="S17" s="83" t="str">
        <f t="shared" si="15"/>
        <v/>
      </c>
      <c r="AK17" s="83">
        <v>2</v>
      </c>
      <c r="AL17" s="83"/>
      <c r="AM17" s="83" t="str">
        <f t="shared" si="16"/>
        <v/>
      </c>
      <c r="AN17" s="83" t="str">
        <f t="shared" si="17"/>
        <v/>
      </c>
      <c r="AO17" s="83" t="str">
        <f t="shared" si="18"/>
        <v/>
      </c>
      <c r="AP17" s="83" t="str">
        <f t="shared" si="19"/>
        <v/>
      </c>
      <c r="AQ17" s="83" t="s">
        <v>361</v>
      </c>
      <c r="AR17" s="83" t="str">
        <f t="shared" si="20"/>
        <v/>
      </c>
      <c r="AS17" s="83" t="str">
        <f t="shared" si="21"/>
        <v/>
      </c>
      <c r="AU17" s="83" t="str">
        <f t="shared" si="22"/>
        <v/>
      </c>
      <c r="AV17" s="83" t="s">
        <v>361</v>
      </c>
      <c r="AW17" s="83" t="str">
        <f t="shared" si="23"/>
        <v/>
      </c>
      <c r="AX17" s="83" t="str">
        <f t="shared" si="24"/>
        <v/>
      </c>
    </row>
    <row r="18" spans="2:50" x14ac:dyDescent="0.3">
      <c r="B18" s="83">
        <v>10</v>
      </c>
      <c r="C18" s="83"/>
      <c r="D18" s="83"/>
      <c r="E18" s="83"/>
      <c r="F18" s="83"/>
      <c r="G18" s="83" t="str">
        <f t="shared" si="4"/>
        <v/>
      </c>
      <c r="H18" s="83" t="str">
        <f t="shared" si="4"/>
        <v/>
      </c>
      <c r="I18" s="83" t="str">
        <f t="shared" si="5"/>
        <v/>
      </c>
      <c r="J18" s="83" t="str">
        <f t="shared" si="6"/>
        <v/>
      </c>
      <c r="K18" s="83" t="str">
        <f t="shared" si="7"/>
        <v/>
      </c>
      <c r="L18" s="83" t="str">
        <f t="shared" si="8"/>
        <v/>
      </c>
      <c r="M18" s="83" t="str">
        <f t="shared" si="9"/>
        <v/>
      </c>
      <c r="N18" s="83" t="str">
        <f t="shared" si="10"/>
        <v/>
      </c>
      <c r="O18" s="83" t="str">
        <f t="shared" si="11"/>
        <v/>
      </c>
      <c r="P18" s="83" t="str">
        <f t="shared" si="12"/>
        <v/>
      </c>
      <c r="Q18" s="83" t="str">
        <f t="shared" si="13"/>
        <v/>
      </c>
      <c r="R18" s="83" t="str">
        <f t="shared" si="14"/>
        <v/>
      </c>
      <c r="S18" s="83" t="str">
        <f t="shared" si="15"/>
        <v/>
      </c>
      <c r="AK18" s="83">
        <v>3</v>
      </c>
      <c r="AL18" s="83"/>
      <c r="AM18" s="83" t="str">
        <f t="shared" si="16"/>
        <v/>
      </c>
      <c r="AN18" s="83" t="str">
        <f t="shared" si="17"/>
        <v/>
      </c>
      <c r="AO18" s="83" t="str">
        <f t="shared" si="18"/>
        <v/>
      </c>
      <c r="AP18" s="83" t="str">
        <f t="shared" si="19"/>
        <v/>
      </c>
      <c r="AQ18" s="83" t="s">
        <v>361</v>
      </c>
      <c r="AR18" s="83" t="str">
        <f t="shared" si="20"/>
        <v/>
      </c>
      <c r="AS18" s="83" t="str">
        <f t="shared" si="21"/>
        <v/>
      </c>
      <c r="AU18" s="83" t="str">
        <f t="shared" si="22"/>
        <v/>
      </c>
      <c r="AV18" s="83" t="s">
        <v>361</v>
      </c>
      <c r="AW18" s="83" t="str">
        <f t="shared" si="23"/>
        <v/>
      </c>
      <c r="AX18" s="83" t="str">
        <f t="shared" si="24"/>
        <v/>
      </c>
    </row>
    <row r="19" spans="2:50" x14ac:dyDescent="0.3">
      <c r="AK19" s="83">
        <v>4</v>
      </c>
      <c r="AL19" s="83"/>
      <c r="AM19" s="83" t="str">
        <f t="shared" si="16"/>
        <v/>
      </c>
      <c r="AN19" s="83" t="str">
        <f t="shared" si="17"/>
        <v/>
      </c>
      <c r="AO19" s="83" t="str">
        <f t="shared" si="18"/>
        <v/>
      </c>
      <c r="AP19" s="83" t="str">
        <f t="shared" si="19"/>
        <v/>
      </c>
      <c r="AQ19" s="83" t="s">
        <v>361</v>
      </c>
      <c r="AR19" s="83" t="str">
        <f t="shared" si="20"/>
        <v/>
      </c>
      <c r="AS19" s="83" t="str">
        <f t="shared" si="21"/>
        <v/>
      </c>
      <c r="AU19" s="83" t="str">
        <f t="shared" si="22"/>
        <v/>
      </c>
      <c r="AV19" s="83" t="s">
        <v>361</v>
      </c>
      <c r="AW19" s="83" t="str">
        <f t="shared" si="23"/>
        <v/>
      </c>
      <c r="AX19" s="83" t="str">
        <f t="shared" si="24"/>
        <v/>
      </c>
    </row>
    <row r="20" spans="2:50" x14ac:dyDescent="0.3">
      <c r="B20" s="90" t="s">
        <v>91</v>
      </c>
      <c r="C20" s="90" t="s">
        <v>232</v>
      </c>
      <c r="D20" s="81"/>
      <c r="E20" s="81"/>
      <c r="F20" s="90" t="s">
        <v>233</v>
      </c>
      <c r="G20" s="81"/>
      <c r="H20" s="81"/>
      <c r="AK20" s="83">
        <v>5</v>
      </c>
      <c r="AL20" s="83"/>
      <c r="AM20" s="83" t="str">
        <f t="shared" si="16"/>
        <v/>
      </c>
      <c r="AN20" s="83" t="str">
        <f t="shared" si="17"/>
        <v/>
      </c>
      <c r="AO20" s="83" t="str">
        <f t="shared" si="18"/>
        <v/>
      </c>
      <c r="AP20" s="83" t="str">
        <f t="shared" si="19"/>
        <v/>
      </c>
      <c r="AQ20" s="83" t="s">
        <v>361</v>
      </c>
      <c r="AR20" s="83" t="str">
        <f t="shared" si="20"/>
        <v/>
      </c>
      <c r="AS20" s="83" t="str">
        <f t="shared" si="21"/>
        <v/>
      </c>
      <c r="AU20" s="83" t="str">
        <f t="shared" si="22"/>
        <v/>
      </c>
      <c r="AV20" s="83" t="s">
        <v>361</v>
      </c>
      <c r="AW20" s="83" t="str">
        <f t="shared" si="23"/>
        <v/>
      </c>
      <c r="AX20" s="83" t="str">
        <f t="shared" si="24"/>
        <v/>
      </c>
    </row>
    <row r="21" spans="2:50" x14ac:dyDescent="0.3">
      <c r="B21" s="81"/>
      <c r="C21" s="91" t="s">
        <v>71</v>
      </c>
      <c r="D21" s="91" t="s">
        <v>72</v>
      </c>
      <c r="E21" s="91" t="s">
        <v>73</v>
      </c>
      <c r="F21" s="91" t="s">
        <v>71</v>
      </c>
      <c r="G21" s="91" t="s">
        <v>72</v>
      </c>
      <c r="H21" s="91" t="s">
        <v>73</v>
      </c>
      <c r="AK21" s="83">
        <v>6</v>
      </c>
      <c r="AL21" s="83"/>
      <c r="AM21" s="83" t="str">
        <f t="shared" si="16"/>
        <v/>
      </c>
      <c r="AN21" s="83" t="str">
        <f t="shared" si="17"/>
        <v/>
      </c>
      <c r="AO21" s="83" t="str">
        <f t="shared" si="18"/>
        <v/>
      </c>
      <c r="AP21" s="83" t="str">
        <f t="shared" si="19"/>
        <v/>
      </c>
      <c r="AQ21" s="83" t="s">
        <v>361</v>
      </c>
      <c r="AR21" s="83" t="str">
        <f t="shared" si="20"/>
        <v/>
      </c>
      <c r="AS21" s="83" t="str">
        <f t="shared" si="21"/>
        <v/>
      </c>
      <c r="AU21" s="83" t="str">
        <f t="shared" si="22"/>
        <v/>
      </c>
      <c r="AV21" s="83" t="s">
        <v>361</v>
      </c>
      <c r="AW21" s="83" t="str">
        <f t="shared" si="23"/>
        <v/>
      </c>
      <c r="AX21" s="83" t="str">
        <f t="shared" si="24"/>
        <v/>
      </c>
    </row>
    <row r="22" spans="2:50" x14ac:dyDescent="0.3">
      <c r="B22" s="83">
        <v>1</v>
      </c>
      <c r="C22" s="83" t="str">
        <f>IF(I9="","", 1)</f>
        <v/>
      </c>
      <c r="D22" s="83" t="str">
        <f>IF(I9="","", 1)</f>
        <v/>
      </c>
      <c r="E22" s="83" t="str">
        <f>IF(I9="","", 1)</f>
        <v/>
      </c>
      <c r="F22" s="83" t="str">
        <f>IF(I9="","", 2)</f>
        <v/>
      </c>
      <c r="G22" s="83" t="str">
        <f>IF(I9="","", 2)</f>
        <v/>
      </c>
      <c r="H22" s="83" t="str">
        <f>IF(I9="","", 2)</f>
        <v/>
      </c>
      <c r="AK22" s="83">
        <v>7</v>
      </c>
      <c r="AL22" s="83"/>
      <c r="AM22" s="83" t="str">
        <f t="shared" si="16"/>
        <v/>
      </c>
      <c r="AN22" s="83" t="str">
        <f t="shared" si="17"/>
        <v/>
      </c>
      <c r="AO22" s="83" t="str">
        <f t="shared" si="18"/>
        <v/>
      </c>
      <c r="AP22" s="83" t="str">
        <f t="shared" si="19"/>
        <v/>
      </c>
      <c r="AQ22" s="83" t="s">
        <v>361</v>
      </c>
      <c r="AR22" s="83" t="str">
        <f t="shared" si="20"/>
        <v/>
      </c>
      <c r="AS22" s="83" t="str">
        <f t="shared" si="21"/>
        <v/>
      </c>
      <c r="AU22" s="83" t="str">
        <f t="shared" si="22"/>
        <v/>
      </c>
      <c r="AV22" s="83" t="s">
        <v>361</v>
      </c>
      <c r="AW22" s="83" t="str">
        <f t="shared" si="23"/>
        <v/>
      </c>
      <c r="AX22" s="83" t="str">
        <f t="shared" si="24"/>
        <v/>
      </c>
    </row>
    <row r="23" spans="2:50" x14ac:dyDescent="0.3">
      <c r="B23" s="83">
        <v>2</v>
      </c>
      <c r="C23" s="83" t="str">
        <f>IF(I10="","", 2)</f>
        <v/>
      </c>
      <c r="D23" s="83" t="str">
        <f>IF(I10="","", 2)</f>
        <v/>
      </c>
      <c r="E23" s="83" t="str">
        <f>IF(I10="","", 2)</f>
        <v/>
      </c>
      <c r="F23" s="83" t="str">
        <f>IF(I10="","", 3)</f>
        <v/>
      </c>
      <c r="G23" s="83" t="str">
        <f>IF(I10="","", 3)</f>
        <v/>
      </c>
      <c r="H23" s="83" t="str">
        <f>IF(I10="","", 3)</f>
        <v/>
      </c>
      <c r="AK23" s="83">
        <v>8</v>
      </c>
      <c r="AL23" s="83"/>
      <c r="AM23" s="83" t="str">
        <f t="shared" si="16"/>
        <v/>
      </c>
      <c r="AN23" s="83" t="str">
        <f t="shared" si="17"/>
        <v/>
      </c>
      <c r="AO23" s="83" t="str">
        <f t="shared" si="18"/>
        <v/>
      </c>
      <c r="AP23" s="83" t="str">
        <f t="shared" si="19"/>
        <v/>
      </c>
      <c r="AQ23" s="83" t="s">
        <v>361</v>
      </c>
      <c r="AR23" s="83" t="str">
        <f t="shared" si="20"/>
        <v/>
      </c>
      <c r="AS23" s="83" t="str">
        <f t="shared" si="21"/>
        <v/>
      </c>
      <c r="AU23" s="83" t="str">
        <f t="shared" si="22"/>
        <v/>
      </c>
      <c r="AV23" s="83" t="s">
        <v>361</v>
      </c>
      <c r="AW23" s="83" t="str">
        <f t="shared" si="23"/>
        <v/>
      </c>
      <c r="AX23" s="83" t="str">
        <f t="shared" si="24"/>
        <v/>
      </c>
    </row>
    <row r="24" spans="2:50" x14ac:dyDescent="0.3">
      <c r="B24" s="83">
        <v>3</v>
      </c>
      <c r="C24" s="83" t="str">
        <f>IF(I11="","", 3)</f>
        <v/>
      </c>
      <c r="D24" s="83" t="str">
        <f>IF(I11="","", 3)</f>
        <v/>
      </c>
      <c r="E24" s="83" t="str">
        <f>IF(I11="","", 3)</f>
        <v/>
      </c>
      <c r="F24" s="83" t="str">
        <f>IF(I11="","", 4)</f>
        <v/>
      </c>
      <c r="G24" s="83" t="str">
        <f>IF(I11="","", 4)</f>
        <v/>
      </c>
      <c r="H24" s="83" t="str">
        <f>IF(I11="","", 4)</f>
        <v/>
      </c>
      <c r="AK24" s="83">
        <v>9</v>
      </c>
      <c r="AL24" s="83"/>
      <c r="AM24" s="83" t="str">
        <f t="shared" si="16"/>
        <v/>
      </c>
      <c r="AN24" s="83" t="str">
        <f t="shared" si="17"/>
        <v/>
      </c>
      <c r="AO24" s="83" t="str">
        <f t="shared" si="18"/>
        <v/>
      </c>
      <c r="AP24" s="83" t="str">
        <f t="shared" si="19"/>
        <v/>
      </c>
      <c r="AQ24" s="83" t="s">
        <v>361</v>
      </c>
      <c r="AR24" s="83" t="str">
        <f t="shared" si="20"/>
        <v/>
      </c>
      <c r="AS24" s="83" t="str">
        <f t="shared" si="21"/>
        <v/>
      </c>
      <c r="AU24" s="83" t="str">
        <f t="shared" si="22"/>
        <v/>
      </c>
      <c r="AV24" s="83" t="s">
        <v>361</v>
      </c>
      <c r="AW24" s="83" t="str">
        <f t="shared" si="23"/>
        <v/>
      </c>
      <c r="AX24" s="83" t="str">
        <f t="shared" si="24"/>
        <v/>
      </c>
    </row>
    <row r="25" spans="2:50" x14ac:dyDescent="0.3">
      <c r="B25" s="83">
        <v>4</v>
      </c>
      <c r="C25" s="83" t="str">
        <f>IF(I12="","", 4)</f>
        <v/>
      </c>
      <c r="D25" s="83" t="str">
        <f>IF(I12="","", 4)</f>
        <v/>
      </c>
      <c r="E25" s="83" t="str">
        <f>IF(I12="","", 4)</f>
        <v/>
      </c>
      <c r="F25" s="83" t="str">
        <f>IF(I12="","", 5)</f>
        <v/>
      </c>
      <c r="G25" s="83" t="str">
        <f>IF(I12="","", 5)</f>
        <v/>
      </c>
      <c r="H25" s="83" t="str">
        <f>IF(I12="","", 5)</f>
        <v/>
      </c>
      <c r="AK25" s="83">
        <v>10</v>
      </c>
      <c r="AL25" s="83"/>
      <c r="AM25" s="83" t="str">
        <f t="shared" si="16"/>
        <v/>
      </c>
      <c r="AN25" s="83" t="str">
        <f t="shared" si="17"/>
        <v/>
      </c>
      <c r="AO25" s="83" t="str">
        <f t="shared" si="18"/>
        <v/>
      </c>
      <c r="AP25" s="83" t="str">
        <f t="shared" si="19"/>
        <v/>
      </c>
      <c r="AQ25" s="83" t="s">
        <v>361</v>
      </c>
      <c r="AR25" s="83" t="str">
        <f t="shared" si="20"/>
        <v/>
      </c>
      <c r="AS25" s="83" t="str">
        <f t="shared" si="21"/>
        <v/>
      </c>
      <c r="AU25" s="83" t="str">
        <f t="shared" si="22"/>
        <v/>
      </c>
      <c r="AV25" s="83" t="s">
        <v>361</v>
      </c>
      <c r="AW25" s="83" t="str">
        <f t="shared" si="23"/>
        <v/>
      </c>
      <c r="AX25" s="83" t="str">
        <f t="shared" si="24"/>
        <v/>
      </c>
    </row>
    <row r="26" spans="2:50" x14ac:dyDescent="0.3">
      <c r="B26" s="83">
        <v>5</v>
      </c>
      <c r="C26" s="83" t="str">
        <f>IF(I13="","", 5)</f>
        <v/>
      </c>
      <c r="D26" s="83" t="str">
        <f>IF(I13="","", 5)</f>
        <v/>
      </c>
      <c r="E26" s="83" t="str">
        <f>IF(I13="","", 5)</f>
        <v/>
      </c>
      <c r="F26" s="83" t="str">
        <f>IF(I13="","", 6)</f>
        <v/>
      </c>
      <c r="G26" s="83" t="str">
        <f>IF(I13="","", 6)</f>
        <v/>
      </c>
      <c r="H26" s="83" t="str">
        <f>IF(I13="","", 6)</f>
        <v/>
      </c>
    </row>
    <row r="27" spans="2:50" x14ac:dyDescent="0.3">
      <c r="B27" s="83">
        <v>6</v>
      </c>
      <c r="C27" s="83" t="str">
        <f>IF(I14="","", 6)</f>
        <v/>
      </c>
      <c r="D27" s="83" t="str">
        <f>IF(I14="","", 6)</f>
        <v/>
      </c>
      <c r="E27" s="83" t="str">
        <f>IF(I14="","", 6)</f>
        <v/>
      </c>
      <c r="F27" s="83" t="str">
        <f>IF(I14="","", 7)</f>
        <v/>
      </c>
      <c r="G27" s="83" t="str">
        <f>IF(I14="","", 7)</f>
        <v/>
      </c>
      <c r="H27" s="83" t="str">
        <f>IF(I14="","", 7)</f>
        <v/>
      </c>
      <c r="AK27" s="80" t="s">
        <v>418</v>
      </c>
      <c r="AL27" s="81"/>
      <c r="AM27" s="81"/>
      <c r="AN27" s="81"/>
      <c r="AO27" s="81"/>
      <c r="AP27" s="81"/>
      <c r="AQ27" s="81"/>
      <c r="AR27" s="81"/>
      <c r="AS27" s="81"/>
    </row>
    <row r="28" spans="2:50" ht="26.4" x14ac:dyDescent="0.3">
      <c r="B28" s="83">
        <v>7</v>
      </c>
      <c r="C28" s="83" t="str">
        <f>IF(I15="","", 7)</f>
        <v/>
      </c>
      <c r="D28" s="83" t="str">
        <f>IF(I15="","", 7)</f>
        <v/>
      </c>
      <c r="E28" s="83" t="str">
        <f>IF(I15="","", 7)</f>
        <v/>
      </c>
      <c r="F28" s="83" t="str">
        <f>IF(I15="","", 8)</f>
        <v/>
      </c>
      <c r="G28" s="83" t="str">
        <f>IF(I15="","", 8)</f>
        <v/>
      </c>
      <c r="H28" s="83" t="str">
        <f>IF(I15="","", 8)</f>
        <v/>
      </c>
      <c r="AK28" s="82" t="s">
        <v>344</v>
      </c>
      <c r="AL28" s="82" t="s">
        <v>419</v>
      </c>
      <c r="AM28" s="82" t="s">
        <v>420</v>
      </c>
      <c r="AN28" s="82" t="s">
        <v>421</v>
      </c>
      <c r="AO28" s="82" t="s">
        <v>422</v>
      </c>
      <c r="AP28" s="82" t="s">
        <v>423</v>
      </c>
      <c r="AQ28" s="82" t="s">
        <v>424</v>
      </c>
      <c r="AR28" s="82" t="s">
        <v>425</v>
      </c>
      <c r="AS28" s="82" t="s">
        <v>426</v>
      </c>
    </row>
    <row r="29" spans="2:50" x14ac:dyDescent="0.3">
      <c r="B29" s="83">
        <v>8</v>
      </c>
      <c r="C29" s="83" t="str">
        <f>IF(I16="","", 8)</f>
        <v/>
      </c>
      <c r="D29" s="83" t="str">
        <f>IF(I16="","", 8)</f>
        <v/>
      </c>
      <c r="E29" s="83" t="str">
        <f>IF(I16="","", 8)</f>
        <v/>
      </c>
      <c r="F29" s="83" t="str">
        <f>IF(I16="","", 9)</f>
        <v/>
      </c>
      <c r="G29" s="83" t="str">
        <f>IF(I16="","", 9)</f>
        <v/>
      </c>
      <c r="H29" s="83" t="str">
        <f>IF(I16="","", 9)</f>
        <v/>
      </c>
      <c r="AK29" s="85" t="s">
        <v>372</v>
      </c>
      <c r="AL29" s="83" t="s">
        <v>427</v>
      </c>
      <c r="AM29" s="83" t="str">
        <f t="shared" ref="AM29:AM38" si="25">IF(AP3="","", AP3)</f>
        <v/>
      </c>
      <c r="AN29" s="83" t="str">
        <f>IF(AP16="","", -AP16)</f>
        <v/>
      </c>
      <c r="AO29" s="83" t="str">
        <f t="shared" ref="AO29:AO39" si="26">IF(AND(AM29="",AN29=""), "", N(AM29)+N(AN29))</f>
        <v/>
      </c>
      <c r="AP29" s="83" t="str">
        <f t="shared" ref="AP29:AP38" si="27">IF(AQ3="","", AQ3)</f>
        <v/>
      </c>
      <c r="AQ29" s="83" t="str">
        <f>IF(AR16="","", -AR16)</f>
        <v/>
      </c>
      <c r="AR29" s="83" t="str">
        <f t="shared" ref="AR29:AR39" si="28">IF(AND(AP29="",AQ29=""), "", N(AP29)+N(AQ29))</f>
        <v/>
      </c>
      <c r="AS29" s="83" t="str">
        <f t="shared" ref="AS29:AS39" si="29">IF(AR29="","", AR29/100)</f>
        <v/>
      </c>
    </row>
    <row r="30" spans="2:50" x14ac:dyDescent="0.3">
      <c r="B30" s="83">
        <v>9</v>
      </c>
      <c r="C30" s="83" t="str">
        <f>IF(I17="","", 9)</f>
        <v/>
      </c>
      <c r="D30" s="83" t="str">
        <f>IF(I17="","", 9)</f>
        <v/>
      </c>
      <c r="E30" s="83" t="str">
        <f>IF(I17="","", 9)</f>
        <v/>
      </c>
      <c r="F30" s="83" t="str">
        <f>IF(I17="","", 10)</f>
        <v/>
      </c>
      <c r="G30" s="83" t="str">
        <f>IF(I17="","", 10)</f>
        <v/>
      </c>
      <c r="H30" s="83" t="str">
        <f>IF(I17="","", 10)</f>
        <v/>
      </c>
      <c r="AK30" s="85" t="s">
        <v>376</v>
      </c>
      <c r="AL30" s="83" t="s">
        <v>428</v>
      </c>
      <c r="AM30" s="83" t="str">
        <f t="shared" si="25"/>
        <v/>
      </c>
      <c r="AN30" s="83" t="str">
        <f t="shared" ref="AN30:AN38" si="30">IF(AND(AU16="",AP17=""), "", -(N(AU16) + N(AP17)))</f>
        <v/>
      </c>
      <c r="AO30" s="83" t="str">
        <f t="shared" si="26"/>
        <v/>
      </c>
      <c r="AP30" s="83" t="str">
        <f t="shared" si="27"/>
        <v/>
      </c>
      <c r="AQ30" s="83" t="str">
        <f t="shared" ref="AQ30:AQ38" si="31">IF(AND(AW16="",AR17=""), "", -(N(AW16) + N(AR17)))</f>
        <v/>
      </c>
      <c r="AR30" s="83" t="str">
        <f t="shared" si="28"/>
        <v/>
      </c>
      <c r="AS30" s="83" t="str">
        <f t="shared" si="29"/>
        <v/>
      </c>
    </row>
    <row r="31" spans="2:50" x14ac:dyDescent="0.3">
      <c r="B31" s="83">
        <v>10</v>
      </c>
      <c r="C31" s="83" t="str">
        <f>IF(I18="","", 10)</f>
        <v/>
      </c>
      <c r="D31" s="83" t="str">
        <f>IF(I18="","", 10)</f>
        <v/>
      </c>
      <c r="E31" s="83" t="str">
        <f>IF(I18="","", 10)</f>
        <v/>
      </c>
      <c r="F31" s="83" t="str">
        <f>IF(I18="","", 11)</f>
        <v/>
      </c>
      <c r="G31" s="83" t="str">
        <f>IF(I18="","", 11)</f>
        <v/>
      </c>
      <c r="H31" s="83" t="str">
        <f>IF(I18="","", 11)</f>
        <v/>
      </c>
      <c r="AK31" s="85" t="s">
        <v>380</v>
      </c>
      <c r="AL31" s="83" t="s">
        <v>429</v>
      </c>
      <c r="AM31" s="83" t="str">
        <f t="shared" si="25"/>
        <v/>
      </c>
      <c r="AN31" s="83" t="str">
        <f t="shared" si="30"/>
        <v/>
      </c>
      <c r="AO31" s="83" t="str">
        <f t="shared" si="26"/>
        <v/>
      </c>
      <c r="AP31" s="83" t="str">
        <f t="shared" si="27"/>
        <v/>
      </c>
      <c r="AQ31" s="83" t="str">
        <f t="shared" si="31"/>
        <v/>
      </c>
      <c r="AR31" s="83" t="str">
        <f t="shared" si="28"/>
        <v/>
      </c>
      <c r="AS31" s="83" t="str">
        <f t="shared" si="29"/>
        <v/>
      </c>
    </row>
    <row r="32" spans="2:50" x14ac:dyDescent="0.3">
      <c r="AK32" s="85" t="s">
        <v>384</v>
      </c>
      <c r="AL32" s="83" t="s">
        <v>430</v>
      </c>
      <c r="AM32" s="83" t="str">
        <f t="shared" si="25"/>
        <v/>
      </c>
      <c r="AN32" s="83" t="str">
        <f t="shared" si="30"/>
        <v/>
      </c>
      <c r="AO32" s="83" t="str">
        <f t="shared" si="26"/>
        <v/>
      </c>
      <c r="AP32" s="83" t="str">
        <f t="shared" si="27"/>
        <v/>
      </c>
      <c r="AQ32" s="83" t="str">
        <f t="shared" si="31"/>
        <v/>
      </c>
      <c r="AR32" s="83" t="str">
        <f t="shared" si="28"/>
        <v/>
      </c>
      <c r="AS32" s="83" t="str">
        <f t="shared" si="29"/>
        <v/>
      </c>
    </row>
    <row r="33" spans="1:45" x14ac:dyDescent="0.3">
      <c r="AK33" s="85" t="s">
        <v>388</v>
      </c>
      <c r="AL33" s="83" t="s">
        <v>431</v>
      </c>
      <c r="AM33" s="83" t="str">
        <f t="shared" si="25"/>
        <v/>
      </c>
      <c r="AN33" s="83" t="str">
        <f t="shared" si="30"/>
        <v/>
      </c>
      <c r="AO33" s="83" t="str">
        <f t="shared" si="26"/>
        <v/>
      </c>
      <c r="AP33" s="83" t="str">
        <f t="shared" si="27"/>
        <v/>
      </c>
      <c r="AQ33" s="83" t="str">
        <f t="shared" si="31"/>
        <v/>
      </c>
      <c r="AR33" s="83" t="str">
        <f t="shared" si="28"/>
        <v/>
      </c>
      <c r="AS33" s="83" t="str">
        <f t="shared" si="29"/>
        <v/>
      </c>
    </row>
    <row r="34" spans="1:45" x14ac:dyDescent="0.3">
      <c r="B34" s="91" t="str">
        <f t="shared" ref="B34:G34" si="32">IF(C22="","", CONCATENATE("U",C22,C$21))</f>
        <v/>
      </c>
      <c r="C34" s="91" t="str">
        <f t="shared" si="32"/>
        <v/>
      </c>
      <c r="D34" s="91" t="str">
        <f t="shared" si="32"/>
        <v/>
      </c>
      <c r="E34" s="91" t="str">
        <f t="shared" si="32"/>
        <v/>
      </c>
      <c r="F34" s="91" t="str">
        <f t="shared" si="32"/>
        <v/>
      </c>
      <c r="G34" s="91" t="str">
        <f t="shared" si="32"/>
        <v/>
      </c>
      <c r="AK34" s="85" t="s">
        <v>392</v>
      </c>
      <c r="AL34" s="83" t="s">
        <v>432</v>
      </c>
      <c r="AM34" s="83" t="str">
        <f t="shared" si="25"/>
        <v/>
      </c>
      <c r="AN34" s="83" t="str">
        <f t="shared" si="30"/>
        <v/>
      </c>
      <c r="AO34" s="83" t="str">
        <f t="shared" si="26"/>
        <v/>
      </c>
      <c r="AP34" s="83" t="str">
        <f t="shared" si="27"/>
        <v/>
      </c>
      <c r="AQ34" s="83" t="str">
        <f t="shared" si="31"/>
        <v/>
      </c>
      <c r="AR34" s="83" t="str">
        <f t="shared" si="28"/>
        <v/>
      </c>
      <c r="AS34" s="83" t="str">
        <f t="shared" si="29"/>
        <v/>
      </c>
    </row>
    <row r="35" spans="1:45" x14ac:dyDescent="0.3">
      <c r="B35" s="92">
        <f>IF(I9="", 0, O9*J9*J9+P9*K9*K9)</f>
        <v>0</v>
      </c>
      <c r="C35" s="93">
        <f>IF(I9="", 0, (O9-P9)*(J9*K9))</f>
        <v>0</v>
      </c>
      <c r="D35" s="93">
        <f>IF(I9="", 0, -Q9*K9)</f>
        <v>0</v>
      </c>
      <c r="E35" s="93">
        <f t="shared" ref="E35:F37" si="33">-B35</f>
        <v>0</v>
      </c>
      <c r="F35" s="93">
        <f t="shared" si="33"/>
        <v>0</v>
      </c>
      <c r="G35" s="93">
        <f>D35</f>
        <v>0</v>
      </c>
      <c r="H35" s="91" t="str">
        <f>B34</f>
        <v/>
      </c>
      <c r="AK35" s="85" t="s">
        <v>396</v>
      </c>
      <c r="AL35" s="83" t="s">
        <v>433</v>
      </c>
      <c r="AM35" s="83" t="str">
        <f t="shared" si="25"/>
        <v/>
      </c>
      <c r="AN35" s="83" t="str">
        <f t="shared" si="30"/>
        <v/>
      </c>
      <c r="AO35" s="83" t="str">
        <f t="shared" si="26"/>
        <v/>
      </c>
      <c r="AP35" s="83" t="str">
        <f t="shared" si="27"/>
        <v/>
      </c>
      <c r="AQ35" s="83" t="str">
        <f t="shared" si="31"/>
        <v/>
      </c>
      <c r="AR35" s="83" t="str">
        <f t="shared" si="28"/>
        <v/>
      </c>
      <c r="AS35" s="83" t="str">
        <f t="shared" si="29"/>
        <v/>
      </c>
    </row>
    <row r="36" spans="1:45" x14ac:dyDescent="0.3">
      <c r="B36" s="93">
        <f>C35</f>
        <v>0</v>
      </c>
      <c r="C36" s="92">
        <f>IF(I9="", 0, O9*K9*K9+P9*J9*J9)</f>
        <v>0</v>
      </c>
      <c r="D36" s="93">
        <f>IF(I9="", 0, Q9*J9)</f>
        <v>0</v>
      </c>
      <c r="E36" s="93">
        <f t="shared" si="33"/>
        <v>0</v>
      </c>
      <c r="F36" s="93">
        <f t="shared" si="33"/>
        <v>0</v>
      </c>
      <c r="G36" s="93">
        <f>D36</f>
        <v>0</v>
      </c>
      <c r="H36" s="91" t="str">
        <f>C34</f>
        <v/>
      </c>
      <c r="AK36" s="85" t="s">
        <v>400</v>
      </c>
      <c r="AL36" s="83" t="s">
        <v>434</v>
      </c>
      <c r="AM36" s="83" t="str">
        <f t="shared" si="25"/>
        <v/>
      </c>
      <c r="AN36" s="83" t="str">
        <f t="shared" si="30"/>
        <v/>
      </c>
      <c r="AO36" s="83" t="str">
        <f t="shared" si="26"/>
        <v/>
      </c>
      <c r="AP36" s="83" t="str">
        <f t="shared" si="27"/>
        <v/>
      </c>
      <c r="AQ36" s="83" t="str">
        <f t="shared" si="31"/>
        <v/>
      </c>
      <c r="AR36" s="83" t="str">
        <f t="shared" si="28"/>
        <v/>
      </c>
      <c r="AS36" s="83" t="str">
        <f t="shared" si="29"/>
        <v/>
      </c>
    </row>
    <row r="37" spans="1:45" x14ac:dyDescent="0.3">
      <c r="A37" s="94" t="s">
        <v>255</v>
      </c>
      <c r="B37" s="93">
        <f>D35</f>
        <v>0</v>
      </c>
      <c r="C37" s="93">
        <f>D36</f>
        <v>0</v>
      </c>
      <c r="D37" s="92">
        <f>IF(I9="", 0, R9)</f>
        <v>0</v>
      </c>
      <c r="E37" s="93">
        <f t="shared" si="33"/>
        <v>0</v>
      </c>
      <c r="F37" s="93">
        <f t="shared" si="33"/>
        <v>0</v>
      </c>
      <c r="G37" s="93">
        <f>IF(I9="", 0, S9)</f>
        <v>0</v>
      </c>
      <c r="H37" s="91" t="str">
        <f>D34</f>
        <v/>
      </c>
      <c r="AK37" s="85" t="s">
        <v>404</v>
      </c>
      <c r="AL37" s="83" t="s">
        <v>435</v>
      </c>
      <c r="AM37" s="83" t="str">
        <f t="shared" si="25"/>
        <v/>
      </c>
      <c r="AN37" s="83" t="str">
        <f t="shared" si="30"/>
        <v/>
      </c>
      <c r="AO37" s="83" t="str">
        <f t="shared" si="26"/>
        <v/>
      </c>
      <c r="AP37" s="83" t="str">
        <f t="shared" si="27"/>
        <v/>
      </c>
      <c r="AQ37" s="83" t="str">
        <f t="shared" si="31"/>
        <v/>
      </c>
      <c r="AR37" s="83" t="str">
        <f t="shared" si="28"/>
        <v/>
      </c>
      <c r="AS37" s="83" t="str">
        <f t="shared" si="29"/>
        <v/>
      </c>
    </row>
    <row r="38" spans="1:45" x14ac:dyDescent="0.3">
      <c r="B38" s="93">
        <f>E35</f>
        <v>0</v>
      </c>
      <c r="C38" s="93">
        <f>E36</f>
        <v>0</v>
      </c>
      <c r="D38" s="93">
        <f>E37</f>
        <v>0</v>
      </c>
      <c r="E38" s="92">
        <f>B35</f>
        <v>0</v>
      </c>
      <c r="F38" s="93">
        <f>C35</f>
        <v>0</v>
      </c>
      <c r="G38" s="93">
        <f>-D35</f>
        <v>0</v>
      </c>
      <c r="H38" s="91" t="str">
        <f>E34</f>
        <v/>
      </c>
      <c r="AK38" s="85" t="s">
        <v>408</v>
      </c>
      <c r="AL38" s="83" t="s">
        <v>436</v>
      </c>
      <c r="AM38" s="83" t="str">
        <f t="shared" si="25"/>
        <v/>
      </c>
      <c r="AN38" s="83" t="str">
        <f t="shared" si="30"/>
        <v/>
      </c>
      <c r="AO38" s="83" t="str">
        <f t="shared" si="26"/>
        <v/>
      </c>
      <c r="AP38" s="83" t="str">
        <f t="shared" si="27"/>
        <v/>
      </c>
      <c r="AQ38" s="83" t="str">
        <f t="shared" si="31"/>
        <v/>
      </c>
      <c r="AR38" s="83" t="str">
        <f t="shared" si="28"/>
        <v/>
      </c>
      <c r="AS38" s="83" t="str">
        <f t="shared" si="29"/>
        <v/>
      </c>
    </row>
    <row r="39" spans="1:45" x14ac:dyDescent="0.3">
      <c r="B39" s="93">
        <f>F35</f>
        <v>0</v>
      </c>
      <c r="C39" s="93">
        <f>F36</f>
        <v>0</v>
      </c>
      <c r="D39" s="93">
        <f>F37</f>
        <v>0</v>
      </c>
      <c r="E39" s="93">
        <f>F38</f>
        <v>0</v>
      </c>
      <c r="F39" s="92">
        <f>C36</f>
        <v>0</v>
      </c>
      <c r="G39" s="93">
        <f>-D36</f>
        <v>0</v>
      </c>
      <c r="H39" s="91" t="str">
        <f>F34</f>
        <v/>
      </c>
      <c r="AK39" s="85" t="s">
        <v>412</v>
      </c>
      <c r="AL39" s="83" t="s">
        <v>437</v>
      </c>
      <c r="AM39" s="83">
        <v>0</v>
      </c>
      <c r="AN39" s="83" t="str">
        <f>IF(AU25="","", -AU25)</f>
        <v/>
      </c>
      <c r="AO39" s="83">
        <f t="shared" si="26"/>
        <v>0</v>
      </c>
      <c r="AP39" s="83">
        <v>0</v>
      </c>
      <c r="AQ39" s="83" t="str">
        <f>IF(AW25="","", -AW25)</f>
        <v/>
      </c>
      <c r="AR39" s="83">
        <f t="shared" si="28"/>
        <v>0</v>
      </c>
      <c r="AS39" s="83">
        <f t="shared" si="29"/>
        <v>0</v>
      </c>
    </row>
    <row r="40" spans="1:45" x14ac:dyDescent="0.3">
      <c r="B40" s="93">
        <f>G35</f>
        <v>0</v>
      </c>
      <c r="C40" s="93">
        <f>G36</f>
        <v>0</v>
      </c>
      <c r="D40" s="93">
        <f>G37</f>
        <v>0</v>
      </c>
      <c r="E40" s="93">
        <f>G38</f>
        <v>0</v>
      </c>
      <c r="F40" s="93">
        <f>G39</f>
        <v>0</v>
      </c>
      <c r="G40" s="92">
        <f>D37</f>
        <v>0</v>
      </c>
      <c r="H40" s="91" t="str">
        <f>G34</f>
        <v/>
      </c>
    </row>
    <row r="42" spans="1:45" x14ac:dyDescent="0.3">
      <c r="B42" s="91" t="s">
        <v>125</v>
      </c>
      <c r="C42" s="91" t="s">
        <v>126</v>
      </c>
      <c r="D42" s="91" t="s">
        <v>127</v>
      </c>
      <c r="E42" s="91" t="s">
        <v>128</v>
      </c>
      <c r="F42" s="91" t="s">
        <v>129</v>
      </c>
      <c r="G42" s="91" t="s">
        <v>130</v>
      </c>
      <c r="H42" s="91" t="s">
        <v>131</v>
      </c>
      <c r="I42" s="91" t="s">
        <v>132</v>
      </c>
      <c r="J42" s="91" t="s">
        <v>133</v>
      </c>
      <c r="K42" s="91" t="s">
        <v>134</v>
      </c>
      <c r="L42" s="91" t="s">
        <v>135</v>
      </c>
      <c r="M42" s="91" t="s">
        <v>136</v>
      </c>
      <c r="N42" s="91" t="s">
        <v>137</v>
      </c>
      <c r="O42" s="91" t="s">
        <v>138</v>
      </c>
      <c r="P42" s="91" t="s">
        <v>139</v>
      </c>
      <c r="Q42" s="91" t="s">
        <v>140</v>
      </c>
      <c r="R42" s="91" t="s">
        <v>141</v>
      </c>
      <c r="S42" s="91" t="s">
        <v>142</v>
      </c>
      <c r="T42" s="91" t="s">
        <v>143</v>
      </c>
      <c r="U42" s="91" t="s">
        <v>144</v>
      </c>
      <c r="V42" s="91" t="s">
        <v>145</v>
      </c>
      <c r="W42" s="91" t="s">
        <v>146</v>
      </c>
      <c r="X42" s="91" t="s">
        <v>147</v>
      </c>
      <c r="Y42" s="91" t="s">
        <v>148</v>
      </c>
      <c r="Z42" s="91" t="s">
        <v>149</v>
      </c>
      <c r="AA42" s="91" t="s">
        <v>150</v>
      </c>
      <c r="AB42" s="91" t="s">
        <v>151</v>
      </c>
      <c r="AC42" s="91" t="s">
        <v>152</v>
      </c>
      <c r="AD42" s="91" t="s">
        <v>153</v>
      </c>
      <c r="AE42" s="91" t="s">
        <v>154</v>
      </c>
      <c r="AF42" s="91" t="s">
        <v>155</v>
      </c>
      <c r="AG42" s="91" t="s">
        <v>156</v>
      </c>
      <c r="AH42" s="91" t="s">
        <v>157</v>
      </c>
    </row>
    <row r="43" spans="1:45" x14ac:dyDescent="0.3">
      <c r="B43" s="93">
        <f t="shared" ref="B43:G48" si="34">B35</f>
        <v>0</v>
      </c>
      <c r="C43" s="93">
        <f t="shared" si="34"/>
        <v>0</v>
      </c>
      <c r="D43" s="93">
        <f t="shared" si="34"/>
        <v>0</v>
      </c>
      <c r="E43" s="93">
        <f t="shared" si="34"/>
        <v>0</v>
      </c>
      <c r="F43" s="93">
        <f t="shared" si="34"/>
        <v>0</v>
      </c>
      <c r="G43" s="93">
        <f t="shared" si="34"/>
        <v>0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1" t="s">
        <v>125</v>
      </c>
    </row>
    <row r="44" spans="1:45" x14ac:dyDescent="0.3">
      <c r="B44" s="93">
        <f t="shared" si="34"/>
        <v>0</v>
      </c>
      <c r="C44" s="93">
        <f t="shared" si="34"/>
        <v>0</v>
      </c>
      <c r="D44" s="93">
        <f t="shared" si="34"/>
        <v>0</v>
      </c>
      <c r="E44" s="93">
        <f t="shared" si="34"/>
        <v>0</v>
      </c>
      <c r="F44" s="93">
        <f t="shared" si="34"/>
        <v>0</v>
      </c>
      <c r="G44" s="93">
        <f t="shared" si="34"/>
        <v>0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1" t="s">
        <v>126</v>
      </c>
    </row>
    <row r="45" spans="1:45" x14ac:dyDescent="0.3">
      <c r="B45" s="93">
        <f t="shared" si="34"/>
        <v>0</v>
      </c>
      <c r="C45" s="93">
        <f t="shared" si="34"/>
        <v>0</v>
      </c>
      <c r="D45" s="93">
        <f t="shared" si="34"/>
        <v>0</v>
      </c>
      <c r="E45" s="93">
        <f t="shared" si="34"/>
        <v>0</v>
      </c>
      <c r="F45" s="93">
        <f t="shared" si="34"/>
        <v>0</v>
      </c>
      <c r="G45" s="93">
        <f t="shared" si="34"/>
        <v>0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1" t="s">
        <v>127</v>
      </c>
    </row>
    <row r="46" spans="1:45" x14ac:dyDescent="0.3">
      <c r="B46" s="93">
        <f t="shared" si="34"/>
        <v>0</v>
      </c>
      <c r="C46" s="93">
        <f t="shared" si="34"/>
        <v>0</v>
      </c>
      <c r="D46" s="93">
        <f t="shared" si="34"/>
        <v>0</v>
      </c>
      <c r="E46" s="93">
        <f t="shared" si="34"/>
        <v>0</v>
      </c>
      <c r="F46" s="93">
        <f t="shared" si="34"/>
        <v>0</v>
      </c>
      <c r="G46" s="93">
        <f t="shared" si="34"/>
        <v>0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1" t="s">
        <v>128</v>
      </c>
    </row>
    <row r="47" spans="1:45" x14ac:dyDescent="0.3">
      <c r="B47" s="93">
        <f t="shared" si="34"/>
        <v>0</v>
      </c>
      <c r="C47" s="93">
        <f t="shared" si="34"/>
        <v>0</v>
      </c>
      <c r="D47" s="93">
        <f t="shared" si="34"/>
        <v>0</v>
      </c>
      <c r="E47" s="93">
        <f t="shared" si="34"/>
        <v>0</v>
      </c>
      <c r="F47" s="93">
        <f t="shared" si="34"/>
        <v>0</v>
      </c>
      <c r="G47" s="93">
        <f t="shared" si="34"/>
        <v>0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1" t="s">
        <v>129</v>
      </c>
    </row>
    <row r="48" spans="1:45" x14ac:dyDescent="0.3">
      <c r="B48" s="93">
        <f t="shared" si="34"/>
        <v>0</v>
      </c>
      <c r="C48" s="93">
        <f t="shared" si="34"/>
        <v>0</v>
      </c>
      <c r="D48" s="93">
        <f t="shared" si="34"/>
        <v>0</v>
      </c>
      <c r="E48" s="93">
        <f t="shared" si="34"/>
        <v>0</v>
      </c>
      <c r="F48" s="93">
        <f t="shared" si="34"/>
        <v>0</v>
      </c>
      <c r="G48" s="93">
        <f t="shared" si="34"/>
        <v>0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1" t="s">
        <v>130</v>
      </c>
    </row>
    <row r="49" spans="1:35" x14ac:dyDescent="0.3"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1" t="s">
        <v>131</v>
      </c>
    </row>
    <row r="50" spans="1:35" x14ac:dyDescent="0.3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1" t="s">
        <v>132</v>
      </c>
    </row>
    <row r="51" spans="1:35" x14ac:dyDescent="0.3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1" t="s">
        <v>133</v>
      </c>
    </row>
    <row r="52" spans="1:35" x14ac:dyDescent="0.3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1" t="s">
        <v>134</v>
      </c>
    </row>
    <row r="53" spans="1:35" x14ac:dyDescent="0.3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1" t="s">
        <v>135</v>
      </c>
    </row>
    <row r="54" spans="1:35" x14ac:dyDescent="0.3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1" t="s">
        <v>136</v>
      </c>
    </row>
    <row r="55" spans="1:35" x14ac:dyDescent="0.3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1" t="s">
        <v>137</v>
      </c>
    </row>
    <row r="56" spans="1:35" x14ac:dyDescent="0.3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1" t="s">
        <v>138</v>
      </c>
    </row>
    <row r="57" spans="1:35" x14ac:dyDescent="0.3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1" t="s">
        <v>139</v>
      </c>
    </row>
    <row r="58" spans="1:35" x14ac:dyDescent="0.3">
      <c r="A58" s="94" t="s">
        <v>255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1" t="s">
        <v>140</v>
      </c>
    </row>
    <row r="59" spans="1:35" x14ac:dyDescent="0.3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1" t="s">
        <v>141</v>
      </c>
    </row>
    <row r="60" spans="1:35" x14ac:dyDescent="0.3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1" t="s">
        <v>142</v>
      </c>
    </row>
    <row r="61" spans="1:35" x14ac:dyDescent="0.3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1" t="s">
        <v>143</v>
      </c>
    </row>
    <row r="62" spans="1:35" x14ac:dyDescent="0.3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1" t="s">
        <v>144</v>
      </c>
    </row>
    <row r="63" spans="1:35" x14ac:dyDescent="0.3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1" t="s">
        <v>145</v>
      </c>
    </row>
    <row r="64" spans="1:35" x14ac:dyDescent="0.3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1" t="s">
        <v>146</v>
      </c>
    </row>
    <row r="65" spans="1:35" x14ac:dyDescent="0.3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1" t="s">
        <v>147</v>
      </c>
    </row>
    <row r="66" spans="1:35" x14ac:dyDescent="0.3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1" t="s">
        <v>148</v>
      </c>
    </row>
    <row r="67" spans="1:35" x14ac:dyDescent="0.3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1" t="s">
        <v>149</v>
      </c>
    </row>
    <row r="68" spans="1:35" x14ac:dyDescent="0.3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1" t="s">
        <v>150</v>
      </c>
    </row>
    <row r="69" spans="1:35" x14ac:dyDescent="0.3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1" t="s">
        <v>151</v>
      </c>
    </row>
    <row r="70" spans="1:35" x14ac:dyDescent="0.3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1" t="s">
        <v>152</v>
      </c>
    </row>
    <row r="71" spans="1:35" x14ac:dyDescent="0.3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1" t="s">
        <v>153</v>
      </c>
    </row>
    <row r="72" spans="1:35" x14ac:dyDescent="0.3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1" t="s">
        <v>154</v>
      </c>
    </row>
    <row r="73" spans="1:35" x14ac:dyDescent="0.3"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1" t="s">
        <v>155</v>
      </c>
    </row>
    <row r="74" spans="1:35" x14ac:dyDescent="0.3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1" t="s">
        <v>156</v>
      </c>
    </row>
    <row r="75" spans="1:35" x14ac:dyDescent="0.3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1" t="s">
        <v>157</v>
      </c>
    </row>
    <row r="77" spans="1:35" x14ac:dyDescent="0.3">
      <c r="B77" s="91" t="str">
        <f t="shared" ref="B77:G77" si="35">IF(C23="","", CONCATENATE("U",C23,C$21))</f>
        <v/>
      </c>
      <c r="C77" s="91" t="str">
        <f t="shared" si="35"/>
        <v/>
      </c>
      <c r="D77" s="91" t="str">
        <f t="shared" si="35"/>
        <v/>
      </c>
      <c r="E77" s="91" t="str">
        <f t="shared" si="35"/>
        <v/>
      </c>
      <c r="F77" s="91" t="str">
        <f t="shared" si="35"/>
        <v/>
      </c>
      <c r="G77" s="91" t="str">
        <f t="shared" si="35"/>
        <v/>
      </c>
    </row>
    <row r="78" spans="1:35" x14ac:dyDescent="0.3">
      <c r="B78" s="92">
        <f>IF(I10="", 0, O10*J10*J10+P10*K10*K10)</f>
        <v>0</v>
      </c>
      <c r="C78" s="93">
        <f>IF(I10="", 0, (O10-P10)*(J10*K10))</f>
        <v>0</v>
      </c>
      <c r="D78" s="93">
        <f>IF(I10="", 0, -Q10*K10)</f>
        <v>0</v>
      </c>
      <c r="E78" s="93">
        <f t="shared" ref="E78:F80" si="36">-B78</f>
        <v>0</v>
      </c>
      <c r="F78" s="93">
        <f t="shared" si="36"/>
        <v>0</v>
      </c>
      <c r="G78" s="93">
        <f>D78</f>
        <v>0</v>
      </c>
      <c r="H78" s="91" t="str">
        <f>B77</f>
        <v/>
      </c>
    </row>
    <row r="79" spans="1:35" x14ac:dyDescent="0.3">
      <c r="B79" s="93">
        <f>C78</f>
        <v>0</v>
      </c>
      <c r="C79" s="92">
        <f>IF(I10="", 0, O10*K10*K10+P10*J10*J10)</f>
        <v>0</v>
      </c>
      <c r="D79" s="93">
        <f>IF(I10="", 0, Q10*J10)</f>
        <v>0</v>
      </c>
      <c r="E79" s="93">
        <f t="shared" si="36"/>
        <v>0</v>
      </c>
      <c r="F79" s="93">
        <f t="shared" si="36"/>
        <v>0</v>
      </c>
      <c r="G79" s="93">
        <f>D79</f>
        <v>0</v>
      </c>
      <c r="H79" s="91" t="str">
        <f>C77</f>
        <v/>
      </c>
    </row>
    <row r="80" spans="1:35" x14ac:dyDescent="0.3">
      <c r="A80" s="94" t="s">
        <v>256</v>
      </c>
      <c r="B80" s="93">
        <f>D78</f>
        <v>0</v>
      </c>
      <c r="C80" s="93">
        <f>D79</f>
        <v>0</v>
      </c>
      <c r="D80" s="92">
        <f>IF(I10="", 0, R10)</f>
        <v>0</v>
      </c>
      <c r="E80" s="93">
        <f t="shared" si="36"/>
        <v>0</v>
      </c>
      <c r="F80" s="93">
        <f t="shared" si="36"/>
        <v>0</v>
      </c>
      <c r="G80" s="93">
        <f>IF(I10="", 0, S10)</f>
        <v>0</v>
      </c>
      <c r="H80" s="91" t="str">
        <f>D77</f>
        <v/>
      </c>
    </row>
    <row r="81" spans="2:35" x14ac:dyDescent="0.3">
      <c r="B81" s="93">
        <f>E78</f>
        <v>0</v>
      </c>
      <c r="C81" s="93">
        <f>E79</f>
        <v>0</v>
      </c>
      <c r="D81" s="93">
        <f>E80</f>
        <v>0</v>
      </c>
      <c r="E81" s="92">
        <f>B78</f>
        <v>0</v>
      </c>
      <c r="F81" s="93">
        <f>C78</f>
        <v>0</v>
      </c>
      <c r="G81" s="93">
        <f>-D78</f>
        <v>0</v>
      </c>
      <c r="H81" s="91" t="str">
        <f>E77</f>
        <v/>
      </c>
    </row>
    <row r="82" spans="2:35" x14ac:dyDescent="0.3">
      <c r="B82" s="93">
        <f>F78</f>
        <v>0</v>
      </c>
      <c r="C82" s="93">
        <f>F79</f>
        <v>0</v>
      </c>
      <c r="D82" s="93">
        <f>F80</f>
        <v>0</v>
      </c>
      <c r="E82" s="93">
        <f>F81</f>
        <v>0</v>
      </c>
      <c r="F82" s="92">
        <f>C79</f>
        <v>0</v>
      </c>
      <c r="G82" s="93">
        <f>-D79</f>
        <v>0</v>
      </c>
      <c r="H82" s="91" t="str">
        <f>F77</f>
        <v/>
      </c>
    </row>
    <row r="83" spans="2:35" x14ac:dyDescent="0.3">
      <c r="B83" s="93">
        <f>G78</f>
        <v>0</v>
      </c>
      <c r="C83" s="93">
        <f>G79</f>
        <v>0</v>
      </c>
      <c r="D83" s="93">
        <f>G80</f>
        <v>0</v>
      </c>
      <c r="E83" s="93">
        <f>G81</f>
        <v>0</v>
      </c>
      <c r="F83" s="93">
        <f>G82</f>
        <v>0</v>
      </c>
      <c r="G83" s="92">
        <f>D80</f>
        <v>0</v>
      </c>
      <c r="H83" s="91" t="str">
        <f>G77</f>
        <v/>
      </c>
    </row>
    <row r="85" spans="2:35" x14ac:dyDescent="0.3">
      <c r="B85" s="91" t="s">
        <v>125</v>
      </c>
      <c r="C85" s="91" t="s">
        <v>126</v>
      </c>
      <c r="D85" s="91" t="s">
        <v>127</v>
      </c>
      <c r="E85" s="91" t="s">
        <v>128</v>
      </c>
      <c r="F85" s="91" t="s">
        <v>129</v>
      </c>
      <c r="G85" s="91" t="s">
        <v>130</v>
      </c>
      <c r="H85" s="91" t="s">
        <v>131</v>
      </c>
      <c r="I85" s="91" t="s">
        <v>132</v>
      </c>
      <c r="J85" s="91" t="s">
        <v>133</v>
      </c>
      <c r="K85" s="91" t="s">
        <v>134</v>
      </c>
      <c r="L85" s="91" t="s">
        <v>135</v>
      </c>
      <c r="M85" s="91" t="s">
        <v>136</v>
      </c>
      <c r="N85" s="91" t="s">
        <v>137</v>
      </c>
      <c r="O85" s="91" t="s">
        <v>138</v>
      </c>
      <c r="P85" s="91" t="s">
        <v>139</v>
      </c>
      <c r="Q85" s="91" t="s">
        <v>140</v>
      </c>
      <c r="R85" s="91" t="s">
        <v>141</v>
      </c>
      <c r="S85" s="91" t="s">
        <v>142</v>
      </c>
      <c r="T85" s="91" t="s">
        <v>143</v>
      </c>
      <c r="U85" s="91" t="s">
        <v>144</v>
      </c>
      <c r="V85" s="91" t="s">
        <v>145</v>
      </c>
      <c r="W85" s="91" t="s">
        <v>146</v>
      </c>
      <c r="X85" s="91" t="s">
        <v>147</v>
      </c>
      <c r="Y85" s="91" t="s">
        <v>148</v>
      </c>
      <c r="Z85" s="91" t="s">
        <v>149</v>
      </c>
      <c r="AA85" s="91" t="s">
        <v>150</v>
      </c>
      <c r="AB85" s="91" t="s">
        <v>151</v>
      </c>
      <c r="AC85" s="91" t="s">
        <v>152</v>
      </c>
      <c r="AD85" s="91" t="s">
        <v>153</v>
      </c>
      <c r="AE85" s="91" t="s">
        <v>154</v>
      </c>
      <c r="AF85" s="91" t="s">
        <v>155</v>
      </c>
      <c r="AG85" s="91" t="s">
        <v>156</v>
      </c>
      <c r="AH85" s="91" t="s">
        <v>157</v>
      </c>
    </row>
    <row r="86" spans="2:35" x14ac:dyDescent="0.3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1" t="s">
        <v>125</v>
      </c>
    </row>
    <row r="87" spans="2:35" x14ac:dyDescent="0.3"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1" t="s">
        <v>126</v>
      </c>
    </row>
    <row r="88" spans="2:35" x14ac:dyDescent="0.3"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1" t="s">
        <v>127</v>
      </c>
    </row>
    <row r="89" spans="2:35" x14ac:dyDescent="0.3">
      <c r="B89" s="93"/>
      <c r="C89" s="93"/>
      <c r="D89" s="93"/>
      <c r="E89" s="93">
        <f t="shared" ref="E89:J94" si="37">B78</f>
        <v>0</v>
      </c>
      <c r="F89" s="93">
        <f t="shared" si="37"/>
        <v>0</v>
      </c>
      <c r="G89" s="93">
        <f t="shared" si="37"/>
        <v>0</v>
      </c>
      <c r="H89" s="93">
        <f t="shared" si="37"/>
        <v>0</v>
      </c>
      <c r="I89" s="93">
        <f t="shared" si="37"/>
        <v>0</v>
      </c>
      <c r="J89" s="93">
        <f t="shared" si="37"/>
        <v>0</v>
      </c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1" t="s">
        <v>128</v>
      </c>
    </row>
    <row r="90" spans="2:35" x14ac:dyDescent="0.3">
      <c r="B90" s="93"/>
      <c r="C90" s="93"/>
      <c r="D90" s="93"/>
      <c r="E90" s="93">
        <f t="shared" si="37"/>
        <v>0</v>
      </c>
      <c r="F90" s="93">
        <f t="shared" si="37"/>
        <v>0</v>
      </c>
      <c r="G90" s="93">
        <f t="shared" si="37"/>
        <v>0</v>
      </c>
      <c r="H90" s="93">
        <f t="shared" si="37"/>
        <v>0</v>
      </c>
      <c r="I90" s="93">
        <f t="shared" si="37"/>
        <v>0</v>
      </c>
      <c r="J90" s="93">
        <f t="shared" si="37"/>
        <v>0</v>
      </c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1" t="s">
        <v>129</v>
      </c>
    </row>
    <row r="91" spans="2:35" x14ac:dyDescent="0.3">
      <c r="B91" s="93"/>
      <c r="C91" s="93"/>
      <c r="D91" s="93"/>
      <c r="E91" s="93">
        <f t="shared" si="37"/>
        <v>0</v>
      </c>
      <c r="F91" s="93">
        <f t="shared" si="37"/>
        <v>0</v>
      </c>
      <c r="G91" s="93">
        <f t="shared" si="37"/>
        <v>0</v>
      </c>
      <c r="H91" s="93">
        <f t="shared" si="37"/>
        <v>0</v>
      </c>
      <c r="I91" s="93">
        <f t="shared" si="37"/>
        <v>0</v>
      </c>
      <c r="J91" s="93">
        <f t="shared" si="37"/>
        <v>0</v>
      </c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1" t="s">
        <v>130</v>
      </c>
    </row>
    <row r="92" spans="2:35" x14ac:dyDescent="0.3">
      <c r="B92" s="93"/>
      <c r="C92" s="93"/>
      <c r="D92" s="93"/>
      <c r="E92" s="93">
        <f t="shared" si="37"/>
        <v>0</v>
      </c>
      <c r="F92" s="93">
        <f t="shared" si="37"/>
        <v>0</v>
      </c>
      <c r="G92" s="93">
        <f t="shared" si="37"/>
        <v>0</v>
      </c>
      <c r="H92" s="93">
        <f t="shared" si="37"/>
        <v>0</v>
      </c>
      <c r="I92" s="93">
        <f t="shared" si="37"/>
        <v>0</v>
      </c>
      <c r="J92" s="93">
        <f t="shared" si="37"/>
        <v>0</v>
      </c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1" t="s">
        <v>131</v>
      </c>
    </row>
    <row r="93" spans="2:35" x14ac:dyDescent="0.3">
      <c r="B93" s="93"/>
      <c r="C93" s="93"/>
      <c r="D93" s="93"/>
      <c r="E93" s="93">
        <f t="shared" si="37"/>
        <v>0</v>
      </c>
      <c r="F93" s="93">
        <f t="shared" si="37"/>
        <v>0</v>
      </c>
      <c r="G93" s="93">
        <f t="shared" si="37"/>
        <v>0</v>
      </c>
      <c r="H93" s="93">
        <f t="shared" si="37"/>
        <v>0</v>
      </c>
      <c r="I93" s="93">
        <f t="shared" si="37"/>
        <v>0</v>
      </c>
      <c r="J93" s="93">
        <f t="shared" si="37"/>
        <v>0</v>
      </c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1" t="s">
        <v>132</v>
      </c>
    </row>
    <row r="94" spans="2:35" x14ac:dyDescent="0.3">
      <c r="B94" s="93"/>
      <c r="C94" s="93"/>
      <c r="D94" s="93"/>
      <c r="E94" s="93">
        <f t="shared" si="37"/>
        <v>0</v>
      </c>
      <c r="F94" s="93">
        <f t="shared" si="37"/>
        <v>0</v>
      </c>
      <c r="G94" s="93">
        <f t="shared" si="37"/>
        <v>0</v>
      </c>
      <c r="H94" s="93">
        <f t="shared" si="37"/>
        <v>0</v>
      </c>
      <c r="I94" s="93">
        <f t="shared" si="37"/>
        <v>0</v>
      </c>
      <c r="J94" s="93">
        <f t="shared" si="37"/>
        <v>0</v>
      </c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1" t="s">
        <v>133</v>
      </c>
    </row>
    <row r="95" spans="2:35" x14ac:dyDescent="0.3"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1" t="s">
        <v>134</v>
      </c>
    </row>
    <row r="96" spans="2:35" x14ac:dyDescent="0.3"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1" t="s">
        <v>135</v>
      </c>
    </row>
    <row r="97" spans="1:35" x14ac:dyDescent="0.3"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1" t="s">
        <v>136</v>
      </c>
    </row>
    <row r="98" spans="1:35" x14ac:dyDescent="0.3"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1" t="s">
        <v>137</v>
      </c>
    </row>
    <row r="99" spans="1:35" x14ac:dyDescent="0.3"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1" t="s">
        <v>138</v>
      </c>
    </row>
    <row r="100" spans="1:35" x14ac:dyDescent="0.3"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1" t="s">
        <v>139</v>
      </c>
    </row>
    <row r="101" spans="1:35" x14ac:dyDescent="0.3">
      <c r="A101" s="94" t="s">
        <v>256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1" t="s">
        <v>140</v>
      </c>
    </row>
    <row r="102" spans="1:35" x14ac:dyDescent="0.3"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1" t="s">
        <v>141</v>
      </c>
    </row>
    <row r="103" spans="1:35" x14ac:dyDescent="0.3"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1" t="s">
        <v>142</v>
      </c>
    </row>
    <row r="104" spans="1:35" x14ac:dyDescent="0.3"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1" t="s">
        <v>143</v>
      </c>
    </row>
    <row r="105" spans="1:35" x14ac:dyDescent="0.3"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1" t="s">
        <v>144</v>
      </c>
    </row>
    <row r="106" spans="1:35" x14ac:dyDescent="0.3"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1" t="s">
        <v>145</v>
      </c>
    </row>
    <row r="107" spans="1:35" x14ac:dyDescent="0.3"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1" t="s">
        <v>146</v>
      </c>
    </row>
    <row r="108" spans="1:35" x14ac:dyDescent="0.3"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1" t="s">
        <v>147</v>
      </c>
    </row>
    <row r="109" spans="1:35" x14ac:dyDescent="0.3"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1" t="s">
        <v>148</v>
      </c>
    </row>
    <row r="110" spans="1:35" x14ac:dyDescent="0.3"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1" t="s">
        <v>149</v>
      </c>
    </row>
    <row r="111" spans="1:35" x14ac:dyDescent="0.3"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1" t="s">
        <v>150</v>
      </c>
    </row>
    <row r="112" spans="1:35" x14ac:dyDescent="0.3"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1" t="s">
        <v>151</v>
      </c>
    </row>
    <row r="113" spans="1:35" x14ac:dyDescent="0.3"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1" t="s">
        <v>152</v>
      </c>
    </row>
    <row r="114" spans="1:35" x14ac:dyDescent="0.3"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1" t="s">
        <v>153</v>
      </c>
    </row>
    <row r="115" spans="1:35" x14ac:dyDescent="0.3"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1" t="s">
        <v>154</v>
      </c>
    </row>
    <row r="116" spans="1:35" x14ac:dyDescent="0.3"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1" t="s">
        <v>155</v>
      </c>
    </row>
    <row r="117" spans="1:35" x14ac:dyDescent="0.3"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1" t="s">
        <v>156</v>
      </c>
    </row>
    <row r="118" spans="1:35" x14ac:dyDescent="0.3"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1" t="s">
        <v>157</v>
      </c>
    </row>
    <row r="120" spans="1:35" x14ac:dyDescent="0.3">
      <c r="B120" s="91" t="str">
        <f t="shared" ref="B120:G120" si="38">IF(C24="","", CONCATENATE("U",C24,C$21))</f>
        <v/>
      </c>
      <c r="C120" s="91" t="str">
        <f t="shared" si="38"/>
        <v/>
      </c>
      <c r="D120" s="91" t="str">
        <f t="shared" si="38"/>
        <v/>
      </c>
      <c r="E120" s="91" t="str">
        <f t="shared" si="38"/>
        <v/>
      </c>
      <c r="F120" s="91" t="str">
        <f t="shared" si="38"/>
        <v/>
      </c>
      <c r="G120" s="91" t="str">
        <f t="shared" si="38"/>
        <v/>
      </c>
    </row>
    <row r="121" spans="1:35" x14ac:dyDescent="0.3">
      <c r="B121" s="92">
        <f>IF(I11="", 0, O11*J11*J11+P11*K11*K11)</f>
        <v>0</v>
      </c>
      <c r="C121" s="93">
        <f>IF(I11="", 0, (O11-P11)*(J11*K11))</f>
        <v>0</v>
      </c>
      <c r="D121" s="93">
        <f>IF(I11="", 0, -Q11*K11)</f>
        <v>0</v>
      </c>
      <c r="E121" s="93">
        <f t="shared" ref="E121:F123" si="39">-B121</f>
        <v>0</v>
      </c>
      <c r="F121" s="93">
        <f t="shared" si="39"/>
        <v>0</v>
      </c>
      <c r="G121" s="93">
        <f>D121</f>
        <v>0</v>
      </c>
      <c r="H121" s="91" t="str">
        <f>B120</f>
        <v/>
      </c>
    </row>
    <row r="122" spans="1:35" x14ac:dyDescent="0.3">
      <c r="B122" s="93">
        <f>C121</f>
        <v>0</v>
      </c>
      <c r="C122" s="92">
        <f>IF(I11="", 0, O11*K11*K11+P11*J11*J11)</f>
        <v>0</v>
      </c>
      <c r="D122" s="93">
        <f>IF(I11="", 0, Q11*J11)</f>
        <v>0</v>
      </c>
      <c r="E122" s="93">
        <f t="shared" si="39"/>
        <v>0</v>
      </c>
      <c r="F122" s="93">
        <f t="shared" si="39"/>
        <v>0</v>
      </c>
      <c r="G122" s="93">
        <f>D122</f>
        <v>0</v>
      </c>
      <c r="H122" s="91" t="str">
        <f>C120</f>
        <v/>
      </c>
    </row>
    <row r="123" spans="1:35" x14ac:dyDescent="0.3">
      <c r="A123" s="94" t="s">
        <v>257</v>
      </c>
      <c r="B123" s="93">
        <f>D121</f>
        <v>0</v>
      </c>
      <c r="C123" s="93">
        <f>D122</f>
        <v>0</v>
      </c>
      <c r="D123" s="92">
        <f>IF(I11="", 0, R11)</f>
        <v>0</v>
      </c>
      <c r="E123" s="93">
        <f t="shared" si="39"/>
        <v>0</v>
      </c>
      <c r="F123" s="93">
        <f t="shared" si="39"/>
        <v>0</v>
      </c>
      <c r="G123" s="93">
        <f>IF(I11="", 0, S11)</f>
        <v>0</v>
      </c>
      <c r="H123" s="91" t="str">
        <f>D120</f>
        <v/>
      </c>
    </row>
    <row r="124" spans="1:35" x14ac:dyDescent="0.3">
      <c r="B124" s="93">
        <f>E121</f>
        <v>0</v>
      </c>
      <c r="C124" s="93">
        <f>E122</f>
        <v>0</v>
      </c>
      <c r="D124" s="93">
        <f>E123</f>
        <v>0</v>
      </c>
      <c r="E124" s="92">
        <f>B121</f>
        <v>0</v>
      </c>
      <c r="F124" s="93">
        <f>C121</f>
        <v>0</v>
      </c>
      <c r="G124" s="93">
        <f>-D121</f>
        <v>0</v>
      </c>
      <c r="H124" s="91" t="str">
        <f>E120</f>
        <v/>
      </c>
    </row>
    <row r="125" spans="1:35" x14ac:dyDescent="0.3">
      <c r="B125" s="93">
        <f>F121</f>
        <v>0</v>
      </c>
      <c r="C125" s="93">
        <f>F122</f>
        <v>0</v>
      </c>
      <c r="D125" s="93">
        <f>F123</f>
        <v>0</v>
      </c>
      <c r="E125" s="93">
        <f>F124</f>
        <v>0</v>
      </c>
      <c r="F125" s="92">
        <f>C122</f>
        <v>0</v>
      </c>
      <c r="G125" s="93">
        <f>-D122</f>
        <v>0</v>
      </c>
      <c r="H125" s="91" t="str">
        <f>F120</f>
        <v/>
      </c>
    </row>
    <row r="126" spans="1:35" x14ac:dyDescent="0.3">
      <c r="B126" s="93">
        <f>G121</f>
        <v>0</v>
      </c>
      <c r="C126" s="93">
        <f>G122</f>
        <v>0</v>
      </c>
      <c r="D126" s="93">
        <f>G123</f>
        <v>0</v>
      </c>
      <c r="E126" s="93">
        <f>G124</f>
        <v>0</v>
      </c>
      <c r="F126" s="93">
        <f>G125</f>
        <v>0</v>
      </c>
      <c r="G126" s="92">
        <f>D123</f>
        <v>0</v>
      </c>
      <c r="H126" s="91" t="str">
        <f>G120</f>
        <v/>
      </c>
    </row>
    <row r="128" spans="1:35" x14ac:dyDescent="0.3">
      <c r="B128" s="91" t="s">
        <v>125</v>
      </c>
      <c r="C128" s="91" t="s">
        <v>126</v>
      </c>
      <c r="D128" s="91" t="s">
        <v>127</v>
      </c>
      <c r="E128" s="91" t="s">
        <v>128</v>
      </c>
      <c r="F128" s="91" t="s">
        <v>129</v>
      </c>
      <c r="G128" s="91" t="s">
        <v>130</v>
      </c>
      <c r="H128" s="91" t="s">
        <v>131</v>
      </c>
      <c r="I128" s="91" t="s">
        <v>132</v>
      </c>
      <c r="J128" s="91" t="s">
        <v>133</v>
      </c>
      <c r="K128" s="91" t="s">
        <v>134</v>
      </c>
      <c r="L128" s="91" t="s">
        <v>135</v>
      </c>
      <c r="M128" s="91" t="s">
        <v>136</v>
      </c>
      <c r="N128" s="91" t="s">
        <v>137</v>
      </c>
      <c r="O128" s="91" t="s">
        <v>138</v>
      </c>
      <c r="P128" s="91" t="s">
        <v>139</v>
      </c>
      <c r="Q128" s="91" t="s">
        <v>140</v>
      </c>
      <c r="R128" s="91" t="s">
        <v>141</v>
      </c>
      <c r="S128" s="91" t="s">
        <v>142</v>
      </c>
      <c r="T128" s="91" t="s">
        <v>143</v>
      </c>
      <c r="U128" s="91" t="s">
        <v>144</v>
      </c>
      <c r="V128" s="91" t="s">
        <v>145</v>
      </c>
      <c r="W128" s="91" t="s">
        <v>146</v>
      </c>
      <c r="X128" s="91" t="s">
        <v>147</v>
      </c>
      <c r="Y128" s="91" t="s">
        <v>148</v>
      </c>
      <c r="Z128" s="91" t="s">
        <v>149</v>
      </c>
      <c r="AA128" s="91" t="s">
        <v>150</v>
      </c>
      <c r="AB128" s="91" t="s">
        <v>151</v>
      </c>
      <c r="AC128" s="91" t="s">
        <v>152</v>
      </c>
      <c r="AD128" s="91" t="s">
        <v>153</v>
      </c>
      <c r="AE128" s="91" t="s">
        <v>154</v>
      </c>
      <c r="AF128" s="91" t="s">
        <v>155</v>
      </c>
      <c r="AG128" s="91" t="s">
        <v>156</v>
      </c>
      <c r="AH128" s="91" t="s">
        <v>157</v>
      </c>
    </row>
    <row r="129" spans="1:35" x14ac:dyDescent="0.3"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1" t="s">
        <v>125</v>
      </c>
    </row>
    <row r="130" spans="1:35" x14ac:dyDescent="0.3"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1" t="s">
        <v>126</v>
      </c>
    </row>
    <row r="131" spans="1:35" x14ac:dyDescent="0.3"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1" t="s">
        <v>127</v>
      </c>
    </row>
    <row r="132" spans="1:35" x14ac:dyDescent="0.3"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1" t="s">
        <v>128</v>
      </c>
    </row>
    <row r="133" spans="1:35" x14ac:dyDescent="0.3"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1" t="s">
        <v>129</v>
      </c>
    </row>
    <row r="134" spans="1:35" x14ac:dyDescent="0.3"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1" t="s">
        <v>130</v>
      </c>
    </row>
    <row r="135" spans="1:35" x14ac:dyDescent="0.3">
      <c r="B135" s="93"/>
      <c r="C135" s="93"/>
      <c r="D135" s="93"/>
      <c r="E135" s="93"/>
      <c r="F135" s="93"/>
      <c r="G135" s="93"/>
      <c r="H135" s="93">
        <f t="shared" ref="H135:M140" si="40">B121</f>
        <v>0</v>
      </c>
      <c r="I135" s="93">
        <f t="shared" si="40"/>
        <v>0</v>
      </c>
      <c r="J135" s="93">
        <f t="shared" si="40"/>
        <v>0</v>
      </c>
      <c r="K135" s="93">
        <f t="shared" si="40"/>
        <v>0</v>
      </c>
      <c r="L135" s="93">
        <f t="shared" si="40"/>
        <v>0</v>
      </c>
      <c r="M135" s="93">
        <f t="shared" si="40"/>
        <v>0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1" t="s">
        <v>131</v>
      </c>
    </row>
    <row r="136" spans="1:35" x14ac:dyDescent="0.3">
      <c r="B136" s="93"/>
      <c r="C136" s="93"/>
      <c r="D136" s="93"/>
      <c r="E136" s="93"/>
      <c r="F136" s="93"/>
      <c r="G136" s="93"/>
      <c r="H136" s="93">
        <f t="shared" si="40"/>
        <v>0</v>
      </c>
      <c r="I136" s="93">
        <f t="shared" si="40"/>
        <v>0</v>
      </c>
      <c r="J136" s="93">
        <f t="shared" si="40"/>
        <v>0</v>
      </c>
      <c r="K136" s="93">
        <f t="shared" si="40"/>
        <v>0</v>
      </c>
      <c r="L136" s="93">
        <f t="shared" si="40"/>
        <v>0</v>
      </c>
      <c r="M136" s="93">
        <f t="shared" si="40"/>
        <v>0</v>
      </c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1" t="s">
        <v>132</v>
      </c>
    </row>
    <row r="137" spans="1:35" x14ac:dyDescent="0.3">
      <c r="B137" s="93"/>
      <c r="C137" s="93"/>
      <c r="D137" s="93"/>
      <c r="E137" s="93"/>
      <c r="F137" s="93"/>
      <c r="G137" s="93"/>
      <c r="H137" s="93">
        <f t="shared" si="40"/>
        <v>0</v>
      </c>
      <c r="I137" s="93">
        <f t="shared" si="40"/>
        <v>0</v>
      </c>
      <c r="J137" s="93">
        <f t="shared" si="40"/>
        <v>0</v>
      </c>
      <c r="K137" s="93">
        <f t="shared" si="40"/>
        <v>0</v>
      </c>
      <c r="L137" s="93">
        <f t="shared" si="40"/>
        <v>0</v>
      </c>
      <c r="M137" s="93">
        <f t="shared" si="40"/>
        <v>0</v>
      </c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1" t="s">
        <v>133</v>
      </c>
    </row>
    <row r="138" spans="1:35" x14ac:dyDescent="0.3">
      <c r="B138" s="93"/>
      <c r="C138" s="93"/>
      <c r="D138" s="93"/>
      <c r="E138" s="93"/>
      <c r="F138" s="93"/>
      <c r="G138" s="93"/>
      <c r="H138" s="93">
        <f t="shared" si="40"/>
        <v>0</v>
      </c>
      <c r="I138" s="93">
        <f t="shared" si="40"/>
        <v>0</v>
      </c>
      <c r="J138" s="93">
        <f t="shared" si="40"/>
        <v>0</v>
      </c>
      <c r="K138" s="93">
        <f t="shared" si="40"/>
        <v>0</v>
      </c>
      <c r="L138" s="93">
        <f t="shared" si="40"/>
        <v>0</v>
      </c>
      <c r="M138" s="93">
        <f t="shared" si="40"/>
        <v>0</v>
      </c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1" t="s">
        <v>134</v>
      </c>
    </row>
    <row r="139" spans="1:35" x14ac:dyDescent="0.3">
      <c r="B139" s="93"/>
      <c r="C139" s="93"/>
      <c r="D139" s="93"/>
      <c r="E139" s="93"/>
      <c r="F139" s="93"/>
      <c r="G139" s="93"/>
      <c r="H139" s="93">
        <f t="shared" si="40"/>
        <v>0</v>
      </c>
      <c r="I139" s="93">
        <f t="shared" si="40"/>
        <v>0</v>
      </c>
      <c r="J139" s="93">
        <f t="shared" si="40"/>
        <v>0</v>
      </c>
      <c r="K139" s="93">
        <f t="shared" si="40"/>
        <v>0</v>
      </c>
      <c r="L139" s="93">
        <f t="shared" si="40"/>
        <v>0</v>
      </c>
      <c r="M139" s="93">
        <f t="shared" si="40"/>
        <v>0</v>
      </c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1" t="s">
        <v>135</v>
      </c>
    </row>
    <row r="140" spans="1:35" x14ac:dyDescent="0.3">
      <c r="B140" s="93"/>
      <c r="C140" s="93"/>
      <c r="D140" s="93"/>
      <c r="E140" s="93"/>
      <c r="F140" s="93"/>
      <c r="G140" s="93"/>
      <c r="H140" s="93">
        <f t="shared" si="40"/>
        <v>0</v>
      </c>
      <c r="I140" s="93">
        <f t="shared" si="40"/>
        <v>0</v>
      </c>
      <c r="J140" s="93">
        <f t="shared" si="40"/>
        <v>0</v>
      </c>
      <c r="K140" s="93">
        <f t="shared" si="40"/>
        <v>0</v>
      </c>
      <c r="L140" s="93">
        <f t="shared" si="40"/>
        <v>0</v>
      </c>
      <c r="M140" s="93">
        <f t="shared" si="40"/>
        <v>0</v>
      </c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1" t="s">
        <v>136</v>
      </c>
    </row>
    <row r="141" spans="1:35" x14ac:dyDescent="0.3"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1" t="s">
        <v>137</v>
      </c>
    </row>
    <row r="142" spans="1:35" x14ac:dyDescent="0.3"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1" t="s">
        <v>138</v>
      </c>
    </row>
    <row r="143" spans="1:35" x14ac:dyDescent="0.3"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1" t="s">
        <v>139</v>
      </c>
    </row>
    <row r="144" spans="1:35" x14ac:dyDescent="0.3">
      <c r="A144" s="94" t="s">
        <v>257</v>
      </c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1" t="s">
        <v>140</v>
      </c>
    </row>
    <row r="145" spans="2:35" x14ac:dyDescent="0.3"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1" t="s">
        <v>141</v>
      </c>
    </row>
    <row r="146" spans="2:35" x14ac:dyDescent="0.3"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1" t="s">
        <v>142</v>
      </c>
    </row>
    <row r="147" spans="2:35" x14ac:dyDescent="0.3"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1" t="s">
        <v>143</v>
      </c>
    </row>
    <row r="148" spans="2:35" x14ac:dyDescent="0.3"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1" t="s">
        <v>144</v>
      </c>
    </row>
    <row r="149" spans="2:35" x14ac:dyDescent="0.3"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1" t="s">
        <v>145</v>
      </c>
    </row>
    <row r="150" spans="2:35" x14ac:dyDescent="0.3"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1" t="s">
        <v>146</v>
      </c>
    </row>
    <row r="151" spans="2:35" x14ac:dyDescent="0.3"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1" t="s">
        <v>147</v>
      </c>
    </row>
    <row r="152" spans="2:35" x14ac:dyDescent="0.3"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1" t="s">
        <v>148</v>
      </c>
    </row>
    <row r="153" spans="2:35" x14ac:dyDescent="0.3"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1" t="s">
        <v>149</v>
      </c>
    </row>
    <row r="154" spans="2:35" x14ac:dyDescent="0.3"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1" t="s">
        <v>150</v>
      </c>
    </row>
    <row r="155" spans="2:35" x14ac:dyDescent="0.3"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1" t="s">
        <v>151</v>
      </c>
    </row>
    <row r="156" spans="2:35" x14ac:dyDescent="0.3"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1" t="s">
        <v>152</v>
      </c>
    </row>
    <row r="157" spans="2:35" x14ac:dyDescent="0.3"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1" t="s">
        <v>153</v>
      </c>
    </row>
    <row r="158" spans="2:35" x14ac:dyDescent="0.3"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1" t="s">
        <v>154</v>
      </c>
    </row>
    <row r="159" spans="2:35" x14ac:dyDescent="0.3"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1" t="s">
        <v>155</v>
      </c>
    </row>
    <row r="160" spans="2:35" x14ac:dyDescent="0.3"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1" t="s">
        <v>156</v>
      </c>
    </row>
    <row r="161" spans="1:35" x14ac:dyDescent="0.3"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1" t="s">
        <v>157</v>
      </c>
    </row>
    <row r="163" spans="1:35" x14ac:dyDescent="0.3">
      <c r="B163" s="91" t="str">
        <f t="shared" ref="B163:G163" si="41">IF(C25="","", CONCATENATE("U",C25,C$21))</f>
        <v/>
      </c>
      <c r="C163" s="91" t="str">
        <f t="shared" si="41"/>
        <v/>
      </c>
      <c r="D163" s="91" t="str">
        <f t="shared" si="41"/>
        <v/>
      </c>
      <c r="E163" s="91" t="str">
        <f t="shared" si="41"/>
        <v/>
      </c>
      <c r="F163" s="91" t="str">
        <f t="shared" si="41"/>
        <v/>
      </c>
      <c r="G163" s="91" t="str">
        <f t="shared" si="41"/>
        <v/>
      </c>
    </row>
    <row r="164" spans="1:35" x14ac:dyDescent="0.3">
      <c r="B164" s="92">
        <f>IF(I12="", 0, O12*J12*J12+P12*K12*K12)</f>
        <v>0</v>
      </c>
      <c r="C164" s="93">
        <f>IF(I12="", 0, (O12-P12)*(J12*K12))</f>
        <v>0</v>
      </c>
      <c r="D164" s="93">
        <f>IF(I12="", 0, -Q12*K12)</f>
        <v>0</v>
      </c>
      <c r="E164" s="93">
        <f t="shared" ref="E164:F166" si="42">-B164</f>
        <v>0</v>
      </c>
      <c r="F164" s="93">
        <f t="shared" si="42"/>
        <v>0</v>
      </c>
      <c r="G164" s="93">
        <f>D164</f>
        <v>0</v>
      </c>
      <c r="H164" s="91" t="str">
        <f>B163</f>
        <v/>
      </c>
    </row>
    <row r="165" spans="1:35" x14ac:dyDescent="0.3">
      <c r="B165" s="93">
        <f>C164</f>
        <v>0</v>
      </c>
      <c r="C165" s="92">
        <f>IF(I12="", 0, O12*K12*K12+P12*J12*J12)</f>
        <v>0</v>
      </c>
      <c r="D165" s="93">
        <f>IF(I12="", 0, Q12*J12)</f>
        <v>0</v>
      </c>
      <c r="E165" s="93">
        <f t="shared" si="42"/>
        <v>0</v>
      </c>
      <c r="F165" s="93">
        <f t="shared" si="42"/>
        <v>0</v>
      </c>
      <c r="G165" s="93">
        <f>D165</f>
        <v>0</v>
      </c>
      <c r="H165" s="91" t="str">
        <f>C163</f>
        <v/>
      </c>
    </row>
    <row r="166" spans="1:35" x14ac:dyDescent="0.3">
      <c r="A166" s="94" t="s">
        <v>258</v>
      </c>
      <c r="B166" s="93">
        <f>D164</f>
        <v>0</v>
      </c>
      <c r="C166" s="93">
        <f>D165</f>
        <v>0</v>
      </c>
      <c r="D166" s="92">
        <f>IF(I12="", 0, R12)</f>
        <v>0</v>
      </c>
      <c r="E166" s="93">
        <f t="shared" si="42"/>
        <v>0</v>
      </c>
      <c r="F166" s="93">
        <f t="shared" si="42"/>
        <v>0</v>
      </c>
      <c r="G166" s="93">
        <f>IF(I12="", 0, S12)</f>
        <v>0</v>
      </c>
      <c r="H166" s="91" t="str">
        <f>D163</f>
        <v/>
      </c>
    </row>
    <row r="167" spans="1:35" x14ac:dyDescent="0.3">
      <c r="B167" s="93">
        <f>E164</f>
        <v>0</v>
      </c>
      <c r="C167" s="93">
        <f>E165</f>
        <v>0</v>
      </c>
      <c r="D167" s="93">
        <f>E166</f>
        <v>0</v>
      </c>
      <c r="E167" s="92">
        <f>B164</f>
        <v>0</v>
      </c>
      <c r="F167" s="93">
        <f>C164</f>
        <v>0</v>
      </c>
      <c r="G167" s="93">
        <f>-D164</f>
        <v>0</v>
      </c>
      <c r="H167" s="91" t="str">
        <f>E163</f>
        <v/>
      </c>
    </row>
    <row r="168" spans="1:35" x14ac:dyDescent="0.3">
      <c r="B168" s="93">
        <f>F164</f>
        <v>0</v>
      </c>
      <c r="C168" s="93">
        <f>F165</f>
        <v>0</v>
      </c>
      <c r="D168" s="93">
        <f>F166</f>
        <v>0</v>
      </c>
      <c r="E168" s="93">
        <f>F167</f>
        <v>0</v>
      </c>
      <c r="F168" s="92">
        <f>C165</f>
        <v>0</v>
      </c>
      <c r="G168" s="93">
        <f>-D165</f>
        <v>0</v>
      </c>
      <c r="H168" s="91" t="str">
        <f>F163</f>
        <v/>
      </c>
    </row>
    <row r="169" spans="1:35" x14ac:dyDescent="0.3">
      <c r="B169" s="93">
        <f>G164</f>
        <v>0</v>
      </c>
      <c r="C169" s="93">
        <f>G165</f>
        <v>0</v>
      </c>
      <c r="D169" s="93">
        <f>G166</f>
        <v>0</v>
      </c>
      <c r="E169" s="93">
        <f>G167</f>
        <v>0</v>
      </c>
      <c r="F169" s="93">
        <f>G168</f>
        <v>0</v>
      </c>
      <c r="G169" s="92">
        <f>D166</f>
        <v>0</v>
      </c>
      <c r="H169" s="91" t="str">
        <f>G163</f>
        <v/>
      </c>
    </row>
    <row r="171" spans="1:35" x14ac:dyDescent="0.3">
      <c r="B171" s="91" t="s">
        <v>125</v>
      </c>
      <c r="C171" s="91" t="s">
        <v>126</v>
      </c>
      <c r="D171" s="91" t="s">
        <v>127</v>
      </c>
      <c r="E171" s="91" t="s">
        <v>128</v>
      </c>
      <c r="F171" s="91" t="s">
        <v>129</v>
      </c>
      <c r="G171" s="91" t="s">
        <v>130</v>
      </c>
      <c r="H171" s="91" t="s">
        <v>131</v>
      </c>
      <c r="I171" s="91" t="s">
        <v>132</v>
      </c>
      <c r="J171" s="91" t="s">
        <v>133</v>
      </c>
      <c r="K171" s="91" t="s">
        <v>134</v>
      </c>
      <c r="L171" s="91" t="s">
        <v>135</v>
      </c>
      <c r="M171" s="91" t="s">
        <v>136</v>
      </c>
      <c r="N171" s="91" t="s">
        <v>137</v>
      </c>
      <c r="O171" s="91" t="s">
        <v>138</v>
      </c>
      <c r="P171" s="91" t="s">
        <v>139</v>
      </c>
      <c r="Q171" s="91" t="s">
        <v>140</v>
      </c>
      <c r="R171" s="91" t="s">
        <v>141</v>
      </c>
      <c r="S171" s="91" t="s">
        <v>142</v>
      </c>
      <c r="T171" s="91" t="s">
        <v>143</v>
      </c>
      <c r="U171" s="91" t="s">
        <v>144</v>
      </c>
      <c r="V171" s="91" t="s">
        <v>145</v>
      </c>
      <c r="W171" s="91" t="s">
        <v>146</v>
      </c>
      <c r="X171" s="91" t="s">
        <v>147</v>
      </c>
      <c r="Y171" s="91" t="s">
        <v>148</v>
      </c>
      <c r="Z171" s="91" t="s">
        <v>149</v>
      </c>
      <c r="AA171" s="91" t="s">
        <v>150</v>
      </c>
      <c r="AB171" s="91" t="s">
        <v>151</v>
      </c>
      <c r="AC171" s="91" t="s">
        <v>152</v>
      </c>
      <c r="AD171" s="91" t="s">
        <v>153</v>
      </c>
      <c r="AE171" s="91" t="s">
        <v>154</v>
      </c>
      <c r="AF171" s="91" t="s">
        <v>155</v>
      </c>
      <c r="AG171" s="91" t="s">
        <v>156</v>
      </c>
      <c r="AH171" s="91" t="s">
        <v>157</v>
      </c>
    </row>
    <row r="172" spans="1:35" x14ac:dyDescent="0.3"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1" t="s">
        <v>125</v>
      </c>
    </row>
    <row r="173" spans="1:35" x14ac:dyDescent="0.3"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1" t="s">
        <v>126</v>
      </c>
    </row>
    <row r="174" spans="1:35" x14ac:dyDescent="0.3"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1" t="s">
        <v>127</v>
      </c>
    </row>
    <row r="175" spans="1:35" x14ac:dyDescent="0.3"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1" t="s">
        <v>128</v>
      </c>
    </row>
    <row r="176" spans="1:35" x14ac:dyDescent="0.3"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1" t="s">
        <v>129</v>
      </c>
    </row>
    <row r="177" spans="1:35" x14ac:dyDescent="0.3"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1" t="s">
        <v>130</v>
      </c>
    </row>
    <row r="178" spans="1:35" x14ac:dyDescent="0.3"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1" t="s">
        <v>131</v>
      </c>
    </row>
    <row r="179" spans="1:35" x14ac:dyDescent="0.3"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1" t="s">
        <v>132</v>
      </c>
    </row>
    <row r="180" spans="1:35" x14ac:dyDescent="0.3"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1" t="s">
        <v>133</v>
      </c>
    </row>
    <row r="181" spans="1:35" x14ac:dyDescent="0.3">
      <c r="B181" s="93"/>
      <c r="C181" s="93"/>
      <c r="D181" s="93"/>
      <c r="E181" s="93"/>
      <c r="F181" s="93"/>
      <c r="G181" s="93"/>
      <c r="H181" s="93"/>
      <c r="I181" s="93"/>
      <c r="J181" s="93"/>
      <c r="K181" s="93">
        <f t="shared" ref="K181:P186" si="43">B164</f>
        <v>0</v>
      </c>
      <c r="L181" s="93">
        <f t="shared" si="43"/>
        <v>0</v>
      </c>
      <c r="M181" s="93">
        <f t="shared" si="43"/>
        <v>0</v>
      </c>
      <c r="N181" s="93">
        <f t="shared" si="43"/>
        <v>0</v>
      </c>
      <c r="O181" s="93">
        <f t="shared" si="43"/>
        <v>0</v>
      </c>
      <c r="P181" s="93">
        <f t="shared" si="43"/>
        <v>0</v>
      </c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1" t="s">
        <v>134</v>
      </c>
    </row>
    <row r="182" spans="1:35" x14ac:dyDescent="0.3">
      <c r="B182" s="93"/>
      <c r="C182" s="93"/>
      <c r="D182" s="93"/>
      <c r="E182" s="93"/>
      <c r="F182" s="93"/>
      <c r="G182" s="93"/>
      <c r="H182" s="93"/>
      <c r="I182" s="93"/>
      <c r="J182" s="93"/>
      <c r="K182" s="93">
        <f t="shared" si="43"/>
        <v>0</v>
      </c>
      <c r="L182" s="93">
        <f t="shared" si="43"/>
        <v>0</v>
      </c>
      <c r="M182" s="93">
        <f t="shared" si="43"/>
        <v>0</v>
      </c>
      <c r="N182" s="93">
        <f t="shared" si="43"/>
        <v>0</v>
      </c>
      <c r="O182" s="93">
        <f t="shared" si="43"/>
        <v>0</v>
      </c>
      <c r="P182" s="93">
        <f t="shared" si="43"/>
        <v>0</v>
      </c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1" t="s">
        <v>135</v>
      </c>
    </row>
    <row r="183" spans="1:35" x14ac:dyDescent="0.3">
      <c r="B183" s="93"/>
      <c r="C183" s="93"/>
      <c r="D183" s="93"/>
      <c r="E183" s="93"/>
      <c r="F183" s="93"/>
      <c r="G183" s="93"/>
      <c r="H183" s="93"/>
      <c r="I183" s="93"/>
      <c r="J183" s="93"/>
      <c r="K183" s="93">
        <f t="shared" si="43"/>
        <v>0</v>
      </c>
      <c r="L183" s="93">
        <f t="shared" si="43"/>
        <v>0</v>
      </c>
      <c r="M183" s="93">
        <f t="shared" si="43"/>
        <v>0</v>
      </c>
      <c r="N183" s="93">
        <f t="shared" si="43"/>
        <v>0</v>
      </c>
      <c r="O183" s="93">
        <f t="shared" si="43"/>
        <v>0</v>
      </c>
      <c r="P183" s="93">
        <f t="shared" si="43"/>
        <v>0</v>
      </c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1" t="s">
        <v>136</v>
      </c>
    </row>
    <row r="184" spans="1:35" x14ac:dyDescent="0.3">
      <c r="B184" s="93"/>
      <c r="C184" s="93"/>
      <c r="D184" s="93"/>
      <c r="E184" s="93"/>
      <c r="F184" s="93"/>
      <c r="G184" s="93"/>
      <c r="H184" s="93"/>
      <c r="I184" s="93"/>
      <c r="J184" s="93"/>
      <c r="K184" s="93">
        <f t="shared" si="43"/>
        <v>0</v>
      </c>
      <c r="L184" s="93">
        <f t="shared" si="43"/>
        <v>0</v>
      </c>
      <c r="M184" s="93">
        <f t="shared" si="43"/>
        <v>0</v>
      </c>
      <c r="N184" s="93">
        <f t="shared" si="43"/>
        <v>0</v>
      </c>
      <c r="O184" s="93">
        <f t="shared" si="43"/>
        <v>0</v>
      </c>
      <c r="P184" s="93">
        <f t="shared" si="43"/>
        <v>0</v>
      </c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1" t="s">
        <v>137</v>
      </c>
    </row>
    <row r="185" spans="1:35" x14ac:dyDescent="0.3">
      <c r="B185" s="93"/>
      <c r="C185" s="93"/>
      <c r="D185" s="93"/>
      <c r="E185" s="93"/>
      <c r="F185" s="93"/>
      <c r="G185" s="93"/>
      <c r="H185" s="93"/>
      <c r="I185" s="93"/>
      <c r="J185" s="93"/>
      <c r="K185" s="93">
        <f t="shared" si="43"/>
        <v>0</v>
      </c>
      <c r="L185" s="93">
        <f t="shared" si="43"/>
        <v>0</v>
      </c>
      <c r="M185" s="93">
        <f t="shared" si="43"/>
        <v>0</v>
      </c>
      <c r="N185" s="93">
        <f t="shared" si="43"/>
        <v>0</v>
      </c>
      <c r="O185" s="93">
        <f t="shared" si="43"/>
        <v>0</v>
      </c>
      <c r="P185" s="93">
        <f t="shared" si="43"/>
        <v>0</v>
      </c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1" t="s">
        <v>138</v>
      </c>
    </row>
    <row r="186" spans="1:35" x14ac:dyDescent="0.3">
      <c r="B186" s="93"/>
      <c r="C186" s="93"/>
      <c r="D186" s="93"/>
      <c r="E186" s="93"/>
      <c r="F186" s="93"/>
      <c r="G186" s="93"/>
      <c r="H186" s="93"/>
      <c r="I186" s="93"/>
      <c r="J186" s="93"/>
      <c r="K186" s="93">
        <f t="shared" si="43"/>
        <v>0</v>
      </c>
      <c r="L186" s="93">
        <f t="shared" si="43"/>
        <v>0</v>
      </c>
      <c r="M186" s="93">
        <f t="shared" si="43"/>
        <v>0</v>
      </c>
      <c r="N186" s="93">
        <f t="shared" si="43"/>
        <v>0</v>
      </c>
      <c r="O186" s="93">
        <f t="shared" si="43"/>
        <v>0</v>
      </c>
      <c r="P186" s="93">
        <f t="shared" si="43"/>
        <v>0</v>
      </c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1" t="s">
        <v>139</v>
      </c>
    </row>
    <row r="187" spans="1:35" x14ac:dyDescent="0.3">
      <c r="A187" s="94" t="s">
        <v>258</v>
      </c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1" t="s">
        <v>140</v>
      </c>
    </row>
    <row r="188" spans="1:35" x14ac:dyDescent="0.3"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1" t="s">
        <v>141</v>
      </c>
    </row>
    <row r="189" spans="1:35" x14ac:dyDescent="0.3"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1" t="s">
        <v>142</v>
      </c>
    </row>
    <row r="190" spans="1:35" x14ac:dyDescent="0.3"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1" t="s">
        <v>143</v>
      </c>
    </row>
    <row r="191" spans="1:35" x14ac:dyDescent="0.3"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1" t="s">
        <v>144</v>
      </c>
    </row>
    <row r="192" spans="1:35" x14ac:dyDescent="0.3"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1" t="s">
        <v>145</v>
      </c>
    </row>
    <row r="193" spans="2:35" x14ac:dyDescent="0.3"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1" t="s">
        <v>146</v>
      </c>
    </row>
    <row r="194" spans="2:35" x14ac:dyDescent="0.3"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1" t="s">
        <v>147</v>
      </c>
    </row>
    <row r="195" spans="2:35" x14ac:dyDescent="0.3"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1" t="s">
        <v>148</v>
      </c>
    </row>
    <row r="196" spans="2:35" x14ac:dyDescent="0.3"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1" t="s">
        <v>149</v>
      </c>
    </row>
    <row r="197" spans="2:35" x14ac:dyDescent="0.3"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1" t="s">
        <v>150</v>
      </c>
    </row>
    <row r="198" spans="2:35" x14ac:dyDescent="0.3"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1" t="s">
        <v>151</v>
      </c>
    </row>
    <row r="199" spans="2:35" x14ac:dyDescent="0.3"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1" t="s">
        <v>152</v>
      </c>
    </row>
    <row r="200" spans="2:35" x14ac:dyDescent="0.3"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1" t="s">
        <v>153</v>
      </c>
    </row>
    <row r="201" spans="2:35" x14ac:dyDescent="0.3"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1" t="s">
        <v>154</v>
      </c>
    </row>
    <row r="202" spans="2:35" x14ac:dyDescent="0.3"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1" t="s">
        <v>155</v>
      </c>
    </row>
    <row r="203" spans="2:35" x14ac:dyDescent="0.3"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1" t="s">
        <v>156</v>
      </c>
    </row>
    <row r="204" spans="2:35" x14ac:dyDescent="0.3"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1" t="s">
        <v>157</v>
      </c>
    </row>
    <row r="206" spans="2:35" x14ac:dyDescent="0.3">
      <c r="B206" s="91" t="str">
        <f t="shared" ref="B206:G206" si="44">IF(C26="","", CONCATENATE("U",C26,C$21))</f>
        <v/>
      </c>
      <c r="C206" s="91" t="str">
        <f t="shared" si="44"/>
        <v/>
      </c>
      <c r="D206" s="91" t="str">
        <f t="shared" si="44"/>
        <v/>
      </c>
      <c r="E206" s="91" t="str">
        <f t="shared" si="44"/>
        <v/>
      </c>
      <c r="F206" s="91" t="str">
        <f t="shared" si="44"/>
        <v/>
      </c>
      <c r="G206" s="91" t="str">
        <f t="shared" si="44"/>
        <v/>
      </c>
    </row>
    <row r="207" spans="2:35" x14ac:dyDescent="0.3">
      <c r="B207" s="92">
        <f>IF(I13="", 0, O13*J13*J13+P13*K13*K13)</f>
        <v>0</v>
      </c>
      <c r="C207" s="93">
        <f>IF(I13="", 0, (O13-P13)*(J13*K13))</f>
        <v>0</v>
      </c>
      <c r="D207" s="93">
        <f>IF(I13="", 0, -Q13*K13)</f>
        <v>0</v>
      </c>
      <c r="E207" s="93">
        <f t="shared" ref="E207:F209" si="45">-B207</f>
        <v>0</v>
      </c>
      <c r="F207" s="93">
        <f t="shared" si="45"/>
        <v>0</v>
      </c>
      <c r="G207" s="93">
        <f>D207</f>
        <v>0</v>
      </c>
      <c r="H207" s="91" t="str">
        <f>B206</f>
        <v/>
      </c>
    </row>
    <row r="208" spans="2:35" x14ac:dyDescent="0.3">
      <c r="B208" s="93">
        <f>C207</f>
        <v>0</v>
      </c>
      <c r="C208" s="92">
        <f>IF(I13="", 0, O13*K13*K13+P13*J13*J13)</f>
        <v>0</v>
      </c>
      <c r="D208" s="93">
        <f>IF(I13="", 0, Q13*J13)</f>
        <v>0</v>
      </c>
      <c r="E208" s="93">
        <f t="shared" si="45"/>
        <v>0</v>
      </c>
      <c r="F208" s="93">
        <f t="shared" si="45"/>
        <v>0</v>
      </c>
      <c r="G208" s="93">
        <f>D208</f>
        <v>0</v>
      </c>
      <c r="H208" s="91" t="str">
        <f>C206</f>
        <v/>
      </c>
    </row>
    <row r="209" spans="1:35" x14ac:dyDescent="0.3">
      <c r="A209" s="94" t="s">
        <v>259</v>
      </c>
      <c r="B209" s="93">
        <f>D207</f>
        <v>0</v>
      </c>
      <c r="C209" s="93">
        <f>D208</f>
        <v>0</v>
      </c>
      <c r="D209" s="92">
        <f>IF(I13="", 0, R13)</f>
        <v>0</v>
      </c>
      <c r="E209" s="93">
        <f t="shared" si="45"/>
        <v>0</v>
      </c>
      <c r="F209" s="93">
        <f t="shared" si="45"/>
        <v>0</v>
      </c>
      <c r="G209" s="93">
        <f>IF(I13="", 0, S13)</f>
        <v>0</v>
      </c>
      <c r="H209" s="91" t="str">
        <f>D206</f>
        <v/>
      </c>
    </row>
    <row r="210" spans="1:35" x14ac:dyDescent="0.3">
      <c r="B210" s="93">
        <f>E207</f>
        <v>0</v>
      </c>
      <c r="C210" s="93">
        <f>E208</f>
        <v>0</v>
      </c>
      <c r="D210" s="93">
        <f>E209</f>
        <v>0</v>
      </c>
      <c r="E210" s="92">
        <f>B207</f>
        <v>0</v>
      </c>
      <c r="F210" s="93">
        <f>C207</f>
        <v>0</v>
      </c>
      <c r="G210" s="93">
        <f>-D207</f>
        <v>0</v>
      </c>
      <c r="H210" s="91" t="str">
        <f>E206</f>
        <v/>
      </c>
    </row>
    <row r="211" spans="1:35" x14ac:dyDescent="0.3">
      <c r="B211" s="93">
        <f>F207</f>
        <v>0</v>
      </c>
      <c r="C211" s="93">
        <f>F208</f>
        <v>0</v>
      </c>
      <c r="D211" s="93">
        <f>F209</f>
        <v>0</v>
      </c>
      <c r="E211" s="93">
        <f>F210</f>
        <v>0</v>
      </c>
      <c r="F211" s="92">
        <f>C208</f>
        <v>0</v>
      </c>
      <c r="G211" s="93">
        <f>-D208</f>
        <v>0</v>
      </c>
      <c r="H211" s="91" t="str">
        <f>F206</f>
        <v/>
      </c>
    </row>
    <row r="212" spans="1:35" x14ac:dyDescent="0.3">
      <c r="B212" s="93">
        <f>G207</f>
        <v>0</v>
      </c>
      <c r="C212" s="93">
        <f>G208</f>
        <v>0</v>
      </c>
      <c r="D212" s="93">
        <f>G209</f>
        <v>0</v>
      </c>
      <c r="E212" s="93">
        <f>G210</f>
        <v>0</v>
      </c>
      <c r="F212" s="93">
        <f>G211</f>
        <v>0</v>
      </c>
      <c r="G212" s="92">
        <f>D209</f>
        <v>0</v>
      </c>
      <c r="H212" s="91" t="str">
        <f>G206</f>
        <v/>
      </c>
    </row>
    <row r="214" spans="1:35" x14ac:dyDescent="0.3">
      <c r="B214" s="91" t="s">
        <v>125</v>
      </c>
      <c r="C214" s="91" t="s">
        <v>126</v>
      </c>
      <c r="D214" s="91" t="s">
        <v>127</v>
      </c>
      <c r="E214" s="91" t="s">
        <v>128</v>
      </c>
      <c r="F214" s="91" t="s">
        <v>129</v>
      </c>
      <c r="G214" s="91" t="s">
        <v>130</v>
      </c>
      <c r="H214" s="91" t="s">
        <v>131</v>
      </c>
      <c r="I214" s="91" t="s">
        <v>132</v>
      </c>
      <c r="J214" s="91" t="s">
        <v>133</v>
      </c>
      <c r="K214" s="91" t="s">
        <v>134</v>
      </c>
      <c r="L214" s="91" t="s">
        <v>135</v>
      </c>
      <c r="M214" s="91" t="s">
        <v>136</v>
      </c>
      <c r="N214" s="91" t="s">
        <v>137</v>
      </c>
      <c r="O214" s="91" t="s">
        <v>138</v>
      </c>
      <c r="P214" s="91" t="s">
        <v>139</v>
      </c>
      <c r="Q214" s="91" t="s">
        <v>140</v>
      </c>
      <c r="R214" s="91" t="s">
        <v>141</v>
      </c>
      <c r="S214" s="91" t="s">
        <v>142</v>
      </c>
      <c r="T214" s="91" t="s">
        <v>143</v>
      </c>
      <c r="U214" s="91" t="s">
        <v>144</v>
      </c>
      <c r="V214" s="91" t="s">
        <v>145</v>
      </c>
      <c r="W214" s="91" t="s">
        <v>146</v>
      </c>
      <c r="X214" s="91" t="s">
        <v>147</v>
      </c>
      <c r="Y214" s="91" t="s">
        <v>148</v>
      </c>
      <c r="Z214" s="91" t="s">
        <v>149</v>
      </c>
      <c r="AA214" s="91" t="s">
        <v>150</v>
      </c>
      <c r="AB214" s="91" t="s">
        <v>151</v>
      </c>
      <c r="AC214" s="91" t="s">
        <v>152</v>
      </c>
      <c r="AD214" s="91" t="s">
        <v>153</v>
      </c>
      <c r="AE214" s="91" t="s">
        <v>154</v>
      </c>
      <c r="AF214" s="91" t="s">
        <v>155</v>
      </c>
      <c r="AG214" s="91" t="s">
        <v>156</v>
      </c>
      <c r="AH214" s="91" t="s">
        <v>157</v>
      </c>
    </row>
    <row r="215" spans="1:35" x14ac:dyDescent="0.3"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1" t="s">
        <v>125</v>
      </c>
    </row>
    <row r="216" spans="1:35" x14ac:dyDescent="0.3"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1" t="s">
        <v>126</v>
      </c>
    </row>
    <row r="217" spans="1:35" x14ac:dyDescent="0.3"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1" t="s">
        <v>127</v>
      </c>
    </row>
    <row r="218" spans="1:35" x14ac:dyDescent="0.3"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1" t="s">
        <v>128</v>
      </c>
    </row>
    <row r="219" spans="1:35" x14ac:dyDescent="0.3"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1" t="s">
        <v>129</v>
      </c>
    </row>
    <row r="220" spans="1:35" x14ac:dyDescent="0.3"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1" t="s">
        <v>130</v>
      </c>
    </row>
    <row r="221" spans="1:35" x14ac:dyDescent="0.3"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1" t="s">
        <v>131</v>
      </c>
    </row>
    <row r="222" spans="1:35" x14ac:dyDescent="0.3"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1" t="s">
        <v>132</v>
      </c>
    </row>
    <row r="223" spans="1:35" x14ac:dyDescent="0.3"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1" t="s">
        <v>133</v>
      </c>
    </row>
    <row r="224" spans="1:35" x14ac:dyDescent="0.3"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1" t="s">
        <v>134</v>
      </c>
    </row>
    <row r="225" spans="1:35" x14ac:dyDescent="0.3"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1" t="s">
        <v>135</v>
      </c>
    </row>
    <row r="226" spans="1:35" x14ac:dyDescent="0.3"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1" t="s">
        <v>136</v>
      </c>
    </row>
    <row r="227" spans="1:35" x14ac:dyDescent="0.3"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>
        <f t="shared" ref="N227:S232" si="46">B207</f>
        <v>0</v>
      </c>
      <c r="O227" s="93">
        <f t="shared" si="46"/>
        <v>0</v>
      </c>
      <c r="P227" s="93">
        <f t="shared" si="46"/>
        <v>0</v>
      </c>
      <c r="Q227" s="93">
        <f t="shared" si="46"/>
        <v>0</v>
      </c>
      <c r="R227" s="93">
        <f t="shared" si="46"/>
        <v>0</v>
      </c>
      <c r="S227" s="93">
        <f t="shared" si="46"/>
        <v>0</v>
      </c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1" t="s">
        <v>137</v>
      </c>
    </row>
    <row r="228" spans="1:35" x14ac:dyDescent="0.3"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>
        <f t="shared" si="46"/>
        <v>0</v>
      </c>
      <c r="O228" s="93">
        <f t="shared" si="46"/>
        <v>0</v>
      </c>
      <c r="P228" s="93">
        <f t="shared" si="46"/>
        <v>0</v>
      </c>
      <c r="Q228" s="93">
        <f t="shared" si="46"/>
        <v>0</v>
      </c>
      <c r="R228" s="93">
        <f t="shared" si="46"/>
        <v>0</v>
      </c>
      <c r="S228" s="93">
        <f t="shared" si="46"/>
        <v>0</v>
      </c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1" t="s">
        <v>138</v>
      </c>
    </row>
    <row r="229" spans="1:35" x14ac:dyDescent="0.3"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>
        <f t="shared" si="46"/>
        <v>0</v>
      </c>
      <c r="O229" s="93">
        <f t="shared" si="46"/>
        <v>0</v>
      </c>
      <c r="P229" s="93">
        <f t="shared" si="46"/>
        <v>0</v>
      </c>
      <c r="Q229" s="93">
        <f t="shared" si="46"/>
        <v>0</v>
      </c>
      <c r="R229" s="93">
        <f t="shared" si="46"/>
        <v>0</v>
      </c>
      <c r="S229" s="93">
        <f t="shared" si="46"/>
        <v>0</v>
      </c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1" t="s">
        <v>139</v>
      </c>
    </row>
    <row r="230" spans="1:35" x14ac:dyDescent="0.3">
      <c r="A230" s="94" t="s">
        <v>259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>
        <f t="shared" si="46"/>
        <v>0</v>
      </c>
      <c r="O230" s="93">
        <f t="shared" si="46"/>
        <v>0</v>
      </c>
      <c r="P230" s="93">
        <f t="shared" si="46"/>
        <v>0</v>
      </c>
      <c r="Q230" s="93">
        <f t="shared" si="46"/>
        <v>0</v>
      </c>
      <c r="R230" s="93">
        <f t="shared" si="46"/>
        <v>0</v>
      </c>
      <c r="S230" s="93">
        <f t="shared" si="46"/>
        <v>0</v>
      </c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1" t="s">
        <v>140</v>
      </c>
    </row>
    <row r="231" spans="1:35" x14ac:dyDescent="0.3"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>
        <f t="shared" si="46"/>
        <v>0</v>
      </c>
      <c r="O231" s="93">
        <f t="shared" si="46"/>
        <v>0</v>
      </c>
      <c r="P231" s="93">
        <f t="shared" si="46"/>
        <v>0</v>
      </c>
      <c r="Q231" s="93">
        <f t="shared" si="46"/>
        <v>0</v>
      </c>
      <c r="R231" s="93">
        <f t="shared" si="46"/>
        <v>0</v>
      </c>
      <c r="S231" s="93">
        <f t="shared" si="46"/>
        <v>0</v>
      </c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1" t="s">
        <v>141</v>
      </c>
    </row>
    <row r="232" spans="1:35" x14ac:dyDescent="0.3"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>
        <f t="shared" si="46"/>
        <v>0</v>
      </c>
      <c r="O232" s="93">
        <f t="shared" si="46"/>
        <v>0</v>
      </c>
      <c r="P232" s="93">
        <f t="shared" si="46"/>
        <v>0</v>
      </c>
      <c r="Q232" s="93">
        <f t="shared" si="46"/>
        <v>0</v>
      </c>
      <c r="R232" s="93">
        <f t="shared" si="46"/>
        <v>0</v>
      </c>
      <c r="S232" s="93">
        <f t="shared" si="46"/>
        <v>0</v>
      </c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1" t="s">
        <v>142</v>
      </c>
    </row>
    <row r="233" spans="1:35" x14ac:dyDescent="0.3"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1" t="s">
        <v>143</v>
      </c>
    </row>
    <row r="234" spans="1:35" x14ac:dyDescent="0.3"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1" t="s">
        <v>144</v>
      </c>
    </row>
    <row r="235" spans="1:35" x14ac:dyDescent="0.3"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1" t="s">
        <v>145</v>
      </c>
    </row>
    <row r="236" spans="1:35" x14ac:dyDescent="0.3"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1" t="s">
        <v>146</v>
      </c>
    </row>
    <row r="237" spans="1:35" x14ac:dyDescent="0.3"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1" t="s">
        <v>147</v>
      </c>
    </row>
    <row r="238" spans="1:35" x14ac:dyDescent="0.3"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1" t="s">
        <v>148</v>
      </c>
    </row>
    <row r="239" spans="1:35" x14ac:dyDescent="0.3"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1" t="s">
        <v>149</v>
      </c>
    </row>
    <row r="240" spans="1:35" x14ac:dyDescent="0.3"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1" t="s">
        <v>150</v>
      </c>
    </row>
    <row r="241" spans="1:35" x14ac:dyDescent="0.3"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1" t="s">
        <v>151</v>
      </c>
    </row>
    <row r="242" spans="1:35" x14ac:dyDescent="0.3"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1" t="s">
        <v>152</v>
      </c>
    </row>
    <row r="243" spans="1:35" x14ac:dyDescent="0.3"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1" t="s">
        <v>153</v>
      </c>
    </row>
    <row r="244" spans="1:35" x14ac:dyDescent="0.3"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1" t="s">
        <v>154</v>
      </c>
    </row>
    <row r="245" spans="1:35" x14ac:dyDescent="0.3"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1" t="s">
        <v>155</v>
      </c>
    </row>
    <row r="246" spans="1:35" x14ac:dyDescent="0.3"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1" t="s">
        <v>156</v>
      </c>
    </row>
    <row r="247" spans="1:35" x14ac:dyDescent="0.3"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1" t="s">
        <v>157</v>
      </c>
    </row>
    <row r="249" spans="1:35" x14ac:dyDescent="0.3">
      <c r="B249" s="91" t="str">
        <f t="shared" ref="B249:G249" si="47">IF(C27="","", CONCATENATE("U",C27,C$21))</f>
        <v/>
      </c>
      <c r="C249" s="91" t="str">
        <f t="shared" si="47"/>
        <v/>
      </c>
      <c r="D249" s="91" t="str">
        <f t="shared" si="47"/>
        <v/>
      </c>
      <c r="E249" s="91" t="str">
        <f t="shared" si="47"/>
        <v/>
      </c>
      <c r="F249" s="91" t="str">
        <f t="shared" si="47"/>
        <v/>
      </c>
      <c r="G249" s="91" t="str">
        <f t="shared" si="47"/>
        <v/>
      </c>
    </row>
    <row r="250" spans="1:35" x14ac:dyDescent="0.3">
      <c r="B250" s="92">
        <f>IF(I14="", 0, O14*J14*J14+P14*K14*K14)</f>
        <v>0</v>
      </c>
      <c r="C250" s="93">
        <f>IF(I14="", 0, (O14-P14)*(J14*K14))</f>
        <v>0</v>
      </c>
      <c r="D250" s="93">
        <f>IF(I14="", 0, -Q14*K14)</f>
        <v>0</v>
      </c>
      <c r="E250" s="93">
        <f t="shared" ref="E250:F252" si="48">-B250</f>
        <v>0</v>
      </c>
      <c r="F250" s="93">
        <f t="shared" si="48"/>
        <v>0</v>
      </c>
      <c r="G250" s="93">
        <f>D250</f>
        <v>0</v>
      </c>
      <c r="H250" s="91" t="str">
        <f>B249</f>
        <v/>
      </c>
    </row>
    <row r="251" spans="1:35" x14ac:dyDescent="0.3">
      <c r="B251" s="93">
        <f>C250</f>
        <v>0</v>
      </c>
      <c r="C251" s="92">
        <f>IF(I14="", 0, O14*K14*K14+P14*J14*J14)</f>
        <v>0</v>
      </c>
      <c r="D251" s="93">
        <f>IF(I14="", 0, Q14*J14)</f>
        <v>0</v>
      </c>
      <c r="E251" s="93">
        <f t="shared" si="48"/>
        <v>0</v>
      </c>
      <c r="F251" s="93">
        <f t="shared" si="48"/>
        <v>0</v>
      </c>
      <c r="G251" s="93">
        <f>D251</f>
        <v>0</v>
      </c>
      <c r="H251" s="91" t="str">
        <f>C249</f>
        <v/>
      </c>
    </row>
    <row r="252" spans="1:35" x14ac:dyDescent="0.3">
      <c r="A252" s="94" t="s">
        <v>260</v>
      </c>
      <c r="B252" s="93">
        <f>D250</f>
        <v>0</v>
      </c>
      <c r="C252" s="93">
        <f>D251</f>
        <v>0</v>
      </c>
      <c r="D252" s="92">
        <f>IF(I14="", 0, R14)</f>
        <v>0</v>
      </c>
      <c r="E252" s="93">
        <f t="shared" si="48"/>
        <v>0</v>
      </c>
      <c r="F252" s="93">
        <f t="shared" si="48"/>
        <v>0</v>
      </c>
      <c r="G252" s="93">
        <f>IF(I14="", 0, S14)</f>
        <v>0</v>
      </c>
      <c r="H252" s="91" t="str">
        <f>D249</f>
        <v/>
      </c>
    </row>
    <row r="253" spans="1:35" x14ac:dyDescent="0.3">
      <c r="B253" s="93">
        <f>E250</f>
        <v>0</v>
      </c>
      <c r="C253" s="93">
        <f>E251</f>
        <v>0</v>
      </c>
      <c r="D253" s="93">
        <f>E252</f>
        <v>0</v>
      </c>
      <c r="E253" s="92">
        <f>B250</f>
        <v>0</v>
      </c>
      <c r="F253" s="93">
        <f>C250</f>
        <v>0</v>
      </c>
      <c r="G253" s="93">
        <f>-D250</f>
        <v>0</v>
      </c>
      <c r="H253" s="91" t="str">
        <f>E249</f>
        <v/>
      </c>
    </row>
    <row r="254" spans="1:35" x14ac:dyDescent="0.3">
      <c r="B254" s="93">
        <f>F250</f>
        <v>0</v>
      </c>
      <c r="C254" s="93">
        <f>F251</f>
        <v>0</v>
      </c>
      <c r="D254" s="93">
        <f>F252</f>
        <v>0</v>
      </c>
      <c r="E254" s="93">
        <f>F253</f>
        <v>0</v>
      </c>
      <c r="F254" s="92">
        <f>C251</f>
        <v>0</v>
      </c>
      <c r="G254" s="93">
        <f>-D251</f>
        <v>0</v>
      </c>
      <c r="H254" s="91" t="str">
        <f>F249</f>
        <v/>
      </c>
    </row>
    <row r="255" spans="1:35" x14ac:dyDescent="0.3">
      <c r="B255" s="93">
        <f>G250</f>
        <v>0</v>
      </c>
      <c r="C255" s="93">
        <f>G251</f>
        <v>0</v>
      </c>
      <c r="D255" s="93">
        <f>G252</f>
        <v>0</v>
      </c>
      <c r="E255" s="93">
        <f>G253</f>
        <v>0</v>
      </c>
      <c r="F255" s="93">
        <f>G254</f>
        <v>0</v>
      </c>
      <c r="G255" s="92">
        <f>D252</f>
        <v>0</v>
      </c>
      <c r="H255" s="91" t="str">
        <f>G249</f>
        <v/>
      </c>
    </row>
    <row r="257" spans="2:35" x14ac:dyDescent="0.3">
      <c r="B257" s="91" t="s">
        <v>125</v>
      </c>
      <c r="C257" s="91" t="s">
        <v>126</v>
      </c>
      <c r="D257" s="91" t="s">
        <v>127</v>
      </c>
      <c r="E257" s="91" t="s">
        <v>128</v>
      </c>
      <c r="F257" s="91" t="s">
        <v>129</v>
      </c>
      <c r="G257" s="91" t="s">
        <v>130</v>
      </c>
      <c r="H257" s="91" t="s">
        <v>131</v>
      </c>
      <c r="I257" s="91" t="s">
        <v>132</v>
      </c>
      <c r="J257" s="91" t="s">
        <v>133</v>
      </c>
      <c r="K257" s="91" t="s">
        <v>134</v>
      </c>
      <c r="L257" s="91" t="s">
        <v>135</v>
      </c>
      <c r="M257" s="91" t="s">
        <v>136</v>
      </c>
      <c r="N257" s="91" t="s">
        <v>137</v>
      </c>
      <c r="O257" s="91" t="s">
        <v>138</v>
      </c>
      <c r="P257" s="91" t="s">
        <v>139</v>
      </c>
      <c r="Q257" s="91" t="s">
        <v>140</v>
      </c>
      <c r="R257" s="91" t="s">
        <v>141</v>
      </c>
      <c r="S257" s="91" t="s">
        <v>142</v>
      </c>
      <c r="T257" s="91" t="s">
        <v>143</v>
      </c>
      <c r="U257" s="91" t="s">
        <v>144</v>
      </c>
      <c r="V257" s="91" t="s">
        <v>145</v>
      </c>
      <c r="W257" s="91" t="s">
        <v>146</v>
      </c>
      <c r="X257" s="91" t="s">
        <v>147</v>
      </c>
      <c r="Y257" s="91" t="s">
        <v>148</v>
      </c>
      <c r="Z257" s="91" t="s">
        <v>149</v>
      </c>
      <c r="AA257" s="91" t="s">
        <v>150</v>
      </c>
      <c r="AB257" s="91" t="s">
        <v>151</v>
      </c>
      <c r="AC257" s="91" t="s">
        <v>152</v>
      </c>
      <c r="AD257" s="91" t="s">
        <v>153</v>
      </c>
      <c r="AE257" s="91" t="s">
        <v>154</v>
      </c>
      <c r="AF257" s="91" t="s">
        <v>155</v>
      </c>
      <c r="AG257" s="91" t="s">
        <v>156</v>
      </c>
      <c r="AH257" s="91" t="s">
        <v>157</v>
      </c>
    </row>
    <row r="258" spans="2:35" x14ac:dyDescent="0.3"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1" t="s">
        <v>125</v>
      </c>
    </row>
    <row r="259" spans="2:35" x14ac:dyDescent="0.3"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1" t="s">
        <v>126</v>
      </c>
    </row>
    <row r="260" spans="2:35" x14ac:dyDescent="0.3"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1" t="s">
        <v>127</v>
      </c>
    </row>
    <row r="261" spans="2:35" x14ac:dyDescent="0.3"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1" t="s">
        <v>128</v>
      </c>
    </row>
    <row r="262" spans="2:35" x14ac:dyDescent="0.3"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1" t="s">
        <v>129</v>
      </c>
    </row>
    <row r="263" spans="2:35" x14ac:dyDescent="0.3"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1" t="s">
        <v>130</v>
      </c>
    </row>
    <row r="264" spans="2:35" x14ac:dyDescent="0.3"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1" t="s">
        <v>131</v>
      </c>
    </row>
    <row r="265" spans="2:35" x14ac:dyDescent="0.3"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1" t="s">
        <v>132</v>
      </c>
    </row>
    <row r="266" spans="2:35" x14ac:dyDescent="0.3"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1" t="s">
        <v>133</v>
      </c>
    </row>
    <row r="267" spans="2:35" x14ac:dyDescent="0.3"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1" t="s">
        <v>134</v>
      </c>
    </row>
    <row r="268" spans="2:35" x14ac:dyDescent="0.3"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1" t="s">
        <v>135</v>
      </c>
    </row>
    <row r="269" spans="2:35" x14ac:dyDescent="0.3"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1" t="s">
        <v>136</v>
      </c>
    </row>
    <row r="270" spans="2:35" x14ac:dyDescent="0.3"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1" t="s">
        <v>137</v>
      </c>
    </row>
    <row r="271" spans="2:35" x14ac:dyDescent="0.3"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1" t="s">
        <v>138</v>
      </c>
    </row>
    <row r="272" spans="2:35" x14ac:dyDescent="0.3"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1" t="s">
        <v>139</v>
      </c>
    </row>
    <row r="273" spans="1:35" x14ac:dyDescent="0.3">
      <c r="A273" s="94" t="s">
        <v>260</v>
      </c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>
        <f t="shared" ref="Q273:V278" si="49">B250</f>
        <v>0</v>
      </c>
      <c r="R273" s="93">
        <f t="shared" si="49"/>
        <v>0</v>
      </c>
      <c r="S273" s="93">
        <f t="shared" si="49"/>
        <v>0</v>
      </c>
      <c r="T273" s="93">
        <f t="shared" si="49"/>
        <v>0</v>
      </c>
      <c r="U273" s="93">
        <f t="shared" si="49"/>
        <v>0</v>
      </c>
      <c r="V273" s="93">
        <f t="shared" si="49"/>
        <v>0</v>
      </c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1" t="s">
        <v>140</v>
      </c>
    </row>
    <row r="274" spans="1:35" x14ac:dyDescent="0.3"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>
        <f t="shared" si="49"/>
        <v>0</v>
      </c>
      <c r="R274" s="93">
        <f t="shared" si="49"/>
        <v>0</v>
      </c>
      <c r="S274" s="93">
        <f t="shared" si="49"/>
        <v>0</v>
      </c>
      <c r="T274" s="93">
        <f t="shared" si="49"/>
        <v>0</v>
      </c>
      <c r="U274" s="93">
        <f t="shared" si="49"/>
        <v>0</v>
      </c>
      <c r="V274" s="93">
        <f t="shared" si="49"/>
        <v>0</v>
      </c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1" t="s">
        <v>141</v>
      </c>
    </row>
    <row r="275" spans="1:35" x14ac:dyDescent="0.3"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>
        <f t="shared" si="49"/>
        <v>0</v>
      </c>
      <c r="R275" s="93">
        <f t="shared" si="49"/>
        <v>0</v>
      </c>
      <c r="S275" s="93">
        <f t="shared" si="49"/>
        <v>0</v>
      </c>
      <c r="T275" s="93">
        <f t="shared" si="49"/>
        <v>0</v>
      </c>
      <c r="U275" s="93">
        <f t="shared" si="49"/>
        <v>0</v>
      </c>
      <c r="V275" s="93">
        <f t="shared" si="49"/>
        <v>0</v>
      </c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1" t="s">
        <v>142</v>
      </c>
    </row>
    <row r="276" spans="1:35" x14ac:dyDescent="0.3"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>
        <f t="shared" si="49"/>
        <v>0</v>
      </c>
      <c r="R276" s="93">
        <f t="shared" si="49"/>
        <v>0</v>
      </c>
      <c r="S276" s="93">
        <f t="shared" si="49"/>
        <v>0</v>
      </c>
      <c r="T276" s="93">
        <f t="shared" si="49"/>
        <v>0</v>
      </c>
      <c r="U276" s="93">
        <f t="shared" si="49"/>
        <v>0</v>
      </c>
      <c r="V276" s="93">
        <f t="shared" si="49"/>
        <v>0</v>
      </c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1" t="s">
        <v>143</v>
      </c>
    </row>
    <row r="277" spans="1:35" x14ac:dyDescent="0.3"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>
        <f t="shared" si="49"/>
        <v>0</v>
      </c>
      <c r="R277" s="93">
        <f t="shared" si="49"/>
        <v>0</v>
      </c>
      <c r="S277" s="93">
        <f t="shared" si="49"/>
        <v>0</v>
      </c>
      <c r="T277" s="93">
        <f t="shared" si="49"/>
        <v>0</v>
      </c>
      <c r="U277" s="93">
        <f t="shared" si="49"/>
        <v>0</v>
      </c>
      <c r="V277" s="93">
        <f t="shared" si="49"/>
        <v>0</v>
      </c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1" t="s">
        <v>144</v>
      </c>
    </row>
    <row r="278" spans="1:35" x14ac:dyDescent="0.3"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>
        <f t="shared" si="49"/>
        <v>0</v>
      </c>
      <c r="R278" s="93">
        <f t="shared" si="49"/>
        <v>0</v>
      </c>
      <c r="S278" s="93">
        <f t="shared" si="49"/>
        <v>0</v>
      </c>
      <c r="T278" s="93">
        <f t="shared" si="49"/>
        <v>0</v>
      </c>
      <c r="U278" s="93">
        <f t="shared" si="49"/>
        <v>0</v>
      </c>
      <c r="V278" s="93">
        <f t="shared" si="49"/>
        <v>0</v>
      </c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1" t="s">
        <v>145</v>
      </c>
    </row>
    <row r="279" spans="1:35" x14ac:dyDescent="0.3"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1" t="s">
        <v>146</v>
      </c>
    </row>
    <row r="280" spans="1:35" x14ac:dyDescent="0.3"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1" t="s">
        <v>147</v>
      </c>
    </row>
    <row r="281" spans="1:35" x14ac:dyDescent="0.3"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1" t="s">
        <v>148</v>
      </c>
    </row>
    <row r="282" spans="1:35" x14ac:dyDescent="0.3"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1" t="s">
        <v>149</v>
      </c>
    </row>
    <row r="283" spans="1:35" x14ac:dyDescent="0.3"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1" t="s">
        <v>150</v>
      </c>
    </row>
    <row r="284" spans="1:35" x14ac:dyDescent="0.3"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1" t="s">
        <v>151</v>
      </c>
    </row>
    <row r="285" spans="1:35" x14ac:dyDescent="0.3"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1" t="s">
        <v>152</v>
      </c>
    </row>
    <row r="286" spans="1:35" x14ac:dyDescent="0.3"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1" t="s">
        <v>153</v>
      </c>
    </row>
    <row r="287" spans="1:35" x14ac:dyDescent="0.3"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1" t="s">
        <v>154</v>
      </c>
    </row>
    <row r="288" spans="1:35" x14ac:dyDescent="0.3"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1" t="s">
        <v>155</v>
      </c>
    </row>
    <row r="289" spans="1:35" x14ac:dyDescent="0.3"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1" t="s">
        <v>156</v>
      </c>
    </row>
    <row r="290" spans="1:35" x14ac:dyDescent="0.3"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1" t="s">
        <v>157</v>
      </c>
    </row>
    <row r="292" spans="1:35" x14ac:dyDescent="0.3">
      <c r="B292" s="91" t="str">
        <f t="shared" ref="B292:G292" si="50">IF(C28="","", CONCATENATE("U",C28,C$21))</f>
        <v/>
      </c>
      <c r="C292" s="91" t="str">
        <f t="shared" si="50"/>
        <v/>
      </c>
      <c r="D292" s="91" t="str">
        <f t="shared" si="50"/>
        <v/>
      </c>
      <c r="E292" s="91" t="str">
        <f t="shared" si="50"/>
        <v/>
      </c>
      <c r="F292" s="91" t="str">
        <f t="shared" si="50"/>
        <v/>
      </c>
      <c r="G292" s="91" t="str">
        <f t="shared" si="50"/>
        <v/>
      </c>
    </row>
    <row r="293" spans="1:35" x14ac:dyDescent="0.3">
      <c r="B293" s="92">
        <f>IF(I15="", 0, O15*J15*J15+P15*K15*K15)</f>
        <v>0</v>
      </c>
      <c r="C293" s="93">
        <f>IF(I15="", 0, (O15-P15)*(J15*K15))</f>
        <v>0</v>
      </c>
      <c r="D293" s="93">
        <f>IF(I15="", 0, -Q15*K15)</f>
        <v>0</v>
      </c>
      <c r="E293" s="93">
        <f t="shared" ref="E293:F295" si="51">-B293</f>
        <v>0</v>
      </c>
      <c r="F293" s="93">
        <f t="shared" si="51"/>
        <v>0</v>
      </c>
      <c r="G293" s="93">
        <f>D293</f>
        <v>0</v>
      </c>
      <c r="H293" s="91" t="str">
        <f>B292</f>
        <v/>
      </c>
    </row>
    <row r="294" spans="1:35" x14ac:dyDescent="0.3">
      <c r="B294" s="93">
        <f>C293</f>
        <v>0</v>
      </c>
      <c r="C294" s="92">
        <f>IF(I15="", 0, O15*K15*K15+P15*J15*J15)</f>
        <v>0</v>
      </c>
      <c r="D294" s="93">
        <f>IF(I15="", 0, Q15*J15)</f>
        <v>0</v>
      </c>
      <c r="E294" s="93">
        <f t="shared" si="51"/>
        <v>0</v>
      </c>
      <c r="F294" s="93">
        <f t="shared" si="51"/>
        <v>0</v>
      </c>
      <c r="G294" s="93">
        <f>D294</f>
        <v>0</v>
      </c>
      <c r="H294" s="91" t="str">
        <f>C292</f>
        <v/>
      </c>
    </row>
    <row r="295" spans="1:35" x14ac:dyDescent="0.3">
      <c r="A295" s="94" t="s">
        <v>261</v>
      </c>
      <c r="B295" s="93">
        <f>D293</f>
        <v>0</v>
      </c>
      <c r="C295" s="93">
        <f>D294</f>
        <v>0</v>
      </c>
      <c r="D295" s="92">
        <f>IF(I15="", 0, R15)</f>
        <v>0</v>
      </c>
      <c r="E295" s="93">
        <f t="shared" si="51"/>
        <v>0</v>
      </c>
      <c r="F295" s="93">
        <f t="shared" si="51"/>
        <v>0</v>
      </c>
      <c r="G295" s="93">
        <f>IF(I15="", 0, S15)</f>
        <v>0</v>
      </c>
      <c r="H295" s="91" t="str">
        <f>D292</f>
        <v/>
      </c>
    </row>
    <row r="296" spans="1:35" x14ac:dyDescent="0.3">
      <c r="B296" s="93">
        <f>E293</f>
        <v>0</v>
      </c>
      <c r="C296" s="93">
        <f>E294</f>
        <v>0</v>
      </c>
      <c r="D296" s="93">
        <f>E295</f>
        <v>0</v>
      </c>
      <c r="E296" s="92">
        <f>B293</f>
        <v>0</v>
      </c>
      <c r="F296" s="93">
        <f>C293</f>
        <v>0</v>
      </c>
      <c r="G296" s="93">
        <f>-D293</f>
        <v>0</v>
      </c>
      <c r="H296" s="91" t="str">
        <f>E292</f>
        <v/>
      </c>
    </row>
    <row r="297" spans="1:35" x14ac:dyDescent="0.3">
      <c r="B297" s="93">
        <f>F293</f>
        <v>0</v>
      </c>
      <c r="C297" s="93">
        <f>F294</f>
        <v>0</v>
      </c>
      <c r="D297" s="93">
        <f>F295</f>
        <v>0</v>
      </c>
      <c r="E297" s="93">
        <f>F296</f>
        <v>0</v>
      </c>
      <c r="F297" s="92">
        <f>C294</f>
        <v>0</v>
      </c>
      <c r="G297" s="93">
        <f>-D294</f>
        <v>0</v>
      </c>
      <c r="H297" s="91" t="str">
        <f>F292</f>
        <v/>
      </c>
    </row>
    <row r="298" spans="1:35" x14ac:dyDescent="0.3">
      <c r="B298" s="93">
        <f>G293</f>
        <v>0</v>
      </c>
      <c r="C298" s="93">
        <f>G294</f>
        <v>0</v>
      </c>
      <c r="D298" s="93">
        <f>G295</f>
        <v>0</v>
      </c>
      <c r="E298" s="93">
        <f>G296</f>
        <v>0</v>
      </c>
      <c r="F298" s="93">
        <f>G297</f>
        <v>0</v>
      </c>
      <c r="G298" s="92">
        <f>D295</f>
        <v>0</v>
      </c>
      <c r="H298" s="91" t="str">
        <f>G292</f>
        <v/>
      </c>
    </row>
    <row r="300" spans="1:35" x14ac:dyDescent="0.3">
      <c r="B300" s="91" t="s">
        <v>125</v>
      </c>
      <c r="C300" s="91" t="s">
        <v>126</v>
      </c>
      <c r="D300" s="91" t="s">
        <v>127</v>
      </c>
      <c r="E300" s="91" t="s">
        <v>128</v>
      </c>
      <c r="F300" s="91" t="s">
        <v>129</v>
      </c>
      <c r="G300" s="91" t="s">
        <v>130</v>
      </c>
      <c r="H300" s="91" t="s">
        <v>131</v>
      </c>
      <c r="I300" s="91" t="s">
        <v>132</v>
      </c>
      <c r="J300" s="91" t="s">
        <v>133</v>
      </c>
      <c r="K300" s="91" t="s">
        <v>134</v>
      </c>
      <c r="L300" s="91" t="s">
        <v>135</v>
      </c>
      <c r="M300" s="91" t="s">
        <v>136</v>
      </c>
      <c r="N300" s="91" t="s">
        <v>137</v>
      </c>
      <c r="O300" s="91" t="s">
        <v>138</v>
      </c>
      <c r="P300" s="91" t="s">
        <v>139</v>
      </c>
      <c r="Q300" s="91" t="s">
        <v>140</v>
      </c>
      <c r="R300" s="91" t="s">
        <v>141</v>
      </c>
      <c r="S300" s="91" t="s">
        <v>142</v>
      </c>
      <c r="T300" s="91" t="s">
        <v>143</v>
      </c>
      <c r="U300" s="91" t="s">
        <v>144</v>
      </c>
      <c r="V300" s="91" t="s">
        <v>145</v>
      </c>
      <c r="W300" s="91" t="s">
        <v>146</v>
      </c>
      <c r="X300" s="91" t="s">
        <v>147</v>
      </c>
      <c r="Y300" s="91" t="s">
        <v>148</v>
      </c>
      <c r="Z300" s="91" t="s">
        <v>149</v>
      </c>
      <c r="AA300" s="91" t="s">
        <v>150</v>
      </c>
      <c r="AB300" s="91" t="s">
        <v>151</v>
      </c>
      <c r="AC300" s="91" t="s">
        <v>152</v>
      </c>
      <c r="AD300" s="91" t="s">
        <v>153</v>
      </c>
      <c r="AE300" s="91" t="s">
        <v>154</v>
      </c>
      <c r="AF300" s="91" t="s">
        <v>155</v>
      </c>
      <c r="AG300" s="91" t="s">
        <v>156</v>
      </c>
      <c r="AH300" s="91" t="s">
        <v>157</v>
      </c>
    </row>
    <row r="301" spans="1:35" x14ac:dyDescent="0.3"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1" t="s">
        <v>125</v>
      </c>
    </row>
    <row r="302" spans="1:35" x14ac:dyDescent="0.3"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1" t="s">
        <v>126</v>
      </c>
    </row>
    <row r="303" spans="1:35" x14ac:dyDescent="0.3"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1" t="s">
        <v>127</v>
      </c>
    </row>
    <row r="304" spans="1:35" x14ac:dyDescent="0.3"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1" t="s">
        <v>128</v>
      </c>
    </row>
    <row r="305" spans="1:35" x14ac:dyDescent="0.3"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1" t="s">
        <v>129</v>
      </c>
    </row>
    <row r="306" spans="1:35" x14ac:dyDescent="0.3"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1" t="s">
        <v>130</v>
      </c>
    </row>
    <row r="307" spans="1:35" x14ac:dyDescent="0.3"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1" t="s">
        <v>131</v>
      </c>
    </row>
    <row r="308" spans="1:35" x14ac:dyDescent="0.3"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1" t="s">
        <v>132</v>
      </c>
    </row>
    <row r="309" spans="1:35" x14ac:dyDescent="0.3"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1" t="s">
        <v>133</v>
      </c>
    </row>
    <row r="310" spans="1:35" x14ac:dyDescent="0.3"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1" t="s">
        <v>134</v>
      </c>
    </row>
    <row r="311" spans="1:35" x14ac:dyDescent="0.3"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1" t="s">
        <v>135</v>
      </c>
    </row>
    <row r="312" spans="1:35" x14ac:dyDescent="0.3"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1" t="s">
        <v>136</v>
      </c>
    </row>
    <row r="313" spans="1:35" x14ac:dyDescent="0.3"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1" t="s">
        <v>137</v>
      </c>
    </row>
    <row r="314" spans="1:35" x14ac:dyDescent="0.3"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1" t="s">
        <v>138</v>
      </c>
    </row>
    <row r="315" spans="1:35" x14ac:dyDescent="0.3"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1" t="s">
        <v>139</v>
      </c>
    </row>
    <row r="316" spans="1:35" x14ac:dyDescent="0.3">
      <c r="A316" s="94" t="s">
        <v>261</v>
      </c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1" t="s">
        <v>140</v>
      </c>
    </row>
    <row r="317" spans="1:35" x14ac:dyDescent="0.3"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1" t="s">
        <v>141</v>
      </c>
    </row>
    <row r="318" spans="1:35" x14ac:dyDescent="0.3"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1" t="s">
        <v>142</v>
      </c>
    </row>
    <row r="319" spans="1:35" x14ac:dyDescent="0.3"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>
        <f t="shared" ref="T319:Y324" si="52">B293</f>
        <v>0</v>
      </c>
      <c r="U319" s="93">
        <f t="shared" si="52"/>
        <v>0</v>
      </c>
      <c r="V319" s="93">
        <f t="shared" si="52"/>
        <v>0</v>
      </c>
      <c r="W319" s="93">
        <f t="shared" si="52"/>
        <v>0</v>
      </c>
      <c r="X319" s="93">
        <f t="shared" si="52"/>
        <v>0</v>
      </c>
      <c r="Y319" s="93">
        <f t="shared" si="52"/>
        <v>0</v>
      </c>
      <c r="Z319" s="93"/>
      <c r="AA319" s="93"/>
      <c r="AB319" s="93"/>
      <c r="AC319" s="93"/>
      <c r="AD319" s="93"/>
      <c r="AE319" s="93"/>
      <c r="AF319" s="93"/>
      <c r="AG319" s="93"/>
      <c r="AH319" s="93"/>
      <c r="AI319" s="91" t="s">
        <v>143</v>
      </c>
    </row>
    <row r="320" spans="1:35" x14ac:dyDescent="0.3"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>
        <f t="shared" si="52"/>
        <v>0</v>
      </c>
      <c r="U320" s="93">
        <f t="shared" si="52"/>
        <v>0</v>
      </c>
      <c r="V320" s="93">
        <f t="shared" si="52"/>
        <v>0</v>
      </c>
      <c r="W320" s="93">
        <f t="shared" si="52"/>
        <v>0</v>
      </c>
      <c r="X320" s="93">
        <f t="shared" si="52"/>
        <v>0</v>
      </c>
      <c r="Y320" s="93">
        <f t="shared" si="52"/>
        <v>0</v>
      </c>
      <c r="Z320" s="93"/>
      <c r="AA320" s="93"/>
      <c r="AB320" s="93"/>
      <c r="AC320" s="93"/>
      <c r="AD320" s="93"/>
      <c r="AE320" s="93"/>
      <c r="AF320" s="93"/>
      <c r="AG320" s="93"/>
      <c r="AH320" s="93"/>
      <c r="AI320" s="91" t="s">
        <v>144</v>
      </c>
    </row>
    <row r="321" spans="2:35" x14ac:dyDescent="0.3"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>
        <f t="shared" si="52"/>
        <v>0</v>
      </c>
      <c r="U321" s="93">
        <f t="shared" si="52"/>
        <v>0</v>
      </c>
      <c r="V321" s="93">
        <f t="shared" si="52"/>
        <v>0</v>
      </c>
      <c r="W321" s="93">
        <f t="shared" si="52"/>
        <v>0</v>
      </c>
      <c r="X321" s="93">
        <f t="shared" si="52"/>
        <v>0</v>
      </c>
      <c r="Y321" s="93">
        <f t="shared" si="52"/>
        <v>0</v>
      </c>
      <c r="Z321" s="93"/>
      <c r="AA321" s="93"/>
      <c r="AB321" s="93"/>
      <c r="AC321" s="93"/>
      <c r="AD321" s="93"/>
      <c r="AE321" s="93"/>
      <c r="AF321" s="93"/>
      <c r="AG321" s="93"/>
      <c r="AH321" s="93"/>
      <c r="AI321" s="91" t="s">
        <v>145</v>
      </c>
    </row>
    <row r="322" spans="2:35" x14ac:dyDescent="0.3"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>
        <f t="shared" si="52"/>
        <v>0</v>
      </c>
      <c r="U322" s="93">
        <f t="shared" si="52"/>
        <v>0</v>
      </c>
      <c r="V322" s="93">
        <f t="shared" si="52"/>
        <v>0</v>
      </c>
      <c r="W322" s="93">
        <f t="shared" si="52"/>
        <v>0</v>
      </c>
      <c r="X322" s="93">
        <f t="shared" si="52"/>
        <v>0</v>
      </c>
      <c r="Y322" s="93">
        <f t="shared" si="52"/>
        <v>0</v>
      </c>
      <c r="Z322" s="93"/>
      <c r="AA322" s="93"/>
      <c r="AB322" s="93"/>
      <c r="AC322" s="93"/>
      <c r="AD322" s="93"/>
      <c r="AE322" s="93"/>
      <c r="AF322" s="93"/>
      <c r="AG322" s="93"/>
      <c r="AH322" s="93"/>
      <c r="AI322" s="91" t="s">
        <v>146</v>
      </c>
    </row>
    <row r="323" spans="2:35" x14ac:dyDescent="0.3"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>
        <f t="shared" si="52"/>
        <v>0</v>
      </c>
      <c r="U323" s="93">
        <f t="shared" si="52"/>
        <v>0</v>
      </c>
      <c r="V323" s="93">
        <f t="shared" si="52"/>
        <v>0</v>
      </c>
      <c r="W323" s="93">
        <f t="shared" si="52"/>
        <v>0</v>
      </c>
      <c r="X323" s="93">
        <f t="shared" si="52"/>
        <v>0</v>
      </c>
      <c r="Y323" s="93">
        <f t="shared" si="52"/>
        <v>0</v>
      </c>
      <c r="Z323" s="93"/>
      <c r="AA323" s="93"/>
      <c r="AB323" s="93"/>
      <c r="AC323" s="93"/>
      <c r="AD323" s="93"/>
      <c r="AE323" s="93"/>
      <c r="AF323" s="93"/>
      <c r="AG323" s="93"/>
      <c r="AH323" s="93"/>
      <c r="AI323" s="91" t="s">
        <v>147</v>
      </c>
    </row>
    <row r="324" spans="2:35" x14ac:dyDescent="0.3"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>
        <f t="shared" si="52"/>
        <v>0</v>
      </c>
      <c r="U324" s="93">
        <f t="shared" si="52"/>
        <v>0</v>
      </c>
      <c r="V324" s="93">
        <f t="shared" si="52"/>
        <v>0</v>
      </c>
      <c r="W324" s="93">
        <f t="shared" si="52"/>
        <v>0</v>
      </c>
      <c r="X324" s="93">
        <f t="shared" si="52"/>
        <v>0</v>
      </c>
      <c r="Y324" s="93">
        <f t="shared" si="52"/>
        <v>0</v>
      </c>
      <c r="Z324" s="93"/>
      <c r="AA324" s="93"/>
      <c r="AB324" s="93"/>
      <c r="AC324" s="93"/>
      <c r="AD324" s="93"/>
      <c r="AE324" s="93"/>
      <c r="AF324" s="93"/>
      <c r="AG324" s="93"/>
      <c r="AH324" s="93"/>
      <c r="AI324" s="91" t="s">
        <v>148</v>
      </c>
    </row>
    <row r="325" spans="2:35" x14ac:dyDescent="0.3"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1" t="s">
        <v>149</v>
      </c>
    </row>
    <row r="326" spans="2:35" x14ac:dyDescent="0.3"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1" t="s">
        <v>150</v>
      </c>
    </row>
    <row r="327" spans="2:35" x14ac:dyDescent="0.3"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1" t="s">
        <v>151</v>
      </c>
    </row>
    <row r="328" spans="2:35" x14ac:dyDescent="0.3"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1" t="s">
        <v>152</v>
      </c>
    </row>
    <row r="329" spans="2:35" x14ac:dyDescent="0.3"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1" t="s">
        <v>153</v>
      </c>
    </row>
    <row r="330" spans="2:35" x14ac:dyDescent="0.3"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1" t="s">
        <v>154</v>
      </c>
    </row>
    <row r="331" spans="2:35" x14ac:dyDescent="0.3"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1" t="s">
        <v>155</v>
      </c>
    </row>
    <row r="332" spans="2:35" x14ac:dyDescent="0.3"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1" t="s">
        <v>156</v>
      </c>
    </row>
    <row r="333" spans="2:35" x14ac:dyDescent="0.3"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1" t="s">
        <v>157</v>
      </c>
    </row>
    <row r="335" spans="2:35" x14ac:dyDescent="0.3">
      <c r="B335" s="91" t="str">
        <f t="shared" ref="B335:G335" si="53">IF(C29="","", CONCATENATE("U",C29,C$21))</f>
        <v/>
      </c>
      <c r="C335" s="91" t="str">
        <f t="shared" si="53"/>
        <v/>
      </c>
      <c r="D335" s="91" t="str">
        <f t="shared" si="53"/>
        <v/>
      </c>
      <c r="E335" s="91" t="str">
        <f t="shared" si="53"/>
        <v/>
      </c>
      <c r="F335" s="91" t="str">
        <f t="shared" si="53"/>
        <v/>
      </c>
      <c r="G335" s="91" t="str">
        <f t="shared" si="53"/>
        <v/>
      </c>
    </row>
    <row r="336" spans="2:35" x14ac:dyDescent="0.3">
      <c r="B336" s="92">
        <f>IF(I16="", 0, O16*J16*J16+P16*K16*K16)</f>
        <v>0</v>
      </c>
      <c r="C336" s="93">
        <f>IF(I16="", 0, (O16-P16)*(J16*K16))</f>
        <v>0</v>
      </c>
      <c r="D336" s="93">
        <f>IF(I16="", 0, -Q16*K16)</f>
        <v>0</v>
      </c>
      <c r="E336" s="93">
        <f t="shared" ref="E336:F338" si="54">-B336</f>
        <v>0</v>
      </c>
      <c r="F336" s="93">
        <f t="shared" si="54"/>
        <v>0</v>
      </c>
      <c r="G336" s="93">
        <f>D336</f>
        <v>0</v>
      </c>
      <c r="H336" s="91" t="str">
        <f>B335</f>
        <v/>
      </c>
    </row>
    <row r="337" spans="1:35" x14ac:dyDescent="0.3">
      <c r="B337" s="93">
        <f>C336</f>
        <v>0</v>
      </c>
      <c r="C337" s="92">
        <f>IF(I16="", 0, O16*K16*K16+P16*J16*J16)</f>
        <v>0</v>
      </c>
      <c r="D337" s="93">
        <f>IF(I16="", 0, Q16*J16)</f>
        <v>0</v>
      </c>
      <c r="E337" s="93">
        <f t="shared" si="54"/>
        <v>0</v>
      </c>
      <c r="F337" s="93">
        <f t="shared" si="54"/>
        <v>0</v>
      </c>
      <c r="G337" s="93">
        <f>D337</f>
        <v>0</v>
      </c>
      <c r="H337" s="91" t="str">
        <f>C335</f>
        <v/>
      </c>
    </row>
    <row r="338" spans="1:35" x14ac:dyDescent="0.3">
      <c r="A338" s="94" t="s">
        <v>262</v>
      </c>
      <c r="B338" s="93">
        <f>D336</f>
        <v>0</v>
      </c>
      <c r="C338" s="93">
        <f>D337</f>
        <v>0</v>
      </c>
      <c r="D338" s="92">
        <f>IF(I16="", 0, R16)</f>
        <v>0</v>
      </c>
      <c r="E338" s="93">
        <f t="shared" si="54"/>
        <v>0</v>
      </c>
      <c r="F338" s="93">
        <f t="shared" si="54"/>
        <v>0</v>
      </c>
      <c r="G338" s="93">
        <f>IF(I16="", 0, S16)</f>
        <v>0</v>
      </c>
      <c r="H338" s="91" t="str">
        <f>D335</f>
        <v/>
      </c>
    </row>
    <row r="339" spans="1:35" x14ac:dyDescent="0.3">
      <c r="B339" s="93">
        <f>E336</f>
        <v>0</v>
      </c>
      <c r="C339" s="93">
        <f>E337</f>
        <v>0</v>
      </c>
      <c r="D339" s="93">
        <f>E338</f>
        <v>0</v>
      </c>
      <c r="E339" s="92">
        <f>B336</f>
        <v>0</v>
      </c>
      <c r="F339" s="93">
        <f>C336</f>
        <v>0</v>
      </c>
      <c r="G339" s="93">
        <f>-D336</f>
        <v>0</v>
      </c>
      <c r="H339" s="91" t="str">
        <f>E335</f>
        <v/>
      </c>
    </row>
    <row r="340" spans="1:35" x14ac:dyDescent="0.3">
      <c r="B340" s="93">
        <f>F336</f>
        <v>0</v>
      </c>
      <c r="C340" s="93">
        <f>F337</f>
        <v>0</v>
      </c>
      <c r="D340" s="93">
        <f>F338</f>
        <v>0</v>
      </c>
      <c r="E340" s="93">
        <f>F339</f>
        <v>0</v>
      </c>
      <c r="F340" s="92">
        <f>C337</f>
        <v>0</v>
      </c>
      <c r="G340" s="93">
        <f>-D337</f>
        <v>0</v>
      </c>
      <c r="H340" s="91" t="str">
        <f>F335</f>
        <v/>
      </c>
    </row>
    <row r="341" spans="1:35" x14ac:dyDescent="0.3">
      <c r="B341" s="93">
        <f>G336</f>
        <v>0</v>
      </c>
      <c r="C341" s="93">
        <f>G337</f>
        <v>0</v>
      </c>
      <c r="D341" s="93">
        <f>G338</f>
        <v>0</v>
      </c>
      <c r="E341" s="93">
        <f>G339</f>
        <v>0</v>
      </c>
      <c r="F341" s="93">
        <f>G340</f>
        <v>0</v>
      </c>
      <c r="G341" s="92">
        <f>D338</f>
        <v>0</v>
      </c>
      <c r="H341" s="91" t="str">
        <f>G335</f>
        <v/>
      </c>
    </row>
    <row r="343" spans="1:35" x14ac:dyDescent="0.3">
      <c r="B343" s="91" t="s">
        <v>125</v>
      </c>
      <c r="C343" s="91" t="s">
        <v>126</v>
      </c>
      <c r="D343" s="91" t="s">
        <v>127</v>
      </c>
      <c r="E343" s="91" t="s">
        <v>128</v>
      </c>
      <c r="F343" s="91" t="s">
        <v>129</v>
      </c>
      <c r="G343" s="91" t="s">
        <v>130</v>
      </c>
      <c r="H343" s="91" t="s">
        <v>131</v>
      </c>
      <c r="I343" s="91" t="s">
        <v>132</v>
      </c>
      <c r="J343" s="91" t="s">
        <v>133</v>
      </c>
      <c r="K343" s="91" t="s">
        <v>134</v>
      </c>
      <c r="L343" s="91" t="s">
        <v>135</v>
      </c>
      <c r="M343" s="91" t="s">
        <v>136</v>
      </c>
      <c r="N343" s="91" t="s">
        <v>137</v>
      </c>
      <c r="O343" s="91" t="s">
        <v>138</v>
      </c>
      <c r="P343" s="91" t="s">
        <v>139</v>
      </c>
      <c r="Q343" s="91" t="s">
        <v>140</v>
      </c>
      <c r="R343" s="91" t="s">
        <v>141</v>
      </c>
      <c r="S343" s="91" t="s">
        <v>142</v>
      </c>
      <c r="T343" s="91" t="s">
        <v>143</v>
      </c>
      <c r="U343" s="91" t="s">
        <v>144</v>
      </c>
      <c r="V343" s="91" t="s">
        <v>145</v>
      </c>
      <c r="W343" s="91" t="s">
        <v>146</v>
      </c>
      <c r="X343" s="91" t="s">
        <v>147</v>
      </c>
      <c r="Y343" s="91" t="s">
        <v>148</v>
      </c>
      <c r="Z343" s="91" t="s">
        <v>149</v>
      </c>
      <c r="AA343" s="91" t="s">
        <v>150</v>
      </c>
      <c r="AB343" s="91" t="s">
        <v>151</v>
      </c>
      <c r="AC343" s="91" t="s">
        <v>152</v>
      </c>
      <c r="AD343" s="91" t="s">
        <v>153</v>
      </c>
      <c r="AE343" s="91" t="s">
        <v>154</v>
      </c>
      <c r="AF343" s="91" t="s">
        <v>155</v>
      </c>
      <c r="AG343" s="91" t="s">
        <v>156</v>
      </c>
      <c r="AH343" s="91" t="s">
        <v>157</v>
      </c>
    </row>
    <row r="344" spans="1:35" x14ac:dyDescent="0.3"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1" t="s">
        <v>125</v>
      </c>
    </row>
    <row r="345" spans="1:35" x14ac:dyDescent="0.3"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1" t="s">
        <v>126</v>
      </c>
    </row>
    <row r="346" spans="1:35" x14ac:dyDescent="0.3"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1" t="s">
        <v>127</v>
      </c>
    </row>
    <row r="347" spans="1:35" x14ac:dyDescent="0.3"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1" t="s">
        <v>128</v>
      </c>
    </row>
    <row r="348" spans="1:35" x14ac:dyDescent="0.3"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1" t="s">
        <v>129</v>
      </c>
    </row>
    <row r="349" spans="1:35" x14ac:dyDescent="0.3"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1" t="s">
        <v>130</v>
      </c>
    </row>
    <row r="350" spans="1:35" x14ac:dyDescent="0.3"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1" t="s">
        <v>131</v>
      </c>
    </row>
    <row r="351" spans="1:35" x14ac:dyDescent="0.3"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1" t="s">
        <v>132</v>
      </c>
    </row>
    <row r="352" spans="1:35" x14ac:dyDescent="0.3"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1" t="s">
        <v>133</v>
      </c>
    </row>
    <row r="353" spans="1:35" x14ac:dyDescent="0.3"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1" t="s">
        <v>134</v>
      </c>
    </row>
    <row r="354" spans="1:35" x14ac:dyDescent="0.3"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1" t="s">
        <v>135</v>
      </c>
    </row>
    <row r="355" spans="1:35" x14ac:dyDescent="0.3"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1" t="s">
        <v>136</v>
      </c>
    </row>
    <row r="356" spans="1:35" x14ac:dyDescent="0.3"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1" t="s">
        <v>137</v>
      </c>
    </row>
    <row r="357" spans="1:35" x14ac:dyDescent="0.3"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1" t="s">
        <v>138</v>
      </c>
    </row>
    <row r="358" spans="1:35" x14ac:dyDescent="0.3"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1" t="s">
        <v>139</v>
      </c>
    </row>
    <row r="359" spans="1:35" x14ac:dyDescent="0.3">
      <c r="A359" s="94" t="s">
        <v>262</v>
      </c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1" t="s">
        <v>140</v>
      </c>
    </row>
    <row r="360" spans="1:35" x14ac:dyDescent="0.3"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1" t="s">
        <v>141</v>
      </c>
    </row>
    <row r="361" spans="1:35" x14ac:dyDescent="0.3"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1" t="s">
        <v>142</v>
      </c>
    </row>
    <row r="362" spans="1:35" x14ac:dyDescent="0.3"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1" t="s">
        <v>143</v>
      </c>
    </row>
    <row r="363" spans="1:35" x14ac:dyDescent="0.3"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1" t="s">
        <v>144</v>
      </c>
    </row>
    <row r="364" spans="1:35" x14ac:dyDescent="0.3"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1" t="s">
        <v>145</v>
      </c>
    </row>
    <row r="365" spans="1:35" x14ac:dyDescent="0.3"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>
        <f t="shared" ref="W365:AB370" si="55">B336</f>
        <v>0</v>
      </c>
      <c r="X365" s="93">
        <f t="shared" si="55"/>
        <v>0</v>
      </c>
      <c r="Y365" s="93">
        <f t="shared" si="55"/>
        <v>0</v>
      </c>
      <c r="Z365" s="93">
        <f t="shared" si="55"/>
        <v>0</v>
      </c>
      <c r="AA365" s="93">
        <f t="shared" si="55"/>
        <v>0</v>
      </c>
      <c r="AB365" s="93">
        <f t="shared" si="55"/>
        <v>0</v>
      </c>
      <c r="AC365" s="93"/>
      <c r="AD365" s="93"/>
      <c r="AE365" s="93"/>
      <c r="AF365" s="93"/>
      <c r="AG365" s="93"/>
      <c r="AH365" s="93"/>
      <c r="AI365" s="91" t="s">
        <v>146</v>
      </c>
    </row>
    <row r="366" spans="1:35" x14ac:dyDescent="0.3"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>
        <f t="shared" si="55"/>
        <v>0</v>
      </c>
      <c r="X366" s="93">
        <f t="shared" si="55"/>
        <v>0</v>
      </c>
      <c r="Y366" s="93">
        <f t="shared" si="55"/>
        <v>0</v>
      </c>
      <c r="Z366" s="93">
        <f t="shared" si="55"/>
        <v>0</v>
      </c>
      <c r="AA366" s="93">
        <f t="shared" si="55"/>
        <v>0</v>
      </c>
      <c r="AB366" s="93">
        <f t="shared" si="55"/>
        <v>0</v>
      </c>
      <c r="AC366" s="93"/>
      <c r="AD366" s="93"/>
      <c r="AE366" s="93"/>
      <c r="AF366" s="93"/>
      <c r="AG366" s="93"/>
      <c r="AH366" s="93"/>
      <c r="AI366" s="91" t="s">
        <v>147</v>
      </c>
    </row>
    <row r="367" spans="1:35" x14ac:dyDescent="0.3"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>
        <f t="shared" si="55"/>
        <v>0</v>
      </c>
      <c r="X367" s="93">
        <f t="shared" si="55"/>
        <v>0</v>
      </c>
      <c r="Y367" s="93">
        <f t="shared" si="55"/>
        <v>0</v>
      </c>
      <c r="Z367" s="93">
        <f t="shared" si="55"/>
        <v>0</v>
      </c>
      <c r="AA367" s="93">
        <f t="shared" si="55"/>
        <v>0</v>
      </c>
      <c r="AB367" s="93">
        <f t="shared" si="55"/>
        <v>0</v>
      </c>
      <c r="AC367" s="93"/>
      <c r="AD367" s="93"/>
      <c r="AE367" s="93"/>
      <c r="AF367" s="93"/>
      <c r="AG367" s="93"/>
      <c r="AH367" s="93"/>
      <c r="AI367" s="91" t="s">
        <v>148</v>
      </c>
    </row>
    <row r="368" spans="1:35" x14ac:dyDescent="0.3"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>
        <f t="shared" si="55"/>
        <v>0</v>
      </c>
      <c r="X368" s="93">
        <f t="shared" si="55"/>
        <v>0</v>
      </c>
      <c r="Y368" s="93">
        <f t="shared" si="55"/>
        <v>0</v>
      </c>
      <c r="Z368" s="93">
        <f t="shared" si="55"/>
        <v>0</v>
      </c>
      <c r="AA368" s="93">
        <f t="shared" si="55"/>
        <v>0</v>
      </c>
      <c r="AB368" s="93">
        <f t="shared" si="55"/>
        <v>0</v>
      </c>
      <c r="AC368" s="93"/>
      <c r="AD368" s="93"/>
      <c r="AE368" s="93"/>
      <c r="AF368" s="93"/>
      <c r="AG368" s="93"/>
      <c r="AH368" s="93"/>
      <c r="AI368" s="91" t="s">
        <v>149</v>
      </c>
    </row>
    <row r="369" spans="1:35" x14ac:dyDescent="0.3"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>
        <f t="shared" si="55"/>
        <v>0</v>
      </c>
      <c r="X369" s="93">
        <f t="shared" si="55"/>
        <v>0</v>
      </c>
      <c r="Y369" s="93">
        <f t="shared" si="55"/>
        <v>0</v>
      </c>
      <c r="Z369" s="93">
        <f t="shared" si="55"/>
        <v>0</v>
      </c>
      <c r="AA369" s="93">
        <f t="shared" si="55"/>
        <v>0</v>
      </c>
      <c r="AB369" s="93">
        <f t="shared" si="55"/>
        <v>0</v>
      </c>
      <c r="AC369" s="93"/>
      <c r="AD369" s="93"/>
      <c r="AE369" s="93"/>
      <c r="AF369" s="93"/>
      <c r="AG369" s="93"/>
      <c r="AH369" s="93"/>
      <c r="AI369" s="91" t="s">
        <v>150</v>
      </c>
    </row>
    <row r="370" spans="1:35" x14ac:dyDescent="0.3"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>
        <f t="shared" si="55"/>
        <v>0</v>
      </c>
      <c r="X370" s="93">
        <f t="shared" si="55"/>
        <v>0</v>
      </c>
      <c r="Y370" s="93">
        <f t="shared" si="55"/>
        <v>0</v>
      </c>
      <c r="Z370" s="93">
        <f t="shared" si="55"/>
        <v>0</v>
      </c>
      <c r="AA370" s="93">
        <f t="shared" si="55"/>
        <v>0</v>
      </c>
      <c r="AB370" s="93">
        <f t="shared" si="55"/>
        <v>0</v>
      </c>
      <c r="AC370" s="93"/>
      <c r="AD370" s="93"/>
      <c r="AE370" s="93"/>
      <c r="AF370" s="93"/>
      <c r="AG370" s="93"/>
      <c r="AH370" s="93"/>
      <c r="AI370" s="91" t="s">
        <v>151</v>
      </c>
    </row>
    <row r="371" spans="1:35" x14ac:dyDescent="0.3"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1" t="s">
        <v>152</v>
      </c>
    </row>
    <row r="372" spans="1:35" x14ac:dyDescent="0.3"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1" t="s">
        <v>153</v>
      </c>
    </row>
    <row r="373" spans="1:35" x14ac:dyDescent="0.3"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1" t="s">
        <v>154</v>
      </c>
    </row>
    <row r="374" spans="1:35" x14ac:dyDescent="0.3"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1" t="s">
        <v>155</v>
      </c>
    </row>
    <row r="375" spans="1:35" x14ac:dyDescent="0.3"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1" t="s">
        <v>156</v>
      </c>
    </row>
    <row r="376" spans="1:35" x14ac:dyDescent="0.3"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1" t="s">
        <v>157</v>
      </c>
    </row>
    <row r="378" spans="1:35" x14ac:dyDescent="0.3">
      <c r="B378" s="91" t="str">
        <f t="shared" ref="B378:G378" si="56">IF(C30="","", CONCATENATE("U",C30,C$21))</f>
        <v/>
      </c>
      <c r="C378" s="91" t="str">
        <f t="shared" si="56"/>
        <v/>
      </c>
      <c r="D378" s="91" t="str">
        <f t="shared" si="56"/>
        <v/>
      </c>
      <c r="E378" s="91" t="str">
        <f t="shared" si="56"/>
        <v/>
      </c>
      <c r="F378" s="91" t="str">
        <f t="shared" si="56"/>
        <v/>
      </c>
      <c r="G378" s="91" t="str">
        <f t="shared" si="56"/>
        <v/>
      </c>
    </row>
    <row r="379" spans="1:35" x14ac:dyDescent="0.3">
      <c r="B379" s="92">
        <f>IF(I17="", 0, O17*J17*J17+P17*K17*K17)</f>
        <v>0</v>
      </c>
      <c r="C379" s="93">
        <f>IF(I17="", 0, (O17-P17)*(J17*K17))</f>
        <v>0</v>
      </c>
      <c r="D379" s="93">
        <f>IF(I17="", 0, -Q17*K17)</f>
        <v>0</v>
      </c>
      <c r="E379" s="93">
        <f t="shared" ref="E379:F381" si="57">-B379</f>
        <v>0</v>
      </c>
      <c r="F379" s="93">
        <f t="shared" si="57"/>
        <v>0</v>
      </c>
      <c r="G379" s="93">
        <f>D379</f>
        <v>0</v>
      </c>
      <c r="H379" s="91" t="str">
        <f>B378</f>
        <v/>
      </c>
    </row>
    <row r="380" spans="1:35" x14ac:dyDescent="0.3">
      <c r="B380" s="93">
        <f>C379</f>
        <v>0</v>
      </c>
      <c r="C380" s="92">
        <f>IF(I17="", 0, O17*K17*K17+P17*J17*J17)</f>
        <v>0</v>
      </c>
      <c r="D380" s="93">
        <f>IF(I17="", 0, Q17*J17)</f>
        <v>0</v>
      </c>
      <c r="E380" s="93">
        <f t="shared" si="57"/>
        <v>0</v>
      </c>
      <c r="F380" s="93">
        <f t="shared" si="57"/>
        <v>0</v>
      </c>
      <c r="G380" s="93">
        <f>D380</f>
        <v>0</v>
      </c>
      <c r="H380" s="91" t="str">
        <f>C378</f>
        <v/>
      </c>
    </row>
    <row r="381" spans="1:35" x14ac:dyDescent="0.3">
      <c r="A381" s="94" t="s">
        <v>263</v>
      </c>
      <c r="B381" s="93">
        <f>D379</f>
        <v>0</v>
      </c>
      <c r="C381" s="93">
        <f>D380</f>
        <v>0</v>
      </c>
      <c r="D381" s="92">
        <f>IF(I17="", 0, R17)</f>
        <v>0</v>
      </c>
      <c r="E381" s="93">
        <f t="shared" si="57"/>
        <v>0</v>
      </c>
      <c r="F381" s="93">
        <f t="shared" si="57"/>
        <v>0</v>
      </c>
      <c r="G381" s="93">
        <f>IF(I17="", 0, S17)</f>
        <v>0</v>
      </c>
      <c r="H381" s="91" t="str">
        <f>D378</f>
        <v/>
      </c>
    </row>
    <row r="382" spans="1:35" x14ac:dyDescent="0.3">
      <c r="B382" s="93">
        <f>E379</f>
        <v>0</v>
      </c>
      <c r="C382" s="93">
        <f>E380</f>
        <v>0</v>
      </c>
      <c r="D382" s="93">
        <f>E381</f>
        <v>0</v>
      </c>
      <c r="E382" s="92">
        <f>B379</f>
        <v>0</v>
      </c>
      <c r="F382" s="93">
        <f>C379</f>
        <v>0</v>
      </c>
      <c r="G382" s="93">
        <f>-D379</f>
        <v>0</v>
      </c>
      <c r="H382" s="91" t="str">
        <f>E378</f>
        <v/>
      </c>
    </row>
    <row r="383" spans="1:35" x14ac:dyDescent="0.3">
      <c r="B383" s="93">
        <f>F379</f>
        <v>0</v>
      </c>
      <c r="C383" s="93">
        <f>F380</f>
        <v>0</v>
      </c>
      <c r="D383" s="93">
        <f>F381</f>
        <v>0</v>
      </c>
      <c r="E383" s="93">
        <f>F382</f>
        <v>0</v>
      </c>
      <c r="F383" s="92">
        <f>C380</f>
        <v>0</v>
      </c>
      <c r="G383" s="93">
        <f>-D380</f>
        <v>0</v>
      </c>
      <c r="H383" s="91" t="str">
        <f>F378</f>
        <v/>
      </c>
    </row>
    <row r="384" spans="1:35" x14ac:dyDescent="0.3">
      <c r="B384" s="93">
        <f>G379</f>
        <v>0</v>
      </c>
      <c r="C384" s="93">
        <f>G380</f>
        <v>0</v>
      </c>
      <c r="D384" s="93">
        <f>G381</f>
        <v>0</v>
      </c>
      <c r="E384" s="93">
        <f>G382</f>
        <v>0</v>
      </c>
      <c r="F384" s="93">
        <f>G383</f>
        <v>0</v>
      </c>
      <c r="G384" s="92">
        <f>D381</f>
        <v>0</v>
      </c>
      <c r="H384" s="91" t="str">
        <f>G378</f>
        <v/>
      </c>
    </row>
    <row r="386" spans="2:35" x14ac:dyDescent="0.3">
      <c r="B386" s="91" t="s">
        <v>125</v>
      </c>
      <c r="C386" s="91" t="s">
        <v>126</v>
      </c>
      <c r="D386" s="91" t="s">
        <v>127</v>
      </c>
      <c r="E386" s="91" t="s">
        <v>128</v>
      </c>
      <c r="F386" s="91" t="s">
        <v>129</v>
      </c>
      <c r="G386" s="91" t="s">
        <v>130</v>
      </c>
      <c r="H386" s="91" t="s">
        <v>131</v>
      </c>
      <c r="I386" s="91" t="s">
        <v>132</v>
      </c>
      <c r="J386" s="91" t="s">
        <v>133</v>
      </c>
      <c r="K386" s="91" t="s">
        <v>134</v>
      </c>
      <c r="L386" s="91" t="s">
        <v>135</v>
      </c>
      <c r="M386" s="91" t="s">
        <v>136</v>
      </c>
      <c r="N386" s="91" t="s">
        <v>137</v>
      </c>
      <c r="O386" s="91" t="s">
        <v>138</v>
      </c>
      <c r="P386" s="91" t="s">
        <v>139</v>
      </c>
      <c r="Q386" s="91" t="s">
        <v>140</v>
      </c>
      <c r="R386" s="91" t="s">
        <v>141</v>
      </c>
      <c r="S386" s="91" t="s">
        <v>142</v>
      </c>
      <c r="T386" s="91" t="s">
        <v>143</v>
      </c>
      <c r="U386" s="91" t="s">
        <v>144</v>
      </c>
      <c r="V386" s="91" t="s">
        <v>145</v>
      </c>
      <c r="W386" s="91" t="s">
        <v>146</v>
      </c>
      <c r="X386" s="91" t="s">
        <v>147</v>
      </c>
      <c r="Y386" s="91" t="s">
        <v>148</v>
      </c>
      <c r="Z386" s="91" t="s">
        <v>149</v>
      </c>
      <c r="AA386" s="91" t="s">
        <v>150</v>
      </c>
      <c r="AB386" s="91" t="s">
        <v>151</v>
      </c>
      <c r="AC386" s="91" t="s">
        <v>152</v>
      </c>
      <c r="AD386" s="91" t="s">
        <v>153</v>
      </c>
      <c r="AE386" s="91" t="s">
        <v>154</v>
      </c>
      <c r="AF386" s="91" t="s">
        <v>155</v>
      </c>
      <c r="AG386" s="91" t="s">
        <v>156</v>
      </c>
      <c r="AH386" s="91" t="s">
        <v>157</v>
      </c>
    </row>
    <row r="387" spans="2:35" x14ac:dyDescent="0.3"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1" t="s">
        <v>125</v>
      </c>
    </row>
    <row r="388" spans="2:35" x14ac:dyDescent="0.3"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1" t="s">
        <v>126</v>
      </c>
    </row>
    <row r="389" spans="2:35" x14ac:dyDescent="0.3"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1" t="s">
        <v>127</v>
      </c>
    </row>
    <row r="390" spans="2:35" x14ac:dyDescent="0.3"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1" t="s">
        <v>128</v>
      </c>
    </row>
    <row r="391" spans="2:35" x14ac:dyDescent="0.3"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1" t="s">
        <v>129</v>
      </c>
    </row>
    <row r="392" spans="2:35" x14ac:dyDescent="0.3"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1" t="s">
        <v>130</v>
      </c>
    </row>
    <row r="393" spans="2:35" x14ac:dyDescent="0.3"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1" t="s">
        <v>131</v>
      </c>
    </row>
    <row r="394" spans="2:35" x14ac:dyDescent="0.3"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1" t="s">
        <v>132</v>
      </c>
    </row>
    <row r="395" spans="2:35" x14ac:dyDescent="0.3"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1" t="s">
        <v>133</v>
      </c>
    </row>
    <row r="396" spans="2:35" x14ac:dyDescent="0.3"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1" t="s">
        <v>134</v>
      </c>
    </row>
    <row r="397" spans="2:35" x14ac:dyDescent="0.3"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1" t="s">
        <v>135</v>
      </c>
    </row>
    <row r="398" spans="2:35" x14ac:dyDescent="0.3"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1" t="s">
        <v>136</v>
      </c>
    </row>
    <row r="399" spans="2:35" x14ac:dyDescent="0.3"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1" t="s">
        <v>137</v>
      </c>
    </row>
    <row r="400" spans="2:35" x14ac:dyDescent="0.3"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1" t="s">
        <v>138</v>
      </c>
    </row>
    <row r="401" spans="1:35" x14ac:dyDescent="0.3"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1" t="s">
        <v>139</v>
      </c>
    </row>
    <row r="402" spans="1:35" x14ac:dyDescent="0.3">
      <c r="A402" s="94" t="s">
        <v>263</v>
      </c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1" t="s">
        <v>140</v>
      </c>
    </row>
    <row r="403" spans="1:35" x14ac:dyDescent="0.3"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1" t="s">
        <v>141</v>
      </c>
    </row>
    <row r="404" spans="1:35" x14ac:dyDescent="0.3"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1" t="s">
        <v>142</v>
      </c>
    </row>
    <row r="405" spans="1:35" x14ac:dyDescent="0.3"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1" t="s">
        <v>143</v>
      </c>
    </row>
    <row r="406" spans="1:35" x14ac:dyDescent="0.3"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1" t="s">
        <v>144</v>
      </c>
    </row>
    <row r="407" spans="1:35" x14ac:dyDescent="0.3"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1" t="s">
        <v>145</v>
      </c>
    </row>
    <row r="408" spans="1:35" x14ac:dyDescent="0.3"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1" t="s">
        <v>146</v>
      </c>
    </row>
    <row r="409" spans="1:35" x14ac:dyDescent="0.3"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1" t="s">
        <v>147</v>
      </c>
    </row>
    <row r="410" spans="1:35" x14ac:dyDescent="0.3"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1" t="s">
        <v>148</v>
      </c>
    </row>
    <row r="411" spans="1:35" x14ac:dyDescent="0.3"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>
        <f t="shared" ref="Z411:AE416" si="58">B379</f>
        <v>0</v>
      </c>
      <c r="AA411" s="93">
        <f t="shared" si="58"/>
        <v>0</v>
      </c>
      <c r="AB411" s="93">
        <f t="shared" si="58"/>
        <v>0</v>
      </c>
      <c r="AC411" s="93">
        <f t="shared" si="58"/>
        <v>0</v>
      </c>
      <c r="AD411" s="93">
        <f t="shared" si="58"/>
        <v>0</v>
      </c>
      <c r="AE411" s="93">
        <f t="shared" si="58"/>
        <v>0</v>
      </c>
      <c r="AF411" s="93"/>
      <c r="AG411" s="93"/>
      <c r="AH411" s="93"/>
      <c r="AI411" s="91" t="s">
        <v>149</v>
      </c>
    </row>
    <row r="412" spans="1:35" x14ac:dyDescent="0.3"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>
        <f t="shared" si="58"/>
        <v>0</v>
      </c>
      <c r="AA412" s="93">
        <f t="shared" si="58"/>
        <v>0</v>
      </c>
      <c r="AB412" s="93">
        <f t="shared" si="58"/>
        <v>0</v>
      </c>
      <c r="AC412" s="93">
        <f t="shared" si="58"/>
        <v>0</v>
      </c>
      <c r="AD412" s="93">
        <f t="shared" si="58"/>
        <v>0</v>
      </c>
      <c r="AE412" s="93">
        <f t="shared" si="58"/>
        <v>0</v>
      </c>
      <c r="AF412" s="93"/>
      <c r="AG412" s="93"/>
      <c r="AH412" s="93"/>
      <c r="AI412" s="91" t="s">
        <v>150</v>
      </c>
    </row>
    <row r="413" spans="1:35" x14ac:dyDescent="0.3"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>
        <f t="shared" si="58"/>
        <v>0</v>
      </c>
      <c r="AA413" s="93">
        <f t="shared" si="58"/>
        <v>0</v>
      </c>
      <c r="AB413" s="93">
        <f t="shared" si="58"/>
        <v>0</v>
      </c>
      <c r="AC413" s="93">
        <f t="shared" si="58"/>
        <v>0</v>
      </c>
      <c r="AD413" s="93">
        <f t="shared" si="58"/>
        <v>0</v>
      </c>
      <c r="AE413" s="93">
        <f t="shared" si="58"/>
        <v>0</v>
      </c>
      <c r="AF413" s="93"/>
      <c r="AG413" s="93"/>
      <c r="AH413" s="93"/>
      <c r="AI413" s="91" t="s">
        <v>151</v>
      </c>
    </row>
    <row r="414" spans="1:35" x14ac:dyDescent="0.3"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>
        <f t="shared" si="58"/>
        <v>0</v>
      </c>
      <c r="AA414" s="93">
        <f t="shared" si="58"/>
        <v>0</v>
      </c>
      <c r="AB414" s="93">
        <f t="shared" si="58"/>
        <v>0</v>
      </c>
      <c r="AC414" s="93">
        <f t="shared" si="58"/>
        <v>0</v>
      </c>
      <c r="AD414" s="93">
        <f t="shared" si="58"/>
        <v>0</v>
      </c>
      <c r="AE414" s="93">
        <f t="shared" si="58"/>
        <v>0</v>
      </c>
      <c r="AF414" s="93"/>
      <c r="AG414" s="93"/>
      <c r="AH414" s="93"/>
      <c r="AI414" s="91" t="s">
        <v>152</v>
      </c>
    </row>
    <row r="415" spans="1:35" x14ac:dyDescent="0.3"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>
        <f t="shared" si="58"/>
        <v>0</v>
      </c>
      <c r="AA415" s="93">
        <f t="shared" si="58"/>
        <v>0</v>
      </c>
      <c r="AB415" s="93">
        <f t="shared" si="58"/>
        <v>0</v>
      </c>
      <c r="AC415" s="93">
        <f t="shared" si="58"/>
        <v>0</v>
      </c>
      <c r="AD415" s="93">
        <f t="shared" si="58"/>
        <v>0</v>
      </c>
      <c r="AE415" s="93">
        <f t="shared" si="58"/>
        <v>0</v>
      </c>
      <c r="AF415" s="93"/>
      <c r="AG415" s="93"/>
      <c r="AH415" s="93"/>
      <c r="AI415" s="91" t="s">
        <v>153</v>
      </c>
    </row>
    <row r="416" spans="1:35" x14ac:dyDescent="0.3"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>
        <f t="shared" si="58"/>
        <v>0</v>
      </c>
      <c r="AA416" s="93">
        <f t="shared" si="58"/>
        <v>0</v>
      </c>
      <c r="AB416" s="93">
        <f t="shared" si="58"/>
        <v>0</v>
      </c>
      <c r="AC416" s="93">
        <f t="shared" si="58"/>
        <v>0</v>
      </c>
      <c r="AD416" s="93">
        <f t="shared" si="58"/>
        <v>0</v>
      </c>
      <c r="AE416" s="93">
        <f t="shared" si="58"/>
        <v>0</v>
      </c>
      <c r="AF416" s="93"/>
      <c r="AG416" s="93"/>
      <c r="AH416" s="93"/>
      <c r="AI416" s="91" t="s">
        <v>154</v>
      </c>
    </row>
    <row r="417" spans="1:35" x14ac:dyDescent="0.3"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1" t="s">
        <v>155</v>
      </c>
    </row>
    <row r="418" spans="1:35" x14ac:dyDescent="0.3"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1" t="s">
        <v>156</v>
      </c>
    </row>
    <row r="419" spans="1:35" x14ac:dyDescent="0.3"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1" t="s">
        <v>157</v>
      </c>
    </row>
    <row r="421" spans="1:35" x14ac:dyDescent="0.3">
      <c r="B421" s="91" t="str">
        <f t="shared" ref="B421:G421" si="59">IF(C31="","", CONCATENATE("U",C31,C$21))</f>
        <v/>
      </c>
      <c r="C421" s="91" t="str">
        <f t="shared" si="59"/>
        <v/>
      </c>
      <c r="D421" s="91" t="str">
        <f t="shared" si="59"/>
        <v/>
      </c>
      <c r="E421" s="91" t="str">
        <f t="shared" si="59"/>
        <v/>
      </c>
      <c r="F421" s="91" t="str">
        <f t="shared" si="59"/>
        <v/>
      </c>
      <c r="G421" s="91" t="str">
        <f t="shared" si="59"/>
        <v/>
      </c>
    </row>
    <row r="422" spans="1:35" x14ac:dyDescent="0.3">
      <c r="B422" s="92">
        <f>IF(I18="", 0, O18*J18*J18+P18*K18*K18)</f>
        <v>0</v>
      </c>
      <c r="C422" s="93">
        <f>IF(I18="", 0, (O18-P18)*(J18*K18))</f>
        <v>0</v>
      </c>
      <c r="D422" s="93">
        <f>IF(I18="", 0, -Q18*K18)</f>
        <v>0</v>
      </c>
      <c r="E422" s="93">
        <f t="shared" ref="E422:F424" si="60">-B422</f>
        <v>0</v>
      </c>
      <c r="F422" s="93">
        <f t="shared" si="60"/>
        <v>0</v>
      </c>
      <c r="G422" s="93">
        <f>D422</f>
        <v>0</v>
      </c>
      <c r="H422" s="91" t="str">
        <f>B421</f>
        <v/>
      </c>
    </row>
    <row r="423" spans="1:35" x14ac:dyDescent="0.3">
      <c r="B423" s="93">
        <f>C422</f>
        <v>0</v>
      </c>
      <c r="C423" s="92">
        <f>IF(I18="", 0, O18*K18*K18+P18*J18*J18)</f>
        <v>0</v>
      </c>
      <c r="D423" s="93">
        <f>IF(I18="", 0, Q18*J18)</f>
        <v>0</v>
      </c>
      <c r="E423" s="93">
        <f t="shared" si="60"/>
        <v>0</v>
      </c>
      <c r="F423" s="93">
        <f t="shared" si="60"/>
        <v>0</v>
      </c>
      <c r="G423" s="93">
        <f>D423</f>
        <v>0</v>
      </c>
      <c r="H423" s="91" t="str">
        <f>C421</f>
        <v/>
      </c>
    </row>
    <row r="424" spans="1:35" x14ac:dyDescent="0.3">
      <c r="A424" s="94" t="s">
        <v>264</v>
      </c>
      <c r="B424" s="93">
        <f>D422</f>
        <v>0</v>
      </c>
      <c r="C424" s="93">
        <f>D423</f>
        <v>0</v>
      </c>
      <c r="D424" s="92">
        <f>IF(I18="", 0, R18)</f>
        <v>0</v>
      </c>
      <c r="E424" s="93">
        <f t="shared" si="60"/>
        <v>0</v>
      </c>
      <c r="F424" s="93">
        <f t="shared" si="60"/>
        <v>0</v>
      </c>
      <c r="G424" s="93">
        <f>IF(I18="", 0, S18)</f>
        <v>0</v>
      </c>
      <c r="H424" s="91" t="str">
        <f>D421</f>
        <v/>
      </c>
    </row>
    <row r="425" spans="1:35" x14ac:dyDescent="0.3">
      <c r="B425" s="93">
        <f>E422</f>
        <v>0</v>
      </c>
      <c r="C425" s="93">
        <f>E423</f>
        <v>0</v>
      </c>
      <c r="D425" s="93">
        <f>E424</f>
        <v>0</v>
      </c>
      <c r="E425" s="92">
        <f>B422</f>
        <v>0</v>
      </c>
      <c r="F425" s="93">
        <f>C422</f>
        <v>0</v>
      </c>
      <c r="G425" s="93">
        <f>-D422</f>
        <v>0</v>
      </c>
      <c r="H425" s="91" t="str">
        <f>E421</f>
        <v/>
      </c>
    </row>
    <row r="426" spans="1:35" x14ac:dyDescent="0.3">
      <c r="B426" s="93">
        <f>F422</f>
        <v>0</v>
      </c>
      <c r="C426" s="93">
        <f>F423</f>
        <v>0</v>
      </c>
      <c r="D426" s="93">
        <f>F424</f>
        <v>0</v>
      </c>
      <c r="E426" s="93">
        <f>F425</f>
        <v>0</v>
      </c>
      <c r="F426" s="92">
        <f>C423</f>
        <v>0</v>
      </c>
      <c r="G426" s="93">
        <f>-D423</f>
        <v>0</v>
      </c>
      <c r="H426" s="91" t="str">
        <f>F421</f>
        <v/>
      </c>
    </row>
    <row r="427" spans="1:35" x14ac:dyDescent="0.3">
      <c r="B427" s="93">
        <f>G422</f>
        <v>0</v>
      </c>
      <c r="C427" s="93">
        <f>G423</f>
        <v>0</v>
      </c>
      <c r="D427" s="93">
        <f>G424</f>
        <v>0</v>
      </c>
      <c r="E427" s="93">
        <f>G425</f>
        <v>0</v>
      </c>
      <c r="F427" s="93">
        <f>G426</f>
        <v>0</v>
      </c>
      <c r="G427" s="92">
        <f>D424</f>
        <v>0</v>
      </c>
      <c r="H427" s="91" t="str">
        <f>G421</f>
        <v/>
      </c>
    </row>
    <row r="429" spans="1:35" x14ac:dyDescent="0.3">
      <c r="B429" s="91" t="s">
        <v>125</v>
      </c>
      <c r="C429" s="91" t="s">
        <v>126</v>
      </c>
      <c r="D429" s="91" t="s">
        <v>127</v>
      </c>
      <c r="E429" s="91" t="s">
        <v>128</v>
      </c>
      <c r="F429" s="91" t="s">
        <v>129</v>
      </c>
      <c r="G429" s="91" t="s">
        <v>130</v>
      </c>
      <c r="H429" s="91" t="s">
        <v>131</v>
      </c>
      <c r="I429" s="91" t="s">
        <v>132</v>
      </c>
      <c r="J429" s="91" t="s">
        <v>133</v>
      </c>
      <c r="K429" s="91" t="s">
        <v>134</v>
      </c>
      <c r="L429" s="91" t="s">
        <v>135</v>
      </c>
      <c r="M429" s="91" t="s">
        <v>136</v>
      </c>
      <c r="N429" s="91" t="s">
        <v>137</v>
      </c>
      <c r="O429" s="91" t="s">
        <v>138</v>
      </c>
      <c r="P429" s="91" t="s">
        <v>139</v>
      </c>
      <c r="Q429" s="91" t="s">
        <v>140</v>
      </c>
      <c r="R429" s="91" t="s">
        <v>141</v>
      </c>
      <c r="S429" s="91" t="s">
        <v>142</v>
      </c>
      <c r="T429" s="91" t="s">
        <v>143</v>
      </c>
      <c r="U429" s="91" t="s">
        <v>144</v>
      </c>
      <c r="V429" s="91" t="s">
        <v>145</v>
      </c>
      <c r="W429" s="91" t="s">
        <v>146</v>
      </c>
      <c r="X429" s="91" t="s">
        <v>147</v>
      </c>
      <c r="Y429" s="91" t="s">
        <v>148</v>
      </c>
      <c r="Z429" s="91" t="s">
        <v>149</v>
      </c>
      <c r="AA429" s="91" t="s">
        <v>150</v>
      </c>
      <c r="AB429" s="91" t="s">
        <v>151</v>
      </c>
      <c r="AC429" s="91" t="s">
        <v>152</v>
      </c>
      <c r="AD429" s="91" t="s">
        <v>153</v>
      </c>
      <c r="AE429" s="91" t="s">
        <v>154</v>
      </c>
      <c r="AF429" s="91" t="s">
        <v>155</v>
      </c>
      <c r="AG429" s="91" t="s">
        <v>156</v>
      </c>
      <c r="AH429" s="91" t="s">
        <v>157</v>
      </c>
    </row>
    <row r="430" spans="1:35" x14ac:dyDescent="0.3"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1" t="s">
        <v>125</v>
      </c>
    </row>
    <row r="431" spans="1:35" x14ac:dyDescent="0.3"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1" t="s">
        <v>126</v>
      </c>
    </row>
    <row r="432" spans="1:35" x14ac:dyDescent="0.3"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1" t="s">
        <v>127</v>
      </c>
    </row>
    <row r="433" spans="1:35" x14ac:dyDescent="0.3"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1" t="s">
        <v>128</v>
      </c>
    </row>
    <row r="434" spans="1:35" x14ac:dyDescent="0.3"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1" t="s">
        <v>129</v>
      </c>
    </row>
    <row r="435" spans="1:35" x14ac:dyDescent="0.3"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1" t="s">
        <v>130</v>
      </c>
    </row>
    <row r="436" spans="1:35" x14ac:dyDescent="0.3"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1" t="s">
        <v>131</v>
      </c>
    </row>
    <row r="437" spans="1:35" x14ac:dyDescent="0.3"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1" t="s">
        <v>132</v>
      </c>
    </row>
    <row r="438" spans="1:35" x14ac:dyDescent="0.3"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1" t="s">
        <v>133</v>
      </c>
    </row>
    <row r="439" spans="1:35" x14ac:dyDescent="0.3"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1" t="s">
        <v>134</v>
      </c>
    </row>
    <row r="440" spans="1:35" x14ac:dyDescent="0.3"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1" t="s">
        <v>135</v>
      </c>
    </row>
    <row r="441" spans="1:35" x14ac:dyDescent="0.3"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1" t="s">
        <v>136</v>
      </c>
    </row>
    <row r="442" spans="1:35" x14ac:dyDescent="0.3"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1" t="s">
        <v>137</v>
      </c>
    </row>
    <row r="443" spans="1:35" x14ac:dyDescent="0.3"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1" t="s">
        <v>138</v>
      </c>
    </row>
    <row r="444" spans="1:35" x14ac:dyDescent="0.3"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1" t="s">
        <v>139</v>
      </c>
    </row>
    <row r="445" spans="1:35" x14ac:dyDescent="0.3">
      <c r="A445" s="94" t="s">
        <v>264</v>
      </c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1" t="s">
        <v>140</v>
      </c>
    </row>
    <row r="446" spans="1:35" x14ac:dyDescent="0.3"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1" t="s">
        <v>141</v>
      </c>
    </row>
    <row r="447" spans="1:35" x14ac:dyDescent="0.3"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1" t="s">
        <v>142</v>
      </c>
    </row>
    <row r="448" spans="1:35" x14ac:dyDescent="0.3"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1" t="s">
        <v>143</v>
      </c>
    </row>
    <row r="449" spans="2:35" x14ac:dyDescent="0.3"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1" t="s">
        <v>144</v>
      </c>
    </row>
    <row r="450" spans="2:35" x14ac:dyDescent="0.3"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1" t="s">
        <v>145</v>
      </c>
    </row>
    <row r="451" spans="2:35" x14ac:dyDescent="0.3"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1" t="s">
        <v>146</v>
      </c>
    </row>
    <row r="452" spans="2:35" x14ac:dyDescent="0.3"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1" t="s">
        <v>147</v>
      </c>
    </row>
    <row r="453" spans="2:35" x14ac:dyDescent="0.3"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1" t="s">
        <v>148</v>
      </c>
    </row>
    <row r="454" spans="2:35" x14ac:dyDescent="0.3"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1" t="s">
        <v>149</v>
      </c>
    </row>
    <row r="455" spans="2:35" x14ac:dyDescent="0.3"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1" t="s">
        <v>150</v>
      </c>
    </row>
    <row r="456" spans="2:35" x14ac:dyDescent="0.3"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1" t="s">
        <v>151</v>
      </c>
    </row>
    <row r="457" spans="2:35" x14ac:dyDescent="0.3"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>
        <f t="shared" ref="AC457:AH462" si="61">B422</f>
        <v>0</v>
      </c>
      <c r="AD457" s="93">
        <f t="shared" si="61"/>
        <v>0</v>
      </c>
      <c r="AE457" s="93">
        <f t="shared" si="61"/>
        <v>0</v>
      </c>
      <c r="AF457" s="93">
        <f t="shared" si="61"/>
        <v>0</v>
      </c>
      <c r="AG457" s="93">
        <f t="shared" si="61"/>
        <v>0</v>
      </c>
      <c r="AH457" s="93">
        <f t="shared" si="61"/>
        <v>0</v>
      </c>
      <c r="AI457" s="91" t="s">
        <v>152</v>
      </c>
    </row>
    <row r="458" spans="2:35" x14ac:dyDescent="0.3"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>
        <f t="shared" si="61"/>
        <v>0</v>
      </c>
      <c r="AD458" s="93">
        <f t="shared" si="61"/>
        <v>0</v>
      </c>
      <c r="AE458" s="93">
        <f t="shared" si="61"/>
        <v>0</v>
      </c>
      <c r="AF458" s="93">
        <f t="shared" si="61"/>
        <v>0</v>
      </c>
      <c r="AG458" s="93">
        <f t="shared" si="61"/>
        <v>0</v>
      </c>
      <c r="AH458" s="93">
        <f t="shared" si="61"/>
        <v>0</v>
      </c>
      <c r="AI458" s="91" t="s">
        <v>153</v>
      </c>
    </row>
    <row r="459" spans="2:35" x14ac:dyDescent="0.3"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>
        <f t="shared" si="61"/>
        <v>0</v>
      </c>
      <c r="AD459" s="93">
        <f t="shared" si="61"/>
        <v>0</v>
      </c>
      <c r="AE459" s="93">
        <f t="shared" si="61"/>
        <v>0</v>
      </c>
      <c r="AF459" s="93">
        <f t="shared" si="61"/>
        <v>0</v>
      </c>
      <c r="AG459" s="93">
        <f t="shared" si="61"/>
        <v>0</v>
      </c>
      <c r="AH459" s="93">
        <f t="shared" si="61"/>
        <v>0</v>
      </c>
      <c r="AI459" s="91" t="s">
        <v>154</v>
      </c>
    </row>
    <row r="460" spans="2:35" x14ac:dyDescent="0.3"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>
        <f t="shared" si="61"/>
        <v>0</v>
      </c>
      <c r="AD460" s="93">
        <f t="shared" si="61"/>
        <v>0</v>
      </c>
      <c r="AE460" s="93">
        <f t="shared" si="61"/>
        <v>0</v>
      </c>
      <c r="AF460" s="93">
        <f t="shared" si="61"/>
        <v>0</v>
      </c>
      <c r="AG460" s="93">
        <f t="shared" si="61"/>
        <v>0</v>
      </c>
      <c r="AH460" s="93">
        <f t="shared" si="61"/>
        <v>0</v>
      </c>
      <c r="AI460" s="91" t="s">
        <v>155</v>
      </c>
    </row>
    <row r="461" spans="2:35" x14ac:dyDescent="0.3"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>
        <f t="shared" si="61"/>
        <v>0</v>
      </c>
      <c r="AD461" s="93">
        <f t="shared" si="61"/>
        <v>0</v>
      </c>
      <c r="AE461" s="93">
        <f t="shared" si="61"/>
        <v>0</v>
      </c>
      <c r="AF461" s="93">
        <f t="shared" si="61"/>
        <v>0</v>
      </c>
      <c r="AG461" s="93">
        <f t="shared" si="61"/>
        <v>0</v>
      </c>
      <c r="AH461" s="93">
        <f t="shared" si="61"/>
        <v>0</v>
      </c>
      <c r="AI461" s="91" t="s">
        <v>156</v>
      </c>
    </row>
    <row r="462" spans="2:35" x14ac:dyDescent="0.3"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>
        <f t="shared" si="61"/>
        <v>0</v>
      </c>
      <c r="AD462" s="93">
        <f t="shared" si="61"/>
        <v>0</v>
      </c>
      <c r="AE462" s="93">
        <f t="shared" si="61"/>
        <v>0</v>
      </c>
      <c r="AF462" s="93">
        <f t="shared" si="61"/>
        <v>0</v>
      </c>
      <c r="AG462" s="93">
        <f t="shared" si="61"/>
        <v>0</v>
      </c>
      <c r="AH462" s="93">
        <f t="shared" si="61"/>
        <v>0</v>
      </c>
      <c r="AI462" s="91" t="s">
        <v>157</v>
      </c>
    </row>
    <row r="465" spans="2:35" x14ac:dyDescent="0.3">
      <c r="B465" s="95" t="s">
        <v>265</v>
      </c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</row>
    <row r="466" spans="2:35" x14ac:dyDescent="0.3">
      <c r="B466" s="91" t="s">
        <v>125</v>
      </c>
      <c r="C466" s="91" t="s">
        <v>126</v>
      </c>
      <c r="D466" s="91" t="s">
        <v>127</v>
      </c>
      <c r="E466" s="91" t="s">
        <v>128</v>
      </c>
      <c r="F466" s="91" t="s">
        <v>129</v>
      </c>
      <c r="G466" s="91" t="s">
        <v>130</v>
      </c>
      <c r="H466" s="91" t="s">
        <v>131</v>
      </c>
      <c r="I466" s="91" t="s">
        <v>132</v>
      </c>
      <c r="J466" s="91" t="s">
        <v>133</v>
      </c>
      <c r="K466" s="91" t="s">
        <v>134</v>
      </c>
      <c r="L466" s="91" t="s">
        <v>135</v>
      </c>
      <c r="M466" s="91" t="s">
        <v>136</v>
      </c>
      <c r="N466" s="91" t="s">
        <v>137</v>
      </c>
      <c r="O466" s="91" t="s">
        <v>138</v>
      </c>
      <c r="P466" s="91" t="s">
        <v>139</v>
      </c>
      <c r="Q466" s="91" t="s">
        <v>140</v>
      </c>
      <c r="R466" s="91" t="s">
        <v>141</v>
      </c>
      <c r="S466" s="91" t="s">
        <v>142</v>
      </c>
      <c r="T466" s="91" t="s">
        <v>143</v>
      </c>
      <c r="U466" s="91" t="s">
        <v>144</v>
      </c>
      <c r="V466" s="91" t="s">
        <v>145</v>
      </c>
      <c r="W466" s="91" t="s">
        <v>146</v>
      </c>
      <c r="X466" s="91" t="s">
        <v>147</v>
      </c>
      <c r="Y466" s="91" t="s">
        <v>148</v>
      </c>
      <c r="Z466" s="91" t="s">
        <v>149</v>
      </c>
      <c r="AA466" s="91" t="s">
        <v>150</v>
      </c>
      <c r="AB466" s="91" t="s">
        <v>151</v>
      </c>
      <c r="AC466" s="91" t="s">
        <v>152</v>
      </c>
      <c r="AD466" s="91" t="s">
        <v>153</v>
      </c>
      <c r="AE466" s="91" t="s">
        <v>154</v>
      </c>
      <c r="AF466" s="91" t="s">
        <v>155</v>
      </c>
      <c r="AG466" s="91" t="s">
        <v>156</v>
      </c>
      <c r="AH466" s="91" t="s">
        <v>157</v>
      </c>
    </row>
    <row r="467" spans="2:35" x14ac:dyDescent="0.3">
      <c r="B467" s="97">
        <f t="shared" ref="B467:AH474" si="62">B43+B86+B129+B172+B215+B258+B301+B344+B387+B430</f>
        <v>0</v>
      </c>
      <c r="C467" s="93">
        <f t="shared" si="62"/>
        <v>0</v>
      </c>
      <c r="D467" s="93">
        <f t="shared" si="62"/>
        <v>0</v>
      </c>
      <c r="E467" s="93">
        <f t="shared" si="62"/>
        <v>0</v>
      </c>
      <c r="F467" s="93">
        <f t="shared" si="62"/>
        <v>0</v>
      </c>
      <c r="G467" s="93">
        <f t="shared" si="62"/>
        <v>0</v>
      </c>
      <c r="H467" s="93">
        <f t="shared" si="62"/>
        <v>0</v>
      </c>
      <c r="I467" s="93">
        <f t="shared" si="62"/>
        <v>0</v>
      </c>
      <c r="J467" s="93">
        <f t="shared" si="62"/>
        <v>0</v>
      </c>
      <c r="K467" s="93">
        <f t="shared" si="62"/>
        <v>0</v>
      </c>
      <c r="L467" s="93">
        <f t="shared" si="62"/>
        <v>0</v>
      </c>
      <c r="M467" s="93">
        <f t="shared" si="62"/>
        <v>0</v>
      </c>
      <c r="N467" s="93">
        <f t="shared" si="62"/>
        <v>0</v>
      </c>
      <c r="O467" s="93">
        <f t="shared" si="62"/>
        <v>0</v>
      </c>
      <c r="P467" s="93">
        <f t="shared" si="62"/>
        <v>0</v>
      </c>
      <c r="Q467" s="93">
        <f t="shared" si="62"/>
        <v>0</v>
      </c>
      <c r="R467" s="93">
        <f t="shared" si="62"/>
        <v>0</v>
      </c>
      <c r="S467" s="93">
        <f t="shared" si="62"/>
        <v>0</v>
      </c>
      <c r="T467" s="93">
        <f t="shared" si="62"/>
        <v>0</v>
      </c>
      <c r="U467" s="93">
        <f t="shared" si="62"/>
        <v>0</v>
      </c>
      <c r="V467" s="93">
        <f t="shared" si="62"/>
        <v>0</v>
      </c>
      <c r="W467" s="93">
        <f t="shared" si="62"/>
        <v>0</v>
      </c>
      <c r="X467" s="93">
        <f t="shared" si="62"/>
        <v>0</v>
      </c>
      <c r="Y467" s="93">
        <f t="shared" si="62"/>
        <v>0</v>
      </c>
      <c r="Z467" s="93">
        <f t="shared" si="62"/>
        <v>0</v>
      </c>
      <c r="AA467" s="93">
        <f t="shared" si="62"/>
        <v>0</v>
      </c>
      <c r="AB467" s="93">
        <f t="shared" si="62"/>
        <v>0</v>
      </c>
      <c r="AC467" s="93">
        <f t="shared" si="62"/>
        <v>0</v>
      </c>
      <c r="AD467" s="93">
        <f t="shared" si="62"/>
        <v>0</v>
      </c>
      <c r="AE467" s="93">
        <f t="shared" si="62"/>
        <v>0</v>
      </c>
      <c r="AF467" s="93">
        <f t="shared" si="62"/>
        <v>0</v>
      </c>
      <c r="AG467" s="93">
        <f t="shared" si="62"/>
        <v>0</v>
      </c>
      <c r="AH467" s="93">
        <f t="shared" si="62"/>
        <v>0</v>
      </c>
      <c r="AI467" s="91" t="s">
        <v>125</v>
      </c>
    </row>
    <row r="468" spans="2:35" x14ac:dyDescent="0.3">
      <c r="B468" s="93">
        <f t="shared" si="62"/>
        <v>0</v>
      </c>
      <c r="C468" s="97">
        <f t="shared" si="62"/>
        <v>0</v>
      </c>
      <c r="D468" s="93">
        <f t="shared" si="62"/>
        <v>0</v>
      </c>
      <c r="E468" s="93">
        <f t="shared" si="62"/>
        <v>0</v>
      </c>
      <c r="F468" s="93">
        <f t="shared" si="62"/>
        <v>0</v>
      </c>
      <c r="G468" s="93">
        <f t="shared" si="62"/>
        <v>0</v>
      </c>
      <c r="H468" s="93">
        <f t="shared" si="62"/>
        <v>0</v>
      </c>
      <c r="I468" s="93">
        <f t="shared" si="62"/>
        <v>0</v>
      </c>
      <c r="J468" s="93">
        <f t="shared" si="62"/>
        <v>0</v>
      </c>
      <c r="K468" s="93">
        <f t="shared" si="62"/>
        <v>0</v>
      </c>
      <c r="L468" s="93">
        <f t="shared" si="62"/>
        <v>0</v>
      </c>
      <c r="M468" s="93">
        <f t="shared" si="62"/>
        <v>0</v>
      </c>
      <c r="N468" s="93">
        <f t="shared" si="62"/>
        <v>0</v>
      </c>
      <c r="O468" s="93">
        <f t="shared" si="62"/>
        <v>0</v>
      </c>
      <c r="P468" s="93">
        <f t="shared" si="62"/>
        <v>0</v>
      </c>
      <c r="Q468" s="93">
        <f t="shared" si="62"/>
        <v>0</v>
      </c>
      <c r="R468" s="93">
        <f t="shared" si="62"/>
        <v>0</v>
      </c>
      <c r="S468" s="93">
        <f t="shared" si="62"/>
        <v>0</v>
      </c>
      <c r="T468" s="93">
        <f t="shared" si="62"/>
        <v>0</v>
      </c>
      <c r="U468" s="93">
        <f t="shared" si="62"/>
        <v>0</v>
      </c>
      <c r="V468" s="93">
        <f t="shared" si="62"/>
        <v>0</v>
      </c>
      <c r="W468" s="93">
        <f t="shared" si="62"/>
        <v>0</v>
      </c>
      <c r="X468" s="93">
        <f t="shared" si="62"/>
        <v>0</v>
      </c>
      <c r="Y468" s="93">
        <f t="shared" si="62"/>
        <v>0</v>
      </c>
      <c r="Z468" s="93">
        <f t="shared" si="62"/>
        <v>0</v>
      </c>
      <c r="AA468" s="93">
        <f t="shared" si="62"/>
        <v>0</v>
      </c>
      <c r="AB468" s="93">
        <f t="shared" si="62"/>
        <v>0</v>
      </c>
      <c r="AC468" s="93">
        <f t="shared" si="62"/>
        <v>0</v>
      </c>
      <c r="AD468" s="93">
        <f t="shared" si="62"/>
        <v>0</v>
      </c>
      <c r="AE468" s="93">
        <f t="shared" si="62"/>
        <v>0</v>
      </c>
      <c r="AF468" s="93">
        <f t="shared" si="62"/>
        <v>0</v>
      </c>
      <c r="AG468" s="93">
        <f t="shared" si="62"/>
        <v>0</v>
      </c>
      <c r="AH468" s="93">
        <f t="shared" si="62"/>
        <v>0</v>
      </c>
      <c r="AI468" s="91" t="s">
        <v>126</v>
      </c>
    </row>
    <row r="469" spans="2:35" x14ac:dyDescent="0.3">
      <c r="B469" s="93">
        <f t="shared" si="62"/>
        <v>0</v>
      </c>
      <c r="C469" s="93">
        <f t="shared" si="62"/>
        <v>0</v>
      </c>
      <c r="D469" s="97">
        <f t="shared" si="62"/>
        <v>0</v>
      </c>
      <c r="E469" s="93">
        <f t="shared" si="62"/>
        <v>0</v>
      </c>
      <c r="F469" s="93">
        <f t="shared" si="62"/>
        <v>0</v>
      </c>
      <c r="G469" s="93">
        <f t="shared" si="62"/>
        <v>0</v>
      </c>
      <c r="H469" s="93">
        <f t="shared" si="62"/>
        <v>0</v>
      </c>
      <c r="I469" s="93">
        <f t="shared" si="62"/>
        <v>0</v>
      </c>
      <c r="J469" s="93">
        <f t="shared" si="62"/>
        <v>0</v>
      </c>
      <c r="K469" s="93">
        <f t="shared" si="62"/>
        <v>0</v>
      </c>
      <c r="L469" s="93">
        <f t="shared" si="62"/>
        <v>0</v>
      </c>
      <c r="M469" s="93">
        <f t="shared" si="62"/>
        <v>0</v>
      </c>
      <c r="N469" s="93">
        <f t="shared" si="62"/>
        <v>0</v>
      </c>
      <c r="O469" s="93">
        <f t="shared" si="62"/>
        <v>0</v>
      </c>
      <c r="P469" s="93">
        <f t="shared" si="62"/>
        <v>0</v>
      </c>
      <c r="Q469" s="93">
        <f t="shared" si="62"/>
        <v>0</v>
      </c>
      <c r="R469" s="93">
        <f t="shared" si="62"/>
        <v>0</v>
      </c>
      <c r="S469" s="93">
        <f t="shared" si="62"/>
        <v>0</v>
      </c>
      <c r="T469" s="93">
        <f t="shared" si="62"/>
        <v>0</v>
      </c>
      <c r="U469" s="93">
        <f t="shared" si="62"/>
        <v>0</v>
      </c>
      <c r="V469" s="93">
        <f t="shared" si="62"/>
        <v>0</v>
      </c>
      <c r="W469" s="93">
        <f t="shared" si="62"/>
        <v>0</v>
      </c>
      <c r="X469" s="93">
        <f t="shared" si="62"/>
        <v>0</v>
      </c>
      <c r="Y469" s="93">
        <f t="shared" si="62"/>
        <v>0</v>
      </c>
      <c r="Z469" s="93">
        <f t="shared" si="62"/>
        <v>0</v>
      </c>
      <c r="AA469" s="93">
        <f t="shared" si="62"/>
        <v>0</v>
      </c>
      <c r="AB469" s="93">
        <f t="shared" si="62"/>
        <v>0</v>
      </c>
      <c r="AC469" s="93">
        <f t="shared" si="62"/>
        <v>0</v>
      </c>
      <c r="AD469" s="93">
        <f t="shared" si="62"/>
        <v>0</v>
      </c>
      <c r="AE469" s="93">
        <f t="shared" si="62"/>
        <v>0</v>
      </c>
      <c r="AF469" s="93">
        <f t="shared" si="62"/>
        <v>0</v>
      </c>
      <c r="AG469" s="93">
        <f t="shared" si="62"/>
        <v>0</v>
      </c>
      <c r="AH469" s="93">
        <f t="shared" si="62"/>
        <v>0</v>
      </c>
      <c r="AI469" s="91" t="s">
        <v>127</v>
      </c>
    </row>
    <row r="470" spans="2:35" x14ac:dyDescent="0.3">
      <c r="B470" s="93">
        <f t="shared" si="62"/>
        <v>0</v>
      </c>
      <c r="C470" s="93">
        <f t="shared" si="62"/>
        <v>0</v>
      </c>
      <c r="D470" s="93">
        <f t="shared" si="62"/>
        <v>0</v>
      </c>
      <c r="E470" s="97">
        <f t="shared" si="62"/>
        <v>0</v>
      </c>
      <c r="F470" s="93">
        <f t="shared" si="62"/>
        <v>0</v>
      </c>
      <c r="G470" s="93">
        <f t="shared" si="62"/>
        <v>0</v>
      </c>
      <c r="H470" s="93">
        <f t="shared" si="62"/>
        <v>0</v>
      </c>
      <c r="I470" s="93">
        <f t="shared" si="62"/>
        <v>0</v>
      </c>
      <c r="J470" s="93">
        <f t="shared" si="62"/>
        <v>0</v>
      </c>
      <c r="K470" s="93">
        <f t="shared" si="62"/>
        <v>0</v>
      </c>
      <c r="L470" s="93">
        <f t="shared" si="62"/>
        <v>0</v>
      </c>
      <c r="M470" s="93">
        <f t="shared" si="62"/>
        <v>0</v>
      </c>
      <c r="N470" s="93">
        <f t="shared" si="62"/>
        <v>0</v>
      </c>
      <c r="O470" s="93">
        <f t="shared" si="62"/>
        <v>0</v>
      </c>
      <c r="P470" s="93">
        <f t="shared" si="62"/>
        <v>0</v>
      </c>
      <c r="Q470" s="93">
        <f t="shared" si="62"/>
        <v>0</v>
      </c>
      <c r="R470" s="93">
        <f t="shared" si="62"/>
        <v>0</v>
      </c>
      <c r="S470" s="93">
        <f t="shared" si="62"/>
        <v>0</v>
      </c>
      <c r="T470" s="93">
        <f t="shared" si="62"/>
        <v>0</v>
      </c>
      <c r="U470" s="93">
        <f t="shared" si="62"/>
        <v>0</v>
      </c>
      <c r="V470" s="93">
        <f t="shared" si="62"/>
        <v>0</v>
      </c>
      <c r="W470" s="93">
        <f t="shared" si="62"/>
        <v>0</v>
      </c>
      <c r="X470" s="93">
        <f t="shared" si="62"/>
        <v>0</v>
      </c>
      <c r="Y470" s="93">
        <f t="shared" si="62"/>
        <v>0</v>
      </c>
      <c r="Z470" s="93">
        <f t="shared" si="62"/>
        <v>0</v>
      </c>
      <c r="AA470" s="93">
        <f t="shared" si="62"/>
        <v>0</v>
      </c>
      <c r="AB470" s="93">
        <f t="shared" si="62"/>
        <v>0</v>
      </c>
      <c r="AC470" s="93">
        <f t="shared" si="62"/>
        <v>0</v>
      </c>
      <c r="AD470" s="93">
        <f t="shared" si="62"/>
        <v>0</v>
      </c>
      <c r="AE470" s="93">
        <f t="shared" si="62"/>
        <v>0</v>
      </c>
      <c r="AF470" s="93">
        <f t="shared" si="62"/>
        <v>0</v>
      </c>
      <c r="AG470" s="93">
        <f t="shared" si="62"/>
        <v>0</v>
      </c>
      <c r="AH470" s="93">
        <f t="shared" si="62"/>
        <v>0</v>
      </c>
      <c r="AI470" s="91" t="s">
        <v>128</v>
      </c>
    </row>
    <row r="471" spans="2:35" x14ac:dyDescent="0.3">
      <c r="B471" s="93">
        <f t="shared" si="62"/>
        <v>0</v>
      </c>
      <c r="C471" s="93">
        <f t="shared" si="62"/>
        <v>0</v>
      </c>
      <c r="D471" s="93">
        <f t="shared" si="62"/>
        <v>0</v>
      </c>
      <c r="E471" s="93">
        <f t="shared" si="62"/>
        <v>0</v>
      </c>
      <c r="F471" s="97">
        <f t="shared" si="62"/>
        <v>0</v>
      </c>
      <c r="G471" s="93">
        <f t="shared" si="62"/>
        <v>0</v>
      </c>
      <c r="H471" s="93">
        <f t="shared" si="62"/>
        <v>0</v>
      </c>
      <c r="I471" s="93">
        <f t="shared" si="62"/>
        <v>0</v>
      </c>
      <c r="J471" s="93">
        <f t="shared" si="62"/>
        <v>0</v>
      </c>
      <c r="K471" s="93">
        <f t="shared" si="62"/>
        <v>0</v>
      </c>
      <c r="L471" s="93">
        <f t="shared" si="62"/>
        <v>0</v>
      </c>
      <c r="M471" s="93">
        <f t="shared" si="62"/>
        <v>0</v>
      </c>
      <c r="N471" s="93">
        <f t="shared" si="62"/>
        <v>0</v>
      </c>
      <c r="O471" s="93">
        <f t="shared" si="62"/>
        <v>0</v>
      </c>
      <c r="P471" s="93">
        <f t="shared" si="62"/>
        <v>0</v>
      </c>
      <c r="Q471" s="93">
        <f t="shared" si="62"/>
        <v>0</v>
      </c>
      <c r="R471" s="93">
        <f t="shared" si="62"/>
        <v>0</v>
      </c>
      <c r="S471" s="93">
        <f t="shared" si="62"/>
        <v>0</v>
      </c>
      <c r="T471" s="93">
        <f t="shared" si="62"/>
        <v>0</v>
      </c>
      <c r="U471" s="93">
        <f t="shared" si="62"/>
        <v>0</v>
      </c>
      <c r="V471" s="93">
        <f t="shared" si="62"/>
        <v>0</v>
      </c>
      <c r="W471" s="93">
        <f t="shared" si="62"/>
        <v>0</v>
      </c>
      <c r="X471" s="93">
        <f t="shared" si="62"/>
        <v>0</v>
      </c>
      <c r="Y471" s="93">
        <f t="shared" si="62"/>
        <v>0</v>
      </c>
      <c r="Z471" s="93">
        <f t="shared" si="62"/>
        <v>0</v>
      </c>
      <c r="AA471" s="93">
        <f t="shared" si="62"/>
        <v>0</v>
      </c>
      <c r="AB471" s="93">
        <f t="shared" si="62"/>
        <v>0</v>
      </c>
      <c r="AC471" s="93">
        <f t="shared" si="62"/>
        <v>0</v>
      </c>
      <c r="AD471" s="93">
        <f t="shared" si="62"/>
        <v>0</v>
      </c>
      <c r="AE471" s="93">
        <f t="shared" si="62"/>
        <v>0</v>
      </c>
      <c r="AF471" s="93">
        <f t="shared" si="62"/>
        <v>0</v>
      </c>
      <c r="AG471" s="93">
        <f t="shared" si="62"/>
        <v>0</v>
      </c>
      <c r="AH471" s="93">
        <f t="shared" si="62"/>
        <v>0</v>
      </c>
      <c r="AI471" s="91" t="s">
        <v>129</v>
      </c>
    </row>
    <row r="472" spans="2:35" x14ac:dyDescent="0.3">
      <c r="B472" s="93">
        <f t="shared" si="62"/>
        <v>0</v>
      </c>
      <c r="C472" s="93">
        <f t="shared" si="62"/>
        <v>0</v>
      </c>
      <c r="D472" s="93">
        <f t="shared" si="62"/>
        <v>0</v>
      </c>
      <c r="E472" s="93">
        <f t="shared" si="62"/>
        <v>0</v>
      </c>
      <c r="F472" s="93">
        <f t="shared" si="62"/>
        <v>0</v>
      </c>
      <c r="G472" s="97">
        <f t="shared" si="62"/>
        <v>0</v>
      </c>
      <c r="H472" s="93">
        <f t="shared" si="62"/>
        <v>0</v>
      </c>
      <c r="I472" s="93">
        <f t="shared" si="62"/>
        <v>0</v>
      </c>
      <c r="J472" s="93">
        <f t="shared" si="62"/>
        <v>0</v>
      </c>
      <c r="K472" s="93">
        <f t="shared" si="62"/>
        <v>0</v>
      </c>
      <c r="L472" s="93">
        <f t="shared" si="62"/>
        <v>0</v>
      </c>
      <c r="M472" s="93">
        <f t="shared" si="62"/>
        <v>0</v>
      </c>
      <c r="N472" s="93">
        <f t="shared" si="62"/>
        <v>0</v>
      </c>
      <c r="O472" s="93">
        <f t="shared" si="62"/>
        <v>0</v>
      </c>
      <c r="P472" s="93">
        <f t="shared" si="62"/>
        <v>0</v>
      </c>
      <c r="Q472" s="93">
        <f t="shared" si="62"/>
        <v>0</v>
      </c>
      <c r="R472" s="93">
        <f t="shared" si="62"/>
        <v>0</v>
      </c>
      <c r="S472" s="93">
        <f t="shared" si="62"/>
        <v>0</v>
      </c>
      <c r="T472" s="93">
        <f t="shared" si="62"/>
        <v>0</v>
      </c>
      <c r="U472" s="93">
        <f t="shared" si="62"/>
        <v>0</v>
      </c>
      <c r="V472" s="93">
        <f t="shared" si="62"/>
        <v>0</v>
      </c>
      <c r="W472" s="93">
        <f t="shared" si="62"/>
        <v>0</v>
      </c>
      <c r="X472" s="93">
        <f t="shared" si="62"/>
        <v>0</v>
      </c>
      <c r="Y472" s="93">
        <f t="shared" si="62"/>
        <v>0</v>
      </c>
      <c r="Z472" s="93">
        <f t="shared" si="62"/>
        <v>0</v>
      </c>
      <c r="AA472" s="93">
        <f t="shared" si="62"/>
        <v>0</v>
      </c>
      <c r="AB472" s="93">
        <f t="shared" si="62"/>
        <v>0</v>
      </c>
      <c r="AC472" s="93">
        <f t="shared" si="62"/>
        <v>0</v>
      </c>
      <c r="AD472" s="93">
        <f t="shared" si="62"/>
        <v>0</v>
      </c>
      <c r="AE472" s="93">
        <f t="shared" si="62"/>
        <v>0</v>
      </c>
      <c r="AF472" s="93">
        <f t="shared" si="62"/>
        <v>0</v>
      </c>
      <c r="AG472" s="93">
        <f t="shared" si="62"/>
        <v>0</v>
      </c>
      <c r="AH472" s="93">
        <f t="shared" si="62"/>
        <v>0</v>
      </c>
      <c r="AI472" s="91" t="s">
        <v>130</v>
      </c>
    </row>
    <row r="473" spans="2:35" x14ac:dyDescent="0.3">
      <c r="B473" s="93">
        <f t="shared" si="62"/>
        <v>0</v>
      </c>
      <c r="C473" s="93">
        <f t="shared" si="62"/>
        <v>0</v>
      </c>
      <c r="D473" s="93">
        <f t="shared" si="62"/>
        <v>0</v>
      </c>
      <c r="E473" s="93">
        <f t="shared" si="62"/>
        <v>0</v>
      </c>
      <c r="F473" s="93">
        <f t="shared" si="62"/>
        <v>0</v>
      </c>
      <c r="G473" s="93">
        <f t="shared" si="62"/>
        <v>0</v>
      </c>
      <c r="H473" s="97">
        <f t="shared" si="62"/>
        <v>0</v>
      </c>
      <c r="I473" s="93">
        <f t="shared" si="62"/>
        <v>0</v>
      </c>
      <c r="J473" s="93">
        <f t="shared" si="62"/>
        <v>0</v>
      </c>
      <c r="K473" s="93">
        <f t="shared" si="62"/>
        <v>0</v>
      </c>
      <c r="L473" s="93">
        <f t="shared" si="62"/>
        <v>0</v>
      </c>
      <c r="M473" s="93">
        <f t="shared" si="62"/>
        <v>0</v>
      </c>
      <c r="N473" s="93">
        <f t="shared" si="62"/>
        <v>0</v>
      </c>
      <c r="O473" s="93">
        <f t="shared" si="62"/>
        <v>0</v>
      </c>
      <c r="P473" s="93">
        <f t="shared" si="62"/>
        <v>0</v>
      </c>
      <c r="Q473" s="93">
        <f t="shared" si="62"/>
        <v>0</v>
      </c>
      <c r="R473" s="93">
        <f t="shared" si="62"/>
        <v>0</v>
      </c>
      <c r="S473" s="93">
        <f t="shared" si="62"/>
        <v>0</v>
      </c>
      <c r="T473" s="93">
        <f t="shared" si="62"/>
        <v>0</v>
      </c>
      <c r="U473" s="93">
        <f t="shared" si="62"/>
        <v>0</v>
      </c>
      <c r="V473" s="93">
        <f t="shared" si="62"/>
        <v>0</v>
      </c>
      <c r="W473" s="93">
        <f t="shared" si="62"/>
        <v>0</v>
      </c>
      <c r="X473" s="93">
        <f t="shared" si="62"/>
        <v>0</v>
      </c>
      <c r="Y473" s="93">
        <f t="shared" si="62"/>
        <v>0</v>
      </c>
      <c r="Z473" s="93">
        <f t="shared" si="62"/>
        <v>0</v>
      </c>
      <c r="AA473" s="93">
        <f t="shared" si="62"/>
        <v>0</v>
      </c>
      <c r="AB473" s="93">
        <f t="shared" si="62"/>
        <v>0</v>
      </c>
      <c r="AC473" s="93">
        <f t="shared" si="62"/>
        <v>0</v>
      </c>
      <c r="AD473" s="93">
        <f t="shared" si="62"/>
        <v>0</v>
      </c>
      <c r="AE473" s="93">
        <f t="shared" si="62"/>
        <v>0</v>
      </c>
      <c r="AF473" s="93">
        <f t="shared" si="62"/>
        <v>0</v>
      </c>
      <c r="AG473" s="93">
        <f t="shared" si="62"/>
        <v>0</v>
      </c>
      <c r="AH473" s="93">
        <f t="shared" si="62"/>
        <v>0</v>
      </c>
      <c r="AI473" s="91" t="s">
        <v>131</v>
      </c>
    </row>
    <row r="474" spans="2:35" x14ac:dyDescent="0.3">
      <c r="B474" s="93">
        <f t="shared" si="62"/>
        <v>0</v>
      </c>
      <c r="C474" s="93">
        <f t="shared" si="62"/>
        <v>0</v>
      </c>
      <c r="D474" s="93">
        <f t="shared" si="62"/>
        <v>0</v>
      </c>
      <c r="E474" s="93">
        <f t="shared" si="62"/>
        <v>0</v>
      </c>
      <c r="F474" s="93">
        <f t="shared" si="62"/>
        <v>0</v>
      </c>
      <c r="G474" s="93">
        <f t="shared" si="62"/>
        <v>0</v>
      </c>
      <c r="H474" s="93">
        <f t="shared" si="62"/>
        <v>0</v>
      </c>
      <c r="I474" s="97">
        <f t="shared" si="62"/>
        <v>0</v>
      </c>
      <c r="J474" s="93">
        <f t="shared" si="62"/>
        <v>0</v>
      </c>
      <c r="K474" s="93">
        <f t="shared" si="62"/>
        <v>0</v>
      </c>
      <c r="L474" s="93">
        <f t="shared" si="62"/>
        <v>0</v>
      </c>
      <c r="M474" s="93">
        <f t="shared" si="62"/>
        <v>0</v>
      </c>
      <c r="N474" s="93">
        <f t="shared" si="62"/>
        <v>0</v>
      </c>
      <c r="O474" s="93">
        <f t="shared" si="62"/>
        <v>0</v>
      </c>
      <c r="P474" s="93">
        <f t="shared" si="62"/>
        <v>0</v>
      </c>
      <c r="Q474" s="93">
        <f t="shared" si="62"/>
        <v>0</v>
      </c>
      <c r="R474" s="93">
        <f t="shared" si="62"/>
        <v>0</v>
      </c>
      <c r="S474" s="93">
        <f t="shared" si="62"/>
        <v>0</v>
      </c>
      <c r="T474" s="93">
        <f t="shared" si="62"/>
        <v>0</v>
      </c>
      <c r="U474" s="93">
        <f t="shared" si="62"/>
        <v>0</v>
      </c>
      <c r="V474" s="93">
        <f t="shared" si="62"/>
        <v>0</v>
      </c>
      <c r="W474" s="93">
        <f t="shared" si="62"/>
        <v>0</v>
      </c>
      <c r="X474" s="93">
        <f t="shared" si="62"/>
        <v>0</v>
      </c>
      <c r="Y474" s="93">
        <f t="shared" si="62"/>
        <v>0</v>
      </c>
      <c r="Z474" s="93">
        <f t="shared" ref="Z474:BF474" si="63">Z50+Z93+Z136+Z179+Z222+Z265+Z308+Z351+Z394+Z437</f>
        <v>0</v>
      </c>
      <c r="AA474" s="93">
        <f t="shared" si="63"/>
        <v>0</v>
      </c>
      <c r="AB474" s="93">
        <f t="shared" si="63"/>
        <v>0</v>
      </c>
      <c r="AC474" s="93">
        <f t="shared" si="63"/>
        <v>0</v>
      </c>
      <c r="AD474" s="93">
        <f t="shared" si="63"/>
        <v>0</v>
      </c>
      <c r="AE474" s="93">
        <f t="shared" si="63"/>
        <v>0</v>
      </c>
      <c r="AF474" s="93">
        <f t="shared" si="63"/>
        <v>0</v>
      </c>
      <c r="AG474" s="93">
        <f t="shared" si="63"/>
        <v>0</v>
      </c>
      <c r="AH474" s="93">
        <f t="shared" si="63"/>
        <v>0</v>
      </c>
      <c r="AI474" s="91" t="s">
        <v>132</v>
      </c>
    </row>
    <row r="475" spans="2:35" x14ac:dyDescent="0.3">
      <c r="B475" s="93">
        <f t="shared" ref="B475:AH482" si="64">B51+B94+B137+B180+B223+B266+B309+B352+B395+B438</f>
        <v>0</v>
      </c>
      <c r="C475" s="93">
        <f t="shared" si="64"/>
        <v>0</v>
      </c>
      <c r="D475" s="93">
        <f t="shared" si="64"/>
        <v>0</v>
      </c>
      <c r="E475" s="93">
        <f t="shared" si="64"/>
        <v>0</v>
      </c>
      <c r="F475" s="93">
        <f t="shared" si="64"/>
        <v>0</v>
      </c>
      <c r="G475" s="93">
        <f t="shared" si="64"/>
        <v>0</v>
      </c>
      <c r="H475" s="93">
        <f t="shared" si="64"/>
        <v>0</v>
      </c>
      <c r="I475" s="93">
        <f t="shared" si="64"/>
        <v>0</v>
      </c>
      <c r="J475" s="97">
        <f t="shared" si="64"/>
        <v>0</v>
      </c>
      <c r="K475" s="93">
        <f t="shared" si="64"/>
        <v>0</v>
      </c>
      <c r="L475" s="93">
        <f t="shared" si="64"/>
        <v>0</v>
      </c>
      <c r="M475" s="93">
        <f t="shared" si="64"/>
        <v>0</v>
      </c>
      <c r="N475" s="93">
        <f t="shared" si="64"/>
        <v>0</v>
      </c>
      <c r="O475" s="93">
        <f t="shared" si="64"/>
        <v>0</v>
      </c>
      <c r="P475" s="93">
        <f t="shared" si="64"/>
        <v>0</v>
      </c>
      <c r="Q475" s="93">
        <f t="shared" si="64"/>
        <v>0</v>
      </c>
      <c r="R475" s="93">
        <f t="shared" si="64"/>
        <v>0</v>
      </c>
      <c r="S475" s="93">
        <f t="shared" si="64"/>
        <v>0</v>
      </c>
      <c r="T475" s="93">
        <f t="shared" si="64"/>
        <v>0</v>
      </c>
      <c r="U475" s="93">
        <f t="shared" si="64"/>
        <v>0</v>
      </c>
      <c r="V475" s="93">
        <f t="shared" si="64"/>
        <v>0</v>
      </c>
      <c r="W475" s="93">
        <f t="shared" si="64"/>
        <v>0</v>
      </c>
      <c r="X475" s="93">
        <f t="shared" si="64"/>
        <v>0</v>
      </c>
      <c r="Y475" s="93">
        <f t="shared" si="64"/>
        <v>0</v>
      </c>
      <c r="Z475" s="93">
        <f t="shared" si="64"/>
        <v>0</v>
      </c>
      <c r="AA475" s="93">
        <f t="shared" si="64"/>
        <v>0</v>
      </c>
      <c r="AB475" s="93">
        <f t="shared" si="64"/>
        <v>0</v>
      </c>
      <c r="AC475" s="93">
        <f t="shared" si="64"/>
        <v>0</v>
      </c>
      <c r="AD475" s="93">
        <f t="shared" si="64"/>
        <v>0</v>
      </c>
      <c r="AE475" s="93">
        <f t="shared" si="64"/>
        <v>0</v>
      </c>
      <c r="AF475" s="93">
        <f t="shared" si="64"/>
        <v>0</v>
      </c>
      <c r="AG475" s="93">
        <f t="shared" si="64"/>
        <v>0</v>
      </c>
      <c r="AH475" s="93">
        <f t="shared" si="64"/>
        <v>0</v>
      </c>
      <c r="AI475" s="91" t="s">
        <v>133</v>
      </c>
    </row>
    <row r="476" spans="2:35" x14ac:dyDescent="0.3">
      <c r="B476" s="93">
        <f t="shared" si="64"/>
        <v>0</v>
      </c>
      <c r="C476" s="93">
        <f t="shared" si="64"/>
        <v>0</v>
      </c>
      <c r="D476" s="93">
        <f t="shared" si="64"/>
        <v>0</v>
      </c>
      <c r="E476" s="93">
        <f t="shared" si="64"/>
        <v>0</v>
      </c>
      <c r="F476" s="93">
        <f t="shared" si="64"/>
        <v>0</v>
      </c>
      <c r="G476" s="93">
        <f t="shared" si="64"/>
        <v>0</v>
      </c>
      <c r="H476" s="93">
        <f t="shared" si="64"/>
        <v>0</v>
      </c>
      <c r="I476" s="93">
        <f t="shared" si="64"/>
        <v>0</v>
      </c>
      <c r="J476" s="93">
        <f t="shared" si="64"/>
        <v>0</v>
      </c>
      <c r="K476" s="97">
        <f t="shared" si="64"/>
        <v>0</v>
      </c>
      <c r="L476" s="93">
        <f t="shared" si="64"/>
        <v>0</v>
      </c>
      <c r="M476" s="93">
        <f t="shared" si="64"/>
        <v>0</v>
      </c>
      <c r="N476" s="93">
        <f t="shared" si="64"/>
        <v>0</v>
      </c>
      <c r="O476" s="93">
        <f t="shared" si="64"/>
        <v>0</v>
      </c>
      <c r="P476" s="93">
        <f t="shared" si="64"/>
        <v>0</v>
      </c>
      <c r="Q476" s="93">
        <f t="shared" si="64"/>
        <v>0</v>
      </c>
      <c r="R476" s="93">
        <f t="shared" si="64"/>
        <v>0</v>
      </c>
      <c r="S476" s="93">
        <f t="shared" si="64"/>
        <v>0</v>
      </c>
      <c r="T476" s="93">
        <f t="shared" si="64"/>
        <v>0</v>
      </c>
      <c r="U476" s="93">
        <f t="shared" si="64"/>
        <v>0</v>
      </c>
      <c r="V476" s="93">
        <f t="shared" si="64"/>
        <v>0</v>
      </c>
      <c r="W476" s="93">
        <f t="shared" si="64"/>
        <v>0</v>
      </c>
      <c r="X476" s="93">
        <f t="shared" si="64"/>
        <v>0</v>
      </c>
      <c r="Y476" s="93">
        <f t="shared" si="64"/>
        <v>0</v>
      </c>
      <c r="Z476" s="93">
        <f t="shared" si="64"/>
        <v>0</v>
      </c>
      <c r="AA476" s="93">
        <f t="shared" si="64"/>
        <v>0</v>
      </c>
      <c r="AB476" s="93">
        <f t="shared" si="64"/>
        <v>0</v>
      </c>
      <c r="AC476" s="93">
        <f t="shared" si="64"/>
        <v>0</v>
      </c>
      <c r="AD476" s="93">
        <f t="shared" si="64"/>
        <v>0</v>
      </c>
      <c r="AE476" s="93">
        <f t="shared" si="64"/>
        <v>0</v>
      </c>
      <c r="AF476" s="93">
        <f t="shared" si="64"/>
        <v>0</v>
      </c>
      <c r="AG476" s="93">
        <f t="shared" si="64"/>
        <v>0</v>
      </c>
      <c r="AH476" s="93">
        <f t="shared" si="64"/>
        <v>0</v>
      </c>
      <c r="AI476" s="91" t="s">
        <v>134</v>
      </c>
    </row>
    <row r="477" spans="2:35" x14ac:dyDescent="0.3">
      <c r="B477" s="93">
        <f t="shared" si="64"/>
        <v>0</v>
      </c>
      <c r="C477" s="93">
        <f t="shared" si="64"/>
        <v>0</v>
      </c>
      <c r="D477" s="93">
        <f t="shared" si="64"/>
        <v>0</v>
      </c>
      <c r="E477" s="93">
        <f t="shared" si="64"/>
        <v>0</v>
      </c>
      <c r="F477" s="93">
        <f t="shared" si="64"/>
        <v>0</v>
      </c>
      <c r="G477" s="93">
        <f t="shared" si="64"/>
        <v>0</v>
      </c>
      <c r="H477" s="93">
        <f t="shared" si="64"/>
        <v>0</v>
      </c>
      <c r="I477" s="93">
        <f t="shared" si="64"/>
        <v>0</v>
      </c>
      <c r="J477" s="93">
        <f t="shared" si="64"/>
        <v>0</v>
      </c>
      <c r="K477" s="93">
        <f t="shared" si="64"/>
        <v>0</v>
      </c>
      <c r="L477" s="97">
        <f t="shared" si="64"/>
        <v>0</v>
      </c>
      <c r="M477" s="93">
        <f t="shared" si="64"/>
        <v>0</v>
      </c>
      <c r="N477" s="93">
        <f t="shared" si="64"/>
        <v>0</v>
      </c>
      <c r="O477" s="93">
        <f t="shared" si="64"/>
        <v>0</v>
      </c>
      <c r="P477" s="93">
        <f t="shared" si="64"/>
        <v>0</v>
      </c>
      <c r="Q477" s="93">
        <f t="shared" si="64"/>
        <v>0</v>
      </c>
      <c r="R477" s="93">
        <f t="shared" si="64"/>
        <v>0</v>
      </c>
      <c r="S477" s="93">
        <f t="shared" si="64"/>
        <v>0</v>
      </c>
      <c r="T477" s="93">
        <f t="shared" si="64"/>
        <v>0</v>
      </c>
      <c r="U477" s="93">
        <f t="shared" si="64"/>
        <v>0</v>
      </c>
      <c r="V477" s="93">
        <f t="shared" si="64"/>
        <v>0</v>
      </c>
      <c r="W477" s="93">
        <f t="shared" si="64"/>
        <v>0</v>
      </c>
      <c r="X477" s="93">
        <f t="shared" si="64"/>
        <v>0</v>
      </c>
      <c r="Y477" s="93">
        <f t="shared" si="64"/>
        <v>0</v>
      </c>
      <c r="Z477" s="93">
        <f t="shared" si="64"/>
        <v>0</v>
      </c>
      <c r="AA477" s="93">
        <f t="shared" si="64"/>
        <v>0</v>
      </c>
      <c r="AB477" s="93">
        <f t="shared" si="64"/>
        <v>0</v>
      </c>
      <c r="AC477" s="93">
        <f t="shared" si="64"/>
        <v>0</v>
      </c>
      <c r="AD477" s="93">
        <f t="shared" si="64"/>
        <v>0</v>
      </c>
      <c r="AE477" s="93">
        <f t="shared" si="64"/>
        <v>0</v>
      </c>
      <c r="AF477" s="93">
        <f t="shared" si="64"/>
        <v>0</v>
      </c>
      <c r="AG477" s="93">
        <f t="shared" si="64"/>
        <v>0</v>
      </c>
      <c r="AH477" s="93">
        <f t="shared" si="64"/>
        <v>0</v>
      </c>
      <c r="AI477" s="91" t="s">
        <v>135</v>
      </c>
    </row>
    <row r="478" spans="2:35" x14ac:dyDescent="0.3">
      <c r="B478" s="93">
        <f t="shared" si="64"/>
        <v>0</v>
      </c>
      <c r="C478" s="93">
        <f t="shared" si="64"/>
        <v>0</v>
      </c>
      <c r="D478" s="93">
        <f t="shared" si="64"/>
        <v>0</v>
      </c>
      <c r="E478" s="93">
        <f t="shared" si="64"/>
        <v>0</v>
      </c>
      <c r="F478" s="93">
        <f t="shared" si="64"/>
        <v>0</v>
      </c>
      <c r="G478" s="93">
        <f t="shared" si="64"/>
        <v>0</v>
      </c>
      <c r="H478" s="93">
        <f t="shared" si="64"/>
        <v>0</v>
      </c>
      <c r="I478" s="93">
        <f t="shared" si="64"/>
        <v>0</v>
      </c>
      <c r="J478" s="93">
        <f t="shared" si="64"/>
        <v>0</v>
      </c>
      <c r="K478" s="93">
        <f t="shared" si="64"/>
        <v>0</v>
      </c>
      <c r="L478" s="93">
        <f t="shared" si="64"/>
        <v>0</v>
      </c>
      <c r="M478" s="97">
        <f t="shared" si="64"/>
        <v>0</v>
      </c>
      <c r="N478" s="93">
        <f t="shared" si="64"/>
        <v>0</v>
      </c>
      <c r="O478" s="93">
        <f t="shared" si="64"/>
        <v>0</v>
      </c>
      <c r="P478" s="93">
        <f t="shared" si="64"/>
        <v>0</v>
      </c>
      <c r="Q478" s="93">
        <f t="shared" si="64"/>
        <v>0</v>
      </c>
      <c r="R478" s="93">
        <f t="shared" si="64"/>
        <v>0</v>
      </c>
      <c r="S478" s="93">
        <f t="shared" si="64"/>
        <v>0</v>
      </c>
      <c r="T478" s="93">
        <f t="shared" si="64"/>
        <v>0</v>
      </c>
      <c r="U478" s="93">
        <f t="shared" si="64"/>
        <v>0</v>
      </c>
      <c r="V478" s="93">
        <f t="shared" si="64"/>
        <v>0</v>
      </c>
      <c r="W478" s="93">
        <f t="shared" si="64"/>
        <v>0</v>
      </c>
      <c r="X478" s="93">
        <f t="shared" si="64"/>
        <v>0</v>
      </c>
      <c r="Y478" s="93">
        <f t="shared" si="64"/>
        <v>0</v>
      </c>
      <c r="Z478" s="93">
        <f t="shared" si="64"/>
        <v>0</v>
      </c>
      <c r="AA478" s="93">
        <f t="shared" si="64"/>
        <v>0</v>
      </c>
      <c r="AB478" s="93">
        <f t="shared" si="64"/>
        <v>0</v>
      </c>
      <c r="AC478" s="93">
        <f t="shared" si="64"/>
        <v>0</v>
      </c>
      <c r="AD478" s="93">
        <f t="shared" si="64"/>
        <v>0</v>
      </c>
      <c r="AE478" s="93">
        <f t="shared" si="64"/>
        <v>0</v>
      </c>
      <c r="AF478" s="93">
        <f t="shared" si="64"/>
        <v>0</v>
      </c>
      <c r="AG478" s="93">
        <f t="shared" si="64"/>
        <v>0</v>
      </c>
      <c r="AH478" s="93">
        <f t="shared" si="64"/>
        <v>0</v>
      </c>
      <c r="AI478" s="91" t="s">
        <v>136</v>
      </c>
    </row>
    <row r="479" spans="2:35" x14ac:dyDescent="0.3">
      <c r="B479" s="93">
        <f t="shared" si="64"/>
        <v>0</v>
      </c>
      <c r="C479" s="93">
        <f t="shared" si="64"/>
        <v>0</v>
      </c>
      <c r="D479" s="93">
        <f t="shared" si="64"/>
        <v>0</v>
      </c>
      <c r="E479" s="93">
        <f t="shared" si="64"/>
        <v>0</v>
      </c>
      <c r="F479" s="93">
        <f t="shared" si="64"/>
        <v>0</v>
      </c>
      <c r="G479" s="93">
        <f t="shared" si="64"/>
        <v>0</v>
      </c>
      <c r="H479" s="93">
        <f t="shared" si="64"/>
        <v>0</v>
      </c>
      <c r="I479" s="93">
        <f t="shared" si="64"/>
        <v>0</v>
      </c>
      <c r="J479" s="93">
        <f t="shared" si="64"/>
        <v>0</v>
      </c>
      <c r="K479" s="93">
        <f t="shared" si="64"/>
        <v>0</v>
      </c>
      <c r="L479" s="93">
        <f t="shared" si="64"/>
        <v>0</v>
      </c>
      <c r="M479" s="93">
        <f t="shared" si="64"/>
        <v>0</v>
      </c>
      <c r="N479" s="97">
        <f t="shared" si="64"/>
        <v>0</v>
      </c>
      <c r="O479" s="93">
        <f t="shared" si="64"/>
        <v>0</v>
      </c>
      <c r="P479" s="93">
        <f t="shared" si="64"/>
        <v>0</v>
      </c>
      <c r="Q479" s="93">
        <f t="shared" si="64"/>
        <v>0</v>
      </c>
      <c r="R479" s="93">
        <f t="shared" si="64"/>
        <v>0</v>
      </c>
      <c r="S479" s="93">
        <f t="shared" si="64"/>
        <v>0</v>
      </c>
      <c r="T479" s="93">
        <f t="shared" si="64"/>
        <v>0</v>
      </c>
      <c r="U479" s="93">
        <f t="shared" si="64"/>
        <v>0</v>
      </c>
      <c r="V479" s="93">
        <f t="shared" si="64"/>
        <v>0</v>
      </c>
      <c r="W479" s="93">
        <f t="shared" si="64"/>
        <v>0</v>
      </c>
      <c r="X479" s="93">
        <f t="shared" si="64"/>
        <v>0</v>
      </c>
      <c r="Y479" s="93">
        <f t="shared" si="64"/>
        <v>0</v>
      </c>
      <c r="Z479" s="93">
        <f t="shared" si="64"/>
        <v>0</v>
      </c>
      <c r="AA479" s="93">
        <f t="shared" si="64"/>
        <v>0</v>
      </c>
      <c r="AB479" s="93">
        <f t="shared" si="64"/>
        <v>0</v>
      </c>
      <c r="AC479" s="93">
        <f t="shared" si="64"/>
        <v>0</v>
      </c>
      <c r="AD479" s="93">
        <f t="shared" si="64"/>
        <v>0</v>
      </c>
      <c r="AE479" s="93">
        <f t="shared" si="64"/>
        <v>0</v>
      </c>
      <c r="AF479" s="93">
        <f t="shared" si="64"/>
        <v>0</v>
      </c>
      <c r="AG479" s="93">
        <f t="shared" si="64"/>
        <v>0</v>
      </c>
      <c r="AH479" s="93">
        <f t="shared" si="64"/>
        <v>0</v>
      </c>
      <c r="AI479" s="91" t="s">
        <v>137</v>
      </c>
    </row>
    <row r="480" spans="2:35" x14ac:dyDescent="0.3">
      <c r="B480" s="93">
        <f t="shared" si="64"/>
        <v>0</v>
      </c>
      <c r="C480" s="93">
        <f t="shared" si="64"/>
        <v>0</v>
      </c>
      <c r="D480" s="93">
        <f t="shared" si="64"/>
        <v>0</v>
      </c>
      <c r="E480" s="93">
        <f t="shared" si="64"/>
        <v>0</v>
      </c>
      <c r="F480" s="93">
        <f t="shared" si="64"/>
        <v>0</v>
      </c>
      <c r="G480" s="93">
        <f t="shared" si="64"/>
        <v>0</v>
      </c>
      <c r="H480" s="93">
        <f t="shared" si="64"/>
        <v>0</v>
      </c>
      <c r="I480" s="93">
        <f t="shared" si="64"/>
        <v>0</v>
      </c>
      <c r="J480" s="93">
        <f t="shared" si="64"/>
        <v>0</v>
      </c>
      <c r="K480" s="93">
        <f t="shared" si="64"/>
        <v>0</v>
      </c>
      <c r="L480" s="93">
        <f t="shared" si="64"/>
        <v>0</v>
      </c>
      <c r="M480" s="93">
        <f t="shared" si="64"/>
        <v>0</v>
      </c>
      <c r="N480" s="93">
        <f t="shared" si="64"/>
        <v>0</v>
      </c>
      <c r="O480" s="97">
        <f t="shared" si="64"/>
        <v>0</v>
      </c>
      <c r="P480" s="93">
        <f t="shared" si="64"/>
        <v>0</v>
      </c>
      <c r="Q480" s="93">
        <f t="shared" si="64"/>
        <v>0</v>
      </c>
      <c r="R480" s="93">
        <f t="shared" si="64"/>
        <v>0</v>
      </c>
      <c r="S480" s="93">
        <f t="shared" si="64"/>
        <v>0</v>
      </c>
      <c r="T480" s="93">
        <f t="shared" si="64"/>
        <v>0</v>
      </c>
      <c r="U480" s="93">
        <f t="shared" si="64"/>
        <v>0</v>
      </c>
      <c r="V480" s="93">
        <f t="shared" si="64"/>
        <v>0</v>
      </c>
      <c r="W480" s="93">
        <f t="shared" si="64"/>
        <v>0</v>
      </c>
      <c r="X480" s="93">
        <f t="shared" si="64"/>
        <v>0</v>
      </c>
      <c r="Y480" s="93">
        <f t="shared" si="64"/>
        <v>0</v>
      </c>
      <c r="Z480" s="93">
        <f t="shared" si="64"/>
        <v>0</v>
      </c>
      <c r="AA480" s="93">
        <f t="shared" si="64"/>
        <v>0</v>
      </c>
      <c r="AB480" s="93">
        <f t="shared" si="64"/>
        <v>0</v>
      </c>
      <c r="AC480" s="93">
        <f t="shared" si="64"/>
        <v>0</v>
      </c>
      <c r="AD480" s="93">
        <f t="shared" si="64"/>
        <v>0</v>
      </c>
      <c r="AE480" s="93">
        <f t="shared" si="64"/>
        <v>0</v>
      </c>
      <c r="AF480" s="93">
        <f t="shared" si="64"/>
        <v>0</v>
      </c>
      <c r="AG480" s="93">
        <f t="shared" si="64"/>
        <v>0</v>
      </c>
      <c r="AH480" s="93">
        <f t="shared" si="64"/>
        <v>0</v>
      </c>
      <c r="AI480" s="91" t="s">
        <v>138</v>
      </c>
    </row>
    <row r="481" spans="1:35" x14ac:dyDescent="0.3">
      <c r="B481" s="93">
        <f t="shared" si="64"/>
        <v>0</v>
      </c>
      <c r="C481" s="93">
        <f t="shared" si="64"/>
        <v>0</v>
      </c>
      <c r="D481" s="93">
        <f t="shared" si="64"/>
        <v>0</v>
      </c>
      <c r="E481" s="93">
        <f t="shared" si="64"/>
        <v>0</v>
      </c>
      <c r="F481" s="93">
        <f t="shared" si="64"/>
        <v>0</v>
      </c>
      <c r="G481" s="93">
        <f t="shared" si="64"/>
        <v>0</v>
      </c>
      <c r="H481" s="93">
        <f t="shared" si="64"/>
        <v>0</v>
      </c>
      <c r="I481" s="93">
        <f t="shared" si="64"/>
        <v>0</v>
      </c>
      <c r="J481" s="93">
        <f t="shared" si="64"/>
        <v>0</v>
      </c>
      <c r="K481" s="93">
        <f t="shared" si="64"/>
        <v>0</v>
      </c>
      <c r="L481" s="93">
        <f t="shared" si="64"/>
        <v>0</v>
      </c>
      <c r="M481" s="93">
        <f t="shared" si="64"/>
        <v>0</v>
      </c>
      <c r="N481" s="93">
        <f t="shared" si="64"/>
        <v>0</v>
      </c>
      <c r="O481" s="93">
        <f t="shared" si="64"/>
        <v>0</v>
      </c>
      <c r="P481" s="97">
        <f t="shared" si="64"/>
        <v>0</v>
      </c>
      <c r="Q481" s="93">
        <f t="shared" si="64"/>
        <v>0</v>
      </c>
      <c r="R481" s="93">
        <f t="shared" si="64"/>
        <v>0</v>
      </c>
      <c r="S481" s="93">
        <f t="shared" si="64"/>
        <v>0</v>
      </c>
      <c r="T481" s="93">
        <f t="shared" si="64"/>
        <v>0</v>
      </c>
      <c r="U481" s="93">
        <f t="shared" si="64"/>
        <v>0</v>
      </c>
      <c r="V481" s="93">
        <f t="shared" si="64"/>
        <v>0</v>
      </c>
      <c r="W481" s="93">
        <f t="shared" si="64"/>
        <v>0</v>
      </c>
      <c r="X481" s="93">
        <f t="shared" si="64"/>
        <v>0</v>
      </c>
      <c r="Y481" s="93">
        <f t="shared" si="64"/>
        <v>0</v>
      </c>
      <c r="Z481" s="93">
        <f t="shared" si="64"/>
        <v>0</v>
      </c>
      <c r="AA481" s="93">
        <f t="shared" si="64"/>
        <v>0</v>
      </c>
      <c r="AB481" s="93">
        <f t="shared" si="64"/>
        <v>0</v>
      </c>
      <c r="AC481" s="93">
        <f t="shared" si="64"/>
        <v>0</v>
      </c>
      <c r="AD481" s="93">
        <f t="shared" si="64"/>
        <v>0</v>
      </c>
      <c r="AE481" s="93">
        <f t="shared" si="64"/>
        <v>0</v>
      </c>
      <c r="AF481" s="93">
        <f t="shared" si="64"/>
        <v>0</v>
      </c>
      <c r="AG481" s="93">
        <f t="shared" si="64"/>
        <v>0</v>
      </c>
      <c r="AH481" s="93">
        <f t="shared" si="64"/>
        <v>0</v>
      </c>
      <c r="AI481" s="91" t="s">
        <v>139</v>
      </c>
    </row>
    <row r="482" spans="1:35" x14ac:dyDescent="0.3">
      <c r="B482" s="93">
        <f t="shared" si="64"/>
        <v>0</v>
      </c>
      <c r="C482" s="93">
        <f t="shared" si="64"/>
        <v>0</v>
      </c>
      <c r="D482" s="93">
        <f t="shared" si="64"/>
        <v>0</v>
      </c>
      <c r="E482" s="93">
        <f t="shared" si="64"/>
        <v>0</v>
      </c>
      <c r="F482" s="93">
        <f t="shared" si="64"/>
        <v>0</v>
      </c>
      <c r="G482" s="93">
        <f t="shared" si="64"/>
        <v>0</v>
      </c>
      <c r="H482" s="93">
        <f t="shared" si="64"/>
        <v>0</v>
      </c>
      <c r="I482" s="93">
        <f t="shared" si="64"/>
        <v>0</v>
      </c>
      <c r="J482" s="93">
        <f t="shared" si="64"/>
        <v>0</v>
      </c>
      <c r="K482" s="93">
        <f t="shared" si="64"/>
        <v>0</v>
      </c>
      <c r="L482" s="93">
        <f t="shared" si="64"/>
        <v>0</v>
      </c>
      <c r="M482" s="93">
        <f t="shared" si="64"/>
        <v>0</v>
      </c>
      <c r="N482" s="93">
        <f t="shared" si="64"/>
        <v>0</v>
      </c>
      <c r="O482" s="93">
        <f t="shared" si="64"/>
        <v>0</v>
      </c>
      <c r="P482" s="93">
        <f t="shared" si="64"/>
        <v>0</v>
      </c>
      <c r="Q482" s="97">
        <f t="shared" si="64"/>
        <v>0</v>
      </c>
      <c r="R482" s="93">
        <f t="shared" si="64"/>
        <v>0</v>
      </c>
      <c r="S482" s="93">
        <f t="shared" si="64"/>
        <v>0</v>
      </c>
      <c r="T482" s="93">
        <f t="shared" si="64"/>
        <v>0</v>
      </c>
      <c r="U482" s="93">
        <f t="shared" si="64"/>
        <v>0</v>
      </c>
      <c r="V482" s="93">
        <f t="shared" si="64"/>
        <v>0</v>
      </c>
      <c r="W482" s="93">
        <f t="shared" si="64"/>
        <v>0</v>
      </c>
      <c r="X482" s="93">
        <f t="shared" si="64"/>
        <v>0</v>
      </c>
      <c r="Y482" s="93">
        <f t="shared" si="64"/>
        <v>0</v>
      </c>
      <c r="Z482" s="93">
        <f t="shared" ref="Z482:BF482" si="65">Z58+Z101+Z144+Z187+Z230+Z273+Z316+Z359+Z402+Z445</f>
        <v>0</v>
      </c>
      <c r="AA482" s="93">
        <f t="shared" si="65"/>
        <v>0</v>
      </c>
      <c r="AB482" s="93">
        <f t="shared" si="65"/>
        <v>0</v>
      </c>
      <c r="AC482" s="93">
        <f t="shared" si="65"/>
        <v>0</v>
      </c>
      <c r="AD482" s="93">
        <f t="shared" si="65"/>
        <v>0</v>
      </c>
      <c r="AE482" s="93">
        <f t="shared" si="65"/>
        <v>0</v>
      </c>
      <c r="AF482" s="93">
        <f t="shared" si="65"/>
        <v>0</v>
      </c>
      <c r="AG482" s="93">
        <f t="shared" si="65"/>
        <v>0</v>
      </c>
      <c r="AH482" s="93">
        <f t="shared" si="65"/>
        <v>0</v>
      </c>
      <c r="AI482" s="91" t="s">
        <v>140</v>
      </c>
    </row>
    <row r="483" spans="1:35" x14ac:dyDescent="0.3">
      <c r="A483" s="94" t="s">
        <v>266</v>
      </c>
      <c r="B483" s="93">
        <f t="shared" ref="B483:AH490" si="66">B59+B102+B145+B188+B231+B274+B317+B360+B403+B446</f>
        <v>0</v>
      </c>
      <c r="C483" s="93">
        <f t="shared" si="66"/>
        <v>0</v>
      </c>
      <c r="D483" s="93">
        <f t="shared" si="66"/>
        <v>0</v>
      </c>
      <c r="E483" s="93">
        <f t="shared" si="66"/>
        <v>0</v>
      </c>
      <c r="F483" s="93">
        <f t="shared" si="66"/>
        <v>0</v>
      </c>
      <c r="G483" s="93">
        <f t="shared" si="66"/>
        <v>0</v>
      </c>
      <c r="H483" s="93">
        <f t="shared" si="66"/>
        <v>0</v>
      </c>
      <c r="I483" s="93">
        <f t="shared" si="66"/>
        <v>0</v>
      </c>
      <c r="J483" s="93">
        <f t="shared" si="66"/>
        <v>0</v>
      </c>
      <c r="K483" s="93">
        <f t="shared" si="66"/>
        <v>0</v>
      </c>
      <c r="L483" s="93">
        <f t="shared" si="66"/>
        <v>0</v>
      </c>
      <c r="M483" s="93">
        <f t="shared" si="66"/>
        <v>0</v>
      </c>
      <c r="N483" s="93">
        <f t="shared" si="66"/>
        <v>0</v>
      </c>
      <c r="O483" s="93">
        <f t="shared" si="66"/>
        <v>0</v>
      </c>
      <c r="P483" s="93">
        <f t="shared" si="66"/>
        <v>0</v>
      </c>
      <c r="Q483" s="93">
        <f t="shared" si="66"/>
        <v>0</v>
      </c>
      <c r="R483" s="97">
        <f t="shared" si="66"/>
        <v>0</v>
      </c>
      <c r="S483" s="93">
        <f t="shared" si="66"/>
        <v>0</v>
      </c>
      <c r="T483" s="93">
        <f t="shared" si="66"/>
        <v>0</v>
      </c>
      <c r="U483" s="93">
        <f t="shared" si="66"/>
        <v>0</v>
      </c>
      <c r="V483" s="93">
        <f t="shared" si="66"/>
        <v>0</v>
      </c>
      <c r="W483" s="93">
        <f t="shared" si="66"/>
        <v>0</v>
      </c>
      <c r="X483" s="93">
        <f t="shared" si="66"/>
        <v>0</v>
      </c>
      <c r="Y483" s="93">
        <f t="shared" si="66"/>
        <v>0</v>
      </c>
      <c r="Z483" s="93">
        <f t="shared" si="66"/>
        <v>0</v>
      </c>
      <c r="AA483" s="93">
        <f t="shared" si="66"/>
        <v>0</v>
      </c>
      <c r="AB483" s="93">
        <f t="shared" si="66"/>
        <v>0</v>
      </c>
      <c r="AC483" s="93">
        <f t="shared" si="66"/>
        <v>0</v>
      </c>
      <c r="AD483" s="93">
        <f t="shared" si="66"/>
        <v>0</v>
      </c>
      <c r="AE483" s="93">
        <f t="shared" si="66"/>
        <v>0</v>
      </c>
      <c r="AF483" s="93">
        <f t="shared" si="66"/>
        <v>0</v>
      </c>
      <c r="AG483" s="93">
        <f t="shared" si="66"/>
        <v>0</v>
      </c>
      <c r="AH483" s="93">
        <f t="shared" si="66"/>
        <v>0</v>
      </c>
      <c r="AI483" s="91" t="s">
        <v>141</v>
      </c>
    </row>
    <row r="484" spans="1:35" x14ac:dyDescent="0.3">
      <c r="B484" s="93">
        <f t="shared" si="66"/>
        <v>0</v>
      </c>
      <c r="C484" s="93">
        <f t="shared" si="66"/>
        <v>0</v>
      </c>
      <c r="D484" s="93">
        <f t="shared" si="66"/>
        <v>0</v>
      </c>
      <c r="E484" s="93">
        <f t="shared" si="66"/>
        <v>0</v>
      </c>
      <c r="F484" s="93">
        <f t="shared" si="66"/>
        <v>0</v>
      </c>
      <c r="G484" s="93">
        <f t="shared" si="66"/>
        <v>0</v>
      </c>
      <c r="H484" s="93">
        <f t="shared" si="66"/>
        <v>0</v>
      </c>
      <c r="I484" s="93">
        <f t="shared" si="66"/>
        <v>0</v>
      </c>
      <c r="J484" s="93">
        <f t="shared" si="66"/>
        <v>0</v>
      </c>
      <c r="K484" s="93">
        <f t="shared" si="66"/>
        <v>0</v>
      </c>
      <c r="L484" s="93">
        <f t="shared" si="66"/>
        <v>0</v>
      </c>
      <c r="M484" s="93">
        <f t="shared" si="66"/>
        <v>0</v>
      </c>
      <c r="N484" s="93">
        <f t="shared" si="66"/>
        <v>0</v>
      </c>
      <c r="O484" s="93">
        <f t="shared" si="66"/>
        <v>0</v>
      </c>
      <c r="P484" s="93">
        <f t="shared" si="66"/>
        <v>0</v>
      </c>
      <c r="Q484" s="93">
        <f t="shared" si="66"/>
        <v>0</v>
      </c>
      <c r="R484" s="93">
        <f t="shared" si="66"/>
        <v>0</v>
      </c>
      <c r="S484" s="97">
        <f t="shared" si="66"/>
        <v>0</v>
      </c>
      <c r="T484" s="93">
        <f t="shared" si="66"/>
        <v>0</v>
      </c>
      <c r="U484" s="93">
        <f t="shared" si="66"/>
        <v>0</v>
      </c>
      <c r="V484" s="93">
        <f t="shared" si="66"/>
        <v>0</v>
      </c>
      <c r="W484" s="93">
        <f t="shared" si="66"/>
        <v>0</v>
      </c>
      <c r="X484" s="93">
        <f t="shared" si="66"/>
        <v>0</v>
      </c>
      <c r="Y484" s="93">
        <f t="shared" si="66"/>
        <v>0</v>
      </c>
      <c r="Z484" s="93">
        <f t="shared" si="66"/>
        <v>0</v>
      </c>
      <c r="AA484" s="93">
        <f t="shared" si="66"/>
        <v>0</v>
      </c>
      <c r="AB484" s="93">
        <f t="shared" si="66"/>
        <v>0</v>
      </c>
      <c r="AC484" s="93">
        <f t="shared" si="66"/>
        <v>0</v>
      </c>
      <c r="AD484" s="93">
        <f t="shared" si="66"/>
        <v>0</v>
      </c>
      <c r="AE484" s="93">
        <f t="shared" si="66"/>
        <v>0</v>
      </c>
      <c r="AF484" s="93">
        <f t="shared" si="66"/>
        <v>0</v>
      </c>
      <c r="AG484" s="93">
        <f t="shared" si="66"/>
        <v>0</v>
      </c>
      <c r="AH484" s="93">
        <f t="shared" si="66"/>
        <v>0</v>
      </c>
      <c r="AI484" s="91" t="s">
        <v>142</v>
      </c>
    </row>
    <row r="485" spans="1:35" x14ac:dyDescent="0.3">
      <c r="B485" s="93">
        <f t="shared" si="66"/>
        <v>0</v>
      </c>
      <c r="C485" s="93">
        <f t="shared" si="66"/>
        <v>0</v>
      </c>
      <c r="D485" s="93">
        <f t="shared" si="66"/>
        <v>0</v>
      </c>
      <c r="E485" s="93">
        <f t="shared" si="66"/>
        <v>0</v>
      </c>
      <c r="F485" s="93">
        <f t="shared" si="66"/>
        <v>0</v>
      </c>
      <c r="G485" s="93">
        <f t="shared" si="66"/>
        <v>0</v>
      </c>
      <c r="H485" s="93">
        <f t="shared" si="66"/>
        <v>0</v>
      </c>
      <c r="I485" s="93">
        <f t="shared" si="66"/>
        <v>0</v>
      </c>
      <c r="J485" s="93">
        <f t="shared" si="66"/>
        <v>0</v>
      </c>
      <c r="K485" s="93">
        <f t="shared" si="66"/>
        <v>0</v>
      </c>
      <c r="L485" s="93">
        <f t="shared" si="66"/>
        <v>0</v>
      </c>
      <c r="M485" s="93">
        <f t="shared" si="66"/>
        <v>0</v>
      </c>
      <c r="N485" s="93">
        <f t="shared" si="66"/>
        <v>0</v>
      </c>
      <c r="O485" s="93">
        <f t="shared" si="66"/>
        <v>0</v>
      </c>
      <c r="P485" s="93">
        <f t="shared" si="66"/>
        <v>0</v>
      </c>
      <c r="Q485" s="93">
        <f t="shared" si="66"/>
        <v>0</v>
      </c>
      <c r="R485" s="93">
        <f t="shared" si="66"/>
        <v>0</v>
      </c>
      <c r="S485" s="93">
        <f t="shared" si="66"/>
        <v>0</v>
      </c>
      <c r="T485" s="97">
        <f t="shared" si="66"/>
        <v>0</v>
      </c>
      <c r="U485" s="93">
        <f t="shared" si="66"/>
        <v>0</v>
      </c>
      <c r="V485" s="93">
        <f t="shared" si="66"/>
        <v>0</v>
      </c>
      <c r="W485" s="93">
        <f t="shared" si="66"/>
        <v>0</v>
      </c>
      <c r="X485" s="93">
        <f t="shared" si="66"/>
        <v>0</v>
      </c>
      <c r="Y485" s="93">
        <f t="shared" si="66"/>
        <v>0</v>
      </c>
      <c r="Z485" s="93">
        <f t="shared" si="66"/>
        <v>0</v>
      </c>
      <c r="AA485" s="93">
        <f t="shared" si="66"/>
        <v>0</v>
      </c>
      <c r="AB485" s="93">
        <f t="shared" si="66"/>
        <v>0</v>
      </c>
      <c r="AC485" s="93">
        <f t="shared" si="66"/>
        <v>0</v>
      </c>
      <c r="AD485" s="93">
        <f t="shared" si="66"/>
        <v>0</v>
      </c>
      <c r="AE485" s="93">
        <f t="shared" si="66"/>
        <v>0</v>
      </c>
      <c r="AF485" s="93">
        <f t="shared" si="66"/>
        <v>0</v>
      </c>
      <c r="AG485" s="93">
        <f t="shared" si="66"/>
        <v>0</v>
      </c>
      <c r="AH485" s="93">
        <f t="shared" si="66"/>
        <v>0</v>
      </c>
      <c r="AI485" s="91" t="s">
        <v>143</v>
      </c>
    </row>
    <row r="486" spans="1:35" x14ac:dyDescent="0.3">
      <c r="B486" s="93">
        <f t="shared" si="66"/>
        <v>0</v>
      </c>
      <c r="C486" s="93">
        <f t="shared" si="66"/>
        <v>0</v>
      </c>
      <c r="D486" s="93">
        <f t="shared" si="66"/>
        <v>0</v>
      </c>
      <c r="E486" s="93">
        <f t="shared" si="66"/>
        <v>0</v>
      </c>
      <c r="F486" s="93">
        <f t="shared" si="66"/>
        <v>0</v>
      </c>
      <c r="G486" s="93">
        <f t="shared" si="66"/>
        <v>0</v>
      </c>
      <c r="H486" s="93">
        <f t="shared" si="66"/>
        <v>0</v>
      </c>
      <c r="I486" s="93">
        <f t="shared" si="66"/>
        <v>0</v>
      </c>
      <c r="J486" s="93">
        <f t="shared" si="66"/>
        <v>0</v>
      </c>
      <c r="K486" s="93">
        <f t="shared" si="66"/>
        <v>0</v>
      </c>
      <c r="L486" s="93">
        <f t="shared" si="66"/>
        <v>0</v>
      </c>
      <c r="M486" s="93">
        <f t="shared" si="66"/>
        <v>0</v>
      </c>
      <c r="N486" s="93">
        <f t="shared" si="66"/>
        <v>0</v>
      </c>
      <c r="O486" s="93">
        <f t="shared" si="66"/>
        <v>0</v>
      </c>
      <c r="P486" s="93">
        <f t="shared" si="66"/>
        <v>0</v>
      </c>
      <c r="Q486" s="93">
        <f t="shared" si="66"/>
        <v>0</v>
      </c>
      <c r="R486" s="93">
        <f t="shared" si="66"/>
        <v>0</v>
      </c>
      <c r="S486" s="93">
        <f t="shared" si="66"/>
        <v>0</v>
      </c>
      <c r="T486" s="93">
        <f t="shared" si="66"/>
        <v>0</v>
      </c>
      <c r="U486" s="97">
        <f t="shared" si="66"/>
        <v>0</v>
      </c>
      <c r="V486" s="93">
        <f t="shared" si="66"/>
        <v>0</v>
      </c>
      <c r="W486" s="93">
        <f t="shared" si="66"/>
        <v>0</v>
      </c>
      <c r="X486" s="93">
        <f t="shared" si="66"/>
        <v>0</v>
      </c>
      <c r="Y486" s="93">
        <f t="shared" si="66"/>
        <v>0</v>
      </c>
      <c r="Z486" s="93">
        <f t="shared" si="66"/>
        <v>0</v>
      </c>
      <c r="AA486" s="93">
        <f t="shared" si="66"/>
        <v>0</v>
      </c>
      <c r="AB486" s="93">
        <f t="shared" si="66"/>
        <v>0</v>
      </c>
      <c r="AC486" s="93">
        <f t="shared" si="66"/>
        <v>0</v>
      </c>
      <c r="AD486" s="93">
        <f t="shared" si="66"/>
        <v>0</v>
      </c>
      <c r="AE486" s="93">
        <f t="shared" si="66"/>
        <v>0</v>
      </c>
      <c r="AF486" s="93">
        <f t="shared" si="66"/>
        <v>0</v>
      </c>
      <c r="AG486" s="93">
        <f t="shared" si="66"/>
        <v>0</v>
      </c>
      <c r="AH486" s="93">
        <f t="shared" si="66"/>
        <v>0</v>
      </c>
      <c r="AI486" s="91" t="s">
        <v>144</v>
      </c>
    </row>
    <row r="487" spans="1:35" x14ac:dyDescent="0.3">
      <c r="B487" s="93">
        <f t="shared" si="66"/>
        <v>0</v>
      </c>
      <c r="C487" s="93">
        <f t="shared" si="66"/>
        <v>0</v>
      </c>
      <c r="D487" s="93">
        <f t="shared" si="66"/>
        <v>0</v>
      </c>
      <c r="E487" s="93">
        <f t="shared" si="66"/>
        <v>0</v>
      </c>
      <c r="F487" s="93">
        <f t="shared" si="66"/>
        <v>0</v>
      </c>
      <c r="G487" s="93">
        <f t="shared" si="66"/>
        <v>0</v>
      </c>
      <c r="H487" s="93">
        <f t="shared" si="66"/>
        <v>0</v>
      </c>
      <c r="I487" s="93">
        <f t="shared" si="66"/>
        <v>0</v>
      </c>
      <c r="J487" s="93">
        <f t="shared" si="66"/>
        <v>0</v>
      </c>
      <c r="K487" s="93">
        <f t="shared" si="66"/>
        <v>0</v>
      </c>
      <c r="L487" s="93">
        <f t="shared" si="66"/>
        <v>0</v>
      </c>
      <c r="M487" s="93">
        <f t="shared" si="66"/>
        <v>0</v>
      </c>
      <c r="N487" s="93">
        <f t="shared" si="66"/>
        <v>0</v>
      </c>
      <c r="O487" s="93">
        <f t="shared" si="66"/>
        <v>0</v>
      </c>
      <c r="P487" s="93">
        <f t="shared" si="66"/>
        <v>0</v>
      </c>
      <c r="Q487" s="93">
        <f t="shared" si="66"/>
        <v>0</v>
      </c>
      <c r="R487" s="93">
        <f t="shared" si="66"/>
        <v>0</v>
      </c>
      <c r="S487" s="93">
        <f t="shared" si="66"/>
        <v>0</v>
      </c>
      <c r="T487" s="93">
        <f t="shared" si="66"/>
        <v>0</v>
      </c>
      <c r="U487" s="93">
        <f t="shared" si="66"/>
        <v>0</v>
      </c>
      <c r="V487" s="97">
        <f t="shared" si="66"/>
        <v>0</v>
      </c>
      <c r="W487" s="93">
        <f t="shared" si="66"/>
        <v>0</v>
      </c>
      <c r="X487" s="93">
        <f t="shared" si="66"/>
        <v>0</v>
      </c>
      <c r="Y487" s="93">
        <f t="shared" si="66"/>
        <v>0</v>
      </c>
      <c r="Z487" s="93">
        <f t="shared" si="66"/>
        <v>0</v>
      </c>
      <c r="AA487" s="93">
        <f t="shared" si="66"/>
        <v>0</v>
      </c>
      <c r="AB487" s="93">
        <f t="shared" si="66"/>
        <v>0</v>
      </c>
      <c r="AC487" s="93">
        <f t="shared" si="66"/>
        <v>0</v>
      </c>
      <c r="AD487" s="93">
        <f t="shared" si="66"/>
        <v>0</v>
      </c>
      <c r="AE487" s="93">
        <f t="shared" si="66"/>
        <v>0</v>
      </c>
      <c r="AF487" s="93">
        <f t="shared" si="66"/>
        <v>0</v>
      </c>
      <c r="AG487" s="93">
        <f t="shared" si="66"/>
        <v>0</v>
      </c>
      <c r="AH487" s="93">
        <f t="shared" si="66"/>
        <v>0</v>
      </c>
      <c r="AI487" s="91" t="s">
        <v>145</v>
      </c>
    </row>
    <row r="488" spans="1:35" x14ac:dyDescent="0.3">
      <c r="B488" s="93">
        <f t="shared" si="66"/>
        <v>0</v>
      </c>
      <c r="C488" s="93">
        <f t="shared" si="66"/>
        <v>0</v>
      </c>
      <c r="D488" s="93">
        <f t="shared" si="66"/>
        <v>0</v>
      </c>
      <c r="E488" s="93">
        <f t="shared" si="66"/>
        <v>0</v>
      </c>
      <c r="F488" s="93">
        <f t="shared" si="66"/>
        <v>0</v>
      </c>
      <c r="G488" s="93">
        <f t="shared" si="66"/>
        <v>0</v>
      </c>
      <c r="H488" s="93">
        <f t="shared" si="66"/>
        <v>0</v>
      </c>
      <c r="I488" s="93">
        <f t="shared" si="66"/>
        <v>0</v>
      </c>
      <c r="J488" s="93">
        <f t="shared" si="66"/>
        <v>0</v>
      </c>
      <c r="K488" s="93">
        <f t="shared" si="66"/>
        <v>0</v>
      </c>
      <c r="L488" s="93">
        <f t="shared" si="66"/>
        <v>0</v>
      </c>
      <c r="M488" s="93">
        <f t="shared" si="66"/>
        <v>0</v>
      </c>
      <c r="N488" s="93">
        <f t="shared" si="66"/>
        <v>0</v>
      </c>
      <c r="O488" s="93">
        <f t="shared" si="66"/>
        <v>0</v>
      </c>
      <c r="P488" s="93">
        <f t="shared" si="66"/>
        <v>0</v>
      </c>
      <c r="Q488" s="93">
        <f t="shared" si="66"/>
        <v>0</v>
      </c>
      <c r="R488" s="93">
        <f t="shared" si="66"/>
        <v>0</v>
      </c>
      <c r="S488" s="93">
        <f t="shared" si="66"/>
        <v>0</v>
      </c>
      <c r="T488" s="93">
        <f t="shared" si="66"/>
        <v>0</v>
      </c>
      <c r="U488" s="93">
        <f t="shared" si="66"/>
        <v>0</v>
      </c>
      <c r="V488" s="93">
        <f t="shared" si="66"/>
        <v>0</v>
      </c>
      <c r="W488" s="97">
        <f t="shared" si="66"/>
        <v>0</v>
      </c>
      <c r="X488" s="93">
        <f t="shared" si="66"/>
        <v>0</v>
      </c>
      <c r="Y488" s="93">
        <f t="shared" si="66"/>
        <v>0</v>
      </c>
      <c r="Z488" s="93">
        <f t="shared" si="66"/>
        <v>0</v>
      </c>
      <c r="AA488" s="93">
        <f t="shared" si="66"/>
        <v>0</v>
      </c>
      <c r="AB488" s="93">
        <f t="shared" si="66"/>
        <v>0</v>
      </c>
      <c r="AC488" s="93">
        <f t="shared" si="66"/>
        <v>0</v>
      </c>
      <c r="AD488" s="93">
        <f t="shared" si="66"/>
        <v>0</v>
      </c>
      <c r="AE488" s="93">
        <f t="shared" si="66"/>
        <v>0</v>
      </c>
      <c r="AF488" s="93">
        <f t="shared" si="66"/>
        <v>0</v>
      </c>
      <c r="AG488" s="93">
        <f t="shared" si="66"/>
        <v>0</v>
      </c>
      <c r="AH488" s="93">
        <f t="shared" si="66"/>
        <v>0</v>
      </c>
      <c r="AI488" s="91" t="s">
        <v>146</v>
      </c>
    </row>
    <row r="489" spans="1:35" x14ac:dyDescent="0.3">
      <c r="B489" s="93">
        <f t="shared" si="66"/>
        <v>0</v>
      </c>
      <c r="C489" s="93">
        <f t="shared" si="66"/>
        <v>0</v>
      </c>
      <c r="D489" s="93">
        <f t="shared" si="66"/>
        <v>0</v>
      </c>
      <c r="E489" s="93">
        <f t="shared" si="66"/>
        <v>0</v>
      </c>
      <c r="F489" s="93">
        <f t="shared" si="66"/>
        <v>0</v>
      </c>
      <c r="G489" s="93">
        <f t="shared" si="66"/>
        <v>0</v>
      </c>
      <c r="H489" s="93">
        <f t="shared" si="66"/>
        <v>0</v>
      </c>
      <c r="I489" s="93">
        <f t="shared" si="66"/>
        <v>0</v>
      </c>
      <c r="J489" s="93">
        <f t="shared" si="66"/>
        <v>0</v>
      </c>
      <c r="K489" s="93">
        <f t="shared" si="66"/>
        <v>0</v>
      </c>
      <c r="L489" s="93">
        <f t="shared" si="66"/>
        <v>0</v>
      </c>
      <c r="M489" s="93">
        <f t="shared" si="66"/>
        <v>0</v>
      </c>
      <c r="N489" s="93">
        <f t="shared" si="66"/>
        <v>0</v>
      </c>
      <c r="O489" s="93">
        <f t="shared" si="66"/>
        <v>0</v>
      </c>
      <c r="P489" s="93">
        <f t="shared" si="66"/>
        <v>0</v>
      </c>
      <c r="Q489" s="93">
        <f t="shared" si="66"/>
        <v>0</v>
      </c>
      <c r="R489" s="93">
        <f t="shared" si="66"/>
        <v>0</v>
      </c>
      <c r="S489" s="93">
        <f t="shared" si="66"/>
        <v>0</v>
      </c>
      <c r="T489" s="93">
        <f t="shared" si="66"/>
        <v>0</v>
      </c>
      <c r="U489" s="93">
        <f t="shared" si="66"/>
        <v>0</v>
      </c>
      <c r="V489" s="93">
        <f t="shared" si="66"/>
        <v>0</v>
      </c>
      <c r="W489" s="93">
        <f t="shared" si="66"/>
        <v>0</v>
      </c>
      <c r="X489" s="97">
        <f t="shared" si="66"/>
        <v>0</v>
      </c>
      <c r="Y489" s="93">
        <f t="shared" si="66"/>
        <v>0</v>
      </c>
      <c r="Z489" s="93">
        <f t="shared" si="66"/>
        <v>0</v>
      </c>
      <c r="AA489" s="93">
        <f t="shared" si="66"/>
        <v>0</v>
      </c>
      <c r="AB489" s="93">
        <f t="shared" si="66"/>
        <v>0</v>
      </c>
      <c r="AC489" s="93">
        <f t="shared" si="66"/>
        <v>0</v>
      </c>
      <c r="AD489" s="93">
        <f t="shared" si="66"/>
        <v>0</v>
      </c>
      <c r="AE489" s="93">
        <f t="shared" si="66"/>
        <v>0</v>
      </c>
      <c r="AF489" s="93">
        <f t="shared" si="66"/>
        <v>0</v>
      </c>
      <c r="AG489" s="93">
        <f t="shared" si="66"/>
        <v>0</v>
      </c>
      <c r="AH489" s="93">
        <f t="shared" si="66"/>
        <v>0</v>
      </c>
      <c r="AI489" s="91" t="s">
        <v>147</v>
      </c>
    </row>
    <row r="490" spans="1:35" x14ac:dyDescent="0.3">
      <c r="B490" s="93">
        <f t="shared" si="66"/>
        <v>0</v>
      </c>
      <c r="C490" s="93">
        <f t="shared" si="66"/>
        <v>0</v>
      </c>
      <c r="D490" s="93">
        <f t="shared" si="66"/>
        <v>0</v>
      </c>
      <c r="E490" s="93">
        <f t="shared" si="66"/>
        <v>0</v>
      </c>
      <c r="F490" s="93">
        <f t="shared" si="66"/>
        <v>0</v>
      </c>
      <c r="G490" s="93">
        <f t="shared" si="66"/>
        <v>0</v>
      </c>
      <c r="H490" s="93">
        <f t="shared" si="66"/>
        <v>0</v>
      </c>
      <c r="I490" s="93">
        <f t="shared" si="66"/>
        <v>0</v>
      </c>
      <c r="J490" s="93">
        <f t="shared" si="66"/>
        <v>0</v>
      </c>
      <c r="K490" s="93">
        <f t="shared" si="66"/>
        <v>0</v>
      </c>
      <c r="L490" s="93">
        <f t="shared" si="66"/>
        <v>0</v>
      </c>
      <c r="M490" s="93">
        <f t="shared" si="66"/>
        <v>0</v>
      </c>
      <c r="N490" s="93">
        <f t="shared" si="66"/>
        <v>0</v>
      </c>
      <c r="O490" s="93">
        <f t="shared" si="66"/>
        <v>0</v>
      </c>
      <c r="P490" s="93">
        <f t="shared" si="66"/>
        <v>0</v>
      </c>
      <c r="Q490" s="93">
        <f t="shared" si="66"/>
        <v>0</v>
      </c>
      <c r="R490" s="93">
        <f t="shared" si="66"/>
        <v>0</v>
      </c>
      <c r="S490" s="93">
        <f t="shared" si="66"/>
        <v>0</v>
      </c>
      <c r="T490" s="93">
        <f t="shared" si="66"/>
        <v>0</v>
      </c>
      <c r="U490" s="93">
        <f t="shared" si="66"/>
        <v>0</v>
      </c>
      <c r="V490" s="93">
        <f t="shared" si="66"/>
        <v>0</v>
      </c>
      <c r="W490" s="93">
        <f t="shared" si="66"/>
        <v>0</v>
      </c>
      <c r="X490" s="93">
        <f t="shared" si="66"/>
        <v>0</v>
      </c>
      <c r="Y490" s="97">
        <f t="shared" si="66"/>
        <v>0</v>
      </c>
      <c r="Z490" s="93">
        <f t="shared" ref="Z490:BF490" si="67">Z66+Z109+Z152+Z195+Z238+Z281+Z324+Z367+Z410+Z453</f>
        <v>0</v>
      </c>
      <c r="AA490" s="93">
        <f t="shared" si="67"/>
        <v>0</v>
      </c>
      <c r="AB490" s="93">
        <f t="shared" si="67"/>
        <v>0</v>
      </c>
      <c r="AC490" s="93">
        <f t="shared" si="67"/>
        <v>0</v>
      </c>
      <c r="AD490" s="93">
        <f t="shared" si="67"/>
        <v>0</v>
      </c>
      <c r="AE490" s="93">
        <f t="shared" si="67"/>
        <v>0</v>
      </c>
      <c r="AF490" s="93">
        <f t="shared" si="67"/>
        <v>0</v>
      </c>
      <c r="AG490" s="93">
        <f t="shared" si="67"/>
        <v>0</v>
      </c>
      <c r="AH490" s="93">
        <f t="shared" si="67"/>
        <v>0</v>
      </c>
      <c r="AI490" s="91" t="s">
        <v>148</v>
      </c>
    </row>
    <row r="491" spans="1:35" x14ac:dyDescent="0.3">
      <c r="B491" s="93">
        <f t="shared" ref="B491:AH498" si="68">B67+B110+B153+B196+B239+B282+B325+B368+B411+B454</f>
        <v>0</v>
      </c>
      <c r="C491" s="93">
        <f t="shared" si="68"/>
        <v>0</v>
      </c>
      <c r="D491" s="93">
        <f t="shared" si="68"/>
        <v>0</v>
      </c>
      <c r="E491" s="93">
        <f t="shared" si="68"/>
        <v>0</v>
      </c>
      <c r="F491" s="93">
        <f t="shared" si="68"/>
        <v>0</v>
      </c>
      <c r="G491" s="93">
        <f t="shared" si="68"/>
        <v>0</v>
      </c>
      <c r="H491" s="93">
        <f t="shared" si="68"/>
        <v>0</v>
      </c>
      <c r="I491" s="93">
        <f t="shared" si="68"/>
        <v>0</v>
      </c>
      <c r="J491" s="93">
        <f t="shared" si="68"/>
        <v>0</v>
      </c>
      <c r="K491" s="93">
        <f t="shared" si="68"/>
        <v>0</v>
      </c>
      <c r="L491" s="93">
        <f t="shared" si="68"/>
        <v>0</v>
      </c>
      <c r="M491" s="93">
        <f t="shared" si="68"/>
        <v>0</v>
      </c>
      <c r="N491" s="93">
        <f t="shared" si="68"/>
        <v>0</v>
      </c>
      <c r="O491" s="93">
        <f t="shared" si="68"/>
        <v>0</v>
      </c>
      <c r="P491" s="93">
        <f t="shared" si="68"/>
        <v>0</v>
      </c>
      <c r="Q491" s="93">
        <f t="shared" si="68"/>
        <v>0</v>
      </c>
      <c r="R491" s="93">
        <f t="shared" si="68"/>
        <v>0</v>
      </c>
      <c r="S491" s="93">
        <f t="shared" si="68"/>
        <v>0</v>
      </c>
      <c r="T491" s="93">
        <f t="shared" si="68"/>
        <v>0</v>
      </c>
      <c r="U491" s="93">
        <f t="shared" si="68"/>
        <v>0</v>
      </c>
      <c r="V491" s="93">
        <f t="shared" si="68"/>
        <v>0</v>
      </c>
      <c r="W491" s="93">
        <f t="shared" si="68"/>
        <v>0</v>
      </c>
      <c r="X491" s="93">
        <f t="shared" si="68"/>
        <v>0</v>
      </c>
      <c r="Y491" s="93">
        <f t="shared" si="68"/>
        <v>0</v>
      </c>
      <c r="Z491" s="97">
        <f t="shared" si="68"/>
        <v>0</v>
      </c>
      <c r="AA491" s="93">
        <f t="shared" si="68"/>
        <v>0</v>
      </c>
      <c r="AB491" s="93">
        <f t="shared" si="68"/>
        <v>0</v>
      </c>
      <c r="AC491" s="93">
        <f t="shared" si="68"/>
        <v>0</v>
      </c>
      <c r="AD491" s="93">
        <f t="shared" si="68"/>
        <v>0</v>
      </c>
      <c r="AE491" s="93">
        <f t="shared" si="68"/>
        <v>0</v>
      </c>
      <c r="AF491" s="93">
        <f t="shared" si="68"/>
        <v>0</v>
      </c>
      <c r="AG491" s="93">
        <f t="shared" si="68"/>
        <v>0</v>
      </c>
      <c r="AH491" s="93">
        <f t="shared" si="68"/>
        <v>0</v>
      </c>
      <c r="AI491" s="91" t="s">
        <v>149</v>
      </c>
    </row>
    <row r="492" spans="1:35" x14ac:dyDescent="0.3">
      <c r="B492" s="93">
        <f t="shared" si="68"/>
        <v>0</v>
      </c>
      <c r="C492" s="93">
        <f t="shared" si="68"/>
        <v>0</v>
      </c>
      <c r="D492" s="93">
        <f t="shared" si="68"/>
        <v>0</v>
      </c>
      <c r="E492" s="93">
        <f t="shared" si="68"/>
        <v>0</v>
      </c>
      <c r="F492" s="93">
        <f t="shared" si="68"/>
        <v>0</v>
      </c>
      <c r="G492" s="93">
        <f t="shared" si="68"/>
        <v>0</v>
      </c>
      <c r="H492" s="93">
        <f t="shared" si="68"/>
        <v>0</v>
      </c>
      <c r="I492" s="93">
        <f t="shared" si="68"/>
        <v>0</v>
      </c>
      <c r="J492" s="93">
        <f t="shared" si="68"/>
        <v>0</v>
      </c>
      <c r="K492" s="93">
        <f t="shared" si="68"/>
        <v>0</v>
      </c>
      <c r="L492" s="93">
        <f t="shared" si="68"/>
        <v>0</v>
      </c>
      <c r="M492" s="93">
        <f t="shared" si="68"/>
        <v>0</v>
      </c>
      <c r="N492" s="93">
        <f t="shared" si="68"/>
        <v>0</v>
      </c>
      <c r="O492" s="93">
        <f t="shared" si="68"/>
        <v>0</v>
      </c>
      <c r="P492" s="93">
        <f t="shared" si="68"/>
        <v>0</v>
      </c>
      <c r="Q492" s="93">
        <f t="shared" si="68"/>
        <v>0</v>
      </c>
      <c r="R492" s="93">
        <f t="shared" si="68"/>
        <v>0</v>
      </c>
      <c r="S492" s="93">
        <f t="shared" si="68"/>
        <v>0</v>
      </c>
      <c r="T492" s="93">
        <f t="shared" si="68"/>
        <v>0</v>
      </c>
      <c r="U492" s="93">
        <f t="shared" si="68"/>
        <v>0</v>
      </c>
      <c r="V492" s="93">
        <f t="shared" si="68"/>
        <v>0</v>
      </c>
      <c r="W492" s="93">
        <f t="shared" si="68"/>
        <v>0</v>
      </c>
      <c r="X492" s="93">
        <f t="shared" si="68"/>
        <v>0</v>
      </c>
      <c r="Y492" s="93">
        <f t="shared" si="68"/>
        <v>0</v>
      </c>
      <c r="Z492" s="93">
        <f t="shared" si="68"/>
        <v>0</v>
      </c>
      <c r="AA492" s="97">
        <f t="shared" si="68"/>
        <v>0</v>
      </c>
      <c r="AB492" s="93">
        <f t="shared" si="68"/>
        <v>0</v>
      </c>
      <c r="AC492" s="93">
        <f t="shared" si="68"/>
        <v>0</v>
      </c>
      <c r="AD492" s="93">
        <f t="shared" si="68"/>
        <v>0</v>
      </c>
      <c r="AE492" s="93">
        <f t="shared" si="68"/>
        <v>0</v>
      </c>
      <c r="AF492" s="93">
        <f t="shared" si="68"/>
        <v>0</v>
      </c>
      <c r="AG492" s="93">
        <f t="shared" si="68"/>
        <v>0</v>
      </c>
      <c r="AH492" s="93">
        <f t="shared" si="68"/>
        <v>0</v>
      </c>
      <c r="AI492" s="91" t="s">
        <v>150</v>
      </c>
    </row>
    <row r="493" spans="1:35" x14ac:dyDescent="0.3">
      <c r="B493" s="93">
        <f t="shared" si="68"/>
        <v>0</v>
      </c>
      <c r="C493" s="93">
        <f t="shared" si="68"/>
        <v>0</v>
      </c>
      <c r="D493" s="93">
        <f t="shared" si="68"/>
        <v>0</v>
      </c>
      <c r="E493" s="93">
        <f t="shared" si="68"/>
        <v>0</v>
      </c>
      <c r="F493" s="93">
        <f t="shared" si="68"/>
        <v>0</v>
      </c>
      <c r="G493" s="93">
        <f t="shared" si="68"/>
        <v>0</v>
      </c>
      <c r="H493" s="93">
        <f t="shared" si="68"/>
        <v>0</v>
      </c>
      <c r="I493" s="93">
        <f t="shared" si="68"/>
        <v>0</v>
      </c>
      <c r="J493" s="93">
        <f t="shared" si="68"/>
        <v>0</v>
      </c>
      <c r="K493" s="93">
        <f t="shared" si="68"/>
        <v>0</v>
      </c>
      <c r="L493" s="93">
        <f t="shared" si="68"/>
        <v>0</v>
      </c>
      <c r="M493" s="93">
        <f t="shared" si="68"/>
        <v>0</v>
      </c>
      <c r="N493" s="93">
        <f t="shared" si="68"/>
        <v>0</v>
      </c>
      <c r="O493" s="93">
        <f t="shared" si="68"/>
        <v>0</v>
      </c>
      <c r="P493" s="93">
        <f t="shared" si="68"/>
        <v>0</v>
      </c>
      <c r="Q493" s="93">
        <f t="shared" si="68"/>
        <v>0</v>
      </c>
      <c r="R493" s="93">
        <f t="shared" si="68"/>
        <v>0</v>
      </c>
      <c r="S493" s="93">
        <f t="shared" si="68"/>
        <v>0</v>
      </c>
      <c r="T493" s="93">
        <f t="shared" si="68"/>
        <v>0</v>
      </c>
      <c r="U493" s="93">
        <f t="shared" si="68"/>
        <v>0</v>
      </c>
      <c r="V493" s="93">
        <f t="shared" si="68"/>
        <v>0</v>
      </c>
      <c r="W493" s="93">
        <f t="shared" si="68"/>
        <v>0</v>
      </c>
      <c r="X493" s="93">
        <f t="shared" si="68"/>
        <v>0</v>
      </c>
      <c r="Y493" s="93">
        <f t="shared" si="68"/>
        <v>0</v>
      </c>
      <c r="Z493" s="93">
        <f t="shared" si="68"/>
        <v>0</v>
      </c>
      <c r="AA493" s="93">
        <f t="shared" si="68"/>
        <v>0</v>
      </c>
      <c r="AB493" s="97">
        <f t="shared" si="68"/>
        <v>0</v>
      </c>
      <c r="AC493" s="93">
        <f t="shared" si="68"/>
        <v>0</v>
      </c>
      <c r="AD493" s="93">
        <f t="shared" si="68"/>
        <v>0</v>
      </c>
      <c r="AE493" s="93">
        <f t="shared" si="68"/>
        <v>0</v>
      </c>
      <c r="AF493" s="93">
        <f t="shared" si="68"/>
        <v>0</v>
      </c>
      <c r="AG493" s="93">
        <f t="shared" si="68"/>
        <v>0</v>
      </c>
      <c r="AH493" s="93">
        <f t="shared" si="68"/>
        <v>0</v>
      </c>
      <c r="AI493" s="91" t="s">
        <v>151</v>
      </c>
    </row>
    <row r="494" spans="1:35" x14ac:dyDescent="0.3">
      <c r="B494" s="93">
        <f t="shared" si="68"/>
        <v>0</v>
      </c>
      <c r="C494" s="93">
        <f t="shared" si="68"/>
        <v>0</v>
      </c>
      <c r="D494" s="93">
        <f t="shared" si="68"/>
        <v>0</v>
      </c>
      <c r="E494" s="93">
        <f t="shared" si="68"/>
        <v>0</v>
      </c>
      <c r="F494" s="93">
        <f t="shared" si="68"/>
        <v>0</v>
      </c>
      <c r="G494" s="93">
        <f t="shared" si="68"/>
        <v>0</v>
      </c>
      <c r="H494" s="93">
        <f t="shared" si="68"/>
        <v>0</v>
      </c>
      <c r="I494" s="93">
        <f t="shared" si="68"/>
        <v>0</v>
      </c>
      <c r="J494" s="93">
        <f t="shared" si="68"/>
        <v>0</v>
      </c>
      <c r="K494" s="93">
        <f t="shared" si="68"/>
        <v>0</v>
      </c>
      <c r="L494" s="93">
        <f t="shared" si="68"/>
        <v>0</v>
      </c>
      <c r="M494" s="93">
        <f t="shared" si="68"/>
        <v>0</v>
      </c>
      <c r="N494" s="93">
        <f t="shared" si="68"/>
        <v>0</v>
      </c>
      <c r="O494" s="93">
        <f t="shared" si="68"/>
        <v>0</v>
      </c>
      <c r="P494" s="93">
        <f t="shared" si="68"/>
        <v>0</v>
      </c>
      <c r="Q494" s="93">
        <f t="shared" si="68"/>
        <v>0</v>
      </c>
      <c r="R494" s="93">
        <f t="shared" si="68"/>
        <v>0</v>
      </c>
      <c r="S494" s="93">
        <f t="shared" si="68"/>
        <v>0</v>
      </c>
      <c r="T494" s="93">
        <f t="shared" si="68"/>
        <v>0</v>
      </c>
      <c r="U494" s="93">
        <f t="shared" si="68"/>
        <v>0</v>
      </c>
      <c r="V494" s="93">
        <f t="shared" si="68"/>
        <v>0</v>
      </c>
      <c r="W494" s="93">
        <f t="shared" si="68"/>
        <v>0</v>
      </c>
      <c r="X494" s="93">
        <f t="shared" si="68"/>
        <v>0</v>
      </c>
      <c r="Y494" s="93">
        <f t="shared" si="68"/>
        <v>0</v>
      </c>
      <c r="Z494" s="93">
        <f t="shared" si="68"/>
        <v>0</v>
      </c>
      <c r="AA494" s="93">
        <f t="shared" si="68"/>
        <v>0</v>
      </c>
      <c r="AB494" s="93">
        <f t="shared" si="68"/>
        <v>0</v>
      </c>
      <c r="AC494" s="97">
        <f t="shared" si="68"/>
        <v>0</v>
      </c>
      <c r="AD494" s="93">
        <f t="shared" si="68"/>
        <v>0</v>
      </c>
      <c r="AE494" s="93">
        <f t="shared" si="68"/>
        <v>0</v>
      </c>
      <c r="AF494" s="93">
        <f t="shared" si="68"/>
        <v>0</v>
      </c>
      <c r="AG494" s="93">
        <f t="shared" si="68"/>
        <v>0</v>
      </c>
      <c r="AH494" s="93">
        <f t="shared" si="68"/>
        <v>0</v>
      </c>
      <c r="AI494" s="91" t="s">
        <v>152</v>
      </c>
    </row>
    <row r="495" spans="1:35" x14ac:dyDescent="0.3">
      <c r="B495" s="93">
        <f t="shared" si="68"/>
        <v>0</v>
      </c>
      <c r="C495" s="93">
        <f t="shared" si="68"/>
        <v>0</v>
      </c>
      <c r="D495" s="93">
        <f t="shared" si="68"/>
        <v>0</v>
      </c>
      <c r="E495" s="93">
        <f t="shared" si="68"/>
        <v>0</v>
      </c>
      <c r="F495" s="93">
        <f t="shared" si="68"/>
        <v>0</v>
      </c>
      <c r="G495" s="93">
        <f t="shared" si="68"/>
        <v>0</v>
      </c>
      <c r="H495" s="93">
        <f t="shared" si="68"/>
        <v>0</v>
      </c>
      <c r="I495" s="93">
        <f t="shared" si="68"/>
        <v>0</v>
      </c>
      <c r="J495" s="93">
        <f t="shared" si="68"/>
        <v>0</v>
      </c>
      <c r="K495" s="93">
        <f t="shared" si="68"/>
        <v>0</v>
      </c>
      <c r="L495" s="93">
        <f t="shared" si="68"/>
        <v>0</v>
      </c>
      <c r="M495" s="93">
        <f t="shared" si="68"/>
        <v>0</v>
      </c>
      <c r="N495" s="93">
        <f t="shared" si="68"/>
        <v>0</v>
      </c>
      <c r="O495" s="93">
        <f t="shared" si="68"/>
        <v>0</v>
      </c>
      <c r="P495" s="93">
        <f t="shared" si="68"/>
        <v>0</v>
      </c>
      <c r="Q495" s="93">
        <f t="shared" si="68"/>
        <v>0</v>
      </c>
      <c r="R495" s="93">
        <f t="shared" si="68"/>
        <v>0</v>
      </c>
      <c r="S495" s="93">
        <f t="shared" si="68"/>
        <v>0</v>
      </c>
      <c r="T495" s="93">
        <f t="shared" si="68"/>
        <v>0</v>
      </c>
      <c r="U495" s="93">
        <f t="shared" si="68"/>
        <v>0</v>
      </c>
      <c r="V495" s="93">
        <f t="shared" si="68"/>
        <v>0</v>
      </c>
      <c r="W495" s="93">
        <f t="shared" si="68"/>
        <v>0</v>
      </c>
      <c r="X495" s="93">
        <f t="shared" si="68"/>
        <v>0</v>
      </c>
      <c r="Y495" s="93">
        <f t="shared" si="68"/>
        <v>0</v>
      </c>
      <c r="Z495" s="93">
        <f t="shared" si="68"/>
        <v>0</v>
      </c>
      <c r="AA495" s="93">
        <f t="shared" si="68"/>
        <v>0</v>
      </c>
      <c r="AB495" s="93">
        <f t="shared" si="68"/>
        <v>0</v>
      </c>
      <c r="AC495" s="93">
        <f t="shared" si="68"/>
        <v>0</v>
      </c>
      <c r="AD495" s="97">
        <f t="shared" si="68"/>
        <v>0</v>
      </c>
      <c r="AE495" s="93">
        <f t="shared" si="68"/>
        <v>0</v>
      </c>
      <c r="AF495" s="93">
        <f t="shared" si="68"/>
        <v>0</v>
      </c>
      <c r="AG495" s="93">
        <f t="shared" si="68"/>
        <v>0</v>
      </c>
      <c r="AH495" s="93">
        <f t="shared" si="68"/>
        <v>0</v>
      </c>
      <c r="AI495" s="91" t="s">
        <v>153</v>
      </c>
    </row>
    <row r="496" spans="1:35" x14ac:dyDescent="0.3">
      <c r="B496" s="93">
        <f t="shared" si="68"/>
        <v>0</v>
      </c>
      <c r="C496" s="93">
        <f t="shared" si="68"/>
        <v>0</v>
      </c>
      <c r="D496" s="93">
        <f t="shared" si="68"/>
        <v>0</v>
      </c>
      <c r="E496" s="93">
        <f t="shared" si="68"/>
        <v>0</v>
      </c>
      <c r="F496" s="93">
        <f t="shared" si="68"/>
        <v>0</v>
      </c>
      <c r="G496" s="93">
        <f t="shared" si="68"/>
        <v>0</v>
      </c>
      <c r="H496" s="93">
        <f t="shared" si="68"/>
        <v>0</v>
      </c>
      <c r="I496" s="93">
        <f t="shared" si="68"/>
        <v>0</v>
      </c>
      <c r="J496" s="93">
        <f t="shared" si="68"/>
        <v>0</v>
      </c>
      <c r="K496" s="93">
        <f t="shared" si="68"/>
        <v>0</v>
      </c>
      <c r="L496" s="93">
        <f t="shared" si="68"/>
        <v>0</v>
      </c>
      <c r="M496" s="93">
        <f t="shared" si="68"/>
        <v>0</v>
      </c>
      <c r="N496" s="93">
        <f t="shared" si="68"/>
        <v>0</v>
      </c>
      <c r="O496" s="93">
        <f t="shared" si="68"/>
        <v>0</v>
      </c>
      <c r="P496" s="93">
        <f t="shared" si="68"/>
        <v>0</v>
      </c>
      <c r="Q496" s="93">
        <f t="shared" si="68"/>
        <v>0</v>
      </c>
      <c r="R496" s="93">
        <f t="shared" si="68"/>
        <v>0</v>
      </c>
      <c r="S496" s="93">
        <f t="shared" si="68"/>
        <v>0</v>
      </c>
      <c r="T496" s="93">
        <f t="shared" si="68"/>
        <v>0</v>
      </c>
      <c r="U496" s="93">
        <f t="shared" si="68"/>
        <v>0</v>
      </c>
      <c r="V496" s="93">
        <f t="shared" si="68"/>
        <v>0</v>
      </c>
      <c r="W496" s="93">
        <f t="shared" si="68"/>
        <v>0</v>
      </c>
      <c r="X496" s="93">
        <f t="shared" si="68"/>
        <v>0</v>
      </c>
      <c r="Y496" s="93">
        <f t="shared" si="68"/>
        <v>0</v>
      </c>
      <c r="Z496" s="93">
        <f t="shared" si="68"/>
        <v>0</v>
      </c>
      <c r="AA496" s="93">
        <f t="shared" si="68"/>
        <v>0</v>
      </c>
      <c r="AB496" s="93">
        <f t="shared" si="68"/>
        <v>0</v>
      </c>
      <c r="AC496" s="93">
        <f t="shared" si="68"/>
        <v>0</v>
      </c>
      <c r="AD496" s="93">
        <f t="shared" si="68"/>
        <v>0</v>
      </c>
      <c r="AE496" s="97">
        <f t="shared" si="68"/>
        <v>0</v>
      </c>
      <c r="AF496" s="93">
        <f t="shared" si="68"/>
        <v>0</v>
      </c>
      <c r="AG496" s="93">
        <f t="shared" si="68"/>
        <v>0</v>
      </c>
      <c r="AH496" s="93">
        <f t="shared" si="68"/>
        <v>0</v>
      </c>
      <c r="AI496" s="91" t="s">
        <v>154</v>
      </c>
    </row>
    <row r="497" spans="2:35" x14ac:dyDescent="0.3">
      <c r="B497" s="93">
        <f t="shared" si="68"/>
        <v>0</v>
      </c>
      <c r="C497" s="93">
        <f t="shared" si="68"/>
        <v>0</v>
      </c>
      <c r="D497" s="93">
        <f t="shared" si="68"/>
        <v>0</v>
      </c>
      <c r="E497" s="93">
        <f t="shared" si="68"/>
        <v>0</v>
      </c>
      <c r="F497" s="93">
        <f t="shared" si="68"/>
        <v>0</v>
      </c>
      <c r="G497" s="93">
        <f t="shared" si="68"/>
        <v>0</v>
      </c>
      <c r="H497" s="93">
        <f t="shared" si="68"/>
        <v>0</v>
      </c>
      <c r="I497" s="93">
        <f t="shared" si="68"/>
        <v>0</v>
      </c>
      <c r="J497" s="93">
        <f t="shared" si="68"/>
        <v>0</v>
      </c>
      <c r="K497" s="93">
        <f t="shared" si="68"/>
        <v>0</v>
      </c>
      <c r="L497" s="93">
        <f t="shared" si="68"/>
        <v>0</v>
      </c>
      <c r="M497" s="93">
        <f t="shared" si="68"/>
        <v>0</v>
      </c>
      <c r="N497" s="93">
        <f t="shared" si="68"/>
        <v>0</v>
      </c>
      <c r="O497" s="93">
        <f t="shared" si="68"/>
        <v>0</v>
      </c>
      <c r="P497" s="93">
        <f t="shared" si="68"/>
        <v>0</v>
      </c>
      <c r="Q497" s="93">
        <f t="shared" si="68"/>
        <v>0</v>
      </c>
      <c r="R497" s="93">
        <f t="shared" si="68"/>
        <v>0</v>
      </c>
      <c r="S497" s="93">
        <f t="shared" si="68"/>
        <v>0</v>
      </c>
      <c r="T497" s="93">
        <f t="shared" si="68"/>
        <v>0</v>
      </c>
      <c r="U497" s="93">
        <f t="shared" si="68"/>
        <v>0</v>
      </c>
      <c r="V497" s="93">
        <f t="shared" si="68"/>
        <v>0</v>
      </c>
      <c r="W497" s="93">
        <f t="shared" si="68"/>
        <v>0</v>
      </c>
      <c r="X497" s="93">
        <f t="shared" si="68"/>
        <v>0</v>
      </c>
      <c r="Y497" s="93">
        <f t="shared" si="68"/>
        <v>0</v>
      </c>
      <c r="Z497" s="93">
        <f t="shared" si="68"/>
        <v>0</v>
      </c>
      <c r="AA497" s="93">
        <f t="shared" si="68"/>
        <v>0</v>
      </c>
      <c r="AB497" s="93">
        <f t="shared" si="68"/>
        <v>0</v>
      </c>
      <c r="AC497" s="93">
        <f t="shared" si="68"/>
        <v>0</v>
      </c>
      <c r="AD497" s="93">
        <f t="shared" si="68"/>
        <v>0</v>
      </c>
      <c r="AE497" s="93">
        <f t="shared" si="68"/>
        <v>0</v>
      </c>
      <c r="AF497" s="97">
        <f t="shared" si="68"/>
        <v>0</v>
      </c>
      <c r="AG497" s="93">
        <f t="shared" si="68"/>
        <v>0</v>
      </c>
      <c r="AH497" s="93">
        <f t="shared" si="68"/>
        <v>0</v>
      </c>
      <c r="AI497" s="91" t="s">
        <v>155</v>
      </c>
    </row>
    <row r="498" spans="2:35" x14ac:dyDescent="0.3">
      <c r="B498" s="93">
        <f t="shared" si="68"/>
        <v>0</v>
      </c>
      <c r="C498" s="93">
        <f t="shared" si="68"/>
        <v>0</v>
      </c>
      <c r="D498" s="93">
        <f t="shared" si="68"/>
        <v>0</v>
      </c>
      <c r="E498" s="93">
        <f t="shared" si="68"/>
        <v>0</v>
      </c>
      <c r="F498" s="93">
        <f t="shared" si="68"/>
        <v>0</v>
      </c>
      <c r="G498" s="93">
        <f t="shared" si="68"/>
        <v>0</v>
      </c>
      <c r="H498" s="93">
        <f t="shared" si="68"/>
        <v>0</v>
      </c>
      <c r="I498" s="93">
        <f t="shared" si="68"/>
        <v>0</v>
      </c>
      <c r="J498" s="93">
        <f t="shared" si="68"/>
        <v>0</v>
      </c>
      <c r="K498" s="93">
        <f t="shared" si="68"/>
        <v>0</v>
      </c>
      <c r="L498" s="93">
        <f t="shared" si="68"/>
        <v>0</v>
      </c>
      <c r="M498" s="93">
        <f t="shared" si="68"/>
        <v>0</v>
      </c>
      <c r="N498" s="93">
        <f t="shared" si="68"/>
        <v>0</v>
      </c>
      <c r="O498" s="93">
        <f t="shared" si="68"/>
        <v>0</v>
      </c>
      <c r="P498" s="93">
        <f t="shared" si="68"/>
        <v>0</v>
      </c>
      <c r="Q498" s="93">
        <f t="shared" si="68"/>
        <v>0</v>
      </c>
      <c r="R498" s="93">
        <f t="shared" si="68"/>
        <v>0</v>
      </c>
      <c r="S498" s="93">
        <f t="shared" si="68"/>
        <v>0</v>
      </c>
      <c r="T498" s="93">
        <f t="shared" si="68"/>
        <v>0</v>
      </c>
      <c r="U498" s="93">
        <f t="shared" si="68"/>
        <v>0</v>
      </c>
      <c r="V498" s="93">
        <f t="shared" si="68"/>
        <v>0</v>
      </c>
      <c r="W498" s="93">
        <f t="shared" si="68"/>
        <v>0</v>
      </c>
      <c r="X498" s="93">
        <f t="shared" si="68"/>
        <v>0</v>
      </c>
      <c r="Y498" s="93">
        <f t="shared" si="68"/>
        <v>0</v>
      </c>
      <c r="Z498" s="93">
        <f t="shared" ref="Z498:BF498" si="69">Z74+Z117+Z160+Z203+Z246+Z289+Z332+Z375+Z418+Z461</f>
        <v>0</v>
      </c>
      <c r="AA498" s="93">
        <f t="shared" si="69"/>
        <v>0</v>
      </c>
      <c r="AB498" s="93">
        <f t="shared" si="69"/>
        <v>0</v>
      </c>
      <c r="AC498" s="93">
        <f t="shared" si="69"/>
        <v>0</v>
      </c>
      <c r="AD498" s="93">
        <f t="shared" si="69"/>
        <v>0</v>
      </c>
      <c r="AE498" s="93">
        <f t="shared" si="69"/>
        <v>0</v>
      </c>
      <c r="AF498" s="93">
        <f t="shared" si="69"/>
        <v>0</v>
      </c>
      <c r="AG498" s="97">
        <f t="shared" si="69"/>
        <v>0</v>
      </c>
      <c r="AH498" s="93">
        <f t="shared" si="69"/>
        <v>0</v>
      </c>
      <c r="AI498" s="91" t="s">
        <v>156</v>
      </c>
    </row>
    <row r="499" spans="2:35" x14ac:dyDescent="0.3">
      <c r="B499" s="93">
        <f t="shared" ref="B499:AH499" si="70">B75+B118+B161+B204+B247+B290+B333+B376+B419+B462</f>
        <v>0</v>
      </c>
      <c r="C499" s="93">
        <f t="shared" si="70"/>
        <v>0</v>
      </c>
      <c r="D499" s="93">
        <f t="shared" si="70"/>
        <v>0</v>
      </c>
      <c r="E499" s="93">
        <f t="shared" si="70"/>
        <v>0</v>
      </c>
      <c r="F499" s="93">
        <f t="shared" si="70"/>
        <v>0</v>
      </c>
      <c r="G499" s="93">
        <f t="shared" si="70"/>
        <v>0</v>
      </c>
      <c r="H499" s="93">
        <f t="shared" si="70"/>
        <v>0</v>
      </c>
      <c r="I499" s="93">
        <f t="shared" si="70"/>
        <v>0</v>
      </c>
      <c r="J499" s="93">
        <f t="shared" si="70"/>
        <v>0</v>
      </c>
      <c r="K499" s="93">
        <f t="shared" si="70"/>
        <v>0</v>
      </c>
      <c r="L499" s="93">
        <f t="shared" si="70"/>
        <v>0</v>
      </c>
      <c r="M499" s="93">
        <f t="shared" si="70"/>
        <v>0</v>
      </c>
      <c r="N499" s="93">
        <f t="shared" si="70"/>
        <v>0</v>
      </c>
      <c r="O499" s="93">
        <f t="shared" si="70"/>
        <v>0</v>
      </c>
      <c r="P499" s="93">
        <f t="shared" si="70"/>
        <v>0</v>
      </c>
      <c r="Q499" s="93">
        <f t="shared" si="70"/>
        <v>0</v>
      </c>
      <c r="R499" s="93">
        <f t="shared" si="70"/>
        <v>0</v>
      </c>
      <c r="S499" s="93">
        <f t="shared" si="70"/>
        <v>0</v>
      </c>
      <c r="T499" s="93">
        <f t="shared" si="70"/>
        <v>0</v>
      </c>
      <c r="U499" s="93">
        <f t="shared" si="70"/>
        <v>0</v>
      </c>
      <c r="V499" s="93">
        <f t="shared" si="70"/>
        <v>0</v>
      </c>
      <c r="W499" s="93">
        <f t="shared" si="70"/>
        <v>0</v>
      </c>
      <c r="X499" s="93">
        <f t="shared" si="70"/>
        <v>0</v>
      </c>
      <c r="Y499" s="93">
        <f t="shared" si="70"/>
        <v>0</v>
      </c>
      <c r="Z499" s="93">
        <f t="shared" si="70"/>
        <v>0</v>
      </c>
      <c r="AA499" s="93">
        <f t="shared" si="70"/>
        <v>0</v>
      </c>
      <c r="AB499" s="93">
        <f t="shared" si="70"/>
        <v>0</v>
      </c>
      <c r="AC499" s="93">
        <f t="shared" si="70"/>
        <v>0</v>
      </c>
      <c r="AD499" s="93">
        <f t="shared" si="70"/>
        <v>0</v>
      </c>
      <c r="AE499" s="93">
        <f t="shared" si="70"/>
        <v>0</v>
      </c>
      <c r="AF499" s="93">
        <f t="shared" si="70"/>
        <v>0</v>
      </c>
      <c r="AG499" s="93">
        <f t="shared" si="70"/>
        <v>0</v>
      </c>
      <c r="AH499" s="97">
        <f t="shared" si="70"/>
        <v>0</v>
      </c>
      <c r="AI499" s="91" t="s">
        <v>157</v>
      </c>
    </row>
    <row r="502" spans="2:35" x14ac:dyDescent="0.3">
      <c r="B502" s="95" t="s">
        <v>267</v>
      </c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</row>
    <row r="503" spans="2:35" ht="26.4" x14ac:dyDescent="0.3">
      <c r="B503" s="98" t="s">
        <v>268</v>
      </c>
      <c r="C503" s="81"/>
      <c r="D503" s="81"/>
      <c r="E503" s="81"/>
      <c r="F503" s="81"/>
      <c r="H503" s="98" t="s">
        <v>269</v>
      </c>
      <c r="I503" s="81"/>
      <c r="J503" s="81"/>
      <c r="K503" s="81"/>
      <c r="L503" s="81"/>
      <c r="N503" s="82" t="s">
        <v>270</v>
      </c>
    </row>
    <row r="504" spans="2:35" ht="26.4" x14ac:dyDescent="0.3">
      <c r="B504" s="99" t="s">
        <v>271</v>
      </c>
      <c r="C504" s="100" t="s">
        <v>125</v>
      </c>
      <c r="D504" s="83" t="s">
        <v>190</v>
      </c>
      <c r="E504" s="101">
        <v>0</v>
      </c>
      <c r="F504" s="100" t="s">
        <v>125</v>
      </c>
      <c r="H504" s="99" t="s">
        <v>272</v>
      </c>
      <c r="I504" s="100" t="s">
        <v>125</v>
      </c>
      <c r="J504" s="83" t="s">
        <v>190</v>
      </c>
      <c r="K504" s="102">
        <v>0</v>
      </c>
      <c r="L504" s="100" t="s">
        <v>125</v>
      </c>
      <c r="N504" s="85" t="str">
        <f>IF(OR($G$5=0, 1&gt;$G$5), "RESTRINGIDO", IF(ISNUMBER(K504), IF(K504=0, "RESTRINGIDO", "LIBRE"), "LIBRE"))</f>
        <v>RESTRINGIDO</v>
      </c>
    </row>
    <row r="505" spans="2:35" ht="26.4" x14ac:dyDescent="0.3">
      <c r="B505" s="99" t="s">
        <v>273</v>
      </c>
      <c r="C505" s="100" t="s">
        <v>126</v>
      </c>
      <c r="D505" s="83" t="s">
        <v>190</v>
      </c>
      <c r="E505" s="101">
        <v>0</v>
      </c>
      <c r="F505" s="100" t="s">
        <v>126</v>
      </c>
      <c r="H505" s="99" t="s">
        <v>274</v>
      </c>
      <c r="I505" s="100" t="s">
        <v>126</v>
      </c>
      <c r="J505" s="83" t="s">
        <v>190</v>
      </c>
      <c r="K505" s="102">
        <v>0</v>
      </c>
      <c r="L505" s="100" t="s">
        <v>126</v>
      </c>
      <c r="N505" s="85" t="str">
        <f>IF(OR($G$5=0, 1&gt;$G$5), "RESTRINGIDO", IF(ISNUMBER(K505), IF(K505=0, "RESTRINGIDO", "LIBRE"), "LIBRE"))</f>
        <v>RESTRINGIDO</v>
      </c>
    </row>
    <row r="506" spans="2:35" ht="26.4" x14ac:dyDescent="0.3">
      <c r="B506" s="99" t="s">
        <v>275</v>
      </c>
      <c r="C506" s="100" t="s">
        <v>127</v>
      </c>
      <c r="D506" s="83" t="s">
        <v>190</v>
      </c>
      <c r="E506" s="101">
        <v>0</v>
      </c>
      <c r="F506" s="100" t="s">
        <v>127</v>
      </c>
      <c r="H506" s="99" t="s">
        <v>276</v>
      </c>
      <c r="I506" s="100" t="s">
        <v>127</v>
      </c>
      <c r="J506" s="83" t="s">
        <v>190</v>
      </c>
      <c r="K506" s="102" t="str">
        <f t="shared" ref="K506:K536" si="71">H506</f>
        <v>D1θ</v>
      </c>
      <c r="L506" s="100" t="s">
        <v>127</v>
      </c>
      <c r="N506" s="85" t="str">
        <f>IF(OR($G$5=0, 1&gt;$G$5), "RESTRINGIDO", IF(ISNUMBER(K506), IF(K506=0, "RESTRINGIDO", "LIBRE"), "LIBRE"))</f>
        <v>RESTRINGIDO</v>
      </c>
    </row>
    <row r="507" spans="2:35" ht="26.4" x14ac:dyDescent="0.3">
      <c r="B507" s="99" t="s">
        <v>277</v>
      </c>
      <c r="C507" s="100" t="s">
        <v>128</v>
      </c>
      <c r="D507" s="83" t="s">
        <v>190</v>
      </c>
      <c r="E507" s="101">
        <v>0</v>
      </c>
      <c r="F507" s="100" t="s">
        <v>128</v>
      </c>
      <c r="H507" s="99" t="s">
        <v>278</v>
      </c>
      <c r="I507" s="100" t="s">
        <v>128</v>
      </c>
      <c r="J507" s="83" t="s">
        <v>190</v>
      </c>
      <c r="K507" s="102" t="str">
        <f t="shared" si="71"/>
        <v>D2X</v>
      </c>
      <c r="L507" s="100" t="s">
        <v>128</v>
      </c>
      <c r="N507" s="85" t="str">
        <f>IF(OR($G$5=0, 2&gt;$G$5), "RESTRINGIDO", IF(ISNUMBER(K507), IF(K507=0, "RESTRINGIDO", "LIBRE"), "LIBRE"))</f>
        <v>RESTRINGIDO</v>
      </c>
    </row>
    <row r="508" spans="2:35" ht="26.4" x14ac:dyDescent="0.3">
      <c r="B508" s="99" t="s">
        <v>279</v>
      </c>
      <c r="C508" s="100" t="s">
        <v>129</v>
      </c>
      <c r="D508" s="83" t="s">
        <v>190</v>
      </c>
      <c r="E508" s="101">
        <v>0</v>
      </c>
      <c r="F508" s="100" t="s">
        <v>129</v>
      </c>
      <c r="H508" s="99" t="s">
        <v>280</v>
      </c>
      <c r="I508" s="100" t="s">
        <v>129</v>
      </c>
      <c r="J508" s="83" t="s">
        <v>190</v>
      </c>
      <c r="K508" s="102" t="str">
        <f t="shared" si="71"/>
        <v>D2Y</v>
      </c>
      <c r="L508" s="100" t="s">
        <v>129</v>
      </c>
      <c r="N508" s="85" t="str">
        <f>IF(OR($G$5=0, 2&gt;$G$5), "RESTRINGIDO", IF(ISNUMBER(K508), IF(K508=0, "RESTRINGIDO", "LIBRE"), "LIBRE"))</f>
        <v>RESTRINGIDO</v>
      </c>
    </row>
    <row r="509" spans="2:35" ht="26.4" x14ac:dyDescent="0.3">
      <c r="B509" s="99" t="s">
        <v>281</v>
      </c>
      <c r="C509" s="100" t="s">
        <v>130</v>
      </c>
      <c r="D509" s="83" t="s">
        <v>190</v>
      </c>
      <c r="E509" s="101">
        <v>0</v>
      </c>
      <c r="F509" s="100" t="s">
        <v>130</v>
      </c>
      <c r="H509" s="99" t="s">
        <v>282</v>
      </c>
      <c r="I509" s="100" t="s">
        <v>130</v>
      </c>
      <c r="J509" s="83" t="s">
        <v>190</v>
      </c>
      <c r="K509" s="102" t="str">
        <f t="shared" si="71"/>
        <v>D2θ</v>
      </c>
      <c r="L509" s="100" t="s">
        <v>130</v>
      </c>
      <c r="N509" s="85" t="str">
        <f>IF(OR($G$5=0, 2&gt;$G$5), "RESTRINGIDO", IF(ISNUMBER(K509), IF(K509=0, "RESTRINGIDO", "LIBRE"), "LIBRE"))</f>
        <v>RESTRINGIDO</v>
      </c>
    </row>
    <row r="510" spans="2:35" ht="26.4" x14ac:dyDescent="0.3">
      <c r="B510" s="99" t="s">
        <v>283</v>
      </c>
      <c r="C510" s="100" t="s">
        <v>131</v>
      </c>
      <c r="D510" s="83" t="s">
        <v>190</v>
      </c>
      <c r="E510" s="101">
        <v>0</v>
      </c>
      <c r="F510" s="100" t="s">
        <v>131</v>
      </c>
      <c r="H510" s="99" t="s">
        <v>284</v>
      </c>
      <c r="I510" s="100" t="s">
        <v>131</v>
      </c>
      <c r="J510" s="83" t="s">
        <v>190</v>
      </c>
      <c r="K510" s="102" t="str">
        <f t="shared" si="71"/>
        <v>D3X</v>
      </c>
      <c r="L510" s="100" t="s">
        <v>131</v>
      </c>
      <c r="N510" s="85" t="str">
        <f>IF(OR($G$5=0, 3&gt;$G$5), "RESTRINGIDO", IF(ISNUMBER(K510), IF(K510=0, "RESTRINGIDO", "LIBRE"), "LIBRE"))</f>
        <v>RESTRINGIDO</v>
      </c>
    </row>
    <row r="511" spans="2:35" ht="26.4" x14ac:dyDescent="0.3">
      <c r="B511" s="99" t="s">
        <v>285</v>
      </c>
      <c r="C511" s="100" t="s">
        <v>132</v>
      </c>
      <c r="D511" s="83" t="s">
        <v>190</v>
      </c>
      <c r="E511" s="101">
        <v>0</v>
      </c>
      <c r="F511" s="100" t="s">
        <v>132</v>
      </c>
      <c r="H511" s="99" t="s">
        <v>286</v>
      </c>
      <c r="I511" s="100" t="s">
        <v>132</v>
      </c>
      <c r="J511" s="83" t="s">
        <v>190</v>
      </c>
      <c r="K511" s="102" t="str">
        <f t="shared" si="71"/>
        <v>D3Y</v>
      </c>
      <c r="L511" s="100" t="s">
        <v>132</v>
      </c>
      <c r="N511" s="85" t="str">
        <f>IF(OR($G$5=0, 3&gt;$G$5), "RESTRINGIDO", IF(ISNUMBER(K511), IF(K511=0, "RESTRINGIDO", "LIBRE"), "LIBRE"))</f>
        <v>RESTRINGIDO</v>
      </c>
    </row>
    <row r="512" spans="2:35" ht="26.4" x14ac:dyDescent="0.3">
      <c r="B512" s="99" t="s">
        <v>287</v>
      </c>
      <c r="C512" s="100" t="s">
        <v>133</v>
      </c>
      <c r="D512" s="83" t="s">
        <v>190</v>
      </c>
      <c r="E512" s="101">
        <v>0</v>
      </c>
      <c r="F512" s="100" t="s">
        <v>133</v>
      </c>
      <c r="H512" s="99" t="s">
        <v>288</v>
      </c>
      <c r="I512" s="100" t="s">
        <v>133</v>
      </c>
      <c r="J512" s="83" t="s">
        <v>190</v>
      </c>
      <c r="K512" s="102" t="str">
        <f t="shared" si="71"/>
        <v>D3θ</v>
      </c>
      <c r="L512" s="100" t="s">
        <v>133</v>
      </c>
      <c r="N512" s="85" t="str">
        <f>IF(OR($G$5=0, 3&gt;$G$5), "RESTRINGIDO", IF(ISNUMBER(K512), IF(K512=0, "RESTRINGIDO", "LIBRE"), "LIBRE"))</f>
        <v>RESTRINGIDO</v>
      </c>
    </row>
    <row r="513" spans="2:14" ht="26.4" x14ac:dyDescent="0.3">
      <c r="B513" s="99" t="s">
        <v>289</v>
      </c>
      <c r="C513" s="100" t="s">
        <v>134</v>
      </c>
      <c r="D513" s="83" t="s">
        <v>190</v>
      </c>
      <c r="E513" s="101">
        <v>0</v>
      </c>
      <c r="F513" s="100" t="s">
        <v>134</v>
      </c>
      <c r="H513" s="99" t="s">
        <v>290</v>
      </c>
      <c r="I513" s="100" t="s">
        <v>134</v>
      </c>
      <c r="J513" s="83" t="s">
        <v>190</v>
      </c>
      <c r="K513" s="102" t="str">
        <f t="shared" si="71"/>
        <v>D4X</v>
      </c>
      <c r="L513" s="100" t="s">
        <v>134</v>
      </c>
      <c r="N513" s="85" t="str">
        <f>IF(OR($G$5=0, 4&gt;$G$5), "RESTRINGIDO", IF(ISNUMBER(K513), IF(K513=0, "RESTRINGIDO", "LIBRE"), "LIBRE"))</f>
        <v>RESTRINGIDO</v>
      </c>
    </row>
    <row r="514" spans="2:14" ht="26.4" x14ac:dyDescent="0.3">
      <c r="B514" s="99" t="s">
        <v>291</v>
      </c>
      <c r="C514" s="100" t="s">
        <v>135</v>
      </c>
      <c r="D514" s="83" t="s">
        <v>190</v>
      </c>
      <c r="E514" s="101">
        <v>0</v>
      </c>
      <c r="F514" s="100" t="s">
        <v>135</v>
      </c>
      <c r="H514" s="99" t="s">
        <v>292</v>
      </c>
      <c r="I514" s="100" t="s">
        <v>135</v>
      </c>
      <c r="J514" s="83" t="s">
        <v>190</v>
      </c>
      <c r="K514" s="102" t="str">
        <f t="shared" si="71"/>
        <v>D4Y</v>
      </c>
      <c r="L514" s="100" t="s">
        <v>135</v>
      </c>
      <c r="N514" s="85" t="str">
        <f>IF(OR($G$5=0, 4&gt;$G$5), "RESTRINGIDO", IF(ISNUMBER(K514), IF(K514=0, "RESTRINGIDO", "LIBRE"), "LIBRE"))</f>
        <v>RESTRINGIDO</v>
      </c>
    </row>
    <row r="515" spans="2:14" ht="26.4" x14ac:dyDescent="0.3">
      <c r="B515" s="99" t="s">
        <v>293</v>
      </c>
      <c r="C515" s="100" t="s">
        <v>136</v>
      </c>
      <c r="D515" s="83" t="s">
        <v>190</v>
      </c>
      <c r="E515" s="101">
        <v>0</v>
      </c>
      <c r="F515" s="100" t="s">
        <v>136</v>
      </c>
      <c r="H515" s="99" t="s">
        <v>294</v>
      </c>
      <c r="I515" s="100" t="s">
        <v>136</v>
      </c>
      <c r="J515" s="83" t="s">
        <v>190</v>
      </c>
      <c r="K515" s="102" t="str">
        <f t="shared" si="71"/>
        <v>D4θ</v>
      </c>
      <c r="L515" s="100" t="s">
        <v>136</v>
      </c>
      <c r="N515" s="85" t="str">
        <f>IF(OR($G$5=0, 4&gt;$G$5), "RESTRINGIDO", IF(ISNUMBER(K515), IF(K515=0, "RESTRINGIDO", "LIBRE"), "LIBRE"))</f>
        <v>RESTRINGIDO</v>
      </c>
    </row>
    <row r="516" spans="2:14" ht="26.4" x14ac:dyDescent="0.3">
      <c r="B516" s="99" t="s">
        <v>295</v>
      </c>
      <c r="C516" s="100" t="s">
        <v>137</v>
      </c>
      <c r="D516" s="83" t="s">
        <v>190</v>
      </c>
      <c r="E516" s="101">
        <v>0</v>
      </c>
      <c r="F516" s="100" t="s">
        <v>137</v>
      </c>
      <c r="H516" s="99" t="s">
        <v>296</v>
      </c>
      <c r="I516" s="100" t="s">
        <v>137</v>
      </c>
      <c r="J516" s="83" t="s">
        <v>190</v>
      </c>
      <c r="K516" s="102" t="str">
        <f t="shared" si="71"/>
        <v>D5X</v>
      </c>
      <c r="L516" s="100" t="s">
        <v>137</v>
      </c>
      <c r="N516" s="85" t="str">
        <f>IF(OR($G$5=0, 5&gt;$G$5), "RESTRINGIDO", IF(ISNUMBER(K516), IF(K516=0, "RESTRINGIDO", "LIBRE"), "LIBRE"))</f>
        <v>RESTRINGIDO</v>
      </c>
    </row>
    <row r="517" spans="2:14" ht="26.4" x14ac:dyDescent="0.3">
      <c r="B517" s="99" t="s">
        <v>297</v>
      </c>
      <c r="C517" s="100" t="s">
        <v>138</v>
      </c>
      <c r="D517" s="83" t="s">
        <v>190</v>
      </c>
      <c r="E517" s="101">
        <v>0</v>
      </c>
      <c r="F517" s="100" t="s">
        <v>138</v>
      </c>
      <c r="H517" s="99" t="s">
        <v>298</v>
      </c>
      <c r="I517" s="100" t="s">
        <v>138</v>
      </c>
      <c r="J517" s="83" t="s">
        <v>190</v>
      </c>
      <c r="K517" s="102" t="str">
        <f t="shared" si="71"/>
        <v>D5Y</v>
      </c>
      <c r="L517" s="100" t="s">
        <v>138</v>
      </c>
      <c r="N517" s="85" t="str">
        <f>IF(OR($G$5=0, 5&gt;$G$5), "RESTRINGIDO", IF(ISNUMBER(K517), IF(K517=0, "RESTRINGIDO", "LIBRE"), "LIBRE"))</f>
        <v>RESTRINGIDO</v>
      </c>
    </row>
    <row r="518" spans="2:14" ht="26.4" x14ac:dyDescent="0.3">
      <c r="B518" s="99" t="s">
        <v>299</v>
      </c>
      <c r="C518" s="100" t="s">
        <v>139</v>
      </c>
      <c r="D518" s="83" t="s">
        <v>190</v>
      </c>
      <c r="E518" s="101">
        <v>0</v>
      </c>
      <c r="F518" s="100" t="s">
        <v>139</v>
      </c>
      <c r="H518" s="99" t="s">
        <v>300</v>
      </c>
      <c r="I518" s="100" t="s">
        <v>139</v>
      </c>
      <c r="J518" s="83" t="s">
        <v>190</v>
      </c>
      <c r="K518" s="102" t="str">
        <f t="shared" si="71"/>
        <v>D5θ</v>
      </c>
      <c r="L518" s="100" t="s">
        <v>139</v>
      </c>
      <c r="N518" s="85" t="str">
        <f>IF(OR($G$5=0, 5&gt;$G$5), "RESTRINGIDO", IF(ISNUMBER(K518), IF(K518=0, "RESTRINGIDO", "LIBRE"), "LIBRE"))</f>
        <v>RESTRINGIDO</v>
      </c>
    </row>
    <row r="519" spans="2:14" ht="26.4" x14ac:dyDescent="0.3">
      <c r="B519" s="99" t="s">
        <v>301</v>
      </c>
      <c r="C519" s="100" t="s">
        <v>140</v>
      </c>
      <c r="D519" s="83" t="s">
        <v>190</v>
      </c>
      <c r="E519" s="101">
        <v>0</v>
      </c>
      <c r="F519" s="100" t="s">
        <v>140</v>
      </c>
      <c r="H519" s="99" t="s">
        <v>302</v>
      </c>
      <c r="I519" s="100" t="s">
        <v>140</v>
      </c>
      <c r="J519" s="83" t="s">
        <v>190</v>
      </c>
      <c r="K519" s="102" t="str">
        <f t="shared" si="71"/>
        <v>D6X</v>
      </c>
      <c r="L519" s="100" t="s">
        <v>140</v>
      </c>
      <c r="N519" s="85" t="str">
        <f>IF(OR($G$5=0, 6&gt;$G$5), "RESTRINGIDO", IF(ISNUMBER(K519), IF(K519=0, "RESTRINGIDO", "LIBRE"), "LIBRE"))</f>
        <v>RESTRINGIDO</v>
      </c>
    </row>
    <row r="520" spans="2:14" ht="26.4" x14ac:dyDescent="0.3">
      <c r="B520" s="99" t="s">
        <v>303</v>
      </c>
      <c r="C520" s="100" t="s">
        <v>141</v>
      </c>
      <c r="D520" s="83" t="s">
        <v>190</v>
      </c>
      <c r="E520" s="101">
        <v>0</v>
      </c>
      <c r="F520" s="100" t="s">
        <v>141</v>
      </c>
      <c r="H520" s="99" t="s">
        <v>304</v>
      </c>
      <c r="I520" s="100" t="s">
        <v>141</v>
      </c>
      <c r="J520" s="83" t="s">
        <v>190</v>
      </c>
      <c r="K520" s="102" t="str">
        <f t="shared" si="71"/>
        <v>D6Y</v>
      </c>
      <c r="L520" s="100" t="s">
        <v>141</v>
      </c>
      <c r="N520" s="85" t="str">
        <f>IF(OR($G$5=0, 6&gt;$G$5), "RESTRINGIDO", IF(ISNUMBER(K520), IF(K520=0, "RESTRINGIDO", "LIBRE"), "LIBRE"))</f>
        <v>RESTRINGIDO</v>
      </c>
    </row>
    <row r="521" spans="2:14" ht="26.4" x14ac:dyDescent="0.3">
      <c r="B521" s="99" t="s">
        <v>305</v>
      </c>
      <c r="C521" s="100" t="s">
        <v>142</v>
      </c>
      <c r="D521" s="83" t="s">
        <v>190</v>
      </c>
      <c r="E521" s="101">
        <v>0</v>
      </c>
      <c r="F521" s="100" t="s">
        <v>142</v>
      </c>
      <c r="H521" s="99" t="s">
        <v>306</v>
      </c>
      <c r="I521" s="100" t="s">
        <v>142</v>
      </c>
      <c r="J521" s="83" t="s">
        <v>190</v>
      </c>
      <c r="K521" s="102" t="str">
        <f t="shared" si="71"/>
        <v>D6θ</v>
      </c>
      <c r="L521" s="100" t="s">
        <v>142</v>
      </c>
      <c r="N521" s="85" t="str">
        <f>IF(OR($G$5=0, 6&gt;$G$5), "RESTRINGIDO", IF(ISNUMBER(K521), IF(K521=0, "RESTRINGIDO", "LIBRE"), "LIBRE"))</f>
        <v>RESTRINGIDO</v>
      </c>
    </row>
    <row r="522" spans="2:14" ht="26.4" x14ac:dyDescent="0.3">
      <c r="B522" s="99" t="s">
        <v>307</v>
      </c>
      <c r="C522" s="100" t="s">
        <v>143</v>
      </c>
      <c r="D522" s="83" t="s">
        <v>190</v>
      </c>
      <c r="E522" s="101">
        <v>0</v>
      </c>
      <c r="F522" s="100" t="s">
        <v>143</v>
      </c>
      <c r="H522" s="99" t="s">
        <v>308</v>
      </c>
      <c r="I522" s="100" t="s">
        <v>143</v>
      </c>
      <c r="J522" s="83" t="s">
        <v>190</v>
      </c>
      <c r="K522" s="102" t="str">
        <f t="shared" si="71"/>
        <v>D7X</v>
      </c>
      <c r="L522" s="100" t="s">
        <v>143</v>
      </c>
      <c r="N522" s="85" t="str">
        <f>IF(OR($G$5=0, 7&gt;$G$5), "RESTRINGIDO", IF(ISNUMBER(K522), IF(K522=0, "RESTRINGIDO", "LIBRE"), "LIBRE"))</f>
        <v>RESTRINGIDO</v>
      </c>
    </row>
    <row r="523" spans="2:14" ht="26.4" x14ac:dyDescent="0.3">
      <c r="B523" s="99" t="s">
        <v>309</v>
      </c>
      <c r="C523" s="100" t="s">
        <v>144</v>
      </c>
      <c r="D523" s="83" t="s">
        <v>190</v>
      </c>
      <c r="E523" s="101">
        <v>0</v>
      </c>
      <c r="F523" s="100" t="s">
        <v>144</v>
      </c>
      <c r="H523" s="99" t="s">
        <v>310</v>
      </c>
      <c r="I523" s="100" t="s">
        <v>144</v>
      </c>
      <c r="J523" s="83" t="s">
        <v>190</v>
      </c>
      <c r="K523" s="102" t="str">
        <f t="shared" si="71"/>
        <v>D7Y</v>
      </c>
      <c r="L523" s="100" t="s">
        <v>144</v>
      </c>
      <c r="N523" s="85" t="str">
        <f>IF(OR($G$5=0, 7&gt;$G$5), "RESTRINGIDO", IF(ISNUMBER(K523), IF(K523=0, "RESTRINGIDO", "LIBRE"), "LIBRE"))</f>
        <v>RESTRINGIDO</v>
      </c>
    </row>
    <row r="524" spans="2:14" ht="26.4" x14ac:dyDescent="0.3">
      <c r="B524" s="99" t="s">
        <v>311</v>
      </c>
      <c r="C524" s="100" t="s">
        <v>145</v>
      </c>
      <c r="D524" s="83" t="s">
        <v>190</v>
      </c>
      <c r="E524" s="101">
        <v>0</v>
      </c>
      <c r="F524" s="100" t="s">
        <v>145</v>
      </c>
      <c r="H524" s="99" t="s">
        <v>312</v>
      </c>
      <c r="I524" s="100" t="s">
        <v>145</v>
      </c>
      <c r="J524" s="83" t="s">
        <v>190</v>
      </c>
      <c r="K524" s="102" t="str">
        <f t="shared" si="71"/>
        <v>D7θ</v>
      </c>
      <c r="L524" s="100" t="s">
        <v>145</v>
      </c>
      <c r="N524" s="85" t="str">
        <f>IF(OR($G$5=0, 7&gt;$G$5), "RESTRINGIDO", IF(ISNUMBER(K524), IF(K524=0, "RESTRINGIDO", "LIBRE"), "LIBRE"))</f>
        <v>RESTRINGIDO</v>
      </c>
    </row>
    <row r="525" spans="2:14" ht="26.4" x14ac:dyDescent="0.3">
      <c r="B525" s="99" t="s">
        <v>313</v>
      </c>
      <c r="C525" s="100" t="s">
        <v>146</v>
      </c>
      <c r="D525" s="83" t="s">
        <v>190</v>
      </c>
      <c r="E525" s="101">
        <v>0</v>
      </c>
      <c r="F525" s="100" t="s">
        <v>146</v>
      </c>
      <c r="H525" s="99" t="s">
        <v>314</v>
      </c>
      <c r="I525" s="100" t="s">
        <v>146</v>
      </c>
      <c r="J525" s="83" t="s">
        <v>190</v>
      </c>
      <c r="K525" s="102" t="str">
        <f t="shared" si="71"/>
        <v>D8X</v>
      </c>
      <c r="L525" s="100" t="s">
        <v>146</v>
      </c>
      <c r="N525" s="85" t="str">
        <f>IF(OR($G$5=0, 8&gt;$G$5), "RESTRINGIDO", IF(ISNUMBER(K525), IF(K525=0, "RESTRINGIDO", "LIBRE"), "LIBRE"))</f>
        <v>RESTRINGIDO</v>
      </c>
    </row>
    <row r="526" spans="2:14" ht="26.4" x14ac:dyDescent="0.3">
      <c r="B526" s="99" t="s">
        <v>315</v>
      </c>
      <c r="C526" s="100" t="s">
        <v>147</v>
      </c>
      <c r="D526" s="83" t="s">
        <v>190</v>
      </c>
      <c r="E526" s="101">
        <v>0</v>
      </c>
      <c r="F526" s="100" t="s">
        <v>147</v>
      </c>
      <c r="H526" s="99" t="s">
        <v>316</v>
      </c>
      <c r="I526" s="100" t="s">
        <v>147</v>
      </c>
      <c r="J526" s="83" t="s">
        <v>190</v>
      </c>
      <c r="K526" s="102" t="str">
        <f t="shared" si="71"/>
        <v>D8Y</v>
      </c>
      <c r="L526" s="100" t="s">
        <v>147</v>
      </c>
      <c r="N526" s="85" t="str">
        <f>IF(OR($G$5=0, 8&gt;$G$5), "RESTRINGIDO", IF(ISNUMBER(K526), IF(K526=0, "RESTRINGIDO", "LIBRE"), "LIBRE"))</f>
        <v>RESTRINGIDO</v>
      </c>
    </row>
    <row r="527" spans="2:14" ht="26.4" x14ac:dyDescent="0.3">
      <c r="B527" s="99" t="s">
        <v>317</v>
      </c>
      <c r="C527" s="100" t="s">
        <v>148</v>
      </c>
      <c r="D527" s="83" t="s">
        <v>190</v>
      </c>
      <c r="E527" s="101">
        <v>0</v>
      </c>
      <c r="F527" s="100" t="s">
        <v>148</v>
      </c>
      <c r="H527" s="99" t="s">
        <v>318</v>
      </c>
      <c r="I527" s="100" t="s">
        <v>148</v>
      </c>
      <c r="J527" s="83" t="s">
        <v>190</v>
      </c>
      <c r="K527" s="102" t="str">
        <f t="shared" si="71"/>
        <v>D8θ</v>
      </c>
      <c r="L527" s="100" t="s">
        <v>148</v>
      </c>
      <c r="N527" s="85" t="str">
        <f>IF(OR($G$5=0, 8&gt;$G$5), "RESTRINGIDO", IF(ISNUMBER(K527), IF(K527=0, "RESTRINGIDO", "LIBRE"), "LIBRE"))</f>
        <v>RESTRINGIDO</v>
      </c>
    </row>
    <row r="528" spans="2:14" ht="26.4" x14ac:dyDescent="0.3">
      <c r="B528" s="99" t="s">
        <v>319</v>
      </c>
      <c r="C528" s="100" t="s">
        <v>149</v>
      </c>
      <c r="D528" s="83" t="s">
        <v>190</v>
      </c>
      <c r="E528" s="101">
        <v>0</v>
      </c>
      <c r="F528" s="100" t="s">
        <v>149</v>
      </c>
      <c r="H528" s="99" t="s">
        <v>320</v>
      </c>
      <c r="I528" s="100" t="s">
        <v>149</v>
      </c>
      <c r="J528" s="83" t="s">
        <v>190</v>
      </c>
      <c r="K528" s="102" t="str">
        <f t="shared" si="71"/>
        <v>D9X</v>
      </c>
      <c r="L528" s="100" t="s">
        <v>149</v>
      </c>
      <c r="N528" s="85" t="str">
        <f>IF(OR($G$5=0, 9&gt;$G$5), "RESTRINGIDO", IF(ISNUMBER(K528), IF(K528=0, "RESTRINGIDO", "LIBRE"), "LIBRE"))</f>
        <v>RESTRINGIDO</v>
      </c>
    </row>
    <row r="529" spans="1:43" ht="26.4" x14ac:dyDescent="0.3">
      <c r="B529" s="99" t="s">
        <v>321</v>
      </c>
      <c r="C529" s="100" t="s">
        <v>150</v>
      </c>
      <c r="D529" s="83" t="s">
        <v>190</v>
      </c>
      <c r="E529" s="101">
        <v>0</v>
      </c>
      <c r="F529" s="100" t="s">
        <v>150</v>
      </c>
      <c r="H529" s="99" t="s">
        <v>322</v>
      </c>
      <c r="I529" s="100" t="s">
        <v>150</v>
      </c>
      <c r="J529" s="83" t="s">
        <v>190</v>
      </c>
      <c r="K529" s="102" t="str">
        <f t="shared" si="71"/>
        <v>D9Y</v>
      </c>
      <c r="L529" s="100" t="s">
        <v>150</v>
      </c>
      <c r="N529" s="85" t="str">
        <f>IF(OR($G$5=0, 9&gt;$G$5), "RESTRINGIDO", IF(ISNUMBER(K529), IF(K529=0, "RESTRINGIDO", "LIBRE"), "LIBRE"))</f>
        <v>RESTRINGIDO</v>
      </c>
    </row>
    <row r="530" spans="1:43" ht="26.4" x14ac:dyDescent="0.3">
      <c r="B530" s="99" t="s">
        <v>323</v>
      </c>
      <c r="C530" s="100" t="s">
        <v>151</v>
      </c>
      <c r="D530" s="83" t="s">
        <v>190</v>
      </c>
      <c r="E530" s="101">
        <v>0</v>
      </c>
      <c r="F530" s="100" t="s">
        <v>151</v>
      </c>
      <c r="H530" s="99" t="s">
        <v>324</v>
      </c>
      <c r="I530" s="100" t="s">
        <v>151</v>
      </c>
      <c r="J530" s="83" t="s">
        <v>190</v>
      </c>
      <c r="K530" s="102" t="str">
        <f t="shared" si="71"/>
        <v>D9θ</v>
      </c>
      <c r="L530" s="100" t="s">
        <v>151</v>
      </c>
      <c r="N530" s="85" t="str">
        <f>IF(OR($G$5=0, 9&gt;$G$5), "RESTRINGIDO", IF(ISNUMBER(K530), IF(K530=0, "RESTRINGIDO", "LIBRE"), "LIBRE"))</f>
        <v>RESTRINGIDO</v>
      </c>
    </row>
    <row r="531" spans="1:43" ht="26.4" x14ac:dyDescent="0.3">
      <c r="B531" s="99" t="s">
        <v>325</v>
      </c>
      <c r="C531" s="100" t="s">
        <v>152</v>
      </c>
      <c r="D531" s="83" t="s">
        <v>190</v>
      </c>
      <c r="E531" s="101">
        <v>0</v>
      </c>
      <c r="F531" s="100" t="s">
        <v>152</v>
      </c>
      <c r="H531" s="99" t="s">
        <v>326</v>
      </c>
      <c r="I531" s="100" t="s">
        <v>152</v>
      </c>
      <c r="J531" s="83" t="s">
        <v>190</v>
      </c>
      <c r="K531" s="102" t="str">
        <f t="shared" si="71"/>
        <v>D10X</v>
      </c>
      <c r="L531" s="100" t="s">
        <v>152</v>
      </c>
      <c r="N531" s="85" t="str">
        <f>IF(OR($G$5=0, 10&gt;$G$5), "RESTRINGIDO", IF(ISNUMBER(K531), IF(K531=0, "RESTRINGIDO", "LIBRE"), "LIBRE"))</f>
        <v>RESTRINGIDO</v>
      </c>
    </row>
    <row r="532" spans="1:43" ht="26.4" x14ac:dyDescent="0.3">
      <c r="B532" s="99" t="s">
        <v>327</v>
      </c>
      <c r="C532" s="100" t="s">
        <v>153</v>
      </c>
      <c r="D532" s="83" t="s">
        <v>190</v>
      </c>
      <c r="E532" s="101">
        <v>0</v>
      </c>
      <c r="F532" s="100" t="s">
        <v>153</v>
      </c>
      <c r="H532" s="99" t="s">
        <v>328</v>
      </c>
      <c r="I532" s="100" t="s">
        <v>153</v>
      </c>
      <c r="J532" s="83" t="s">
        <v>190</v>
      </c>
      <c r="K532" s="102" t="str">
        <f t="shared" si="71"/>
        <v>D10Y</v>
      </c>
      <c r="L532" s="100" t="s">
        <v>153</v>
      </c>
      <c r="N532" s="85" t="str">
        <f>IF(OR($G$5=0, 10&gt;$G$5), "RESTRINGIDO", IF(ISNUMBER(K532), IF(K532=0, "RESTRINGIDO", "LIBRE"), "LIBRE"))</f>
        <v>RESTRINGIDO</v>
      </c>
    </row>
    <row r="533" spans="1:43" ht="26.4" x14ac:dyDescent="0.3">
      <c r="B533" s="99" t="s">
        <v>329</v>
      </c>
      <c r="C533" s="100" t="s">
        <v>154</v>
      </c>
      <c r="D533" s="83" t="s">
        <v>190</v>
      </c>
      <c r="E533" s="101">
        <v>0</v>
      </c>
      <c r="F533" s="100" t="s">
        <v>154</v>
      </c>
      <c r="H533" s="99" t="s">
        <v>330</v>
      </c>
      <c r="I533" s="100" t="s">
        <v>154</v>
      </c>
      <c r="J533" s="83" t="s">
        <v>190</v>
      </c>
      <c r="K533" s="102" t="str">
        <f t="shared" si="71"/>
        <v>D10θ</v>
      </c>
      <c r="L533" s="100" t="s">
        <v>154</v>
      </c>
      <c r="N533" s="85" t="str">
        <f>IF(OR($G$5=0, 10&gt;$G$5), "RESTRINGIDO", IF(ISNUMBER(K533), IF(K533=0, "RESTRINGIDO", "LIBRE"), "LIBRE"))</f>
        <v>RESTRINGIDO</v>
      </c>
    </row>
    <row r="534" spans="1:43" ht="26.4" x14ac:dyDescent="0.3">
      <c r="B534" s="99" t="s">
        <v>331</v>
      </c>
      <c r="C534" s="100" t="s">
        <v>155</v>
      </c>
      <c r="D534" s="83" t="s">
        <v>190</v>
      </c>
      <c r="E534" s="101">
        <v>0</v>
      </c>
      <c r="F534" s="100" t="s">
        <v>155</v>
      </c>
      <c r="H534" s="99" t="s">
        <v>332</v>
      </c>
      <c r="I534" s="100" t="s">
        <v>155</v>
      </c>
      <c r="J534" s="83" t="s">
        <v>190</v>
      </c>
      <c r="K534" s="102" t="str">
        <f t="shared" si="71"/>
        <v>D11X</v>
      </c>
      <c r="L534" s="100" t="s">
        <v>155</v>
      </c>
      <c r="N534" s="85" t="str">
        <f>IF(OR($G$5=0, 11&gt;$G$5), "RESTRINGIDO", IF(ISNUMBER(K534), IF(K534=0, "RESTRINGIDO", "LIBRE"), "LIBRE"))</f>
        <v>RESTRINGIDO</v>
      </c>
    </row>
    <row r="535" spans="1:43" ht="26.4" x14ac:dyDescent="0.3">
      <c r="B535" s="99" t="s">
        <v>333</v>
      </c>
      <c r="C535" s="100" t="s">
        <v>156</v>
      </c>
      <c r="D535" s="83" t="s">
        <v>190</v>
      </c>
      <c r="E535" s="101">
        <v>0</v>
      </c>
      <c r="F535" s="100" t="s">
        <v>156</v>
      </c>
      <c r="H535" s="99" t="s">
        <v>334</v>
      </c>
      <c r="I535" s="100" t="s">
        <v>156</v>
      </c>
      <c r="J535" s="83" t="s">
        <v>190</v>
      </c>
      <c r="K535" s="102" t="str">
        <f t="shared" si="71"/>
        <v>D11Y</v>
      </c>
      <c r="L535" s="100" t="s">
        <v>156</v>
      </c>
      <c r="N535" s="85" t="str">
        <f>IF(OR($G$5=0, 11&gt;$G$5), "RESTRINGIDO", IF(ISNUMBER(K535), IF(K535=0, "RESTRINGIDO", "LIBRE"), "LIBRE"))</f>
        <v>RESTRINGIDO</v>
      </c>
    </row>
    <row r="536" spans="1:43" ht="26.4" x14ac:dyDescent="0.3">
      <c r="B536" s="99" t="s">
        <v>335</v>
      </c>
      <c r="C536" s="100" t="s">
        <v>157</v>
      </c>
      <c r="D536" s="83" t="s">
        <v>190</v>
      </c>
      <c r="E536" s="101">
        <v>0</v>
      </c>
      <c r="F536" s="100" t="s">
        <v>157</v>
      </c>
      <c r="H536" s="99" t="s">
        <v>336</v>
      </c>
      <c r="I536" s="100" t="s">
        <v>157</v>
      </c>
      <c r="J536" s="83" t="s">
        <v>190</v>
      </c>
      <c r="K536" s="102" t="str">
        <f t="shared" si="71"/>
        <v>D11θ</v>
      </c>
      <c r="L536" s="100" t="s">
        <v>157</v>
      </c>
      <c r="N536" s="85" t="str">
        <f>IF(OR($G$5=0, 11&gt;$G$5), "RESTRINGIDO", IF(ISNUMBER(K536), IF(K536=0, "RESTRINGIDO", "LIBRE"), "LIBRE"))</f>
        <v>RESTRINGIDO</v>
      </c>
    </row>
    <row r="539" spans="1:43" x14ac:dyDescent="0.3">
      <c r="B539" s="95" t="s">
        <v>337</v>
      </c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</row>
    <row r="541" spans="1:43" x14ac:dyDescent="0.3">
      <c r="A541" s="93">
        <f t="shared" ref="A541:A573" si="72">E504</f>
        <v>0</v>
      </c>
      <c r="B541" s="94" t="s">
        <v>190</v>
      </c>
      <c r="C541" s="92">
        <f t="shared" ref="C541:AI548" si="73">B467</f>
        <v>0</v>
      </c>
      <c r="D541" s="93">
        <f t="shared" si="73"/>
        <v>0</v>
      </c>
      <c r="E541" s="93">
        <f t="shared" si="73"/>
        <v>0</v>
      </c>
      <c r="F541" s="93">
        <f t="shared" si="73"/>
        <v>0</v>
      </c>
      <c r="G541" s="93">
        <f t="shared" si="73"/>
        <v>0</v>
      </c>
      <c r="H541" s="93">
        <f t="shared" si="73"/>
        <v>0</v>
      </c>
      <c r="I541" s="93">
        <f t="shared" si="73"/>
        <v>0</v>
      </c>
      <c r="J541" s="93">
        <f t="shared" si="73"/>
        <v>0</v>
      </c>
      <c r="K541" s="93">
        <f t="shared" si="73"/>
        <v>0</v>
      </c>
      <c r="L541" s="93">
        <f t="shared" si="73"/>
        <v>0</v>
      </c>
      <c r="M541" s="93">
        <f t="shared" si="73"/>
        <v>0</v>
      </c>
      <c r="N541" s="93">
        <f t="shared" si="73"/>
        <v>0</v>
      </c>
      <c r="O541" s="93">
        <f t="shared" si="73"/>
        <v>0</v>
      </c>
      <c r="P541" s="93">
        <f t="shared" si="73"/>
        <v>0</v>
      </c>
      <c r="Q541" s="93">
        <f t="shared" si="73"/>
        <v>0</v>
      </c>
      <c r="R541" s="93">
        <f t="shared" si="73"/>
        <v>0</v>
      </c>
      <c r="S541" s="93">
        <f t="shared" si="73"/>
        <v>0</v>
      </c>
      <c r="T541" s="93">
        <f t="shared" si="73"/>
        <v>0</v>
      </c>
      <c r="U541" s="93">
        <f t="shared" si="73"/>
        <v>0</v>
      </c>
      <c r="V541" s="93">
        <f t="shared" si="73"/>
        <v>0</v>
      </c>
      <c r="W541" s="93">
        <f t="shared" si="73"/>
        <v>0</v>
      </c>
      <c r="X541" s="93">
        <f t="shared" si="73"/>
        <v>0</v>
      </c>
      <c r="Y541" s="93">
        <f t="shared" si="73"/>
        <v>0</v>
      </c>
      <c r="Z541" s="93">
        <f t="shared" si="73"/>
        <v>0</v>
      </c>
      <c r="AA541" s="93">
        <f t="shared" si="73"/>
        <v>0</v>
      </c>
      <c r="AB541" s="93">
        <f t="shared" si="73"/>
        <v>0</v>
      </c>
      <c r="AC541" s="93">
        <f t="shared" si="73"/>
        <v>0</v>
      </c>
      <c r="AD541" s="93">
        <f t="shared" si="73"/>
        <v>0</v>
      </c>
      <c r="AE541" s="93">
        <f t="shared" si="73"/>
        <v>0</v>
      </c>
      <c r="AF541" s="93">
        <f t="shared" si="73"/>
        <v>0</v>
      </c>
      <c r="AG541" s="93">
        <f t="shared" si="73"/>
        <v>0</v>
      </c>
      <c r="AH541" s="93">
        <f t="shared" si="73"/>
        <v>0</v>
      </c>
      <c r="AI541" s="93">
        <f t="shared" si="73"/>
        <v>0</v>
      </c>
      <c r="AQ541" s="83">
        <f t="shared" ref="AQ541:AQ573" si="74">K504</f>
        <v>0</v>
      </c>
    </row>
    <row r="542" spans="1:43" x14ac:dyDescent="0.3">
      <c r="A542" s="93">
        <f t="shared" si="72"/>
        <v>0</v>
      </c>
      <c r="B542" s="94" t="s">
        <v>190</v>
      </c>
      <c r="C542" s="93">
        <f t="shared" si="73"/>
        <v>0</v>
      </c>
      <c r="D542" s="92">
        <f t="shared" si="73"/>
        <v>0</v>
      </c>
      <c r="E542" s="93">
        <f t="shared" si="73"/>
        <v>0</v>
      </c>
      <c r="F542" s="93">
        <f t="shared" si="73"/>
        <v>0</v>
      </c>
      <c r="G542" s="93">
        <f t="shared" si="73"/>
        <v>0</v>
      </c>
      <c r="H542" s="93">
        <f t="shared" si="73"/>
        <v>0</v>
      </c>
      <c r="I542" s="93">
        <f t="shared" si="73"/>
        <v>0</v>
      </c>
      <c r="J542" s="93">
        <f t="shared" si="73"/>
        <v>0</v>
      </c>
      <c r="K542" s="93">
        <f t="shared" si="73"/>
        <v>0</v>
      </c>
      <c r="L542" s="93">
        <f t="shared" si="73"/>
        <v>0</v>
      </c>
      <c r="M542" s="93">
        <f t="shared" si="73"/>
        <v>0</v>
      </c>
      <c r="N542" s="93">
        <f t="shared" si="73"/>
        <v>0</v>
      </c>
      <c r="O542" s="93">
        <f t="shared" si="73"/>
        <v>0</v>
      </c>
      <c r="P542" s="93">
        <f t="shared" si="73"/>
        <v>0</v>
      </c>
      <c r="Q542" s="93">
        <f t="shared" si="73"/>
        <v>0</v>
      </c>
      <c r="R542" s="93">
        <f t="shared" si="73"/>
        <v>0</v>
      </c>
      <c r="S542" s="93">
        <f t="shared" si="73"/>
        <v>0</v>
      </c>
      <c r="T542" s="93">
        <f t="shared" si="73"/>
        <v>0</v>
      </c>
      <c r="U542" s="93">
        <f t="shared" si="73"/>
        <v>0</v>
      </c>
      <c r="V542" s="93">
        <f t="shared" si="73"/>
        <v>0</v>
      </c>
      <c r="W542" s="93">
        <f t="shared" si="73"/>
        <v>0</v>
      </c>
      <c r="X542" s="93">
        <f t="shared" si="73"/>
        <v>0</v>
      </c>
      <c r="Y542" s="93">
        <f t="shared" si="73"/>
        <v>0</v>
      </c>
      <c r="Z542" s="93">
        <f t="shared" si="73"/>
        <v>0</v>
      </c>
      <c r="AA542" s="93">
        <f t="shared" si="73"/>
        <v>0</v>
      </c>
      <c r="AB542" s="93">
        <f t="shared" si="73"/>
        <v>0</v>
      </c>
      <c r="AC542" s="93">
        <f t="shared" si="73"/>
        <v>0</v>
      </c>
      <c r="AD542" s="93">
        <f t="shared" si="73"/>
        <v>0</v>
      </c>
      <c r="AE542" s="93">
        <f t="shared" si="73"/>
        <v>0</v>
      </c>
      <c r="AF542" s="93">
        <f t="shared" si="73"/>
        <v>0</v>
      </c>
      <c r="AG542" s="93">
        <f t="shared" si="73"/>
        <v>0</v>
      </c>
      <c r="AH542" s="93">
        <f t="shared" si="73"/>
        <v>0</v>
      </c>
      <c r="AI542" s="93">
        <f t="shared" si="73"/>
        <v>0</v>
      </c>
      <c r="AQ542" s="83">
        <f t="shared" si="74"/>
        <v>0</v>
      </c>
    </row>
    <row r="543" spans="1:43" x14ac:dyDescent="0.3">
      <c r="A543" s="93">
        <f t="shared" si="72"/>
        <v>0</v>
      </c>
      <c r="B543" s="94" t="s">
        <v>190</v>
      </c>
      <c r="C543" s="93">
        <f t="shared" si="73"/>
        <v>0</v>
      </c>
      <c r="D543" s="93">
        <f t="shared" si="73"/>
        <v>0</v>
      </c>
      <c r="E543" s="92">
        <f t="shared" si="73"/>
        <v>0</v>
      </c>
      <c r="F543" s="93">
        <f t="shared" si="73"/>
        <v>0</v>
      </c>
      <c r="G543" s="93">
        <f t="shared" si="73"/>
        <v>0</v>
      </c>
      <c r="H543" s="93">
        <f t="shared" si="73"/>
        <v>0</v>
      </c>
      <c r="I543" s="93">
        <f t="shared" si="73"/>
        <v>0</v>
      </c>
      <c r="J543" s="93">
        <f t="shared" si="73"/>
        <v>0</v>
      </c>
      <c r="K543" s="93">
        <f t="shared" si="73"/>
        <v>0</v>
      </c>
      <c r="L543" s="93">
        <f t="shared" si="73"/>
        <v>0</v>
      </c>
      <c r="M543" s="93">
        <f t="shared" si="73"/>
        <v>0</v>
      </c>
      <c r="N543" s="93">
        <f t="shared" si="73"/>
        <v>0</v>
      </c>
      <c r="O543" s="93">
        <f t="shared" si="73"/>
        <v>0</v>
      </c>
      <c r="P543" s="93">
        <f t="shared" si="73"/>
        <v>0</v>
      </c>
      <c r="Q543" s="93">
        <f t="shared" si="73"/>
        <v>0</v>
      </c>
      <c r="R543" s="93">
        <f t="shared" si="73"/>
        <v>0</v>
      </c>
      <c r="S543" s="93">
        <f t="shared" si="73"/>
        <v>0</v>
      </c>
      <c r="T543" s="93">
        <f t="shared" si="73"/>
        <v>0</v>
      </c>
      <c r="U543" s="93">
        <f t="shared" si="73"/>
        <v>0</v>
      </c>
      <c r="V543" s="93">
        <f t="shared" si="73"/>
        <v>0</v>
      </c>
      <c r="W543" s="93">
        <f t="shared" si="73"/>
        <v>0</v>
      </c>
      <c r="X543" s="93">
        <f t="shared" si="73"/>
        <v>0</v>
      </c>
      <c r="Y543" s="93">
        <f t="shared" si="73"/>
        <v>0</v>
      </c>
      <c r="Z543" s="93">
        <f t="shared" si="73"/>
        <v>0</v>
      </c>
      <c r="AA543" s="93">
        <f t="shared" si="73"/>
        <v>0</v>
      </c>
      <c r="AB543" s="93">
        <f t="shared" si="73"/>
        <v>0</v>
      </c>
      <c r="AC543" s="93">
        <f t="shared" si="73"/>
        <v>0</v>
      </c>
      <c r="AD543" s="93">
        <f t="shared" si="73"/>
        <v>0</v>
      </c>
      <c r="AE543" s="93">
        <f t="shared" si="73"/>
        <v>0</v>
      </c>
      <c r="AF543" s="93">
        <f t="shared" si="73"/>
        <v>0</v>
      </c>
      <c r="AG543" s="93">
        <f t="shared" si="73"/>
        <v>0</v>
      </c>
      <c r="AH543" s="93">
        <f t="shared" si="73"/>
        <v>0</v>
      </c>
      <c r="AI543" s="93">
        <f t="shared" si="73"/>
        <v>0</v>
      </c>
      <c r="AQ543" s="83" t="str">
        <f t="shared" si="74"/>
        <v>D1θ</v>
      </c>
    </row>
    <row r="544" spans="1:43" x14ac:dyDescent="0.3">
      <c r="A544" s="93">
        <f t="shared" si="72"/>
        <v>0</v>
      </c>
      <c r="B544" s="94" t="s">
        <v>190</v>
      </c>
      <c r="C544" s="93">
        <f t="shared" si="73"/>
        <v>0</v>
      </c>
      <c r="D544" s="93">
        <f t="shared" si="73"/>
        <v>0</v>
      </c>
      <c r="E544" s="93">
        <f t="shared" si="73"/>
        <v>0</v>
      </c>
      <c r="F544" s="92">
        <f t="shared" si="73"/>
        <v>0</v>
      </c>
      <c r="G544" s="93">
        <f t="shared" si="73"/>
        <v>0</v>
      </c>
      <c r="H544" s="93">
        <f t="shared" si="73"/>
        <v>0</v>
      </c>
      <c r="I544" s="93">
        <f t="shared" si="73"/>
        <v>0</v>
      </c>
      <c r="J544" s="93">
        <f t="shared" si="73"/>
        <v>0</v>
      </c>
      <c r="K544" s="93">
        <f t="shared" si="73"/>
        <v>0</v>
      </c>
      <c r="L544" s="93">
        <f t="shared" si="73"/>
        <v>0</v>
      </c>
      <c r="M544" s="93">
        <f t="shared" si="73"/>
        <v>0</v>
      </c>
      <c r="N544" s="93">
        <f t="shared" si="73"/>
        <v>0</v>
      </c>
      <c r="O544" s="93">
        <f t="shared" si="73"/>
        <v>0</v>
      </c>
      <c r="P544" s="93">
        <f t="shared" si="73"/>
        <v>0</v>
      </c>
      <c r="Q544" s="93">
        <f t="shared" si="73"/>
        <v>0</v>
      </c>
      <c r="R544" s="93">
        <f t="shared" si="73"/>
        <v>0</v>
      </c>
      <c r="S544" s="93">
        <f t="shared" si="73"/>
        <v>0</v>
      </c>
      <c r="T544" s="93">
        <f t="shared" si="73"/>
        <v>0</v>
      </c>
      <c r="U544" s="93">
        <f t="shared" si="73"/>
        <v>0</v>
      </c>
      <c r="V544" s="93">
        <f t="shared" si="73"/>
        <v>0</v>
      </c>
      <c r="W544" s="93">
        <f t="shared" si="73"/>
        <v>0</v>
      </c>
      <c r="X544" s="93">
        <f t="shared" si="73"/>
        <v>0</v>
      </c>
      <c r="Y544" s="93">
        <f t="shared" si="73"/>
        <v>0</v>
      </c>
      <c r="Z544" s="93">
        <f t="shared" si="73"/>
        <v>0</v>
      </c>
      <c r="AA544" s="93">
        <f t="shared" si="73"/>
        <v>0</v>
      </c>
      <c r="AB544" s="93">
        <f t="shared" si="73"/>
        <v>0</v>
      </c>
      <c r="AC544" s="93">
        <f t="shared" si="73"/>
        <v>0</v>
      </c>
      <c r="AD544" s="93">
        <f t="shared" si="73"/>
        <v>0</v>
      </c>
      <c r="AE544" s="93">
        <f t="shared" si="73"/>
        <v>0</v>
      </c>
      <c r="AF544" s="93">
        <f t="shared" si="73"/>
        <v>0</v>
      </c>
      <c r="AG544" s="93">
        <f t="shared" si="73"/>
        <v>0</v>
      </c>
      <c r="AH544" s="93">
        <f t="shared" si="73"/>
        <v>0</v>
      </c>
      <c r="AI544" s="93">
        <f t="shared" si="73"/>
        <v>0</v>
      </c>
      <c r="AQ544" s="83" t="str">
        <f t="shared" si="74"/>
        <v>D2X</v>
      </c>
    </row>
    <row r="545" spans="1:43" x14ac:dyDescent="0.3">
      <c r="A545" s="93">
        <f t="shared" si="72"/>
        <v>0</v>
      </c>
      <c r="B545" s="94" t="s">
        <v>190</v>
      </c>
      <c r="C545" s="93">
        <f t="shared" si="73"/>
        <v>0</v>
      </c>
      <c r="D545" s="93">
        <f t="shared" si="73"/>
        <v>0</v>
      </c>
      <c r="E545" s="93">
        <f t="shared" si="73"/>
        <v>0</v>
      </c>
      <c r="F545" s="93">
        <f t="shared" si="73"/>
        <v>0</v>
      </c>
      <c r="G545" s="92">
        <f t="shared" si="73"/>
        <v>0</v>
      </c>
      <c r="H545" s="93">
        <f t="shared" si="73"/>
        <v>0</v>
      </c>
      <c r="I545" s="93">
        <f t="shared" si="73"/>
        <v>0</v>
      </c>
      <c r="J545" s="93">
        <f t="shared" si="73"/>
        <v>0</v>
      </c>
      <c r="K545" s="93">
        <f t="shared" si="73"/>
        <v>0</v>
      </c>
      <c r="L545" s="93">
        <f t="shared" si="73"/>
        <v>0</v>
      </c>
      <c r="M545" s="93">
        <f t="shared" si="73"/>
        <v>0</v>
      </c>
      <c r="N545" s="93">
        <f t="shared" si="73"/>
        <v>0</v>
      </c>
      <c r="O545" s="93">
        <f t="shared" si="73"/>
        <v>0</v>
      </c>
      <c r="P545" s="93">
        <f t="shared" si="73"/>
        <v>0</v>
      </c>
      <c r="Q545" s="93">
        <f t="shared" si="73"/>
        <v>0</v>
      </c>
      <c r="R545" s="93">
        <f t="shared" si="73"/>
        <v>0</v>
      </c>
      <c r="S545" s="93">
        <f t="shared" si="73"/>
        <v>0</v>
      </c>
      <c r="T545" s="93">
        <f t="shared" si="73"/>
        <v>0</v>
      </c>
      <c r="U545" s="93">
        <f t="shared" si="73"/>
        <v>0</v>
      </c>
      <c r="V545" s="93">
        <f t="shared" si="73"/>
        <v>0</v>
      </c>
      <c r="W545" s="93">
        <f t="shared" si="73"/>
        <v>0</v>
      </c>
      <c r="X545" s="93">
        <f t="shared" si="73"/>
        <v>0</v>
      </c>
      <c r="Y545" s="93">
        <f t="shared" si="73"/>
        <v>0</v>
      </c>
      <c r="Z545" s="93">
        <f t="shared" si="73"/>
        <v>0</v>
      </c>
      <c r="AA545" s="93">
        <f t="shared" si="73"/>
        <v>0</v>
      </c>
      <c r="AB545" s="93">
        <f t="shared" si="73"/>
        <v>0</v>
      </c>
      <c r="AC545" s="93">
        <f t="shared" si="73"/>
        <v>0</v>
      </c>
      <c r="AD545" s="93">
        <f t="shared" si="73"/>
        <v>0</v>
      </c>
      <c r="AE545" s="93">
        <f t="shared" si="73"/>
        <v>0</v>
      </c>
      <c r="AF545" s="93">
        <f t="shared" si="73"/>
        <v>0</v>
      </c>
      <c r="AG545" s="93">
        <f t="shared" si="73"/>
        <v>0</v>
      </c>
      <c r="AH545" s="93">
        <f t="shared" si="73"/>
        <v>0</v>
      </c>
      <c r="AI545" s="93">
        <f t="shared" si="73"/>
        <v>0</v>
      </c>
      <c r="AQ545" s="83" t="str">
        <f t="shared" si="74"/>
        <v>D2Y</v>
      </c>
    </row>
    <row r="546" spans="1:43" x14ac:dyDescent="0.3">
      <c r="A546" s="93">
        <f t="shared" si="72"/>
        <v>0</v>
      </c>
      <c r="B546" s="94" t="s">
        <v>190</v>
      </c>
      <c r="C546" s="93">
        <f t="shared" si="73"/>
        <v>0</v>
      </c>
      <c r="D546" s="93">
        <f t="shared" si="73"/>
        <v>0</v>
      </c>
      <c r="E546" s="93">
        <f t="shared" si="73"/>
        <v>0</v>
      </c>
      <c r="F546" s="93">
        <f t="shared" si="73"/>
        <v>0</v>
      </c>
      <c r="G546" s="93">
        <f t="shared" si="73"/>
        <v>0</v>
      </c>
      <c r="H546" s="92">
        <f t="shared" si="73"/>
        <v>0</v>
      </c>
      <c r="I546" s="93">
        <f t="shared" si="73"/>
        <v>0</v>
      </c>
      <c r="J546" s="93">
        <f t="shared" si="73"/>
        <v>0</v>
      </c>
      <c r="K546" s="93">
        <f t="shared" si="73"/>
        <v>0</v>
      </c>
      <c r="L546" s="93">
        <f t="shared" si="73"/>
        <v>0</v>
      </c>
      <c r="M546" s="93">
        <f t="shared" si="73"/>
        <v>0</v>
      </c>
      <c r="N546" s="93">
        <f t="shared" si="73"/>
        <v>0</v>
      </c>
      <c r="O546" s="93">
        <f t="shared" si="73"/>
        <v>0</v>
      </c>
      <c r="P546" s="93">
        <f t="shared" si="73"/>
        <v>0</v>
      </c>
      <c r="Q546" s="93">
        <f t="shared" si="73"/>
        <v>0</v>
      </c>
      <c r="R546" s="93">
        <f t="shared" si="73"/>
        <v>0</v>
      </c>
      <c r="S546" s="93">
        <f t="shared" si="73"/>
        <v>0</v>
      </c>
      <c r="T546" s="93">
        <f t="shared" si="73"/>
        <v>0</v>
      </c>
      <c r="U546" s="93">
        <f t="shared" si="73"/>
        <v>0</v>
      </c>
      <c r="V546" s="93">
        <f t="shared" si="73"/>
        <v>0</v>
      </c>
      <c r="W546" s="93">
        <f t="shared" si="73"/>
        <v>0</v>
      </c>
      <c r="X546" s="93">
        <f t="shared" si="73"/>
        <v>0</v>
      </c>
      <c r="Y546" s="93">
        <f t="shared" si="73"/>
        <v>0</v>
      </c>
      <c r="Z546" s="93">
        <f t="shared" si="73"/>
        <v>0</v>
      </c>
      <c r="AA546" s="93">
        <f t="shared" si="73"/>
        <v>0</v>
      </c>
      <c r="AB546" s="93">
        <f t="shared" si="73"/>
        <v>0</v>
      </c>
      <c r="AC546" s="93">
        <f t="shared" si="73"/>
        <v>0</v>
      </c>
      <c r="AD546" s="93">
        <f t="shared" si="73"/>
        <v>0</v>
      </c>
      <c r="AE546" s="93">
        <f t="shared" si="73"/>
        <v>0</v>
      </c>
      <c r="AF546" s="93">
        <f t="shared" si="73"/>
        <v>0</v>
      </c>
      <c r="AG546" s="93">
        <f t="shared" si="73"/>
        <v>0</v>
      </c>
      <c r="AH546" s="93">
        <f t="shared" si="73"/>
        <v>0</v>
      </c>
      <c r="AI546" s="93">
        <f t="shared" si="73"/>
        <v>0</v>
      </c>
      <c r="AQ546" s="83" t="str">
        <f t="shared" si="74"/>
        <v>D2θ</v>
      </c>
    </row>
    <row r="547" spans="1:43" x14ac:dyDescent="0.3">
      <c r="A547" s="93">
        <f t="shared" si="72"/>
        <v>0</v>
      </c>
      <c r="B547" s="94" t="s">
        <v>190</v>
      </c>
      <c r="C547" s="93">
        <f t="shared" si="73"/>
        <v>0</v>
      </c>
      <c r="D547" s="93">
        <f t="shared" si="73"/>
        <v>0</v>
      </c>
      <c r="E547" s="93">
        <f t="shared" si="73"/>
        <v>0</v>
      </c>
      <c r="F547" s="93">
        <f t="shared" si="73"/>
        <v>0</v>
      </c>
      <c r="G547" s="93">
        <f t="shared" si="73"/>
        <v>0</v>
      </c>
      <c r="H547" s="93">
        <f t="shared" si="73"/>
        <v>0</v>
      </c>
      <c r="I547" s="92">
        <f t="shared" si="73"/>
        <v>0</v>
      </c>
      <c r="J547" s="93">
        <f t="shared" si="73"/>
        <v>0</v>
      </c>
      <c r="K547" s="93">
        <f t="shared" si="73"/>
        <v>0</v>
      </c>
      <c r="L547" s="93">
        <f t="shared" si="73"/>
        <v>0</v>
      </c>
      <c r="M547" s="93">
        <f t="shared" si="73"/>
        <v>0</v>
      </c>
      <c r="N547" s="93">
        <f t="shared" si="73"/>
        <v>0</v>
      </c>
      <c r="O547" s="93">
        <f t="shared" si="73"/>
        <v>0</v>
      </c>
      <c r="P547" s="93">
        <f t="shared" si="73"/>
        <v>0</v>
      </c>
      <c r="Q547" s="93">
        <f t="shared" si="73"/>
        <v>0</v>
      </c>
      <c r="R547" s="93">
        <f t="shared" si="73"/>
        <v>0</v>
      </c>
      <c r="S547" s="93">
        <f t="shared" si="73"/>
        <v>0</v>
      </c>
      <c r="T547" s="93">
        <f t="shared" si="73"/>
        <v>0</v>
      </c>
      <c r="U547" s="93">
        <f t="shared" si="73"/>
        <v>0</v>
      </c>
      <c r="V547" s="93">
        <f t="shared" si="73"/>
        <v>0</v>
      </c>
      <c r="W547" s="93">
        <f t="shared" si="73"/>
        <v>0</v>
      </c>
      <c r="X547" s="93">
        <f t="shared" si="73"/>
        <v>0</v>
      </c>
      <c r="Y547" s="93">
        <f t="shared" si="73"/>
        <v>0</v>
      </c>
      <c r="Z547" s="93">
        <f t="shared" si="73"/>
        <v>0</v>
      </c>
      <c r="AA547" s="93">
        <f t="shared" si="73"/>
        <v>0</v>
      </c>
      <c r="AB547" s="93">
        <f t="shared" si="73"/>
        <v>0</v>
      </c>
      <c r="AC547" s="93">
        <f t="shared" si="73"/>
        <v>0</v>
      </c>
      <c r="AD547" s="93">
        <f t="shared" si="73"/>
        <v>0</v>
      </c>
      <c r="AE547" s="93">
        <f t="shared" si="73"/>
        <v>0</v>
      </c>
      <c r="AF547" s="93">
        <f t="shared" si="73"/>
        <v>0</v>
      </c>
      <c r="AG547" s="93">
        <f t="shared" si="73"/>
        <v>0</v>
      </c>
      <c r="AH547" s="93">
        <f t="shared" si="73"/>
        <v>0</v>
      </c>
      <c r="AI547" s="93">
        <f t="shared" si="73"/>
        <v>0</v>
      </c>
      <c r="AQ547" s="83" t="str">
        <f t="shared" si="74"/>
        <v>D3X</v>
      </c>
    </row>
    <row r="548" spans="1:43" x14ac:dyDescent="0.3">
      <c r="A548" s="93">
        <f t="shared" si="72"/>
        <v>0</v>
      </c>
      <c r="B548" s="94" t="s">
        <v>190</v>
      </c>
      <c r="C548" s="93">
        <f t="shared" si="73"/>
        <v>0</v>
      </c>
      <c r="D548" s="93">
        <f t="shared" si="73"/>
        <v>0</v>
      </c>
      <c r="E548" s="93">
        <f t="shared" si="73"/>
        <v>0</v>
      </c>
      <c r="F548" s="93">
        <f t="shared" si="73"/>
        <v>0</v>
      </c>
      <c r="G548" s="93">
        <f t="shared" si="73"/>
        <v>0</v>
      </c>
      <c r="H548" s="93">
        <f t="shared" si="73"/>
        <v>0</v>
      </c>
      <c r="I548" s="93">
        <f t="shared" si="73"/>
        <v>0</v>
      </c>
      <c r="J548" s="92">
        <f t="shared" si="73"/>
        <v>0</v>
      </c>
      <c r="K548" s="93">
        <f t="shared" si="73"/>
        <v>0</v>
      </c>
      <c r="L548" s="93">
        <f t="shared" si="73"/>
        <v>0</v>
      </c>
      <c r="M548" s="93">
        <f t="shared" si="73"/>
        <v>0</v>
      </c>
      <c r="N548" s="93">
        <f t="shared" si="73"/>
        <v>0</v>
      </c>
      <c r="O548" s="93">
        <f t="shared" si="73"/>
        <v>0</v>
      </c>
      <c r="P548" s="93">
        <f t="shared" si="73"/>
        <v>0</v>
      </c>
      <c r="Q548" s="93">
        <f t="shared" si="73"/>
        <v>0</v>
      </c>
      <c r="R548" s="93">
        <f t="shared" si="73"/>
        <v>0</v>
      </c>
      <c r="S548" s="93">
        <f t="shared" si="73"/>
        <v>0</v>
      </c>
      <c r="T548" s="93">
        <f t="shared" si="73"/>
        <v>0</v>
      </c>
      <c r="U548" s="93">
        <f t="shared" si="73"/>
        <v>0</v>
      </c>
      <c r="V548" s="93">
        <f t="shared" si="73"/>
        <v>0</v>
      </c>
      <c r="W548" s="93">
        <f t="shared" si="73"/>
        <v>0</v>
      </c>
      <c r="X548" s="93">
        <f t="shared" si="73"/>
        <v>0</v>
      </c>
      <c r="Y548" s="93">
        <f t="shared" si="73"/>
        <v>0</v>
      </c>
      <c r="Z548" s="93">
        <f t="shared" si="73"/>
        <v>0</v>
      </c>
      <c r="AA548" s="93">
        <f t="shared" ref="AA548:AI548" si="75">Z474</f>
        <v>0</v>
      </c>
      <c r="AB548" s="93">
        <f t="shared" si="75"/>
        <v>0</v>
      </c>
      <c r="AC548" s="93">
        <f t="shared" si="75"/>
        <v>0</v>
      </c>
      <c r="AD548" s="93">
        <f t="shared" si="75"/>
        <v>0</v>
      </c>
      <c r="AE548" s="93">
        <f t="shared" si="75"/>
        <v>0</v>
      </c>
      <c r="AF548" s="93">
        <f t="shared" si="75"/>
        <v>0</v>
      </c>
      <c r="AG548" s="93">
        <f t="shared" si="75"/>
        <v>0</v>
      </c>
      <c r="AH548" s="93">
        <f t="shared" si="75"/>
        <v>0</v>
      </c>
      <c r="AI548" s="93">
        <f t="shared" si="75"/>
        <v>0</v>
      </c>
      <c r="AQ548" s="83" t="str">
        <f t="shared" si="74"/>
        <v>D3Y</v>
      </c>
    </row>
    <row r="549" spans="1:43" x14ac:dyDescent="0.3">
      <c r="A549" s="93">
        <f t="shared" si="72"/>
        <v>0</v>
      </c>
      <c r="B549" s="94" t="s">
        <v>190</v>
      </c>
      <c r="C549" s="93">
        <f t="shared" ref="C549:AI556" si="76">B475</f>
        <v>0</v>
      </c>
      <c r="D549" s="93">
        <f t="shared" si="76"/>
        <v>0</v>
      </c>
      <c r="E549" s="93">
        <f t="shared" si="76"/>
        <v>0</v>
      </c>
      <c r="F549" s="93">
        <f t="shared" si="76"/>
        <v>0</v>
      </c>
      <c r="G549" s="93">
        <f t="shared" si="76"/>
        <v>0</v>
      </c>
      <c r="H549" s="93">
        <f t="shared" si="76"/>
        <v>0</v>
      </c>
      <c r="I549" s="93">
        <f t="shared" si="76"/>
        <v>0</v>
      </c>
      <c r="J549" s="93">
        <f t="shared" si="76"/>
        <v>0</v>
      </c>
      <c r="K549" s="92">
        <f t="shared" si="76"/>
        <v>0</v>
      </c>
      <c r="L549" s="93">
        <f t="shared" si="76"/>
        <v>0</v>
      </c>
      <c r="M549" s="93">
        <f t="shared" si="76"/>
        <v>0</v>
      </c>
      <c r="N549" s="93">
        <f t="shared" si="76"/>
        <v>0</v>
      </c>
      <c r="O549" s="93">
        <f t="shared" si="76"/>
        <v>0</v>
      </c>
      <c r="P549" s="93">
        <f t="shared" si="76"/>
        <v>0</v>
      </c>
      <c r="Q549" s="93">
        <f t="shared" si="76"/>
        <v>0</v>
      </c>
      <c r="R549" s="93">
        <f t="shared" si="76"/>
        <v>0</v>
      </c>
      <c r="S549" s="93">
        <f t="shared" si="76"/>
        <v>0</v>
      </c>
      <c r="T549" s="93">
        <f t="shared" si="76"/>
        <v>0</v>
      </c>
      <c r="U549" s="93">
        <f t="shared" si="76"/>
        <v>0</v>
      </c>
      <c r="V549" s="93">
        <f t="shared" si="76"/>
        <v>0</v>
      </c>
      <c r="W549" s="93">
        <f t="shared" si="76"/>
        <v>0</v>
      </c>
      <c r="X549" s="93">
        <f t="shared" si="76"/>
        <v>0</v>
      </c>
      <c r="Y549" s="93">
        <f t="shared" si="76"/>
        <v>0</v>
      </c>
      <c r="Z549" s="93">
        <f t="shared" si="76"/>
        <v>0</v>
      </c>
      <c r="AA549" s="93">
        <f t="shared" si="76"/>
        <v>0</v>
      </c>
      <c r="AB549" s="93">
        <f t="shared" si="76"/>
        <v>0</v>
      </c>
      <c r="AC549" s="93">
        <f t="shared" si="76"/>
        <v>0</v>
      </c>
      <c r="AD549" s="93">
        <f t="shared" si="76"/>
        <v>0</v>
      </c>
      <c r="AE549" s="93">
        <f t="shared" si="76"/>
        <v>0</v>
      </c>
      <c r="AF549" s="93">
        <f t="shared" si="76"/>
        <v>0</v>
      </c>
      <c r="AG549" s="93">
        <f t="shared" si="76"/>
        <v>0</v>
      </c>
      <c r="AH549" s="93">
        <f t="shared" si="76"/>
        <v>0</v>
      </c>
      <c r="AI549" s="93">
        <f t="shared" si="76"/>
        <v>0</v>
      </c>
      <c r="AQ549" s="83" t="str">
        <f t="shared" si="74"/>
        <v>D3θ</v>
      </c>
    </row>
    <row r="550" spans="1:43" x14ac:dyDescent="0.3">
      <c r="A550" s="93">
        <f t="shared" si="72"/>
        <v>0</v>
      </c>
      <c r="B550" s="94" t="s">
        <v>190</v>
      </c>
      <c r="C550" s="93">
        <f t="shared" si="76"/>
        <v>0</v>
      </c>
      <c r="D550" s="93">
        <f t="shared" si="76"/>
        <v>0</v>
      </c>
      <c r="E550" s="93">
        <f t="shared" si="76"/>
        <v>0</v>
      </c>
      <c r="F550" s="93">
        <f t="shared" si="76"/>
        <v>0</v>
      </c>
      <c r="G550" s="93">
        <f t="shared" si="76"/>
        <v>0</v>
      </c>
      <c r="H550" s="93">
        <f t="shared" si="76"/>
        <v>0</v>
      </c>
      <c r="I550" s="93">
        <f t="shared" si="76"/>
        <v>0</v>
      </c>
      <c r="J550" s="93">
        <f t="shared" si="76"/>
        <v>0</v>
      </c>
      <c r="K550" s="93">
        <f t="shared" si="76"/>
        <v>0</v>
      </c>
      <c r="L550" s="92">
        <f t="shared" si="76"/>
        <v>0</v>
      </c>
      <c r="M550" s="93">
        <f t="shared" si="76"/>
        <v>0</v>
      </c>
      <c r="N550" s="93">
        <f t="shared" si="76"/>
        <v>0</v>
      </c>
      <c r="O550" s="93">
        <f t="shared" si="76"/>
        <v>0</v>
      </c>
      <c r="P550" s="93">
        <f t="shared" si="76"/>
        <v>0</v>
      </c>
      <c r="Q550" s="93">
        <f t="shared" si="76"/>
        <v>0</v>
      </c>
      <c r="R550" s="93">
        <f t="shared" si="76"/>
        <v>0</v>
      </c>
      <c r="S550" s="93">
        <f t="shared" si="76"/>
        <v>0</v>
      </c>
      <c r="T550" s="93">
        <f t="shared" si="76"/>
        <v>0</v>
      </c>
      <c r="U550" s="93">
        <f t="shared" si="76"/>
        <v>0</v>
      </c>
      <c r="V550" s="93">
        <f t="shared" si="76"/>
        <v>0</v>
      </c>
      <c r="W550" s="93">
        <f t="shared" si="76"/>
        <v>0</v>
      </c>
      <c r="X550" s="93">
        <f t="shared" si="76"/>
        <v>0</v>
      </c>
      <c r="Y550" s="93">
        <f t="shared" si="76"/>
        <v>0</v>
      </c>
      <c r="Z550" s="93">
        <f t="shared" si="76"/>
        <v>0</v>
      </c>
      <c r="AA550" s="93">
        <f t="shared" si="76"/>
        <v>0</v>
      </c>
      <c r="AB550" s="93">
        <f t="shared" si="76"/>
        <v>0</v>
      </c>
      <c r="AC550" s="93">
        <f t="shared" si="76"/>
        <v>0</v>
      </c>
      <c r="AD550" s="93">
        <f t="shared" si="76"/>
        <v>0</v>
      </c>
      <c r="AE550" s="93">
        <f t="shared" si="76"/>
        <v>0</v>
      </c>
      <c r="AF550" s="93">
        <f t="shared" si="76"/>
        <v>0</v>
      </c>
      <c r="AG550" s="93">
        <f t="shared" si="76"/>
        <v>0</v>
      </c>
      <c r="AH550" s="93">
        <f t="shared" si="76"/>
        <v>0</v>
      </c>
      <c r="AI550" s="93">
        <f t="shared" si="76"/>
        <v>0</v>
      </c>
      <c r="AQ550" s="83" t="str">
        <f t="shared" si="74"/>
        <v>D4X</v>
      </c>
    </row>
    <row r="551" spans="1:43" x14ac:dyDescent="0.3">
      <c r="A551" s="93">
        <f t="shared" si="72"/>
        <v>0</v>
      </c>
      <c r="B551" s="94" t="s">
        <v>190</v>
      </c>
      <c r="C551" s="93">
        <f t="shared" si="76"/>
        <v>0</v>
      </c>
      <c r="D551" s="93">
        <f t="shared" si="76"/>
        <v>0</v>
      </c>
      <c r="E551" s="93">
        <f t="shared" si="76"/>
        <v>0</v>
      </c>
      <c r="F551" s="93">
        <f t="shared" si="76"/>
        <v>0</v>
      </c>
      <c r="G551" s="93">
        <f t="shared" si="76"/>
        <v>0</v>
      </c>
      <c r="H551" s="93">
        <f t="shared" si="76"/>
        <v>0</v>
      </c>
      <c r="I551" s="93">
        <f t="shared" si="76"/>
        <v>0</v>
      </c>
      <c r="J551" s="93">
        <f t="shared" si="76"/>
        <v>0</v>
      </c>
      <c r="K551" s="93">
        <f t="shared" si="76"/>
        <v>0</v>
      </c>
      <c r="L551" s="93">
        <f t="shared" si="76"/>
        <v>0</v>
      </c>
      <c r="M551" s="92">
        <f t="shared" si="76"/>
        <v>0</v>
      </c>
      <c r="N551" s="93">
        <f t="shared" si="76"/>
        <v>0</v>
      </c>
      <c r="O551" s="93">
        <f t="shared" si="76"/>
        <v>0</v>
      </c>
      <c r="P551" s="93">
        <f t="shared" si="76"/>
        <v>0</v>
      </c>
      <c r="Q551" s="93">
        <f t="shared" si="76"/>
        <v>0</v>
      </c>
      <c r="R551" s="93">
        <f t="shared" si="76"/>
        <v>0</v>
      </c>
      <c r="S551" s="93">
        <f t="shared" si="76"/>
        <v>0</v>
      </c>
      <c r="T551" s="93">
        <f t="shared" si="76"/>
        <v>0</v>
      </c>
      <c r="U551" s="93">
        <f t="shared" si="76"/>
        <v>0</v>
      </c>
      <c r="V551" s="93">
        <f t="shared" si="76"/>
        <v>0</v>
      </c>
      <c r="W551" s="93">
        <f t="shared" si="76"/>
        <v>0</v>
      </c>
      <c r="X551" s="93">
        <f t="shared" si="76"/>
        <v>0</v>
      </c>
      <c r="Y551" s="93">
        <f t="shared" si="76"/>
        <v>0</v>
      </c>
      <c r="Z551" s="93">
        <f t="shared" si="76"/>
        <v>0</v>
      </c>
      <c r="AA551" s="93">
        <f t="shared" si="76"/>
        <v>0</v>
      </c>
      <c r="AB551" s="93">
        <f t="shared" si="76"/>
        <v>0</v>
      </c>
      <c r="AC551" s="93">
        <f t="shared" si="76"/>
        <v>0</v>
      </c>
      <c r="AD551" s="93">
        <f t="shared" si="76"/>
        <v>0</v>
      </c>
      <c r="AE551" s="93">
        <f t="shared" si="76"/>
        <v>0</v>
      </c>
      <c r="AF551" s="93">
        <f t="shared" si="76"/>
        <v>0</v>
      </c>
      <c r="AG551" s="93">
        <f t="shared" si="76"/>
        <v>0</v>
      </c>
      <c r="AH551" s="93">
        <f t="shared" si="76"/>
        <v>0</v>
      </c>
      <c r="AI551" s="93">
        <f t="shared" si="76"/>
        <v>0</v>
      </c>
      <c r="AQ551" s="83" t="str">
        <f t="shared" si="74"/>
        <v>D4Y</v>
      </c>
    </row>
    <row r="552" spans="1:43" x14ac:dyDescent="0.3">
      <c r="A552" s="93">
        <f t="shared" si="72"/>
        <v>0</v>
      </c>
      <c r="B552" s="94" t="s">
        <v>190</v>
      </c>
      <c r="C552" s="93">
        <f t="shared" si="76"/>
        <v>0</v>
      </c>
      <c r="D552" s="93">
        <f t="shared" si="76"/>
        <v>0</v>
      </c>
      <c r="E552" s="93">
        <f t="shared" si="76"/>
        <v>0</v>
      </c>
      <c r="F552" s="93">
        <f t="shared" si="76"/>
        <v>0</v>
      </c>
      <c r="G552" s="93">
        <f t="shared" si="76"/>
        <v>0</v>
      </c>
      <c r="H552" s="93">
        <f t="shared" si="76"/>
        <v>0</v>
      </c>
      <c r="I552" s="93">
        <f t="shared" si="76"/>
        <v>0</v>
      </c>
      <c r="J552" s="93">
        <f t="shared" si="76"/>
        <v>0</v>
      </c>
      <c r="K552" s="93">
        <f t="shared" si="76"/>
        <v>0</v>
      </c>
      <c r="L552" s="93">
        <f t="shared" si="76"/>
        <v>0</v>
      </c>
      <c r="M552" s="93">
        <f t="shared" si="76"/>
        <v>0</v>
      </c>
      <c r="N552" s="92">
        <f t="shared" si="76"/>
        <v>0</v>
      </c>
      <c r="O552" s="93">
        <f t="shared" si="76"/>
        <v>0</v>
      </c>
      <c r="P552" s="93">
        <f t="shared" si="76"/>
        <v>0</v>
      </c>
      <c r="Q552" s="93">
        <f t="shared" si="76"/>
        <v>0</v>
      </c>
      <c r="R552" s="93">
        <f t="shared" si="76"/>
        <v>0</v>
      </c>
      <c r="S552" s="93">
        <f t="shared" si="76"/>
        <v>0</v>
      </c>
      <c r="T552" s="93">
        <f t="shared" si="76"/>
        <v>0</v>
      </c>
      <c r="U552" s="93">
        <f t="shared" si="76"/>
        <v>0</v>
      </c>
      <c r="V552" s="93">
        <f t="shared" si="76"/>
        <v>0</v>
      </c>
      <c r="W552" s="93">
        <f t="shared" si="76"/>
        <v>0</v>
      </c>
      <c r="X552" s="93">
        <f t="shared" si="76"/>
        <v>0</v>
      </c>
      <c r="Y552" s="93">
        <f t="shared" si="76"/>
        <v>0</v>
      </c>
      <c r="Z552" s="93">
        <f t="shared" si="76"/>
        <v>0</v>
      </c>
      <c r="AA552" s="93">
        <f t="shared" si="76"/>
        <v>0</v>
      </c>
      <c r="AB552" s="93">
        <f t="shared" si="76"/>
        <v>0</v>
      </c>
      <c r="AC552" s="93">
        <f t="shared" si="76"/>
        <v>0</v>
      </c>
      <c r="AD552" s="93">
        <f t="shared" si="76"/>
        <v>0</v>
      </c>
      <c r="AE552" s="93">
        <f t="shared" si="76"/>
        <v>0</v>
      </c>
      <c r="AF552" s="93">
        <f t="shared" si="76"/>
        <v>0</v>
      </c>
      <c r="AG552" s="93">
        <f t="shared" si="76"/>
        <v>0</v>
      </c>
      <c r="AH552" s="93">
        <f t="shared" si="76"/>
        <v>0</v>
      </c>
      <c r="AI552" s="93">
        <f t="shared" si="76"/>
        <v>0</v>
      </c>
      <c r="AQ552" s="83" t="str">
        <f t="shared" si="74"/>
        <v>D4θ</v>
      </c>
    </row>
    <row r="553" spans="1:43" x14ac:dyDescent="0.3">
      <c r="A553" s="93">
        <f t="shared" si="72"/>
        <v>0</v>
      </c>
      <c r="B553" s="94" t="s">
        <v>190</v>
      </c>
      <c r="C553" s="93">
        <f t="shared" si="76"/>
        <v>0</v>
      </c>
      <c r="D553" s="93">
        <f t="shared" si="76"/>
        <v>0</v>
      </c>
      <c r="E553" s="93">
        <f t="shared" si="76"/>
        <v>0</v>
      </c>
      <c r="F553" s="93">
        <f t="shared" si="76"/>
        <v>0</v>
      </c>
      <c r="G553" s="93">
        <f t="shared" si="76"/>
        <v>0</v>
      </c>
      <c r="H553" s="93">
        <f t="shared" si="76"/>
        <v>0</v>
      </c>
      <c r="I553" s="93">
        <f t="shared" si="76"/>
        <v>0</v>
      </c>
      <c r="J553" s="93">
        <f t="shared" si="76"/>
        <v>0</v>
      </c>
      <c r="K553" s="93">
        <f t="shared" si="76"/>
        <v>0</v>
      </c>
      <c r="L553" s="93">
        <f t="shared" si="76"/>
        <v>0</v>
      </c>
      <c r="M553" s="93">
        <f t="shared" si="76"/>
        <v>0</v>
      </c>
      <c r="N553" s="93">
        <f t="shared" si="76"/>
        <v>0</v>
      </c>
      <c r="O553" s="92">
        <f t="shared" si="76"/>
        <v>0</v>
      </c>
      <c r="P553" s="93">
        <f t="shared" si="76"/>
        <v>0</v>
      </c>
      <c r="Q553" s="93">
        <f t="shared" si="76"/>
        <v>0</v>
      </c>
      <c r="R553" s="93">
        <f t="shared" si="76"/>
        <v>0</v>
      </c>
      <c r="S553" s="93">
        <f t="shared" si="76"/>
        <v>0</v>
      </c>
      <c r="T553" s="93">
        <f t="shared" si="76"/>
        <v>0</v>
      </c>
      <c r="U553" s="93">
        <f t="shared" si="76"/>
        <v>0</v>
      </c>
      <c r="V553" s="93">
        <f t="shared" si="76"/>
        <v>0</v>
      </c>
      <c r="W553" s="93">
        <f t="shared" si="76"/>
        <v>0</v>
      </c>
      <c r="X553" s="93">
        <f t="shared" si="76"/>
        <v>0</v>
      </c>
      <c r="Y553" s="93">
        <f t="shared" si="76"/>
        <v>0</v>
      </c>
      <c r="Z553" s="93">
        <f t="shared" si="76"/>
        <v>0</v>
      </c>
      <c r="AA553" s="93">
        <f t="shared" si="76"/>
        <v>0</v>
      </c>
      <c r="AB553" s="93">
        <f t="shared" si="76"/>
        <v>0</v>
      </c>
      <c r="AC553" s="93">
        <f t="shared" si="76"/>
        <v>0</v>
      </c>
      <c r="AD553" s="93">
        <f t="shared" si="76"/>
        <v>0</v>
      </c>
      <c r="AE553" s="93">
        <f t="shared" si="76"/>
        <v>0</v>
      </c>
      <c r="AF553" s="93">
        <f t="shared" si="76"/>
        <v>0</v>
      </c>
      <c r="AG553" s="93">
        <f t="shared" si="76"/>
        <v>0</v>
      </c>
      <c r="AH553" s="93">
        <f t="shared" si="76"/>
        <v>0</v>
      </c>
      <c r="AI553" s="93">
        <f t="shared" si="76"/>
        <v>0</v>
      </c>
      <c r="AQ553" s="83" t="str">
        <f t="shared" si="74"/>
        <v>D5X</v>
      </c>
    </row>
    <row r="554" spans="1:43" x14ac:dyDescent="0.3">
      <c r="A554" s="93">
        <f t="shared" si="72"/>
        <v>0</v>
      </c>
      <c r="B554" s="94" t="s">
        <v>190</v>
      </c>
      <c r="C554" s="93">
        <f t="shared" si="76"/>
        <v>0</v>
      </c>
      <c r="D554" s="93">
        <f t="shared" si="76"/>
        <v>0</v>
      </c>
      <c r="E554" s="93">
        <f t="shared" si="76"/>
        <v>0</v>
      </c>
      <c r="F554" s="93">
        <f t="shared" si="76"/>
        <v>0</v>
      </c>
      <c r="G554" s="93">
        <f t="shared" si="76"/>
        <v>0</v>
      </c>
      <c r="H554" s="93">
        <f t="shared" si="76"/>
        <v>0</v>
      </c>
      <c r="I554" s="93">
        <f t="shared" si="76"/>
        <v>0</v>
      </c>
      <c r="J554" s="93">
        <f t="shared" si="76"/>
        <v>0</v>
      </c>
      <c r="K554" s="93">
        <f t="shared" si="76"/>
        <v>0</v>
      </c>
      <c r="L554" s="93">
        <f t="shared" si="76"/>
        <v>0</v>
      </c>
      <c r="M554" s="93">
        <f t="shared" si="76"/>
        <v>0</v>
      </c>
      <c r="N554" s="93">
        <f t="shared" si="76"/>
        <v>0</v>
      </c>
      <c r="O554" s="93">
        <f t="shared" si="76"/>
        <v>0</v>
      </c>
      <c r="P554" s="92">
        <f t="shared" si="76"/>
        <v>0</v>
      </c>
      <c r="Q554" s="93">
        <f t="shared" si="76"/>
        <v>0</v>
      </c>
      <c r="R554" s="93">
        <f t="shared" si="76"/>
        <v>0</v>
      </c>
      <c r="S554" s="93">
        <f t="shared" si="76"/>
        <v>0</v>
      </c>
      <c r="T554" s="93">
        <f t="shared" si="76"/>
        <v>0</v>
      </c>
      <c r="U554" s="93">
        <f t="shared" si="76"/>
        <v>0</v>
      </c>
      <c r="V554" s="93">
        <f t="shared" si="76"/>
        <v>0</v>
      </c>
      <c r="W554" s="93">
        <f t="shared" si="76"/>
        <v>0</v>
      </c>
      <c r="X554" s="93">
        <f t="shared" si="76"/>
        <v>0</v>
      </c>
      <c r="Y554" s="93">
        <f t="shared" si="76"/>
        <v>0</v>
      </c>
      <c r="Z554" s="93">
        <f t="shared" si="76"/>
        <v>0</v>
      </c>
      <c r="AA554" s="93">
        <f t="shared" si="76"/>
        <v>0</v>
      </c>
      <c r="AB554" s="93">
        <f t="shared" si="76"/>
        <v>0</v>
      </c>
      <c r="AC554" s="93">
        <f t="shared" si="76"/>
        <v>0</v>
      </c>
      <c r="AD554" s="93">
        <f t="shared" si="76"/>
        <v>0</v>
      </c>
      <c r="AE554" s="93">
        <f t="shared" si="76"/>
        <v>0</v>
      </c>
      <c r="AF554" s="93">
        <f t="shared" si="76"/>
        <v>0</v>
      </c>
      <c r="AG554" s="93">
        <f t="shared" si="76"/>
        <v>0</v>
      </c>
      <c r="AH554" s="93">
        <f t="shared" si="76"/>
        <v>0</v>
      </c>
      <c r="AI554" s="93">
        <f t="shared" si="76"/>
        <v>0</v>
      </c>
      <c r="AQ554" s="83" t="str">
        <f t="shared" si="74"/>
        <v>D5Y</v>
      </c>
    </row>
    <row r="555" spans="1:43" x14ac:dyDescent="0.3">
      <c r="A555" s="93">
        <f t="shared" si="72"/>
        <v>0</v>
      </c>
      <c r="B555" s="94" t="s">
        <v>190</v>
      </c>
      <c r="C555" s="93">
        <f t="shared" si="76"/>
        <v>0</v>
      </c>
      <c r="D555" s="93">
        <f t="shared" si="76"/>
        <v>0</v>
      </c>
      <c r="E555" s="93">
        <f t="shared" si="76"/>
        <v>0</v>
      </c>
      <c r="F555" s="93">
        <f t="shared" si="76"/>
        <v>0</v>
      </c>
      <c r="G555" s="93">
        <f t="shared" si="76"/>
        <v>0</v>
      </c>
      <c r="H555" s="93">
        <f t="shared" si="76"/>
        <v>0</v>
      </c>
      <c r="I555" s="93">
        <f t="shared" si="76"/>
        <v>0</v>
      </c>
      <c r="J555" s="93">
        <f t="shared" si="76"/>
        <v>0</v>
      </c>
      <c r="K555" s="93">
        <f t="shared" si="76"/>
        <v>0</v>
      </c>
      <c r="L555" s="93">
        <f t="shared" si="76"/>
        <v>0</v>
      </c>
      <c r="M555" s="93">
        <f t="shared" si="76"/>
        <v>0</v>
      </c>
      <c r="N555" s="93">
        <f t="shared" si="76"/>
        <v>0</v>
      </c>
      <c r="O555" s="93">
        <f t="shared" si="76"/>
        <v>0</v>
      </c>
      <c r="P555" s="93">
        <f t="shared" si="76"/>
        <v>0</v>
      </c>
      <c r="Q555" s="92">
        <f t="shared" si="76"/>
        <v>0</v>
      </c>
      <c r="R555" s="93">
        <f t="shared" si="76"/>
        <v>0</v>
      </c>
      <c r="S555" s="93">
        <f t="shared" si="76"/>
        <v>0</v>
      </c>
      <c r="T555" s="93">
        <f t="shared" si="76"/>
        <v>0</v>
      </c>
      <c r="U555" s="93">
        <f t="shared" si="76"/>
        <v>0</v>
      </c>
      <c r="V555" s="93">
        <f t="shared" si="76"/>
        <v>0</v>
      </c>
      <c r="W555" s="93">
        <f t="shared" si="76"/>
        <v>0</v>
      </c>
      <c r="X555" s="93">
        <f t="shared" si="76"/>
        <v>0</v>
      </c>
      <c r="Y555" s="93">
        <f t="shared" si="76"/>
        <v>0</v>
      </c>
      <c r="Z555" s="93">
        <f t="shared" si="76"/>
        <v>0</v>
      </c>
      <c r="AA555" s="93">
        <f t="shared" si="76"/>
        <v>0</v>
      </c>
      <c r="AB555" s="93">
        <f t="shared" si="76"/>
        <v>0</v>
      </c>
      <c r="AC555" s="93">
        <f t="shared" si="76"/>
        <v>0</v>
      </c>
      <c r="AD555" s="93">
        <f t="shared" si="76"/>
        <v>0</v>
      </c>
      <c r="AE555" s="93">
        <f t="shared" si="76"/>
        <v>0</v>
      </c>
      <c r="AF555" s="93">
        <f t="shared" si="76"/>
        <v>0</v>
      </c>
      <c r="AG555" s="93">
        <f t="shared" si="76"/>
        <v>0</v>
      </c>
      <c r="AH555" s="93">
        <f t="shared" si="76"/>
        <v>0</v>
      </c>
      <c r="AI555" s="93">
        <f t="shared" si="76"/>
        <v>0</v>
      </c>
      <c r="AQ555" s="83" t="str">
        <f t="shared" si="74"/>
        <v>D5θ</v>
      </c>
    </row>
    <row r="556" spans="1:43" x14ac:dyDescent="0.3">
      <c r="A556" s="93">
        <f t="shared" si="72"/>
        <v>0</v>
      </c>
      <c r="B556" s="94" t="s">
        <v>190</v>
      </c>
      <c r="C556" s="93">
        <f t="shared" si="76"/>
        <v>0</v>
      </c>
      <c r="D556" s="93">
        <f t="shared" si="76"/>
        <v>0</v>
      </c>
      <c r="E556" s="93">
        <f t="shared" si="76"/>
        <v>0</v>
      </c>
      <c r="F556" s="93">
        <f t="shared" si="76"/>
        <v>0</v>
      </c>
      <c r="G556" s="93">
        <f t="shared" si="76"/>
        <v>0</v>
      </c>
      <c r="H556" s="93">
        <f t="shared" si="76"/>
        <v>0</v>
      </c>
      <c r="I556" s="93">
        <f t="shared" si="76"/>
        <v>0</v>
      </c>
      <c r="J556" s="93">
        <f t="shared" si="76"/>
        <v>0</v>
      </c>
      <c r="K556" s="93">
        <f t="shared" si="76"/>
        <v>0</v>
      </c>
      <c r="L556" s="93">
        <f t="shared" si="76"/>
        <v>0</v>
      </c>
      <c r="M556" s="93">
        <f t="shared" si="76"/>
        <v>0</v>
      </c>
      <c r="N556" s="93">
        <f t="shared" si="76"/>
        <v>0</v>
      </c>
      <c r="O556" s="93">
        <f t="shared" si="76"/>
        <v>0</v>
      </c>
      <c r="P556" s="93">
        <f t="shared" si="76"/>
        <v>0</v>
      </c>
      <c r="Q556" s="93">
        <f t="shared" si="76"/>
        <v>0</v>
      </c>
      <c r="R556" s="92">
        <f t="shared" si="76"/>
        <v>0</v>
      </c>
      <c r="S556" s="93">
        <f t="shared" si="76"/>
        <v>0</v>
      </c>
      <c r="T556" s="93">
        <f t="shared" si="76"/>
        <v>0</v>
      </c>
      <c r="U556" s="93">
        <f t="shared" si="76"/>
        <v>0</v>
      </c>
      <c r="V556" s="93">
        <f t="shared" si="76"/>
        <v>0</v>
      </c>
      <c r="W556" s="93">
        <f t="shared" si="76"/>
        <v>0</v>
      </c>
      <c r="X556" s="93">
        <f t="shared" si="76"/>
        <v>0</v>
      </c>
      <c r="Y556" s="93">
        <f t="shared" si="76"/>
        <v>0</v>
      </c>
      <c r="Z556" s="93">
        <f t="shared" si="76"/>
        <v>0</v>
      </c>
      <c r="AA556" s="93">
        <f t="shared" ref="AA556:AI556" si="77">Z482</f>
        <v>0</v>
      </c>
      <c r="AB556" s="93">
        <f t="shared" si="77"/>
        <v>0</v>
      </c>
      <c r="AC556" s="93">
        <f t="shared" si="77"/>
        <v>0</v>
      </c>
      <c r="AD556" s="93">
        <f t="shared" si="77"/>
        <v>0</v>
      </c>
      <c r="AE556" s="93">
        <f t="shared" si="77"/>
        <v>0</v>
      </c>
      <c r="AF556" s="93">
        <f t="shared" si="77"/>
        <v>0</v>
      </c>
      <c r="AG556" s="93">
        <f t="shared" si="77"/>
        <v>0</v>
      </c>
      <c r="AH556" s="93">
        <f t="shared" si="77"/>
        <v>0</v>
      </c>
      <c r="AI556" s="93">
        <f t="shared" si="77"/>
        <v>0</v>
      </c>
      <c r="AQ556" s="83" t="str">
        <f t="shared" si="74"/>
        <v>D6X</v>
      </c>
    </row>
    <row r="557" spans="1:43" x14ac:dyDescent="0.3">
      <c r="A557" s="93">
        <f t="shared" si="72"/>
        <v>0</v>
      </c>
      <c r="B557" s="94" t="s">
        <v>190</v>
      </c>
      <c r="C557" s="93">
        <f t="shared" ref="C557:AI564" si="78">B483</f>
        <v>0</v>
      </c>
      <c r="D557" s="93">
        <f t="shared" si="78"/>
        <v>0</v>
      </c>
      <c r="E557" s="93">
        <f t="shared" si="78"/>
        <v>0</v>
      </c>
      <c r="F557" s="93">
        <f t="shared" si="78"/>
        <v>0</v>
      </c>
      <c r="G557" s="93">
        <f t="shared" si="78"/>
        <v>0</v>
      </c>
      <c r="H557" s="93">
        <f t="shared" si="78"/>
        <v>0</v>
      </c>
      <c r="I557" s="93">
        <f t="shared" si="78"/>
        <v>0</v>
      </c>
      <c r="J557" s="93">
        <f t="shared" si="78"/>
        <v>0</v>
      </c>
      <c r="K557" s="93">
        <f t="shared" si="78"/>
        <v>0</v>
      </c>
      <c r="L557" s="93">
        <f t="shared" si="78"/>
        <v>0</v>
      </c>
      <c r="M557" s="93">
        <f t="shared" si="78"/>
        <v>0</v>
      </c>
      <c r="N557" s="93">
        <f t="shared" si="78"/>
        <v>0</v>
      </c>
      <c r="O557" s="93">
        <f t="shared" si="78"/>
        <v>0</v>
      </c>
      <c r="P557" s="93">
        <f t="shared" si="78"/>
        <v>0</v>
      </c>
      <c r="Q557" s="93">
        <f t="shared" si="78"/>
        <v>0</v>
      </c>
      <c r="R557" s="93">
        <f t="shared" si="78"/>
        <v>0</v>
      </c>
      <c r="S557" s="92">
        <f t="shared" si="78"/>
        <v>0</v>
      </c>
      <c r="T557" s="93">
        <f t="shared" si="78"/>
        <v>0</v>
      </c>
      <c r="U557" s="93">
        <f t="shared" si="78"/>
        <v>0</v>
      </c>
      <c r="V557" s="93">
        <f t="shared" si="78"/>
        <v>0</v>
      </c>
      <c r="W557" s="93">
        <f t="shared" si="78"/>
        <v>0</v>
      </c>
      <c r="X557" s="93">
        <f t="shared" si="78"/>
        <v>0</v>
      </c>
      <c r="Y557" s="93">
        <f t="shared" si="78"/>
        <v>0</v>
      </c>
      <c r="Z557" s="93">
        <f t="shared" si="78"/>
        <v>0</v>
      </c>
      <c r="AA557" s="93">
        <f t="shared" si="78"/>
        <v>0</v>
      </c>
      <c r="AB557" s="93">
        <f t="shared" si="78"/>
        <v>0</v>
      </c>
      <c r="AC557" s="93">
        <f t="shared" si="78"/>
        <v>0</v>
      </c>
      <c r="AD557" s="93">
        <f t="shared" si="78"/>
        <v>0</v>
      </c>
      <c r="AE557" s="93">
        <f t="shared" si="78"/>
        <v>0</v>
      </c>
      <c r="AF557" s="93">
        <f t="shared" si="78"/>
        <v>0</v>
      </c>
      <c r="AG557" s="93">
        <f t="shared" si="78"/>
        <v>0</v>
      </c>
      <c r="AH557" s="93">
        <f t="shared" si="78"/>
        <v>0</v>
      </c>
      <c r="AI557" s="93">
        <f t="shared" si="78"/>
        <v>0</v>
      </c>
      <c r="AQ557" s="83" t="str">
        <f t="shared" si="74"/>
        <v>D6Y</v>
      </c>
    </row>
    <row r="558" spans="1:43" x14ac:dyDescent="0.3">
      <c r="A558" s="93">
        <f t="shared" si="72"/>
        <v>0</v>
      </c>
      <c r="B558" s="94" t="s">
        <v>190</v>
      </c>
      <c r="C558" s="93">
        <f t="shared" si="78"/>
        <v>0</v>
      </c>
      <c r="D558" s="93">
        <f t="shared" si="78"/>
        <v>0</v>
      </c>
      <c r="E558" s="93">
        <f t="shared" si="78"/>
        <v>0</v>
      </c>
      <c r="F558" s="93">
        <f t="shared" si="78"/>
        <v>0</v>
      </c>
      <c r="G558" s="93">
        <f t="shared" si="78"/>
        <v>0</v>
      </c>
      <c r="H558" s="93">
        <f t="shared" si="78"/>
        <v>0</v>
      </c>
      <c r="I558" s="93">
        <f t="shared" si="78"/>
        <v>0</v>
      </c>
      <c r="J558" s="93">
        <f t="shared" si="78"/>
        <v>0</v>
      </c>
      <c r="K558" s="93">
        <f t="shared" si="78"/>
        <v>0</v>
      </c>
      <c r="L558" s="93">
        <f t="shared" si="78"/>
        <v>0</v>
      </c>
      <c r="M558" s="93">
        <f t="shared" si="78"/>
        <v>0</v>
      </c>
      <c r="N558" s="93">
        <f t="shared" si="78"/>
        <v>0</v>
      </c>
      <c r="O558" s="93">
        <f t="shared" si="78"/>
        <v>0</v>
      </c>
      <c r="P558" s="93">
        <f t="shared" si="78"/>
        <v>0</v>
      </c>
      <c r="Q558" s="93">
        <f t="shared" si="78"/>
        <v>0</v>
      </c>
      <c r="R558" s="93">
        <f t="shared" si="78"/>
        <v>0</v>
      </c>
      <c r="S558" s="93">
        <f t="shared" si="78"/>
        <v>0</v>
      </c>
      <c r="T558" s="92">
        <f t="shared" si="78"/>
        <v>0</v>
      </c>
      <c r="U558" s="93">
        <f t="shared" si="78"/>
        <v>0</v>
      </c>
      <c r="V558" s="93">
        <f t="shared" si="78"/>
        <v>0</v>
      </c>
      <c r="W558" s="93">
        <f t="shared" si="78"/>
        <v>0</v>
      </c>
      <c r="X558" s="93">
        <f t="shared" si="78"/>
        <v>0</v>
      </c>
      <c r="Y558" s="93">
        <f t="shared" si="78"/>
        <v>0</v>
      </c>
      <c r="Z558" s="93">
        <f t="shared" si="78"/>
        <v>0</v>
      </c>
      <c r="AA558" s="93">
        <f t="shared" si="78"/>
        <v>0</v>
      </c>
      <c r="AB558" s="93">
        <f t="shared" si="78"/>
        <v>0</v>
      </c>
      <c r="AC558" s="93">
        <f t="shared" si="78"/>
        <v>0</v>
      </c>
      <c r="AD558" s="93">
        <f t="shared" si="78"/>
        <v>0</v>
      </c>
      <c r="AE558" s="93">
        <f t="shared" si="78"/>
        <v>0</v>
      </c>
      <c r="AF558" s="93">
        <f t="shared" si="78"/>
        <v>0</v>
      </c>
      <c r="AG558" s="93">
        <f t="shared" si="78"/>
        <v>0</v>
      </c>
      <c r="AH558" s="93">
        <f t="shared" si="78"/>
        <v>0</v>
      </c>
      <c r="AI558" s="93">
        <f t="shared" si="78"/>
        <v>0</v>
      </c>
      <c r="AQ558" s="83" t="str">
        <f t="shared" si="74"/>
        <v>D6θ</v>
      </c>
    </row>
    <row r="559" spans="1:43" x14ac:dyDescent="0.3">
      <c r="A559" s="93">
        <f t="shared" si="72"/>
        <v>0</v>
      </c>
      <c r="B559" s="94" t="s">
        <v>190</v>
      </c>
      <c r="C559" s="93">
        <f t="shared" si="78"/>
        <v>0</v>
      </c>
      <c r="D559" s="93">
        <f t="shared" si="78"/>
        <v>0</v>
      </c>
      <c r="E559" s="93">
        <f t="shared" si="78"/>
        <v>0</v>
      </c>
      <c r="F559" s="93">
        <f t="shared" si="78"/>
        <v>0</v>
      </c>
      <c r="G559" s="93">
        <f t="shared" si="78"/>
        <v>0</v>
      </c>
      <c r="H559" s="93">
        <f t="shared" si="78"/>
        <v>0</v>
      </c>
      <c r="I559" s="93">
        <f t="shared" si="78"/>
        <v>0</v>
      </c>
      <c r="J559" s="93">
        <f t="shared" si="78"/>
        <v>0</v>
      </c>
      <c r="K559" s="93">
        <f t="shared" si="78"/>
        <v>0</v>
      </c>
      <c r="L559" s="93">
        <f t="shared" si="78"/>
        <v>0</v>
      </c>
      <c r="M559" s="93">
        <f t="shared" si="78"/>
        <v>0</v>
      </c>
      <c r="N559" s="93">
        <f t="shared" si="78"/>
        <v>0</v>
      </c>
      <c r="O559" s="93">
        <f t="shared" si="78"/>
        <v>0</v>
      </c>
      <c r="P559" s="93">
        <f t="shared" si="78"/>
        <v>0</v>
      </c>
      <c r="Q559" s="93">
        <f t="shared" si="78"/>
        <v>0</v>
      </c>
      <c r="R559" s="93">
        <f t="shared" si="78"/>
        <v>0</v>
      </c>
      <c r="S559" s="93">
        <f t="shared" si="78"/>
        <v>0</v>
      </c>
      <c r="T559" s="93">
        <f t="shared" si="78"/>
        <v>0</v>
      </c>
      <c r="U559" s="92">
        <f t="shared" si="78"/>
        <v>0</v>
      </c>
      <c r="V559" s="93">
        <f t="shared" si="78"/>
        <v>0</v>
      </c>
      <c r="W559" s="93">
        <f t="shared" si="78"/>
        <v>0</v>
      </c>
      <c r="X559" s="93">
        <f t="shared" si="78"/>
        <v>0</v>
      </c>
      <c r="Y559" s="93">
        <f t="shared" si="78"/>
        <v>0</v>
      </c>
      <c r="Z559" s="93">
        <f t="shared" si="78"/>
        <v>0</v>
      </c>
      <c r="AA559" s="93">
        <f t="shared" si="78"/>
        <v>0</v>
      </c>
      <c r="AB559" s="93">
        <f t="shared" si="78"/>
        <v>0</v>
      </c>
      <c r="AC559" s="93">
        <f t="shared" si="78"/>
        <v>0</v>
      </c>
      <c r="AD559" s="93">
        <f t="shared" si="78"/>
        <v>0</v>
      </c>
      <c r="AE559" s="93">
        <f t="shared" si="78"/>
        <v>0</v>
      </c>
      <c r="AF559" s="93">
        <f t="shared" si="78"/>
        <v>0</v>
      </c>
      <c r="AG559" s="93">
        <f t="shared" si="78"/>
        <v>0</v>
      </c>
      <c r="AH559" s="93">
        <f t="shared" si="78"/>
        <v>0</v>
      </c>
      <c r="AI559" s="93">
        <f t="shared" si="78"/>
        <v>0</v>
      </c>
      <c r="AQ559" s="83" t="str">
        <f t="shared" si="74"/>
        <v>D7X</v>
      </c>
    </row>
    <row r="560" spans="1:43" x14ac:dyDescent="0.3">
      <c r="A560" s="93">
        <f t="shared" si="72"/>
        <v>0</v>
      </c>
      <c r="B560" s="94" t="s">
        <v>190</v>
      </c>
      <c r="C560" s="93">
        <f t="shared" si="78"/>
        <v>0</v>
      </c>
      <c r="D560" s="93">
        <f t="shared" si="78"/>
        <v>0</v>
      </c>
      <c r="E560" s="93">
        <f t="shared" si="78"/>
        <v>0</v>
      </c>
      <c r="F560" s="93">
        <f t="shared" si="78"/>
        <v>0</v>
      </c>
      <c r="G560" s="93">
        <f t="shared" si="78"/>
        <v>0</v>
      </c>
      <c r="H560" s="93">
        <f t="shared" si="78"/>
        <v>0</v>
      </c>
      <c r="I560" s="93">
        <f t="shared" si="78"/>
        <v>0</v>
      </c>
      <c r="J560" s="93">
        <f t="shared" si="78"/>
        <v>0</v>
      </c>
      <c r="K560" s="93">
        <f t="shared" si="78"/>
        <v>0</v>
      </c>
      <c r="L560" s="93">
        <f t="shared" si="78"/>
        <v>0</v>
      </c>
      <c r="M560" s="93">
        <f t="shared" si="78"/>
        <v>0</v>
      </c>
      <c r="N560" s="93">
        <f t="shared" si="78"/>
        <v>0</v>
      </c>
      <c r="O560" s="93">
        <f t="shared" si="78"/>
        <v>0</v>
      </c>
      <c r="P560" s="93">
        <f t="shared" si="78"/>
        <v>0</v>
      </c>
      <c r="Q560" s="93">
        <f t="shared" si="78"/>
        <v>0</v>
      </c>
      <c r="R560" s="93">
        <f t="shared" si="78"/>
        <v>0</v>
      </c>
      <c r="S560" s="93">
        <f t="shared" si="78"/>
        <v>0</v>
      </c>
      <c r="T560" s="93">
        <f t="shared" si="78"/>
        <v>0</v>
      </c>
      <c r="U560" s="93">
        <f t="shared" si="78"/>
        <v>0</v>
      </c>
      <c r="V560" s="92">
        <f t="shared" si="78"/>
        <v>0</v>
      </c>
      <c r="W560" s="93">
        <f t="shared" si="78"/>
        <v>0</v>
      </c>
      <c r="X560" s="93">
        <f t="shared" si="78"/>
        <v>0</v>
      </c>
      <c r="Y560" s="93">
        <f t="shared" si="78"/>
        <v>0</v>
      </c>
      <c r="Z560" s="93">
        <f t="shared" si="78"/>
        <v>0</v>
      </c>
      <c r="AA560" s="93">
        <f t="shared" si="78"/>
        <v>0</v>
      </c>
      <c r="AB560" s="93">
        <f t="shared" si="78"/>
        <v>0</v>
      </c>
      <c r="AC560" s="93">
        <f t="shared" si="78"/>
        <v>0</v>
      </c>
      <c r="AD560" s="93">
        <f t="shared" si="78"/>
        <v>0</v>
      </c>
      <c r="AE560" s="93">
        <f t="shared" si="78"/>
        <v>0</v>
      </c>
      <c r="AF560" s="93">
        <f t="shared" si="78"/>
        <v>0</v>
      </c>
      <c r="AG560" s="93">
        <f t="shared" si="78"/>
        <v>0</v>
      </c>
      <c r="AH560" s="93">
        <f t="shared" si="78"/>
        <v>0</v>
      </c>
      <c r="AI560" s="93">
        <f t="shared" si="78"/>
        <v>0</v>
      </c>
      <c r="AQ560" s="83" t="str">
        <f t="shared" si="74"/>
        <v>D7Y</v>
      </c>
    </row>
    <row r="561" spans="1:43" x14ac:dyDescent="0.3">
      <c r="A561" s="93">
        <f t="shared" si="72"/>
        <v>0</v>
      </c>
      <c r="B561" s="94" t="s">
        <v>190</v>
      </c>
      <c r="C561" s="93">
        <f t="shared" si="78"/>
        <v>0</v>
      </c>
      <c r="D561" s="93">
        <f t="shared" si="78"/>
        <v>0</v>
      </c>
      <c r="E561" s="93">
        <f t="shared" si="78"/>
        <v>0</v>
      </c>
      <c r="F561" s="93">
        <f t="shared" si="78"/>
        <v>0</v>
      </c>
      <c r="G561" s="93">
        <f t="shared" si="78"/>
        <v>0</v>
      </c>
      <c r="H561" s="93">
        <f t="shared" si="78"/>
        <v>0</v>
      </c>
      <c r="I561" s="93">
        <f t="shared" si="78"/>
        <v>0</v>
      </c>
      <c r="J561" s="93">
        <f t="shared" si="78"/>
        <v>0</v>
      </c>
      <c r="K561" s="93">
        <f t="shared" si="78"/>
        <v>0</v>
      </c>
      <c r="L561" s="93">
        <f t="shared" si="78"/>
        <v>0</v>
      </c>
      <c r="M561" s="93">
        <f t="shared" si="78"/>
        <v>0</v>
      </c>
      <c r="N561" s="93">
        <f t="shared" si="78"/>
        <v>0</v>
      </c>
      <c r="O561" s="93">
        <f t="shared" si="78"/>
        <v>0</v>
      </c>
      <c r="P561" s="93">
        <f t="shared" si="78"/>
        <v>0</v>
      </c>
      <c r="Q561" s="93">
        <f t="shared" si="78"/>
        <v>0</v>
      </c>
      <c r="R561" s="93">
        <f t="shared" si="78"/>
        <v>0</v>
      </c>
      <c r="S561" s="93">
        <f t="shared" si="78"/>
        <v>0</v>
      </c>
      <c r="T561" s="93">
        <f t="shared" si="78"/>
        <v>0</v>
      </c>
      <c r="U561" s="93">
        <f t="shared" si="78"/>
        <v>0</v>
      </c>
      <c r="V561" s="93">
        <f t="shared" si="78"/>
        <v>0</v>
      </c>
      <c r="W561" s="92">
        <f t="shared" si="78"/>
        <v>0</v>
      </c>
      <c r="X561" s="93">
        <f t="shared" si="78"/>
        <v>0</v>
      </c>
      <c r="Y561" s="93">
        <f t="shared" si="78"/>
        <v>0</v>
      </c>
      <c r="Z561" s="93">
        <f t="shared" si="78"/>
        <v>0</v>
      </c>
      <c r="AA561" s="93">
        <f t="shared" si="78"/>
        <v>0</v>
      </c>
      <c r="AB561" s="93">
        <f t="shared" si="78"/>
        <v>0</v>
      </c>
      <c r="AC561" s="93">
        <f t="shared" si="78"/>
        <v>0</v>
      </c>
      <c r="AD561" s="93">
        <f t="shared" si="78"/>
        <v>0</v>
      </c>
      <c r="AE561" s="93">
        <f t="shared" si="78"/>
        <v>0</v>
      </c>
      <c r="AF561" s="93">
        <f t="shared" si="78"/>
        <v>0</v>
      </c>
      <c r="AG561" s="93">
        <f t="shared" si="78"/>
        <v>0</v>
      </c>
      <c r="AH561" s="93">
        <f t="shared" si="78"/>
        <v>0</v>
      </c>
      <c r="AI561" s="93">
        <f t="shared" si="78"/>
        <v>0</v>
      </c>
      <c r="AQ561" s="83" t="str">
        <f t="shared" si="74"/>
        <v>D7θ</v>
      </c>
    </row>
    <row r="562" spans="1:43" x14ac:dyDescent="0.3">
      <c r="A562" s="93">
        <f t="shared" si="72"/>
        <v>0</v>
      </c>
      <c r="B562" s="94" t="s">
        <v>190</v>
      </c>
      <c r="C562" s="93">
        <f t="shared" si="78"/>
        <v>0</v>
      </c>
      <c r="D562" s="93">
        <f t="shared" si="78"/>
        <v>0</v>
      </c>
      <c r="E562" s="93">
        <f t="shared" si="78"/>
        <v>0</v>
      </c>
      <c r="F562" s="93">
        <f t="shared" si="78"/>
        <v>0</v>
      </c>
      <c r="G562" s="93">
        <f t="shared" si="78"/>
        <v>0</v>
      </c>
      <c r="H562" s="93">
        <f t="shared" si="78"/>
        <v>0</v>
      </c>
      <c r="I562" s="93">
        <f t="shared" si="78"/>
        <v>0</v>
      </c>
      <c r="J562" s="93">
        <f t="shared" si="78"/>
        <v>0</v>
      </c>
      <c r="K562" s="93">
        <f t="shared" si="78"/>
        <v>0</v>
      </c>
      <c r="L562" s="93">
        <f t="shared" si="78"/>
        <v>0</v>
      </c>
      <c r="M562" s="93">
        <f t="shared" si="78"/>
        <v>0</v>
      </c>
      <c r="N562" s="93">
        <f t="shared" si="78"/>
        <v>0</v>
      </c>
      <c r="O562" s="93">
        <f t="shared" si="78"/>
        <v>0</v>
      </c>
      <c r="P562" s="93">
        <f t="shared" si="78"/>
        <v>0</v>
      </c>
      <c r="Q562" s="93">
        <f t="shared" si="78"/>
        <v>0</v>
      </c>
      <c r="R562" s="93">
        <f t="shared" si="78"/>
        <v>0</v>
      </c>
      <c r="S562" s="93">
        <f t="shared" si="78"/>
        <v>0</v>
      </c>
      <c r="T562" s="93">
        <f t="shared" si="78"/>
        <v>0</v>
      </c>
      <c r="U562" s="93">
        <f t="shared" si="78"/>
        <v>0</v>
      </c>
      <c r="V562" s="93">
        <f t="shared" si="78"/>
        <v>0</v>
      </c>
      <c r="W562" s="93">
        <f t="shared" si="78"/>
        <v>0</v>
      </c>
      <c r="X562" s="92">
        <f t="shared" si="78"/>
        <v>0</v>
      </c>
      <c r="Y562" s="93">
        <f t="shared" si="78"/>
        <v>0</v>
      </c>
      <c r="Z562" s="93">
        <f t="shared" si="78"/>
        <v>0</v>
      </c>
      <c r="AA562" s="93">
        <f t="shared" si="78"/>
        <v>0</v>
      </c>
      <c r="AB562" s="93">
        <f t="shared" si="78"/>
        <v>0</v>
      </c>
      <c r="AC562" s="93">
        <f t="shared" si="78"/>
        <v>0</v>
      </c>
      <c r="AD562" s="93">
        <f t="shared" si="78"/>
        <v>0</v>
      </c>
      <c r="AE562" s="93">
        <f t="shared" si="78"/>
        <v>0</v>
      </c>
      <c r="AF562" s="93">
        <f t="shared" si="78"/>
        <v>0</v>
      </c>
      <c r="AG562" s="93">
        <f t="shared" si="78"/>
        <v>0</v>
      </c>
      <c r="AH562" s="93">
        <f t="shared" si="78"/>
        <v>0</v>
      </c>
      <c r="AI562" s="93">
        <f t="shared" si="78"/>
        <v>0</v>
      </c>
      <c r="AQ562" s="83" t="str">
        <f t="shared" si="74"/>
        <v>D8X</v>
      </c>
    </row>
    <row r="563" spans="1:43" x14ac:dyDescent="0.3">
      <c r="A563" s="93">
        <f t="shared" si="72"/>
        <v>0</v>
      </c>
      <c r="B563" s="94" t="s">
        <v>190</v>
      </c>
      <c r="C563" s="93">
        <f t="shared" si="78"/>
        <v>0</v>
      </c>
      <c r="D563" s="93">
        <f t="shared" si="78"/>
        <v>0</v>
      </c>
      <c r="E563" s="93">
        <f t="shared" si="78"/>
        <v>0</v>
      </c>
      <c r="F563" s="93">
        <f t="shared" si="78"/>
        <v>0</v>
      </c>
      <c r="G563" s="93">
        <f t="shared" si="78"/>
        <v>0</v>
      </c>
      <c r="H563" s="93">
        <f t="shared" si="78"/>
        <v>0</v>
      </c>
      <c r="I563" s="93">
        <f t="shared" si="78"/>
        <v>0</v>
      </c>
      <c r="J563" s="93">
        <f t="shared" si="78"/>
        <v>0</v>
      </c>
      <c r="K563" s="93">
        <f t="shared" si="78"/>
        <v>0</v>
      </c>
      <c r="L563" s="93">
        <f t="shared" si="78"/>
        <v>0</v>
      </c>
      <c r="M563" s="93">
        <f t="shared" si="78"/>
        <v>0</v>
      </c>
      <c r="N563" s="93">
        <f t="shared" si="78"/>
        <v>0</v>
      </c>
      <c r="O563" s="93">
        <f t="shared" si="78"/>
        <v>0</v>
      </c>
      <c r="P563" s="93">
        <f t="shared" si="78"/>
        <v>0</v>
      </c>
      <c r="Q563" s="93">
        <f t="shared" si="78"/>
        <v>0</v>
      </c>
      <c r="R563" s="93">
        <f t="shared" si="78"/>
        <v>0</v>
      </c>
      <c r="S563" s="93">
        <f t="shared" si="78"/>
        <v>0</v>
      </c>
      <c r="T563" s="93">
        <f t="shared" si="78"/>
        <v>0</v>
      </c>
      <c r="U563" s="93">
        <f t="shared" si="78"/>
        <v>0</v>
      </c>
      <c r="V563" s="93">
        <f t="shared" si="78"/>
        <v>0</v>
      </c>
      <c r="W563" s="93">
        <f t="shared" si="78"/>
        <v>0</v>
      </c>
      <c r="X563" s="93">
        <f t="shared" si="78"/>
        <v>0</v>
      </c>
      <c r="Y563" s="92">
        <f t="shared" si="78"/>
        <v>0</v>
      </c>
      <c r="Z563" s="93">
        <f t="shared" si="78"/>
        <v>0</v>
      </c>
      <c r="AA563" s="93">
        <f t="shared" si="78"/>
        <v>0</v>
      </c>
      <c r="AB563" s="93">
        <f t="shared" si="78"/>
        <v>0</v>
      </c>
      <c r="AC563" s="93">
        <f t="shared" si="78"/>
        <v>0</v>
      </c>
      <c r="AD563" s="93">
        <f t="shared" si="78"/>
        <v>0</v>
      </c>
      <c r="AE563" s="93">
        <f t="shared" si="78"/>
        <v>0</v>
      </c>
      <c r="AF563" s="93">
        <f t="shared" si="78"/>
        <v>0</v>
      </c>
      <c r="AG563" s="93">
        <f t="shared" si="78"/>
        <v>0</v>
      </c>
      <c r="AH563" s="93">
        <f t="shared" si="78"/>
        <v>0</v>
      </c>
      <c r="AI563" s="93">
        <f t="shared" si="78"/>
        <v>0</v>
      </c>
      <c r="AQ563" s="83" t="str">
        <f t="shared" si="74"/>
        <v>D8Y</v>
      </c>
    </row>
    <row r="564" spans="1:43" x14ac:dyDescent="0.3">
      <c r="A564" s="93">
        <f t="shared" si="72"/>
        <v>0</v>
      </c>
      <c r="B564" s="94" t="s">
        <v>190</v>
      </c>
      <c r="C564" s="93">
        <f t="shared" si="78"/>
        <v>0</v>
      </c>
      <c r="D564" s="93">
        <f t="shared" si="78"/>
        <v>0</v>
      </c>
      <c r="E564" s="93">
        <f t="shared" si="78"/>
        <v>0</v>
      </c>
      <c r="F564" s="93">
        <f t="shared" si="78"/>
        <v>0</v>
      </c>
      <c r="G564" s="93">
        <f t="shared" si="78"/>
        <v>0</v>
      </c>
      <c r="H564" s="93">
        <f t="shared" si="78"/>
        <v>0</v>
      </c>
      <c r="I564" s="93">
        <f t="shared" si="78"/>
        <v>0</v>
      </c>
      <c r="J564" s="93">
        <f t="shared" si="78"/>
        <v>0</v>
      </c>
      <c r="K564" s="93">
        <f t="shared" si="78"/>
        <v>0</v>
      </c>
      <c r="L564" s="93">
        <f t="shared" si="78"/>
        <v>0</v>
      </c>
      <c r="M564" s="93">
        <f t="shared" si="78"/>
        <v>0</v>
      </c>
      <c r="N564" s="93">
        <f t="shared" si="78"/>
        <v>0</v>
      </c>
      <c r="O564" s="93">
        <f t="shared" si="78"/>
        <v>0</v>
      </c>
      <c r="P564" s="93">
        <f t="shared" si="78"/>
        <v>0</v>
      </c>
      <c r="Q564" s="93">
        <f t="shared" si="78"/>
        <v>0</v>
      </c>
      <c r="R564" s="93">
        <f t="shared" si="78"/>
        <v>0</v>
      </c>
      <c r="S564" s="93">
        <f t="shared" si="78"/>
        <v>0</v>
      </c>
      <c r="T564" s="93">
        <f t="shared" si="78"/>
        <v>0</v>
      </c>
      <c r="U564" s="93">
        <f t="shared" si="78"/>
        <v>0</v>
      </c>
      <c r="V564" s="93">
        <f t="shared" si="78"/>
        <v>0</v>
      </c>
      <c r="W564" s="93">
        <f t="shared" si="78"/>
        <v>0</v>
      </c>
      <c r="X564" s="93">
        <f t="shared" si="78"/>
        <v>0</v>
      </c>
      <c r="Y564" s="93">
        <f t="shared" si="78"/>
        <v>0</v>
      </c>
      <c r="Z564" s="92">
        <f t="shared" si="78"/>
        <v>0</v>
      </c>
      <c r="AA564" s="93">
        <f t="shared" ref="AA564:AI564" si="79">Z490</f>
        <v>0</v>
      </c>
      <c r="AB564" s="93">
        <f t="shared" si="79"/>
        <v>0</v>
      </c>
      <c r="AC564" s="93">
        <f t="shared" si="79"/>
        <v>0</v>
      </c>
      <c r="AD564" s="93">
        <f t="shared" si="79"/>
        <v>0</v>
      </c>
      <c r="AE564" s="93">
        <f t="shared" si="79"/>
        <v>0</v>
      </c>
      <c r="AF564" s="93">
        <f t="shared" si="79"/>
        <v>0</v>
      </c>
      <c r="AG564" s="93">
        <f t="shared" si="79"/>
        <v>0</v>
      </c>
      <c r="AH564" s="93">
        <f t="shared" si="79"/>
        <v>0</v>
      </c>
      <c r="AI564" s="93">
        <f t="shared" si="79"/>
        <v>0</v>
      </c>
      <c r="AQ564" s="83" t="str">
        <f t="shared" si="74"/>
        <v>D8θ</v>
      </c>
    </row>
    <row r="565" spans="1:43" x14ac:dyDescent="0.3">
      <c r="A565" s="93">
        <f t="shared" si="72"/>
        <v>0</v>
      </c>
      <c r="B565" s="94" t="s">
        <v>190</v>
      </c>
      <c r="C565" s="93">
        <f t="shared" ref="C565:AI572" si="80">B491</f>
        <v>0</v>
      </c>
      <c r="D565" s="93">
        <f t="shared" si="80"/>
        <v>0</v>
      </c>
      <c r="E565" s="93">
        <f t="shared" si="80"/>
        <v>0</v>
      </c>
      <c r="F565" s="93">
        <f t="shared" si="80"/>
        <v>0</v>
      </c>
      <c r="G565" s="93">
        <f t="shared" si="80"/>
        <v>0</v>
      </c>
      <c r="H565" s="93">
        <f t="shared" si="80"/>
        <v>0</v>
      </c>
      <c r="I565" s="93">
        <f t="shared" si="80"/>
        <v>0</v>
      </c>
      <c r="J565" s="93">
        <f t="shared" si="80"/>
        <v>0</v>
      </c>
      <c r="K565" s="93">
        <f t="shared" si="80"/>
        <v>0</v>
      </c>
      <c r="L565" s="93">
        <f t="shared" si="80"/>
        <v>0</v>
      </c>
      <c r="M565" s="93">
        <f t="shared" si="80"/>
        <v>0</v>
      </c>
      <c r="N565" s="93">
        <f t="shared" si="80"/>
        <v>0</v>
      </c>
      <c r="O565" s="93">
        <f t="shared" si="80"/>
        <v>0</v>
      </c>
      <c r="P565" s="93">
        <f t="shared" si="80"/>
        <v>0</v>
      </c>
      <c r="Q565" s="93">
        <f t="shared" si="80"/>
        <v>0</v>
      </c>
      <c r="R565" s="93">
        <f t="shared" si="80"/>
        <v>0</v>
      </c>
      <c r="S565" s="93">
        <f t="shared" si="80"/>
        <v>0</v>
      </c>
      <c r="T565" s="93">
        <f t="shared" si="80"/>
        <v>0</v>
      </c>
      <c r="U565" s="93">
        <f t="shared" si="80"/>
        <v>0</v>
      </c>
      <c r="V565" s="93">
        <f t="shared" si="80"/>
        <v>0</v>
      </c>
      <c r="W565" s="93">
        <f t="shared" si="80"/>
        <v>0</v>
      </c>
      <c r="X565" s="93">
        <f t="shared" si="80"/>
        <v>0</v>
      </c>
      <c r="Y565" s="93">
        <f t="shared" si="80"/>
        <v>0</v>
      </c>
      <c r="Z565" s="93">
        <f t="shared" si="80"/>
        <v>0</v>
      </c>
      <c r="AA565" s="92">
        <f t="shared" si="80"/>
        <v>0</v>
      </c>
      <c r="AB565" s="93">
        <f t="shared" si="80"/>
        <v>0</v>
      </c>
      <c r="AC565" s="93">
        <f t="shared" si="80"/>
        <v>0</v>
      </c>
      <c r="AD565" s="93">
        <f t="shared" si="80"/>
        <v>0</v>
      </c>
      <c r="AE565" s="93">
        <f t="shared" si="80"/>
        <v>0</v>
      </c>
      <c r="AF565" s="93">
        <f t="shared" si="80"/>
        <v>0</v>
      </c>
      <c r="AG565" s="93">
        <f t="shared" si="80"/>
        <v>0</v>
      </c>
      <c r="AH565" s="93">
        <f t="shared" si="80"/>
        <v>0</v>
      </c>
      <c r="AI565" s="93">
        <f t="shared" si="80"/>
        <v>0</v>
      </c>
      <c r="AQ565" s="83" t="str">
        <f t="shared" si="74"/>
        <v>D9X</v>
      </c>
    </row>
    <row r="566" spans="1:43" x14ac:dyDescent="0.3">
      <c r="A566" s="93">
        <f t="shared" si="72"/>
        <v>0</v>
      </c>
      <c r="B566" s="94" t="s">
        <v>190</v>
      </c>
      <c r="C566" s="93">
        <f t="shared" si="80"/>
        <v>0</v>
      </c>
      <c r="D566" s="93">
        <f t="shared" si="80"/>
        <v>0</v>
      </c>
      <c r="E566" s="93">
        <f t="shared" si="80"/>
        <v>0</v>
      </c>
      <c r="F566" s="93">
        <f t="shared" si="80"/>
        <v>0</v>
      </c>
      <c r="G566" s="93">
        <f t="shared" si="80"/>
        <v>0</v>
      </c>
      <c r="H566" s="93">
        <f t="shared" si="80"/>
        <v>0</v>
      </c>
      <c r="I566" s="93">
        <f t="shared" si="80"/>
        <v>0</v>
      </c>
      <c r="J566" s="93">
        <f t="shared" si="80"/>
        <v>0</v>
      </c>
      <c r="K566" s="93">
        <f t="shared" si="80"/>
        <v>0</v>
      </c>
      <c r="L566" s="93">
        <f t="shared" si="80"/>
        <v>0</v>
      </c>
      <c r="M566" s="93">
        <f t="shared" si="80"/>
        <v>0</v>
      </c>
      <c r="N566" s="93">
        <f t="shared" si="80"/>
        <v>0</v>
      </c>
      <c r="O566" s="93">
        <f t="shared" si="80"/>
        <v>0</v>
      </c>
      <c r="P566" s="93">
        <f t="shared" si="80"/>
        <v>0</v>
      </c>
      <c r="Q566" s="93">
        <f t="shared" si="80"/>
        <v>0</v>
      </c>
      <c r="R566" s="93">
        <f t="shared" si="80"/>
        <v>0</v>
      </c>
      <c r="S566" s="93">
        <f t="shared" si="80"/>
        <v>0</v>
      </c>
      <c r="T566" s="93">
        <f t="shared" si="80"/>
        <v>0</v>
      </c>
      <c r="U566" s="93">
        <f t="shared" si="80"/>
        <v>0</v>
      </c>
      <c r="V566" s="93">
        <f t="shared" si="80"/>
        <v>0</v>
      </c>
      <c r="W566" s="93">
        <f t="shared" si="80"/>
        <v>0</v>
      </c>
      <c r="X566" s="93">
        <f t="shared" si="80"/>
        <v>0</v>
      </c>
      <c r="Y566" s="93">
        <f t="shared" si="80"/>
        <v>0</v>
      </c>
      <c r="Z566" s="93">
        <f t="shared" si="80"/>
        <v>0</v>
      </c>
      <c r="AA566" s="93">
        <f t="shared" si="80"/>
        <v>0</v>
      </c>
      <c r="AB566" s="92">
        <f t="shared" si="80"/>
        <v>0</v>
      </c>
      <c r="AC566" s="93">
        <f t="shared" si="80"/>
        <v>0</v>
      </c>
      <c r="AD566" s="93">
        <f t="shared" si="80"/>
        <v>0</v>
      </c>
      <c r="AE566" s="93">
        <f t="shared" si="80"/>
        <v>0</v>
      </c>
      <c r="AF566" s="93">
        <f t="shared" si="80"/>
        <v>0</v>
      </c>
      <c r="AG566" s="93">
        <f t="shared" si="80"/>
        <v>0</v>
      </c>
      <c r="AH566" s="93">
        <f t="shared" si="80"/>
        <v>0</v>
      </c>
      <c r="AI566" s="93">
        <f t="shared" si="80"/>
        <v>0</v>
      </c>
      <c r="AQ566" s="83" t="str">
        <f t="shared" si="74"/>
        <v>D9Y</v>
      </c>
    </row>
    <row r="567" spans="1:43" x14ac:dyDescent="0.3">
      <c r="A567" s="93">
        <f t="shared" si="72"/>
        <v>0</v>
      </c>
      <c r="B567" s="94" t="s">
        <v>190</v>
      </c>
      <c r="C567" s="93">
        <f t="shared" si="80"/>
        <v>0</v>
      </c>
      <c r="D567" s="93">
        <f t="shared" si="80"/>
        <v>0</v>
      </c>
      <c r="E567" s="93">
        <f t="shared" si="80"/>
        <v>0</v>
      </c>
      <c r="F567" s="93">
        <f t="shared" si="80"/>
        <v>0</v>
      </c>
      <c r="G567" s="93">
        <f t="shared" si="80"/>
        <v>0</v>
      </c>
      <c r="H567" s="93">
        <f t="shared" si="80"/>
        <v>0</v>
      </c>
      <c r="I567" s="93">
        <f t="shared" si="80"/>
        <v>0</v>
      </c>
      <c r="J567" s="93">
        <f t="shared" si="80"/>
        <v>0</v>
      </c>
      <c r="K567" s="93">
        <f t="shared" si="80"/>
        <v>0</v>
      </c>
      <c r="L567" s="93">
        <f t="shared" si="80"/>
        <v>0</v>
      </c>
      <c r="M567" s="93">
        <f t="shared" si="80"/>
        <v>0</v>
      </c>
      <c r="N567" s="93">
        <f t="shared" si="80"/>
        <v>0</v>
      </c>
      <c r="O567" s="93">
        <f t="shared" si="80"/>
        <v>0</v>
      </c>
      <c r="P567" s="93">
        <f t="shared" si="80"/>
        <v>0</v>
      </c>
      <c r="Q567" s="93">
        <f t="shared" si="80"/>
        <v>0</v>
      </c>
      <c r="R567" s="93">
        <f t="shared" si="80"/>
        <v>0</v>
      </c>
      <c r="S567" s="93">
        <f t="shared" si="80"/>
        <v>0</v>
      </c>
      <c r="T567" s="93">
        <f t="shared" si="80"/>
        <v>0</v>
      </c>
      <c r="U567" s="93">
        <f t="shared" si="80"/>
        <v>0</v>
      </c>
      <c r="V567" s="93">
        <f t="shared" si="80"/>
        <v>0</v>
      </c>
      <c r="W567" s="93">
        <f t="shared" si="80"/>
        <v>0</v>
      </c>
      <c r="X567" s="93">
        <f t="shared" si="80"/>
        <v>0</v>
      </c>
      <c r="Y567" s="93">
        <f t="shared" si="80"/>
        <v>0</v>
      </c>
      <c r="Z567" s="93">
        <f t="shared" si="80"/>
        <v>0</v>
      </c>
      <c r="AA567" s="93">
        <f t="shared" si="80"/>
        <v>0</v>
      </c>
      <c r="AB567" s="93">
        <f t="shared" si="80"/>
        <v>0</v>
      </c>
      <c r="AC567" s="92">
        <f t="shared" si="80"/>
        <v>0</v>
      </c>
      <c r="AD567" s="93">
        <f t="shared" si="80"/>
        <v>0</v>
      </c>
      <c r="AE567" s="93">
        <f t="shared" si="80"/>
        <v>0</v>
      </c>
      <c r="AF567" s="93">
        <f t="shared" si="80"/>
        <v>0</v>
      </c>
      <c r="AG567" s="93">
        <f t="shared" si="80"/>
        <v>0</v>
      </c>
      <c r="AH567" s="93">
        <f t="shared" si="80"/>
        <v>0</v>
      </c>
      <c r="AI567" s="93">
        <f t="shared" si="80"/>
        <v>0</v>
      </c>
      <c r="AQ567" s="83" t="str">
        <f t="shared" si="74"/>
        <v>D9θ</v>
      </c>
    </row>
    <row r="568" spans="1:43" x14ac:dyDescent="0.3">
      <c r="A568" s="93">
        <f t="shared" si="72"/>
        <v>0</v>
      </c>
      <c r="B568" s="94" t="s">
        <v>190</v>
      </c>
      <c r="C568" s="93">
        <f t="shared" si="80"/>
        <v>0</v>
      </c>
      <c r="D568" s="93">
        <f t="shared" si="80"/>
        <v>0</v>
      </c>
      <c r="E568" s="93">
        <f t="shared" si="80"/>
        <v>0</v>
      </c>
      <c r="F568" s="93">
        <f t="shared" si="80"/>
        <v>0</v>
      </c>
      <c r="G568" s="93">
        <f t="shared" si="80"/>
        <v>0</v>
      </c>
      <c r="H568" s="93">
        <f t="shared" si="80"/>
        <v>0</v>
      </c>
      <c r="I568" s="93">
        <f t="shared" si="80"/>
        <v>0</v>
      </c>
      <c r="J568" s="93">
        <f t="shared" si="80"/>
        <v>0</v>
      </c>
      <c r="K568" s="93">
        <f t="shared" si="80"/>
        <v>0</v>
      </c>
      <c r="L568" s="93">
        <f t="shared" si="80"/>
        <v>0</v>
      </c>
      <c r="M568" s="93">
        <f t="shared" si="80"/>
        <v>0</v>
      </c>
      <c r="N568" s="93">
        <f t="shared" si="80"/>
        <v>0</v>
      </c>
      <c r="O568" s="93">
        <f t="shared" si="80"/>
        <v>0</v>
      </c>
      <c r="P568" s="93">
        <f t="shared" si="80"/>
        <v>0</v>
      </c>
      <c r="Q568" s="93">
        <f t="shared" si="80"/>
        <v>0</v>
      </c>
      <c r="R568" s="93">
        <f t="shared" si="80"/>
        <v>0</v>
      </c>
      <c r="S568" s="93">
        <f t="shared" si="80"/>
        <v>0</v>
      </c>
      <c r="T568" s="93">
        <f t="shared" si="80"/>
        <v>0</v>
      </c>
      <c r="U568" s="93">
        <f t="shared" si="80"/>
        <v>0</v>
      </c>
      <c r="V568" s="93">
        <f t="shared" si="80"/>
        <v>0</v>
      </c>
      <c r="W568" s="93">
        <f t="shared" si="80"/>
        <v>0</v>
      </c>
      <c r="X568" s="93">
        <f t="shared" si="80"/>
        <v>0</v>
      </c>
      <c r="Y568" s="93">
        <f t="shared" si="80"/>
        <v>0</v>
      </c>
      <c r="Z568" s="93">
        <f t="shared" si="80"/>
        <v>0</v>
      </c>
      <c r="AA568" s="93">
        <f t="shared" si="80"/>
        <v>0</v>
      </c>
      <c r="AB568" s="93">
        <f t="shared" si="80"/>
        <v>0</v>
      </c>
      <c r="AC568" s="93">
        <f t="shared" si="80"/>
        <v>0</v>
      </c>
      <c r="AD568" s="92">
        <f t="shared" si="80"/>
        <v>0</v>
      </c>
      <c r="AE568" s="93">
        <f t="shared" si="80"/>
        <v>0</v>
      </c>
      <c r="AF568" s="93">
        <f t="shared" si="80"/>
        <v>0</v>
      </c>
      <c r="AG568" s="93">
        <f t="shared" si="80"/>
        <v>0</v>
      </c>
      <c r="AH568" s="93">
        <f t="shared" si="80"/>
        <v>0</v>
      </c>
      <c r="AI568" s="93">
        <f t="shared" si="80"/>
        <v>0</v>
      </c>
      <c r="AQ568" s="83" t="str">
        <f t="shared" si="74"/>
        <v>D10X</v>
      </c>
    </row>
    <row r="569" spans="1:43" x14ac:dyDescent="0.3">
      <c r="A569" s="93">
        <f t="shared" si="72"/>
        <v>0</v>
      </c>
      <c r="B569" s="94" t="s">
        <v>190</v>
      </c>
      <c r="C569" s="93">
        <f t="shared" si="80"/>
        <v>0</v>
      </c>
      <c r="D569" s="93">
        <f t="shared" si="80"/>
        <v>0</v>
      </c>
      <c r="E569" s="93">
        <f t="shared" si="80"/>
        <v>0</v>
      </c>
      <c r="F569" s="93">
        <f t="shared" si="80"/>
        <v>0</v>
      </c>
      <c r="G569" s="93">
        <f t="shared" si="80"/>
        <v>0</v>
      </c>
      <c r="H569" s="93">
        <f t="shared" si="80"/>
        <v>0</v>
      </c>
      <c r="I569" s="93">
        <f t="shared" si="80"/>
        <v>0</v>
      </c>
      <c r="J569" s="93">
        <f t="shared" si="80"/>
        <v>0</v>
      </c>
      <c r="K569" s="93">
        <f t="shared" si="80"/>
        <v>0</v>
      </c>
      <c r="L569" s="93">
        <f t="shared" si="80"/>
        <v>0</v>
      </c>
      <c r="M569" s="93">
        <f t="shared" si="80"/>
        <v>0</v>
      </c>
      <c r="N569" s="93">
        <f t="shared" si="80"/>
        <v>0</v>
      </c>
      <c r="O569" s="93">
        <f t="shared" si="80"/>
        <v>0</v>
      </c>
      <c r="P569" s="93">
        <f t="shared" si="80"/>
        <v>0</v>
      </c>
      <c r="Q569" s="93">
        <f t="shared" si="80"/>
        <v>0</v>
      </c>
      <c r="R569" s="93">
        <f t="shared" si="80"/>
        <v>0</v>
      </c>
      <c r="S569" s="93">
        <f t="shared" si="80"/>
        <v>0</v>
      </c>
      <c r="T569" s="93">
        <f t="shared" si="80"/>
        <v>0</v>
      </c>
      <c r="U569" s="93">
        <f t="shared" si="80"/>
        <v>0</v>
      </c>
      <c r="V569" s="93">
        <f t="shared" si="80"/>
        <v>0</v>
      </c>
      <c r="W569" s="93">
        <f t="shared" si="80"/>
        <v>0</v>
      </c>
      <c r="X569" s="93">
        <f t="shared" si="80"/>
        <v>0</v>
      </c>
      <c r="Y569" s="93">
        <f t="shared" si="80"/>
        <v>0</v>
      </c>
      <c r="Z569" s="93">
        <f t="shared" si="80"/>
        <v>0</v>
      </c>
      <c r="AA569" s="93">
        <f t="shared" si="80"/>
        <v>0</v>
      </c>
      <c r="AB569" s="93">
        <f t="shared" si="80"/>
        <v>0</v>
      </c>
      <c r="AC569" s="93">
        <f t="shared" si="80"/>
        <v>0</v>
      </c>
      <c r="AD569" s="93">
        <f t="shared" si="80"/>
        <v>0</v>
      </c>
      <c r="AE569" s="92">
        <f t="shared" si="80"/>
        <v>0</v>
      </c>
      <c r="AF569" s="93">
        <f t="shared" si="80"/>
        <v>0</v>
      </c>
      <c r="AG569" s="93">
        <f t="shared" si="80"/>
        <v>0</v>
      </c>
      <c r="AH569" s="93">
        <f t="shared" si="80"/>
        <v>0</v>
      </c>
      <c r="AI569" s="93">
        <f t="shared" si="80"/>
        <v>0</v>
      </c>
      <c r="AQ569" s="83" t="str">
        <f t="shared" si="74"/>
        <v>D10Y</v>
      </c>
    </row>
    <row r="570" spans="1:43" x14ac:dyDescent="0.3">
      <c r="A570" s="93">
        <f t="shared" si="72"/>
        <v>0</v>
      </c>
      <c r="B570" s="94" t="s">
        <v>190</v>
      </c>
      <c r="C570" s="93">
        <f t="shared" si="80"/>
        <v>0</v>
      </c>
      <c r="D570" s="93">
        <f t="shared" si="80"/>
        <v>0</v>
      </c>
      <c r="E570" s="93">
        <f t="shared" si="80"/>
        <v>0</v>
      </c>
      <c r="F570" s="93">
        <f t="shared" si="80"/>
        <v>0</v>
      </c>
      <c r="G570" s="93">
        <f t="shared" si="80"/>
        <v>0</v>
      </c>
      <c r="H570" s="93">
        <f t="shared" si="80"/>
        <v>0</v>
      </c>
      <c r="I570" s="93">
        <f t="shared" si="80"/>
        <v>0</v>
      </c>
      <c r="J570" s="93">
        <f t="shared" si="80"/>
        <v>0</v>
      </c>
      <c r="K570" s="93">
        <f t="shared" si="80"/>
        <v>0</v>
      </c>
      <c r="L570" s="93">
        <f t="shared" si="80"/>
        <v>0</v>
      </c>
      <c r="M570" s="93">
        <f t="shared" si="80"/>
        <v>0</v>
      </c>
      <c r="N570" s="93">
        <f t="shared" si="80"/>
        <v>0</v>
      </c>
      <c r="O570" s="93">
        <f t="shared" si="80"/>
        <v>0</v>
      </c>
      <c r="P570" s="93">
        <f t="shared" si="80"/>
        <v>0</v>
      </c>
      <c r="Q570" s="93">
        <f t="shared" si="80"/>
        <v>0</v>
      </c>
      <c r="R570" s="93">
        <f t="shared" si="80"/>
        <v>0</v>
      </c>
      <c r="S570" s="93">
        <f t="shared" si="80"/>
        <v>0</v>
      </c>
      <c r="T570" s="93">
        <f t="shared" si="80"/>
        <v>0</v>
      </c>
      <c r="U570" s="93">
        <f t="shared" si="80"/>
        <v>0</v>
      </c>
      <c r="V570" s="93">
        <f t="shared" si="80"/>
        <v>0</v>
      </c>
      <c r="W570" s="93">
        <f t="shared" si="80"/>
        <v>0</v>
      </c>
      <c r="X570" s="93">
        <f t="shared" si="80"/>
        <v>0</v>
      </c>
      <c r="Y570" s="93">
        <f t="shared" si="80"/>
        <v>0</v>
      </c>
      <c r="Z570" s="93">
        <f t="shared" si="80"/>
        <v>0</v>
      </c>
      <c r="AA570" s="93">
        <f t="shared" si="80"/>
        <v>0</v>
      </c>
      <c r="AB570" s="93">
        <f t="shared" si="80"/>
        <v>0</v>
      </c>
      <c r="AC570" s="93">
        <f t="shared" si="80"/>
        <v>0</v>
      </c>
      <c r="AD570" s="93">
        <f t="shared" si="80"/>
        <v>0</v>
      </c>
      <c r="AE570" s="93">
        <f t="shared" si="80"/>
        <v>0</v>
      </c>
      <c r="AF570" s="92">
        <f t="shared" si="80"/>
        <v>0</v>
      </c>
      <c r="AG570" s="93">
        <f t="shared" si="80"/>
        <v>0</v>
      </c>
      <c r="AH570" s="93">
        <f t="shared" si="80"/>
        <v>0</v>
      </c>
      <c r="AI570" s="93">
        <f t="shared" si="80"/>
        <v>0</v>
      </c>
      <c r="AQ570" s="83" t="str">
        <f t="shared" si="74"/>
        <v>D10θ</v>
      </c>
    </row>
    <row r="571" spans="1:43" x14ac:dyDescent="0.3">
      <c r="A571" s="93">
        <f t="shared" si="72"/>
        <v>0</v>
      </c>
      <c r="B571" s="94" t="s">
        <v>190</v>
      </c>
      <c r="C571" s="93">
        <f t="shared" si="80"/>
        <v>0</v>
      </c>
      <c r="D571" s="93">
        <f t="shared" si="80"/>
        <v>0</v>
      </c>
      <c r="E571" s="93">
        <f t="shared" si="80"/>
        <v>0</v>
      </c>
      <c r="F571" s="93">
        <f t="shared" si="80"/>
        <v>0</v>
      </c>
      <c r="G571" s="93">
        <f t="shared" si="80"/>
        <v>0</v>
      </c>
      <c r="H571" s="93">
        <f t="shared" si="80"/>
        <v>0</v>
      </c>
      <c r="I571" s="93">
        <f t="shared" si="80"/>
        <v>0</v>
      </c>
      <c r="J571" s="93">
        <f t="shared" si="80"/>
        <v>0</v>
      </c>
      <c r="K571" s="93">
        <f t="shared" si="80"/>
        <v>0</v>
      </c>
      <c r="L571" s="93">
        <f t="shared" si="80"/>
        <v>0</v>
      </c>
      <c r="M571" s="93">
        <f t="shared" si="80"/>
        <v>0</v>
      </c>
      <c r="N571" s="93">
        <f t="shared" si="80"/>
        <v>0</v>
      </c>
      <c r="O571" s="93">
        <f t="shared" si="80"/>
        <v>0</v>
      </c>
      <c r="P571" s="93">
        <f t="shared" si="80"/>
        <v>0</v>
      </c>
      <c r="Q571" s="93">
        <f t="shared" si="80"/>
        <v>0</v>
      </c>
      <c r="R571" s="93">
        <f t="shared" si="80"/>
        <v>0</v>
      </c>
      <c r="S571" s="93">
        <f t="shared" si="80"/>
        <v>0</v>
      </c>
      <c r="T571" s="93">
        <f t="shared" si="80"/>
        <v>0</v>
      </c>
      <c r="U571" s="93">
        <f t="shared" si="80"/>
        <v>0</v>
      </c>
      <c r="V571" s="93">
        <f t="shared" si="80"/>
        <v>0</v>
      </c>
      <c r="W571" s="93">
        <f t="shared" si="80"/>
        <v>0</v>
      </c>
      <c r="X571" s="93">
        <f t="shared" si="80"/>
        <v>0</v>
      </c>
      <c r="Y571" s="93">
        <f t="shared" si="80"/>
        <v>0</v>
      </c>
      <c r="Z571" s="93">
        <f t="shared" si="80"/>
        <v>0</v>
      </c>
      <c r="AA571" s="93">
        <f t="shared" si="80"/>
        <v>0</v>
      </c>
      <c r="AB571" s="93">
        <f t="shared" si="80"/>
        <v>0</v>
      </c>
      <c r="AC571" s="93">
        <f t="shared" si="80"/>
        <v>0</v>
      </c>
      <c r="AD571" s="93">
        <f t="shared" si="80"/>
        <v>0</v>
      </c>
      <c r="AE571" s="93">
        <f t="shared" si="80"/>
        <v>0</v>
      </c>
      <c r="AF571" s="93">
        <f t="shared" si="80"/>
        <v>0</v>
      </c>
      <c r="AG571" s="92">
        <f t="shared" si="80"/>
        <v>0</v>
      </c>
      <c r="AH571" s="93">
        <f t="shared" si="80"/>
        <v>0</v>
      </c>
      <c r="AI571" s="93">
        <f t="shared" si="80"/>
        <v>0</v>
      </c>
      <c r="AQ571" s="83" t="str">
        <f t="shared" si="74"/>
        <v>D11X</v>
      </c>
    </row>
    <row r="572" spans="1:43" x14ac:dyDescent="0.3">
      <c r="A572" s="93">
        <f t="shared" si="72"/>
        <v>0</v>
      </c>
      <c r="B572" s="94" t="s">
        <v>190</v>
      </c>
      <c r="C572" s="93">
        <f t="shared" si="80"/>
        <v>0</v>
      </c>
      <c r="D572" s="93">
        <f t="shared" si="80"/>
        <v>0</v>
      </c>
      <c r="E572" s="93">
        <f t="shared" si="80"/>
        <v>0</v>
      </c>
      <c r="F572" s="93">
        <f t="shared" si="80"/>
        <v>0</v>
      </c>
      <c r="G572" s="93">
        <f t="shared" si="80"/>
        <v>0</v>
      </c>
      <c r="H572" s="93">
        <f t="shared" si="80"/>
        <v>0</v>
      </c>
      <c r="I572" s="93">
        <f t="shared" si="80"/>
        <v>0</v>
      </c>
      <c r="J572" s="93">
        <f t="shared" si="80"/>
        <v>0</v>
      </c>
      <c r="K572" s="93">
        <f t="shared" si="80"/>
        <v>0</v>
      </c>
      <c r="L572" s="93">
        <f t="shared" si="80"/>
        <v>0</v>
      </c>
      <c r="M572" s="93">
        <f t="shared" si="80"/>
        <v>0</v>
      </c>
      <c r="N572" s="93">
        <f t="shared" si="80"/>
        <v>0</v>
      </c>
      <c r="O572" s="93">
        <f t="shared" si="80"/>
        <v>0</v>
      </c>
      <c r="P572" s="93">
        <f t="shared" si="80"/>
        <v>0</v>
      </c>
      <c r="Q572" s="93">
        <f t="shared" si="80"/>
        <v>0</v>
      </c>
      <c r="R572" s="93">
        <f t="shared" si="80"/>
        <v>0</v>
      </c>
      <c r="S572" s="93">
        <f t="shared" si="80"/>
        <v>0</v>
      </c>
      <c r="T572" s="93">
        <f t="shared" si="80"/>
        <v>0</v>
      </c>
      <c r="U572" s="93">
        <f t="shared" si="80"/>
        <v>0</v>
      </c>
      <c r="V572" s="93">
        <f t="shared" si="80"/>
        <v>0</v>
      </c>
      <c r="W572" s="93">
        <f t="shared" si="80"/>
        <v>0</v>
      </c>
      <c r="X572" s="93">
        <f t="shared" si="80"/>
        <v>0</v>
      </c>
      <c r="Y572" s="93">
        <f t="shared" si="80"/>
        <v>0</v>
      </c>
      <c r="Z572" s="93">
        <f t="shared" si="80"/>
        <v>0</v>
      </c>
      <c r="AA572" s="93">
        <f t="shared" ref="AA572:AI572" si="81">Z498</f>
        <v>0</v>
      </c>
      <c r="AB572" s="93">
        <f t="shared" si="81"/>
        <v>0</v>
      </c>
      <c r="AC572" s="93">
        <f t="shared" si="81"/>
        <v>0</v>
      </c>
      <c r="AD572" s="93">
        <f t="shared" si="81"/>
        <v>0</v>
      </c>
      <c r="AE572" s="93">
        <f t="shared" si="81"/>
        <v>0</v>
      </c>
      <c r="AF572" s="93">
        <f t="shared" si="81"/>
        <v>0</v>
      </c>
      <c r="AG572" s="93">
        <f t="shared" si="81"/>
        <v>0</v>
      </c>
      <c r="AH572" s="92">
        <f t="shared" si="81"/>
        <v>0</v>
      </c>
      <c r="AI572" s="93">
        <f t="shared" si="81"/>
        <v>0</v>
      </c>
      <c r="AQ572" s="83" t="str">
        <f t="shared" si="74"/>
        <v>D11Y</v>
      </c>
    </row>
    <row r="573" spans="1:43" x14ac:dyDescent="0.3">
      <c r="A573" s="93">
        <f t="shared" si="72"/>
        <v>0</v>
      </c>
      <c r="B573" s="94" t="s">
        <v>190</v>
      </c>
      <c r="C573" s="93">
        <f t="shared" ref="C573:AI573" si="82">B499</f>
        <v>0</v>
      </c>
      <c r="D573" s="93">
        <f t="shared" si="82"/>
        <v>0</v>
      </c>
      <c r="E573" s="93">
        <f t="shared" si="82"/>
        <v>0</v>
      </c>
      <c r="F573" s="93">
        <f t="shared" si="82"/>
        <v>0</v>
      </c>
      <c r="G573" s="93">
        <f t="shared" si="82"/>
        <v>0</v>
      </c>
      <c r="H573" s="93">
        <f t="shared" si="82"/>
        <v>0</v>
      </c>
      <c r="I573" s="93">
        <f t="shared" si="82"/>
        <v>0</v>
      </c>
      <c r="J573" s="93">
        <f t="shared" si="82"/>
        <v>0</v>
      </c>
      <c r="K573" s="93">
        <f t="shared" si="82"/>
        <v>0</v>
      </c>
      <c r="L573" s="93">
        <f t="shared" si="82"/>
        <v>0</v>
      </c>
      <c r="M573" s="93">
        <f t="shared" si="82"/>
        <v>0</v>
      </c>
      <c r="N573" s="93">
        <f t="shared" si="82"/>
        <v>0</v>
      </c>
      <c r="O573" s="93">
        <f t="shared" si="82"/>
        <v>0</v>
      </c>
      <c r="P573" s="93">
        <f t="shared" si="82"/>
        <v>0</v>
      </c>
      <c r="Q573" s="93">
        <f t="shared" si="82"/>
        <v>0</v>
      </c>
      <c r="R573" s="93">
        <f t="shared" si="82"/>
        <v>0</v>
      </c>
      <c r="S573" s="93">
        <f t="shared" si="82"/>
        <v>0</v>
      </c>
      <c r="T573" s="93">
        <f t="shared" si="82"/>
        <v>0</v>
      </c>
      <c r="U573" s="93">
        <f t="shared" si="82"/>
        <v>0</v>
      </c>
      <c r="V573" s="93">
        <f t="shared" si="82"/>
        <v>0</v>
      </c>
      <c r="W573" s="93">
        <f t="shared" si="82"/>
        <v>0</v>
      </c>
      <c r="X573" s="93">
        <f t="shared" si="82"/>
        <v>0</v>
      </c>
      <c r="Y573" s="93">
        <f t="shared" si="82"/>
        <v>0</v>
      </c>
      <c r="Z573" s="93">
        <f t="shared" si="82"/>
        <v>0</v>
      </c>
      <c r="AA573" s="93">
        <f t="shared" si="82"/>
        <v>0</v>
      </c>
      <c r="AB573" s="93">
        <f t="shared" si="82"/>
        <v>0</v>
      </c>
      <c r="AC573" s="93">
        <f t="shared" si="82"/>
        <v>0</v>
      </c>
      <c r="AD573" s="93">
        <f t="shared" si="82"/>
        <v>0</v>
      </c>
      <c r="AE573" s="93">
        <f t="shared" si="82"/>
        <v>0</v>
      </c>
      <c r="AF573" s="93">
        <f t="shared" si="82"/>
        <v>0</v>
      </c>
      <c r="AG573" s="93">
        <f t="shared" si="82"/>
        <v>0</v>
      </c>
      <c r="AH573" s="93">
        <f t="shared" si="82"/>
        <v>0</v>
      </c>
      <c r="AI573" s="92">
        <f t="shared" si="82"/>
        <v>0</v>
      </c>
      <c r="AQ573" s="83" t="str">
        <f t="shared" si="74"/>
        <v>D11θ</v>
      </c>
    </row>
    <row r="576" spans="1:43" x14ac:dyDescent="0.3">
      <c r="B576" s="103" t="s">
        <v>338</v>
      </c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</row>
    <row r="577" spans="2:40" x14ac:dyDescent="0.3">
      <c r="AL577" s="82" t="s">
        <v>339</v>
      </c>
      <c r="AN577" s="82" t="s">
        <v>340</v>
      </c>
    </row>
    <row r="578" spans="2:40" x14ac:dyDescent="0.3">
      <c r="B578" s="93">
        <f>IF($N504="RESTRINGIDO", 1, IF(OR($N504="", $C467=""), 1, B467))</f>
        <v>1</v>
      </c>
      <c r="C578" s="93">
        <f>IF(OR($N504="RESTRINGIDO", $N505="RESTRINGIDO"), 0, C467)</f>
        <v>0</v>
      </c>
      <c r="D578" s="93">
        <f>IF(OR($N504="RESTRINGIDO", $N506="RESTRINGIDO"), 0, D467)</f>
        <v>0</v>
      </c>
      <c r="E578" s="93">
        <f>IF(OR($N504="RESTRINGIDO", $N507="RESTRINGIDO"), 0, E467)</f>
        <v>0</v>
      </c>
      <c r="F578" s="93">
        <f>IF(OR($N504="RESTRINGIDO", $N508="RESTRINGIDO"), 0, F467)</f>
        <v>0</v>
      </c>
      <c r="G578" s="93">
        <f>IF(OR($N504="RESTRINGIDO", $N509="RESTRINGIDO"), 0, G467)</f>
        <v>0</v>
      </c>
      <c r="H578" s="93">
        <f>IF(OR($N504="RESTRINGIDO", $N510="RESTRINGIDO"), 0, H467)</f>
        <v>0</v>
      </c>
      <c r="I578" s="93">
        <f>IF(OR($N504="RESTRINGIDO", $N511="RESTRINGIDO"), 0, I467)</f>
        <v>0</v>
      </c>
      <c r="J578" s="93">
        <f>IF(OR($N504="RESTRINGIDO", $N512="RESTRINGIDO"), 0, J467)</f>
        <v>0</v>
      </c>
      <c r="K578" s="93">
        <f>IF(OR($N504="RESTRINGIDO", $N513="RESTRINGIDO"), 0, K467)</f>
        <v>0</v>
      </c>
      <c r="L578" s="93">
        <f>IF(OR($N504="RESTRINGIDO", $N514="RESTRINGIDO"), 0, L467)</f>
        <v>0</v>
      </c>
      <c r="M578" s="93">
        <f>IF(OR($N504="RESTRINGIDO", $N515="RESTRINGIDO"), 0, M467)</f>
        <v>0</v>
      </c>
      <c r="N578" s="93">
        <f>IF(OR($N504="RESTRINGIDO", $N516="RESTRINGIDO"), 0, N467)</f>
        <v>0</v>
      </c>
      <c r="O578" s="93">
        <f>IF(OR($N504="RESTRINGIDO", $N517="RESTRINGIDO"), 0, O467)</f>
        <v>0</v>
      </c>
      <c r="P578" s="93">
        <f>IF(OR($N504="RESTRINGIDO", $N518="RESTRINGIDO"), 0, P467)</f>
        <v>0</v>
      </c>
      <c r="Q578" s="93">
        <f>IF(OR($N504="RESTRINGIDO", $N519="RESTRINGIDO"), 0, Q467)</f>
        <v>0</v>
      </c>
      <c r="R578" s="93">
        <f>IF(OR($N504="RESTRINGIDO", $N520="RESTRINGIDO"), 0, R467)</f>
        <v>0</v>
      </c>
      <c r="S578" s="93">
        <f>IF(OR($N504="RESTRINGIDO", $N521="RESTRINGIDO"), 0, S467)</f>
        <v>0</v>
      </c>
      <c r="T578" s="93">
        <f>IF(OR($N504="RESTRINGIDO", $N522="RESTRINGIDO"), 0, T467)</f>
        <v>0</v>
      </c>
      <c r="U578" s="93">
        <f>IF(OR($N504="RESTRINGIDO", $N523="RESTRINGIDO"), 0, U467)</f>
        <v>0</v>
      </c>
      <c r="V578" s="93">
        <f>IF(OR($N504="RESTRINGIDO", $N524="RESTRINGIDO"), 0, V467)</f>
        <v>0</v>
      </c>
      <c r="W578" s="93">
        <f>IF(OR($N504="RESTRINGIDO", $N525="RESTRINGIDO"), 0, W467)</f>
        <v>0</v>
      </c>
      <c r="X578" s="93">
        <f>IF(OR($N504="RESTRINGIDO", $N526="RESTRINGIDO"), 0, X467)</f>
        <v>0</v>
      </c>
      <c r="Y578" s="93">
        <f>IF(OR($N504="RESTRINGIDO", $N527="RESTRINGIDO"), 0, Y467)</f>
        <v>0</v>
      </c>
      <c r="Z578" s="93">
        <f>IF(OR($N504="RESTRINGIDO", $N528="RESTRINGIDO"), 0, Z467)</f>
        <v>0</v>
      </c>
      <c r="AA578" s="93">
        <f>IF(OR($N504="RESTRINGIDO", $N529="RESTRINGIDO"), 0, AA467)</f>
        <v>0</v>
      </c>
      <c r="AB578" s="93">
        <f>IF(OR($N504="RESTRINGIDO", $N530="RESTRINGIDO"), 0, AB467)</f>
        <v>0</v>
      </c>
      <c r="AC578" s="93">
        <f>IF(OR($N504="RESTRINGIDO", $N531="RESTRINGIDO"), 0, AC467)</f>
        <v>0</v>
      </c>
      <c r="AD578" s="93">
        <f>IF(OR($N504="RESTRINGIDO", $N532="RESTRINGIDO"), 0, AD467)</f>
        <v>0</v>
      </c>
      <c r="AE578" s="93">
        <f>IF(OR($N504="RESTRINGIDO", $N533="RESTRINGIDO"), 0, AE467)</f>
        <v>0</v>
      </c>
      <c r="AF578" s="93">
        <f>IF(OR($N504="RESTRINGIDO", $N534="RESTRINGIDO"), 0, AF467)</f>
        <v>0</v>
      </c>
      <c r="AG578" s="93">
        <f>IF(OR($N504="RESTRINGIDO", $N535="RESTRINGIDO"), 0, AG467)</f>
        <v>0</v>
      </c>
      <c r="AH578" s="93">
        <f>IF(OR($N504="RESTRINGIDO", $N536="RESTRINGIDO"), 0, AH467)</f>
        <v>0</v>
      </c>
      <c r="AJ578" s="93">
        <f t="shared" ref="AJ578:AJ610" si="83">IF($N504="LIBRE", IF(ISNUMBER(E504), E504, 0), 0)</f>
        <v>0</v>
      </c>
      <c r="AL578" s="104">
        <f t="array" ref="AL578:AL610">MMULT(MINVERSE(B578:AH610), AJ578:AJ610)</f>
        <v>0</v>
      </c>
      <c r="AN578" s="104">
        <f t="array" ref="AN578:AN610">MMULT(B467:AH499, AL578:AL610) - IF(ISNUMBER(E504:E536), E504:E536, 0)</f>
        <v>0</v>
      </c>
    </row>
    <row r="579" spans="2:40" x14ac:dyDescent="0.3">
      <c r="B579" s="93">
        <f>IF(OR($N505="RESTRINGIDO", $N504="RESTRINGIDO"), 0, B468)</f>
        <v>0</v>
      </c>
      <c r="C579" s="93">
        <f>IF($N505="RESTRINGIDO", 1, IF(OR($N505="", $C468=""), 1, C468))</f>
        <v>1</v>
      </c>
      <c r="D579" s="93">
        <f>IF(OR($N505="RESTRINGIDO", $N506="RESTRINGIDO"), 0, D468)</f>
        <v>0</v>
      </c>
      <c r="E579" s="93">
        <f>IF(OR($N505="RESTRINGIDO", $N507="RESTRINGIDO"), 0, E468)</f>
        <v>0</v>
      </c>
      <c r="F579" s="93">
        <f>IF(OR($N505="RESTRINGIDO", $N508="RESTRINGIDO"), 0, F468)</f>
        <v>0</v>
      </c>
      <c r="G579" s="93">
        <f>IF(OR($N505="RESTRINGIDO", $N509="RESTRINGIDO"), 0, G468)</f>
        <v>0</v>
      </c>
      <c r="H579" s="93">
        <f>IF(OR($N505="RESTRINGIDO", $N510="RESTRINGIDO"), 0, H468)</f>
        <v>0</v>
      </c>
      <c r="I579" s="93">
        <f>IF(OR($N505="RESTRINGIDO", $N511="RESTRINGIDO"), 0, I468)</f>
        <v>0</v>
      </c>
      <c r="J579" s="93">
        <f>IF(OR($N505="RESTRINGIDO", $N512="RESTRINGIDO"), 0, J468)</f>
        <v>0</v>
      </c>
      <c r="K579" s="93">
        <f>IF(OR($N505="RESTRINGIDO", $N513="RESTRINGIDO"), 0, K468)</f>
        <v>0</v>
      </c>
      <c r="L579" s="93">
        <f>IF(OR($N505="RESTRINGIDO", $N514="RESTRINGIDO"), 0, L468)</f>
        <v>0</v>
      </c>
      <c r="M579" s="93">
        <f>IF(OR($N505="RESTRINGIDO", $N515="RESTRINGIDO"), 0, M468)</f>
        <v>0</v>
      </c>
      <c r="N579" s="93">
        <f>IF(OR($N505="RESTRINGIDO", $N516="RESTRINGIDO"), 0, N468)</f>
        <v>0</v>
      </c>
      <c r="O579" s="93">
        <f>IF(OR($N505="RESTRINGIDO", $N517="RESTRINGIDO"), 0, O468)</f>
        <v>0</v>
      </c>
      <c r="P579" s="93">
        <f>IF(OR($N505="RESTRINGIDO", $N518="RESTRINGIDO"), 0, P468)</f>
        <v>0</v>
      </c>
      <c r="Q579" s="93">
        <f>IF(OR($N505="RESTRINGIDO", $N519="RESTRINGIDO"), 0, Q468)</f>
        <v>0</v>
      </c>
      <c r="R579" s="93">
        <f>IF(OR($N505="RESTRINGIDO", $N520="RESTRINGIDO"), 0, R468)</f>
        <v>0</v>
      </c>
      <c r="S579" s="93">
        <f>IF(OR($N505="RESTRINGIDO", $N521="RESTRINGIDO"), 0, S468)</f>
        <v>0</v>
      </c>
      <c r="T579" s="93">
        <f>IF(OR($N505="RESTRINGIDO", $N522="RESTRINGIDO"), 0, T468)</f>
        <v>0</v>
      </c>
      <c r="U579" s="93">
        <f>IF(OR($N505="RESTRINGIDO", $N523="RESTRINGIDO"), 0, U468)</f>
        <v>0</v>
      </c>
      <c r="V579" s="93">
        <f>IF(OR($N505="RESTRINGIDO", $N524="RESTRINGIDO"), 0, V468)</f>
        <v>0</v>
      </c>
      <c r="W579" s="93">
        <f>IF(OR($N505="RESTRINGIDO", $N525="RESTRINGIDO"), 0, W468)</f>
        <v>0</v>
      </c>
      <c r="X579" s="93">
        <f>IF(OR($N505="RESTRINGIDO", $N526="RESTRINGIDO"), 0, X468)</f>
        <v>0</v>
      </c>
      <c r="Y579" s="93">
        <f>IF(OR($N505="RESTRINGIDO", $N527="RESTRINGIDO"), 0, Y468)</f>
        <v>0</v>
      </c>
      <c r="Z579" s="93">
        <f>IF(OR($N505="RESTRINGIDO", $N528="RESTRINGIDO"), 0, Z468)</f>
        <v>0</v>
      </c>
      <c r="AA579" s="93">
        <f>IF(OR($N505="RESTRINGIDO", $N529="RESTRINGIDO"), 0, AA468)</f>
        <v>0</v>
      </c>
      <c r="AB579" s="93">
        <f>IF(OR($N505="RESTRINGIDO", $N530="RESTRINGIDO"), 0, AB468)</f>
        <v>0</v>
      </c>
      <c r="AC579" s="93">
        <f>IF(OR($N505="RESTRINGIDO", $N531="RESTRINGIDO"), 0, AC468)</f>
        <v>0</v>
      </c>
      <c r="AD579" s="93">
        <f>IF(OR($N505="RESTRINGIDO", $N532="RESTRINGIDO"), 0, AD468)</f>
        <v>0</v>
      </c>
      <c r="AE579" s="93">
        <f>IF(OR($N505="RESTRINGIDO", $N533="RESTRINGIDO"), 0, AE468)</f>
        <v>0</v>
      </c>
      <c r="AF579" s="93">
        <f>IF(OR($N505="RESTRINGIDO", $N534="RESTRINGIDO"), 0, AF468)</f>
        <v>0</v>
      </c>
      <c r="AG579" s="93">
        <f>IF(OR($N505="RESTRINGIDO", $N535="RESTRINGIDO"), 0, AG468)</f>
        <v>0</v>
      </c>
      <c r="AH579" s="93">
        <f>IF(OR($N505="RESTRINGIDO", $N536="RESTRINGIDO"), 0, AH468)</f>
        <v>0</v>
      </c>
      <c r="AJ579" s="93">
        <f t="shared" si="83"/>
        <v>0</v>
      </c>
      <c r="AL579" s="104">
        <v>0</v>
      </c>
      <c r="AN579" s="104">
        <v>0</v>
      </c>
    </row>
    <row r="580" spans="2:40" x14ac:dyDescent="0.3">
      <c r="B580" s="93">
        <f>IF(OR($N506="RESTRINGIDO", $N504="RESTRINGIDO"), 0, B469)</f>
        <v>0</v>
      </c>
      <c r="C580" s="93">
        <f>IF(OR($N506="RESTRINGIDO", $N505="RESTRINGIDO"), 0, C469)</f>
        <v>0</v>
      </c>
      <c r="D580" s="93">
        <f>IF($N506="RESTRINGIDO", 1, IF(OR($N506="", $C469=""), 1, D469))</f>
        <v>1</v>
      </c>
      <c r="E580" s="93">
        <f>IF(OR($N506="RESTRINGIDO", $N507="RESTRINGIDO"), 0, E469)</f>
        <v>0</v>
      </c>
      <c r="F580" s="93">
        <f>IF(OR($N506="RESTRINGIDO", $N508="RESTRINGIDO"), 0, F469)</f>
        <v>0</v>
      </c>
      <c r="G580" s="93">
        <f>IF(OR($N506="RESTRINGIDO", $N509="RESTRINGIDO"), 0, G469)</f>
        <v>0</v>
      </c>
      <c r="H580" s="93">
        <f>IF(OR($N506="RESTRINGIDO", $N510="RESTRINGIDO"), 0, H469)</f>
        <v>0</v>
      </c>
      <c r="I580" s="93">
        <f>IF(OR($N506="RESTRINGIDO", $N511="RESTRINGIDO"), 0, I469)</f>
        <v>0</v>
      </c>
      <c r="J580" s="93">
        <f>IF(OR($N506="RESTRINGIDO", $N512="RESTRINGIDO"), 0, J469)</f>
        <v>0</v>
      </c>
      <c r="K580" s="93">
        <f>IF(OR($N506="RESTRINGIDO", $N513="RESTRINGIDO"), 0, K469)</f>
        <v>0</v>
      </c>
      <c r="L580" s="93">
        <f>IF(OR($N506="RESTRINGIDO", $N514="RESTRINGIDO"), 0, L469)</f>
        <v>0</v>
      </c>
      <c r="M580" s="93">
        <f>IF(OR($N506="RESTRINGIDO", $N515="RESTRINGIDO"), 0, M469)</f>
        <v>0</v>
      </c>
      <c r="N580" s="93">
        <f>IF(OR($N506="RESTRINGIDO", $N516="RESTRINGIDO"), 0, N469)</f>
        <v>0</v>
      </c>
      <c r="O580" s="93">
        <f>IF(OR($N506="RESTRINGIDO", $N517="RESTRINGIDO"), 0, O469)</f>
        <v>0</v>
      </c>
      <c r="P580" s="93">
        <f>IF(OR($N506="RESTRINGIDO", $N518="RESTRINGIDO"), 0, P469)</f>
        <v>0</v>
      </c>
      <c r="Q580" s="93">
        <f>IF(OR($N506="RESTRINGIDO", $N519="RESTRINGIDO"), 0, Q469)</f>
        <v>0</v>
      </c>
      <c r="R580" s="93">
        <f>IF(OR($N506="RESTRINGIDO", $N520="RESTRINGIDO"), 0, R469)</f>
        <v>0</v>
      </c>
      <c r="S580" s="93">
        <f>IF(OR($N506="RESTRINGIDO", $N521="RESTRINGIDO"), 0, S469)</f>
        <v>0</v>
      </c>
      <c r="T580" s="93">
        <f>IF(OR($N506="RESTRINGIDO", $N522="RESTRINGIDO"), 0, T469)</f>
        <v>0</v>
      </c>
      <c r="U580" s="93">
        <f>IF(OR($N506="RESTRINGIDO", $N523="RESTRINGIDO"), 0, U469)</f>
        <v>0</v>
      </c>
      <c r="V580" s="93">
        <f>IF(OR($N506="RESTRINGIDO", $N524="RESTRINGIDO"), 0, V469)</f>
        <v>0</v>
      </c>
      <c r="W580" s="93">
        <f>IF(OR($N506="RESTRINGIDO", $N525="RESTRINGIDO"), 0, W469)</f>
        <v>0</v>
      </c>
      <c r="X580" s="93">
        <f>IF(OR($N506="RESTRINGIDO", $N526="RESTRINGIDO"), 0, X469)</f>
        <v>0</v>
      </c>
      <c r="Y580" s="93">
        <f>IF(OR($N506="RESTRINGIDO", $N527="RESTRINGIDO"), 0, Y469)</f>
        <v>0</v>
      </c>
      <c r="Z580" s="93">
        <f>IF(OR($N506="RESTRINGIDO", $N528="RESTRINGIDO"), 0, Z469)</f>
        <v>0</v>
      </c>
      <c r="AA580" s="93">
        <f>IF(OR($N506="RESTRINGIDO", $N529="RESTRINGIDO"), 0, AA469)</f>
        <v>0</v>
      </c>
      <c r="AB580" s="93">
        <f>IF(OR($N506="RESTRINGIDO", $N530="RESTRINGIDO"), 0, AB469)</f>
        <v>0</v>
      </c>
      <c r="AC580" s="93">
        <f>IF(OR($N506="RESTRINGIDO", $N531="RESTRINGIDO"), 0, AC469)</f>
        <v>0</v>
      </c>
      <c r="AD580" s="93">
        <f>IF(OR($N506="RESTRINGIDO", $N532="RESTRINGIDO"), 0, AD469)</f>
        <v>0</v>
      </c>
      <c r="AE580" s="93">
        <f>IF(OR($N506="RESTRINGIDO", $N533="RESTRINGIDO"), 0, AE469)</f>
        <v>0</v>
      </c>
      <c r="AF580" s="93">
        <f>IF(OR($N506="RESTRINGIDO", $N534="RESTRINGIDO"), 0, AF469)</f>
        <v>0</v>
      </c>
      <c r="AG580" s="93">
        <f>IF(OR($N506="RESTRINGIDO", $N535="RESTRINGIDO"), 0, AG469)</f>
        <v>0</v>
      </c>
      <c r="AH580" s="93">
        <f>IF(OR($N506="RESTRINGIDO", $N536="RESTRINGIDO"), 0, AH469)</f>
        <v>0</v>
      </c>
      <c r="AJ580" s="93">
        <f t="shared" si="83"/>
        <v>0</v>
      </c>
      <c r="AL580" s="104">
        <v>0</v>
      </c>
      <c r="AN580" s="104">
        <v>0</v>
      </c>
    </row>
    <row r="581" spans="2:40" x14ac:dyDescent="0.3">
      <c r="B581" s="93">
        <f>IF(OR($N507="RESTRINGIDO", $N504="RESTRINGIDO"), 0, B470)</f>
        <v>0</v>
      </c>
      <c r="C581" s="93">
        <f>IF(OR($N507="RESTRINGIDO", $N505="RESTRINGIDO"), 0, C470)</f>
        <v>0</v>
      </c>
      <c r="D581" s="93">
        <f>IF(OR($N507="RESTRINGIDO", $N506="RESTRINGIDO"), 0, D470)</f>
        <v>0</v>
      </c>
      <c r="E581" s="93">
        <f>IF($N507="RESTRINGIDO", 1, IF(OR($N507="", $C470=""), 1, E470))</f>
        <v>1</v>
      </c>
      <c r="F581" s="93">
        <f>IF(OR($N507="RESTRINGIDO", $N508="RESTRINGIDO"), 0, F470)</f>
        <v>0</v>
      </c>
      <c r="G581" s="93">
        <f>IF(OR($N507="RESTRINGIDO", $N509="RESTRINGIDO"), 0, G470)</f>
        <v>0</v>
      </c>
      <c r="H581" s="93">
        <f>IF(OR($N507="RESTRINGIDO", $N510="RESTRINGIDO"), 0, H470)</f>
        <v>0</v>
      </c>
      <c r="I581" s="93">
        <f>IF(OR($N507="RESTRINGIDO", $N511="RESTRINGIDO"), 0, I470)</f>
        <v>0</v>
      </c>
      <c r="J581" s="93">
        <f>IF(OR($N507="RESTRINGIDO", $N512="RESTRINGIDO"), 0, J470)</f>
        <v>0</v>
      </c>
      <c r="K581" s="93">
        <f>IF(OR($N507="RESTRINGIDO", $N513="RESTRINGIDO"), 0, K470)</f>
        <v>0</v>
      </c>
      <c r="L581" s="93">
        <f>IF(OR($N507="RESTRINGIDO", $N514="RESTRINGIDO"), 0, L470)</f>
        <v>0</v>
      </c>
      <c r="M581" s="93">
        <f>IF(OR($N507="RESTRINGIDO", $N515="RESTRINGIDO"), 0, M470)</f>
        <v>0</v>
      </c>
      <c r="N581" s="93">
        <f>IF(OR($N507="RESTRINGIDO", $N516="RESTRINGIDO"), 0, N470)</f>
        <v>0</v>
      </c>
      <c r="O581" s="93">
        <f>IF(OR($N507="RESTRINGIDO", $N517="RESTRINGIDO"), 0, O470)</f>
        <v>0</v>
      </c>
      <c r="P581" s="93">
        <f>IF(OR($N507="RESTRINGIDO", $N518="RESTRINGIDO"), 0, P470)</f>
        <v>0</v>
      </c>
      <c r="Q581" s="93">
        <f>IF(OR($N507="RESTRINGIDO", $N519="RESTRINGIDO"), 0, Q470)</f>
        <v>0</v>
      </c>
      <c r="R581" s="93">
        <f>IF(OR($N507="RESTRINGIDO", $N520="RESTRINGIDO"), 0, R470)</f>
        <v>0</v>
      </c>
      <c r="S581" s="93">
        <f>IF(OR($N507="RESTRINGIDO", $N521="RESTRINGIDO"), 0, S470)</f>
        <v>0</v>
      </c>
      <c r="T581" s="93">
        <f>IF(OR($N507="RESTRINGIDO", $N522="RESTRINGIDO"), 0, T470)</f>
        <v>0</v>
      </c>
      <c r="U581" s="93">
        <f>IF(OR($N507="RESTRINGIDO", $N523="RESTRINGIDO"), 0, U470)</f>
        <v>0</v>
      </c>
      <c r="V581" s="93">
        <f>IF(OR($N507="RESTRINGIDO", $N524="RESTRINGIDO"), 0, V470)</f>
        <v>0</v>
      </c>
      <c r="W581" s="93">
        <f>IF(OR($N507="RESTRINGIDO", $N525="RESTRINGIDO"), 0, W470)</f>
        <v>0</v>
      </c>
      <c r="X581" s="93">
        <f>IF(OR($N507="RESTRINGIDO", $N526="RESTRINGIDO"), 0, X470)</f>
        <v>0</v>
      </c>
      <c r="Y581" s="93">
        <f>IF(OR($N507="RESTRINGIDO", $N527="RESTRINGIDO"), 0, Y470)</f>
        <v>0</v>
      </c>
      <c r="Z581" s="93">
        <f>IF(OR($N507="RESTRINGIDO", $N528="RESTRINGIDO"), 0, Z470)</f>
        <v>0</v>
      </c>
      <c r="AA581" s="93">
        <f>IF(OR($N507="RESTRINGIDO", $N529="RESTRINGIDO"), 0, AA470)</f>
        <v>0</v>
      </c>
      <c r="AB581" s="93">
        <f>IF(OR($N507="RESTRINGIDO", $N530="RESTRINGIDO"), 0, AB470)</f>
        <v>0</v>
      </c>
      <c r="AC581" s="93">
        <f>IF(OR($N507="RESTRINGIDO", $N531="RESTRINGIDO"), 0, AC470)</f>
        <v>0</v>
      </c>
      <c r="AD581" s="93">
        <f>IF(OR($N507="RESTRINGIDO", $N532="RESTRINGIDO"), 0, AD470)</f>
        <v>0</v>
      </c>
      <c r="AE581" s="93">
        <f>IF(OR($N507="RESTRINGIDO", $N533="RESTRINGIDO"), 0, AE470)</f>
        <v>0</v>
      </c>
      <c r="AF581" s="93">
        <f>IF(OR($N507="RESTRINGIDO", $N534="RESTRINGIDO"), 0, AF470)</f>
        <v>0</v>
      </c>
      <c r="AG581" s="93">
        <f>IF(OR($N507="RESTRINGIDO", $N535="RESTRINGIDO"), 0, AG470)</f>
        <v>0</v>
      </c>
      <c r="AH581" s="93">
        <f>IF(OR($N507="RESTRINGIDO", $N536="RESTRINGIDO"), 0, AH470)</f>
        <v>0</v>
      </c>
      <c r="AJ581" s="93">
        <f t="shared" si="83"/>
        <v>0</v>
      </c>
      <c r="AL581" s="104">
        <v>0</v>
      </c>
      <c r="AN581" s="104">
        <v>0</v>
      </c>
    </row>
    <row r="582" spans="2:40" x14ac:dyDescent="0.3">
      <c r="B582" s="93">
        <f>IF(OR($N508="RESTRINGIDO", $N504="RESTRINGIDO"), 0, B471)</f>
        <v>0</v>
      </c>
      <c r="C582" s="93">
        <f>IF(OR($N508="RESTRINGIDO", $N505="RESTRINGIDO"), 0, C471)</f>
        <v>0</v>
      </c>
      <c r="D582" s="93">
        <f>IF(OR($N508="RESTRINGIDO", $N506="RESTRINGIDO"), 0, D471)</f>
        <v>0</v>
      </c>
      <c r="E582" s="93">
        <f>IF(OR($N508="RESTRINGIDO", $N507="RESTRINGIDO"), 0, E471)</f>
        <v>0</v>
      </c>
      <c r="F582" s="93">
        <f>IF($N508="RESTRINGIDO", 1, IF(OR($N508="", $C471=""), 1, F471))</f>
        <v>1</v>
      </c>
      <c r="G582" s="93">
        <f>IF(OR($N508="RESTRINGIDO", $N509="RESTRINGIDO"), 0, G471)</f>
        <v>0</v>
      </c>
      <c r="H582" s="93">
        <f>IF(OR($N508="RESTRINGIDO", $N510="RESTRINGIDO"), 0, H471)</f>
        <v>0</v>
      </c>
      <c r="I582" s="93">
        <f>IF(OR($N508="RESTRINGIDO", $N511="RESTRINGIDO"), 0, I471)</f>
        <v>0</v>
      </c>
      <c r="J582" s="93">
        <f>IF(OR($N508="RESTRINGIDO", $N512="RESTRINGIDO"), 0, J471)</f>
        <v>0</v>
      </c>
      <c r="K582" s="93">
        <f>IF(OR($N508="RESTRINGIDO", $N513="RESTRINGIDO"), 0, K471)</f>
        <v>0</v>
      </c>
      <c r="L582" s="93">
        <f>IF(OR($N508="RESTRINGIDO", $N514="RESTRINGIDO"), 0, L471)</f>
        <v>0</v>
      </c>
      <c r="M582" s="93">
        <f>IF(OR($N508="RESTRINGIDO", $N515="RESTRINGIDO"), 0, M471)</f>
        <v>0</v>
      </c>
      <c r="N582" s="93">
        <f>IF(OR($N508="RESTRINGIDO", $N516="RESTRINGIDO"), 0, N471)</f>
        <v>0</v>
      </c>
      <c r="O582" s="93">
        <f>IF(OR($N508="RESTRINGIDO", $N517="RESTRINGIDO"), 0, O471)</f>
        <v>0</v>
      </c>
      <c r="P582" s="93">
        <f>IF(OR($N508="RESTRINGIDO", $N518="RESTRINGIDO"), 0, P471)</f>
        <v>0</v>
      </c>
      <c r="Q582" s="93">
        <f>IF(OR($N508="RESTRINGIDO", $N519="RESTRINGIDO"), 0, Q471)</f>
        <v>0</v>
      </c>
      <c r="R582" s="93">
        <f>IF(OR($N508="RESTRINGIDO", $N520="RESTRINGIDO"), 0, R471)</f>
        <v>0</v>
      </c>
      <c r="S582" s="93">
        <f>IF(OR($N508="RESTRINGIDO", $N521="RESTRINGIDO"), 0, S471)</f>
        <v>0</v>
      </c>
      <c r="T582" s="93">
        <f>IF(OR($N508="RESTRINGIDO", $N522="RESTRINGIDO"), 0, T471)</f>
        <v>0</v>
      </c>
      <c r="U582" s="93">
        <f>IF(OR($N508="RESTRINGIDO", $N523="RESTRINGIDO"), 0, U471)</f>
        <v>0</v>
      </c>
      <c r="V582" s="93">
        <f>IF(OR($N508="RESTRINGIDO", $N524="RESTRINGIDO"), 0, V471)</f>
        <v>0</v>
      </c>
      <c r="W582" s="93">
        <f>IF(OR($N508="RESTRINGIDO", $N525="RESTRINGIDO"), 0, W471)</f>
        <v>0</v>
      </c>
      <c r="X582" s="93">
        <f>IF(OR($N508="RESTRINGIDO", $N526="RESTRINGIDO"), 0, X471)</f>
        <v>0</v>
      </c>
      <c r="Y582" s="93">
        <f>IF(OR($N508="RESTRINGIDO", $N527="RESTRINGIDO"), 0, Y471)</f>
        <v>0</v>
      </c>
      <c r="Z582" s="93">
        <f>IF(OR($N508="RESTRINGIDO", $N528="RESTRINGIDO"), 0, Z471)</f>
        <v>0</v>
      </c>
      <c r="AA582" s="93">
        <f>IF(OR($N508="RESTRINGIDO", $N529="RESTRINGIDO"), 0, AA471)</f>
        <v>0</v>
      </c>
      <c r="AB582" s="93">
        <f>IF(OR($N508="RESTRINGIDO", $N530="RESTRINGIDO"), 0, AB471)</f>
        <v>0</v>
      </c>
      <c r="AC582" s="93">
        <f>IF(OR($N508="RESTRINGIDO", $N531="RESTRINGIDO"), 0, AC471)</f>
        <v>0</v>
      </c>
      <c r="AD582" s="93">
        <f>IF(OR($N508="RESTRINGIDO", $N532="RESTRINGIDO"), 0, AD471)</f>
        <v>0</v>
      </c>
      <c r="AE582" s="93">
        <f>IF(OR($N508="RESTRINGIDO", $N533="RESTRINGIDO"), 0, AE471)</f>
        <v>0</v>
      </c>
      <c r="AF582" s="93">
        <f>IF(OR($N508="RESTRINGIDO", $N534="RESTRINGIDO"), 0, AF471)</f>
        <v>0</v>
      </c>
      <c r="AG582" s="93">
        <f>IF(OR($N508="RESTRINGIDO", $N535="RESTRINGIDO"), 0, AG471)</f>
        <v>0</v>
      </c>
      <c r="AH582" s="93">
        <f>IF(OR($N508="RESTRINGIDO", $N536="RESTRINGIDO"), 0, AH471)</f>
        <v>0</v>
      </c>
      <c r="AJ582" s="93">
        <f t="shared" si="83"/>
        <v>0</v>
      </c>
      <c r="AL582" s="104">
        <v>0</v>
      </c>
      <c r="AN582" s="104">
        <v>0</v>
      </c>
    </row>
    <row r="583" spans="2:40" x14ac:dyDescent="0.3">
      <c r="B583" s="93">
        <f>IF(OR($N509="RESTRINGIDO", $N504="RESTRINGIDO"), 0, B472)</f>
        <v>0</v>
      </c>
      <c r="C583" s="93">
        <f>IF(OR($N509="RESTRINGIDO", $N505="RESTRINGIDO"), 0, C472)</f>
        <v>0</v>
      </c>
      <c r="D583" s="93">
        <f>IF(OR($N509="RESTRINGIDO", $N506="RESTRINGIDO"), 0, D472)</f>
        <v>0</v>
      </c>
      <c r="E583" s="93">
        <f>IF(OR($N509="RESTRINGIDO", $N507="RESTRINGIDO"), 0, E472)</f>
        <v>0</v>
      </c>
      <c r="F583" s="93">
        <f>IF(OR($N509="RESTRINGIDO", $N508="RESTRINGIDO"), 0, F472)</f>
        <v>0</v>
      </c>
      <c r="G583" s="93">
        <f>IF($N509="RESTRINGIDO", 1, IF(OR($N509="", $C472=""), 1, G472))</f>
        <v>1</v>
      </c>
      <c r="H583" s="93">
        <f>IF(OR($N509="RESTRINGIDO", $N510="RESTRINGIDO"), 0, H472)</f>
        <v>0</v>
      </c>
      <c r="I583" s="93">
        <f>IF(OR($N509="RESTRINGIDO", $N511="RESTRINGIDO"), 0, I472)</f>
        <v>0</v>
      </c>
      <c r="J583" s="93">
        <f>IF(OR($N509="RESTRINGIDO", $N512="RESTRINGIDO"), 0, J472)</f>
        <v>0</v>
      </c>
      <c r="K583" s="93">
        <f>IF(OR($N509="RESTRINGIDO", $N513="RESTRINGIDO"), 0, K472)</f>
        <v>0</v>
      </c>
      <c r="L583" s="93">
        <f>IF(OR($N509="RESTRINGIDO", $N514="RESTRINGIDO"), 0, L472)</f>
        <v>0</v>
      </c>
      <c r="M583" s="93">
        <f>IF(OR($N509="RESTRINGIDO", $N515="RESTRINGIDO"), 0, M472)</f>
        <v>0</v>
      </c>
      <c r="N583" s="93">
        <f>IF(OR($N509="RESTRINGIDO", $N516="RESTRINGIDO"), 0, N472)</f>
        <v>0</v>
      </c>
      <c r="O583" s="93">
        <f>IF(OR($N509="RESTRINGIDO", $N517="RESTRINGIDO"), 0, O472)</f>
        <v>0</v>
      </c>
      <c r="P583" s="93">
        <f>IF(OR($N509="RESTRINGIDO", $N518="RESTRINGIDO"), 0, P472)</f>
        <v>0</v>
      </c>
      <c r="Q583" s="93">
        <f>IF(OR($N509="RESTRINGIDO", $N519="RESTRINGIDO"), 0, Q472)</f>
        <v>0</v>
      </c>
      <c r="R583" s="93">
        <f>IF(OR($N509="RESTRINGIDO", $N520="RESTRINGIDO"), 0, R472)</f>
        <v>0</v>
      </c>
      <c r="S583" s="93">
        <f>IF(OR($N509="RESTRINGIDO", $N521="RESTRINGIDO"), 0, S472)</f>
        <v>0</v>
      </c>
      <c r="T583" s="93">
        <f>IF(OR($N509="RESTRINGIDO", $N522="RESTRINGIDO"), 0, T472)</f>
        <v>0</v>
      </c>
      <c r="U583" s="93">
        <f>IF(OR($N509="RESTRINGIDO", $N523="RESTRINGIDO"), 0, U472)</f>
        <v>0</v>
      </c>
      <c r="V583" s="93">
        <f>IF(OR($N509="RESTRINGIDO", $N524="RESTRINGIDO"), 0, V472)</f>
        <v>0</v>
      </c>
      <c r="W583" s="93">
        <f>IF(OR($N509="RESTRINGIDO", $N525="RESTRINGIDO"), 0, W472)</f>
        <v>0</v>
      </c>
      <c r="X583" s="93">
        <f>IF(OR($N509="RESTRINGIDO", $N526="RESTRINGIDO"), 0, X472)</f>
        <v>0</v>
      </c>
      <c r="Y583" s="93">
        <f>IF(OR($N509="RESTRINGIDO", $N527="RESTRINGIDO"), 0, Y472)</f>
        <v>0</v>
      </c>
      <c r="Z583" s="93">
        <f>IF(OR($N509="RESTRINGIDO", $N528="RESTRINGIDO"), 0, Z472)</f>
        <v>0</v>
      </c>
      <c r="AA583" s="93">
        <f>IF(OR($N509="RESTRINGIDO", $N529="RESTRINGIDO"), 0, AA472)</f>
        <v>0</v>
      </c>
      <c r="AB583" s="93">
        <f>IF(OR($N509="RESTRINGIDO", $N530="RESTRINGIDO"), 0, AB472)</f>
        <v>0</v>
      </c>
      <c r="AC583" s="93">
        <f>IF(OR($N509="RESTRINGIDO", $N531="RESTRINGIDO"), 0, AC472)</f>
        <v>0</v>
      </c>
      <c r="AD583" s="93">
        <f>IF(OR($N509="RESTRINGIDO", $N532="RESTRINGIDO"), 0, AD472)</f>
        <v>0</v>
      </c>
      <c r="AE583" s="93">
        <f>IF(OR($N509="RESTRINGIDO", $N533="RESTRINGIDO"), 0, AE472)</f>
        <v>0</v>
      </c>
      <c r="AF583" s="93">
        <f>IF(OR($N509="RESTRINGIDO", $N534="RESTRINGIDO"), 0, AF472)</f>
        <v>0</v>
      </c>
      <c r="AG583" s="93">
        <f>IF(OR($N509="RESTRINGIDO", $N535="RESTRINGIDO"), 0, AG472)</f>
        <v>0</v>
      </c>
      <c r="AH583" s="93">
        <f>IF(OR($N509="RESTRINGIDO", $N536="RESTRINGIDO"), 0, AH472)</f>
        <v>0</v>
      </c>
      <c r="AJ583" s="93">
        <f t="shared" si="83"/>
        <v>0</v>
      </c>
      <c r="AL583" s="104">
        <v>0</v>
      </c>
      <c r="AN583" s="104">
        <v>0</v>
      </c>
    </row>
    <row r="584" spans="2:40" x14ac:dyDescent="0.3">
      <c r="B584" s="93">
        <f>IF(OR($N510="RESTRINGIDO", $N504="RESTRINGIDO"), 0, B473)</f>
        <v>0</v>
      </c>
      <c r="C584" s="93">
        <f>IF(OR($N510="RESTRINGIDO", $N505="RESTRINGIDO"), 0, C473)</f>
        <v>0</v>
      </c>
      <c r="D584" s="93">
        <f>IF(OR($N510="RESTRINGIDO", $N506="RESTRINGIDO"), 0, D473)</f>
        <v>0</v>
      </c>
      <c r="E584" s="93">
        <f>IF(OR($N510="RESTRINGIDO", $N507="RESTRINGIDO"), 0, E473)</f>
        <v>0</v>
      </c>
      <c r="F584" s="93">
        <f>IF(OR($N510="RESTRINGIDO", $N508="RESTRINGIDO"), 0, F473)</f>
        <v>0</v>
      </c>
      <c r="G584" s="93">
        <f>IF(OR($N510="RESTRINGIDO", $N509="RESTRINGIDO"), 0, G473)</f>
        <v>0</v>
      </c>
      <c r="H584" s="93">
        <f>IF($N510="RESTRINGIDO", 1, IF(OR($N510="", $C473=""), 1, H473))</f>
        <v>1</v>
      </c>
      <c r="I584" s="93">
        <f>IF(OR($N510="RESTRINGIDO", $N511="RESTRINGIDO"), 0, I473)</f>
        <v>0</v>
      </c>
      <c r="J584" s="93">
        <f>IF(OR($N510="RESTRINGIDO", $N512="RESTRINGIDO"), 0, J473)</f>
        <v>0</v>
      </c>
      <c r="K584" s="93">
        <f>IF(OR($N510="RESTRINGIDO", $N513="RESTRINGIDO"), 0, K473)</f>
        <v>0</v>
      </c>
      <c r="L584" s="93">
        <f>IF(OR($N510="RESTRINGIDO", $N514="RESTRINGIDO"), 0, L473)</f>
        <v>0</v>
      </c>
      <c r="M584" s="93">
        <f>IF(OR($N510="RESTRINGIDO", $N515="RESTRINGIDO"), 0, M473)</f>
        <v>0</v>
      </c>
      <c r="N584" s="93">
        <f>IF(OR($N510="RESTRINGIDO", $N516="RESTRINGIDO"), 0, N473)</f>
        <v>0</v>
      </c>
      <c r="O584" s="93">
        <f>IF(OR($N510="RESTRINGIDO", $N517="RESTRINGIDO"), 0, O473)</f>
        <v>0</v>
      </c>
      <c r="P584" s="93">
        <f>IF(OR($N510="RESTRINGIDO", $N518="RESTRINGIDO"), 0, P473)</f>
        <v>0</v>
      </c>
      <c r="Q584" s="93">
        <f>IF(OR($N510="RESTRINGIDO", $N519="RESTRINGIDO"), 0, Q473)</f>
        <v>0</v>
      </c>
      <c r="R584" s="93">
        <f>IF(OR($N510="RESTRINGIDO", $N520="RESTRINGIDO"), 0, R473)</f>
        <v>0</v>
      </c>
      <c r="S584" s="93">
        <f>IF(OR($N510="RESTRINGIDO", $N521="RESTRINGIDO"), 0, S473)</f>
        <v>0</v>
      </c>
      <c r="T584" s="93">
        <f>IF(OR($N510="RESTRINGIDO", $N522="RESTRINGIDO"), 0, T473)</f>
        <v>0</v>
      </c>
      <c r="U584" s="93">
        <f>IF(OR($N510="RESTRINGIDO", $N523="RESTRINGIDO"), 0, U473)</f>
        <v>0</v>
      </c>
      <c r="V584" s="93">
        <f>IF(OR($N510="RESTRINGIDO", $N524="RESTRINGIDO"), 0, V473)</f>
        <v>0</v>
      </c>
      <c r="W584" s="93">
        <f>IF(OR($N510="RESTRINGIDO", $N525="RESTRINGIDO"), 0, W473)</f>
        <v>0</v>
      </c>
      <c r="X584" s="93">
        <f>IF(OR($N510="RESTRINGIDO", $N526="RESTRINGIDO"), 0, X473)</f>
        <v>0</v>
      </c>
      <c r="Y584" s="93">
        <f>IF(OR($N510="RESTRINGIDO", $N527="RESTRINGIDO"), 0, Y473)</f>
        <v>0</v>
      </c>
      <c r="Z584" s="93">
        <f>IF(OR($N510="RESTRINGIDO", $N528="RESTRINGIDO"), 0, Z473)</f>
        <v>0</v>
      </c>
      <c r="AA584" s="93">
        <f>IF(OR($N510="RESTRINGIDO", $N529="RESTRINGIDO"), 0, AA473)</f>
        <v>0</v>
      </c>
      <c r="AB584" s="93">
        <f>IF(OR($N510="RESTRINGIDO", $N530="RESTRINGIDO"), 0, AB473)</f>
        <v>0</v>
      </c>
      <c r="AC584" s="93">
        <f>IF(OR($N510="RESTRINGIDO", $N531="RESTRINGIDO"), 0, AC473)</f>
        <v>0</v>
      </c>
      <c r="AD584" s="93">
        <f>IF(OR($N510="RESTRINGIDO", $N532="RESTRINGIDO"), 0, AD473)</f>
        <v>0</v>
      </c>
      <c r="AE584" s="93">
        <f>IF(OR($N510="RESTRINGIDO", $N533="RESTRINGIDO"), 0, AE473)</f>
        <v>0</v>
      </c>
      <c r="AF584" s="93">
        <f>IF(OR($N510="RESTRINGIDO", $N534="RESTRINGIDO"), 0, AF473)</f>
        <v>0</v>
      </c>
      <c r="AG584" s="93">
        <f>IF(OR($N510="RESTRINGIDO", $N535="RESTRINGIDO"), 0, AG473)</f>
        <v>0</v>
      </c>
      <c r="AH584" s="93">
        <f>IF(OR($N510="RESTRINGIDO", $N536="RESTRINGIDO"), 0, AH473)</f>
        <v>0</v>
      </c>
      <c r="AJ584" s="93">
        <f t="shared" si="83"/>
        <v>0</v>
      </c>
      <c r="AL584" s="104">
        <v>0</v>
      </c>
      <c r="AN584" s="104">
        <v>0</v>
      </c>
    </row>
    <row r="585" spans="2:40" x14ac:dyDescent="0.3">
      <c r="B585" s="93">
        <f>IF(OR($N511="RESTRINGIDO", $N504="RESTRINGIDO"), 0, B474)</f>
        <v>0</v>
      </c>
      <c r="C585" s="93">
        <f>IF(OR($N511="RESTRINGIDO", $N505="RESTRINGIDO"), 0, C474)</f>
        <v>0</v>
      </c>
      <c r="D585" s="93">
        <f>IF(OR($N511="RESTRINGIDO", $N506="RESTRINGIDO"), 0, D474)</f>
        <v>0</v>
      </c>
      <c r="E585" s="93">
        <f>IF(OR($N511="RESTRINGIDO", $N507="RESTRINGIDO"), 0, E474)</f>
        <v>0</v>
      </c>
      <c r="F585" s="93">
        <f>IF(OR($N511="RESTRINGIDO", $N508="RESTRINGIDO"), 0, F474)</f>
        <v>0</v>
      </c>
      <c r="G585" s="93">
        <f>IF(OR($N511="RESTRINGIDO", $N509="RESTRINGIDO"), 0, G474)</f>
        <v>0</v>
      </c>
      <c r="H585" s="93">
        <f>IF(OR($N511="RESTRINGIDO", $N510="RESTRINGIDO"), 0, H474)</f>
        <v>0</v>
      </c>
      <c r="I585" s="93">
        <f>IF($N511="RESTRINGIDO", 1, IF(OR($N511="", $C474=""), 1, I474))</f>
        <v>1</v>
      </c>
      <c r="J585" s="93">
        <f>IF(OR($N511="RESTRINGIDO", $N512="RESTRINGIDO"), 0, J474)</f>
        <v>0</v>
      </c>
      <c r="K585" s="93">
        <f>IF(OR($N511="RESTRINGIDO", $N513="RESTRINGIDO"), 0, K474)</f>
        <v>0</v>
      </c>
      <c r="L585" s="93">
        <f>IF(OR($N511="RESTRINGIDO", $N514="RESTRINGIDO"), 0, L474)</f>
        <v>0</v>
      </c>
      <c r="M585" s="93">
        <f>IF(OR($N511="RESTRINGIDO", $N515="RESTRINGIDO"), 0, M474)</f>
        <v>0</v>
      </c>
      <c r="N585" s="93">
        <f>IF(OR($N511="RESTRINGIDO", $N516="RESTRINGIDO"), 0, N474)</f>
        <v>0</v>
      </c>
      <c r="O585" s="93">
        <f>IF(OR($N511="RESTRINGIDO", $N517="RESTRINGIDO"), 0, O474)</f>
        <v>0</v>
      </c>
      <c r="P585" s="93">
        <f>IF(OR($N511="RESTRINGIDO", $N518="RESTRINGIDO"), 0, P474)</f>
        <v>0</v>
      </c>
      <c r="Q585" s="93">
        <f>IF(OR($N511="RESTRINGIDO", $N519="RESTRINGIDO"), 0, Q474)</f>
        <v>0</v>
      </c>
      <c r="R585" s="93">
        <f>IF(OR($N511="RESTRINGIDO", $N520="RESTRINGIDO"), 0, R474)</f>
        <v>0</v>
      </c>
      <c r="S585" s="93">
        <f>IF(OR($N511="RESTRINGIDO", $N521="RESTRINGIDO"), 0, S474)</f>
        <v>0</v>
      </c>
      <c r="T585" s="93">
        <f>IF(OR($N511="RESTRINGIDO", $N522="RESTRINGIDO"), 0, T474)</f>
        <v>0</v>
      </c>
      <c r="U585" s="93">
        <f>IF(OR($N511="RESTRINGIDO", $N523="RESTRINGIDO"), 0, U474)</f>
        <v>0</v>
      </c>
      <c r="V585" s="93">
        <f>IF(OR($N511="RESTRINGIDO", $N524="RESTRINGIDO"), 0, V474)</f>
        <v>0</v>
      </c>
      <c r="W585" s="93">
        <f>IF(OR($N511="RESTRINGIDO", $N525="RESTRINGIDO"), 0, W474)</f>
        <v>0</v>
      </c>
      <c r="X585" s="93">
        <f>IF(OR($N511="RESTRINGIDO", $N526="RESTRINGIDO"), 0, X474)</f>
        <v>0</v>
      </c>
      <c r="Y585" s="93">
        <f>IF(OR($N511="RESTRINGIDO", $N527="RESTRINGIDO"), 0, Y474)</f>
        <v>0</v>
      </c>
      <c r="Z585" s="93">
        <f>IF(OR($N511="RESTRINGIDO", $N528="RESTRINGIDO"), 0, Z474)</f>
        <v>0</v>
      </c>
      <c r="AA585" s="93">
        <f>IF(OR($N511="RESTRINGIDO", $N529="RESTRINGIDO"), 0, AA474)</f>
        <v>0</v>
      </c>
      <c r="AB585" s="93">
        <f>IF(OR($N511="RESTRINGIDO", $N530="RESTRINGIDO"), 0, AB474)</f>
        <v>0</v>
      </c>
      <c r="AC585" s="93">
        <f>IF(OR($N511="RESTRINGIDO", $N531="RESTRINGIDO"), 0, AC474)</f>
        <v>0</v>
      </c>
      <c r="AD585" s="93">
        <f>IF(OR($N511="RESTRINGIDO", $N532="RESTRINGIDO"), 0, AD474)</f>
        <v>0</v>
      </c>
      <c r="AE585" s="93">
        <f>IF(OR($N511="RESTRINGIDO", $N533="RESTRINGIDO"), 0, AE474)</f>
        <v>0</v>
      </c>
      <c r="AF585" s="93">
        <f>IF(OR($N511="RESTRINGIDO", $N534="RESTRINGIDO"), 0, AF474)</f>
        <v>0</v>
      </c>
      <c r="AG585" s="93">
        <f>IF(OR($N511="RESTRINGIDO", $N535="RESTRINGIDO"), 0, AG474)</f>
        <v>0</v>
      </c>
      <c r="AH585" s="93">
        <f>IF(OR($N511="RESTRINGIDO", $N536="RESTRINGIDO"), 0, AH474)</f>
        <v>0</v>
      </c>
      <c r="AJ585" s="93">
        <f t="shared" si="83"/>
        <v>0</v>
      </c>
      <c r="AL585" s="104">
        <v>0</v>
      </c>
      <c r="AN585" s="104">
        <v>0</v>
      </c>
    </row>
    <row r="586" spans="2:40" x14ac:dyDescent="0.3">
      <c r="B586" s="93">
        <f>IF(OR($N512="RESTRINGIDO", $N504="RESTRINGIDO"), 0, B475)</f>
        <v>0</v>
      </c>
      <c r="C586" s="93">
        <f>IF(OR($N512="RESTRINGIDO", $N505="RESTRINGIDO"), 0, C475)</f>
        <v>0</v>
      </c>
      <c r="D586" s="93">
        <f>IF(OR($N512="RESTRINGIDO", $N506="RESTRINGIDO"), 0, D475)</f>
        <v>0</v>
      </c>
      <c r="E586" s="93">
        <f>IF(OR($N512="RESTRINGIDO", $N507="RESTRINGIDO"), 0, E475)</f>
        <v>0</v>
      </c>
      <c r="F586" s="93">
        <f>IF(OR($N512="RESTRINGIDO", $N508="RESTRINGIDO"), 0, F475)</f>
        <v>0</v>
      </c>
      <c r="G586" s="93">
        <f>IF(OR($N512="RESTRINGIDO", $N509="RESTRINGIDO"), 0, G475)</f>
        <v>0</v>
      </c>
      <c r="H586" s="93">
        <f>IF(OR($N512="RESTRINGIDO", $N510="RESTRINGIDO"), 0, H475)</f>
        <v>0</v>
      </c>
      <c r="I586" s="93">
        <f>IF(OR($N512="RESTRINGIDO", $N511="RESTRINGIDO"), 0, I475)</f>
        <v>0</v>
      </c>
      <c r="J586" s="93">
        <f>IF($N512="RESTRINGIDO", 1, IF(OR($N512="", $C475=""), 1, J475))</f>
        <v>1</v>
      </c>
      <c r="K586" s="93">
        <f>IF(OR($N512="RESTRINGIDO", $N513="RESTRINGIDO"), 0, K475)</f>
        <v>0</v>
      </c>
      <c r="L586" s="93">
        <f>IF(OR($N512="RESTRINGIDO", $N514="RESTRINGIDO"), 0, L475)</f>
        <v>0</v>
      </c>
      <c r="M586" s="93">
        <f>IF(OR($N512="RESTRINGIDO", $N515="RESTRINGIDO"), 0, M475)</f>
        <v>0</v>
      </c>
      <c r="N586" s="93">
        <f>IF(OR($N512="RESTRINGIDO", $N516="RESTRINGIDO"), 0, N475)</f>
        <v>0</v>
      </c>
      <c r="O586" s="93">
        <f>IF(OR($N512="RESTRINGIDO", $N517="RESTRINGIDO"), 0, O475)</f>
        <v>0</v>
      </c>
      <c r="P586" s="93">
        <f>IF(OR($N512="RESTRINGIDO", $N518="RESTRINGIDO"), 0, P475)</f>
        <v>0</v>
      </c>
      <c r="Q586" s="93">
        <f>IF(OR($N512="RESTRINGIDO", $N519="RESTRINGIDO"), 0, Q475)</f>
        <v>0</v>
      </c>
      <c r="R586" s="93">
        <f>IF(OR($N512="RESTRINGIDO", $N520="RESTRINGIDO"), 0, R475)</f>
        <v>0</v>
      </c>
      <c r="S586" s="93">
        <f>IF(OR($N512="RESTRINGIDO", $N521="RESTRINGIDO"), 0, S475)</f>
        <v>0</v>
      </c>
      <c r="T586" s="93">
        <f>IF(OR($N512="RESTRINGIDO", $N522="RESTRINGIDO"), 0, T475)</f>
        <v>0</v>
      </c>
      <c r="U586" s="93">
        <f>IF(OR($N512="RESTRINGIDO", $N523="RESTRINGIDO"), 0, U475)</f>
        <v>0</v>
      </c>
      <c r="V586" s="93">
        <f>IF(OR($N512="RESTRINGIDO", $N524="RESTRINGIDO"), 0, V475)</f>
        <v>0</v>
      </c>
      <c r="W586" s="93">
        <f>IF(OR($N512="RESTRINGIDO", $N525="RESTRINGIDO"), 0, W475)</f>
        <v>0</v>
      </c>
      <c r="X586" s="93">
        <f>IF(OR($N512="RESTRINGIDO", $N526="RESTRINGIDO"), 0, X475)</f>
        <v>0</v>
      </c>
      <c r="Y586" s="93">
        <f>IF(OR($N512="RESTRINGIDO", $N527="RESTRINGIDO"), 0, Y475)</f>
        <v>0</v>
      </c>
      <c r="Z586" s="93">
        <f>IF(OR($N512="RESTRINGIDO", $N528="RESTRINGIDO"), 0, Z475)</f>
        <v>0</v>
      </c>
      <c r="AA586" s="93">
        <f>IF(OR($N512="RESTRINGIDO", $N529="RESTRINGIDO"), 0, AA475)</f>
        <v>0</v>
      </c>
      <c r="AB586" s="93">
        <f>IF(OR($N512="RESTRINGIDO", $N530="RESTRINGIDO"), 0, AB475)</f>
        <v>0</v>
      </c>
      <c r="AC586" s="93">
        <f>IF(OR($N512="RESTRINGIDO", $N531="RESTRINGIDO"), 0, AC475)</f>
        <v>0</v>
      </c>
      <c r="AD586" s="93">
        <f>IF(OR($N512="RESTRINGIDO", $N532="RESTRINGIDO"), 0, AD475)</f>
        <v>0</v>
      </c>
      <c r="AE586" s="93">
        <f>IF(OR($N512="RESTRINGIDO", $N533="RESTRINGIDO"), 0, AE475)</f>
        <v>0</v>
      </c>
      <c r="AF586" s="93">
        <f>IF(OR($N512="RESTRINGIDO", $N534="RESTRINGIDO"), 0, AF475)</f>
        <v>0</v>
      </c>
      <c r="AG586" s="93">
        <f>IF(OR($N512="RESTRINGIDO", $N535="RESTRINGIDO"), 0, AG475)</f>
        <v>0</v>
      </c>
      <c r="AH586" s="93">
        <f>IF(OR($N512="RESTRINGIDO", $N536="RESTRINGIDO"), 0, AH475)</f>
        <v>0</v>
      </c>
      <c r="AJ586" s="93">
        <f t="shared" si="83"/>
        <v>0</v>
      </c>
      <c r="AL586" s="104">
        <v>0</v>
      </c>
      <c r="AN586" s="104">
        <v>0</v>
      </c>
    </row>
    <row r="587" spans="2:40" x14ac:dyDescent="0.3">
      <c r="B587" s="93">
        <f>IF(OR($N513="RESTRINGIDO", $N504="RESTRINGIDO"), 0, B476)</f>
        <v>0</v>
      </c>
      <c r="C587" s="93">
        <f>IF(OR($N513="RESTRINGIDO", $N505="RESTRINGIDO"), 0, C476)</f>
        <v>0</v>
      </c>
      <c r="D587" s="93">
        <f>IF(OR($N513="RESTRINGIDO", $N506="RESTRINGIDO"), 0, D476)</f>
        <v>0</v>
      </c>
      <c r="E587" s="93">
        <f>IF(OR($N513="RESTRINGIDO", $N507="RESTRINGIDO"), 0, E476)</f>
        <v>0</v>
      </c>
      <c r="F587" s="93">
        <f>IF(OR($N513="RESTRINGIDO", $N508="RESTRINGIDO"), 0, F476)</f>
        <v>0</v>
      </c>
      <c r="G587" s="93">
        <f>IF(OR($N513="RESTRINGIDO", $N509="RESTRINGIDO"), 0, G476)</f>
        <v>0</v>
      </c>
      <c r="H587" s="93">
        <f>IF(OR($N513="RESTRINGIDO", $N510="RESTRINGIDO"), 0, H476)</f>
        <v>0</v>
      </c>
      <c r="I587" s="93">
        <f>IF(OR($N513="RESTRINGIDO", $N511="RESTRINGIDO"), 0, I476)</f>
        <v>0</v>
      </c>
      <c r="J587" s="93">
        <f>IF(OR($N513="RESTRINGIDO", $N512="RESTRINGIDO"), 0, J476)</f>
        <v>0</v>
      </c>
      <c r="K587" s="93">
        <f>IF($N513="RESTRINGIDO", 1, IF(OR($N513="", $C476=""), 1, K476))</f>
        <v>1</v>
      </c>
      <c r="L587" s="93">
        <f>IF(OR($N513="RESTRINGIDO", $N514="RESTRINGIDO"), 0, L476)</f>
        <v>0</v>
      </c>
      <c r="M587" s="93">
        <f>IF(OR($N513="RESTRINGIDO", $N515="RESTRINGIDO"), 0, M476)</f>
        <v>0</v>
      </c>
      <c r="N587" s="93">
        <f>IF(OR($N513="RESTRINGIDO", $N516="RESTRINGIDO"), 0, N476)</f>
        <v>0</v>
      </c>
      <c r="O587" s="93">
        <f>IF(OR($N513="RESTRINGIDO", $N517="RESTRINGIDO"), 0, O476)</f>
        <v>0</v>
      </c>
      <c r="P587" s="93">
        <f>IF(OR($N513="RESTRINGIDO", $N518="RESTRINGIDO"), 0, P476)</f>
        <v>0</v>
      </c>
      <c r="Q587" s="93">
        <f>IF(OR($N513="RESTRINGIDO", $N519="RESTRINGIDO"), 0, Q476)</f>
        <v>0</v>
      </c>
      <c r="R587" s="93">
        <f>IF(OR($N513="RESTRINGIDO", $N520="RESTRINGIDO"), 0, R476)</f>
        <v>0</v>
      </c>
      <c r="S587" s="93">
        <f>IF(OR($N513="RESTRINGIDO", $N521="RESTRINGIDO"), 0, S476)</f>
        <v>0</v>
      </c>
      <c r="T587" s="93">
        <f>IF(OR($N513="RESTRINGIDO", $N522="RESTRINGIDO"), 0, T476)</f>
        <v>0</v>
      </c>
      <c r="U587" s="93">
        <f>IF(OR($N513="RESTRINGIDO", $N523="RESTRINGIDO"), 0, U476)</f>
        <v>0</v>
      </c>
      <c r="V587" s="93">
        <f>IF(OR($N513="RESTRINGIDO", $N524="RESTRINGIDO"), 0, V476)</f>
        <v>0</v>
      </c>
      <c r="W587" s="93">
        <f>IF(OR($N513="RESTRINGIDO", $N525="RESTRINGIDO"), 0, W476)</f>
        <v>0</v>
      </c>
      <c r="X587" s="93">
        <f>IF(OR($N513="RESTRINGIDO", $N526="RESTRINGIDO"), 0, X476)</f>
        <v>0</v>
      </c>
      <c r="Y587" s="93">
        <f>IF(OR($N513="RESTRINGIDO", $N527="RESTRINGIDO"), 0, Y476)</f>
        <v>0</v>
      </c>
      <c r="Z587" s="93">
        <f>IF(OR($N513="RESTRINGIDO", $N528="RESTRINGIDO"), 0, Z476)</f>
        <v>0</v>
      </c>
      <c r="AA587" s="93">
        <f>IF(OR($N513="RESTRINGIDO", $N529="RESTRINGIDO"), 0, AA476)</f>
        <v>0</v>
      </c>
      <c r="AB587" s="93">
        <f>IF(OR($N513="RESTRINGIDO", $N530="RESTRINGIDO"), 0, AB476)</f>
        <v>0</v>
      </c>
      <c r="AC587" s="93">
        <f>IF(OR($N513="RESTRINGIDO", $N531="RESTRINGIDO"), 0, AC476)</f>
        <v>0</v>
      </c>
      <c r="AD587" s="93">
        <f>IF(OR($N513="RESTRINGIDO", $N532="RESTRINGIDO"), 0, AD476)</f>
        <v>0</v>
      </c>
      <c r="AE587" s="93">
        <f>IF(OR($N513="RESTRINGIDO", $N533="RESTRINGIDO"), 0, AE476)</f>
        <v>0</v>
      </c>
      <c r="AF587" s="93">
        <f>IF(OR($N513="RESTRINGIDO", $N534="RESTRINGIDO"), 0, AF476)</f>
        <v>0</v>
      </c>
      <c r="AG587" s="93">
        <f>IF(OR($N513="RESTRINGIDO", $N535="RESTRINGIDO"), 0, AG476)</f>
        <v>0</v>
      </c>
      <c r="AH587" s="93">
        <f>IF(OR($N513="RESTRINGIDO", $N536="RESTRINGIDO"), 0, AH476)</f>
        <v>0</v>
      </c>
      <c r="AJ587" s="93">
        <f t="shared" si="83"/>
        <v>0</v>
      </c>
      <c r="AL587" s="104">
        <v>0</v>
      </c>
      <c r="AN587" s="104">
        <v>0</v>
      </c>
    </row>
    <row r="588" spans="2:40" x14ac:dyDescent="0.3">
      <c r="B588" s="93">
        <f>IF(OR($N514="RESTRINGIDO", $N504="RESTRINGIDO"), 0, B477)</f>
        <v>0</v>
      </c>
      <c r="C588" s="93">
        <f>IF(OR($N514="RESTRINGIDO", $N505="RESTRINGIDO"), 0, C477)</f>
        <v>0</v>
      </c>
      <c r="D588" s="93">
        <f>IF(OR($N514="RESTRINGIDO", $N506="RESTRINGIDO"), 0, D477)</f>
        <v>0</v>
      </c>
      <c r="E588" s="93">
        <f>IF(OR($N514="RESTRINGIDO", $N507="RESTRINGIDO"), 0, E477)</f>
        <v>0</v>
      </c>
      <c r="F588" s="93">
        <f>IF(OR($N514="RESTRINGIDO", $N508="RESTRINGIDO"), 0, F477)</f>
        <v>0</v>
      </c>
      <c r="G588" s="93">
        <f>IF(OR($N514="RESTRINGIDO", $N509="RESTRINGIDO"), 0, G477)</f>
        <v>0</v>
      </c>
      <c r="H588" s="93">
        <f>IF(OR($N514="RESTRINGIDO", $N510="RESTRINGIDO"), 0, H477)</f>
        <v>0</v>
      </c>
      <c r="I588" s="93">
        <f>IF(OR($N514="RESTRINGIDO", $N511="RESTRINGIDO"), 0, I477)</f>
        <v>0</v>
      </c>
      <c r="J588" s="93">
        <f>IF(OR($N514="RESTRINGIDO", $N512="RESTRINGIDO"), 0, J477)</f>
        <v>0</v>
      </c>
      <c r="K588" s="93">
        <f>IF(OR($N514="RESTRINGIDO", $N513="RESTRINGIDO"), 0, K477)</f>
        <v>0</v>
      </c>
      <c r="L588" s="93">
        <f>IF($N514="RESTRINGIDO", 1, IF(OR($N514="", $C477=""), 1, L477))</f>
        <v>1</v>
      </c>
      <c r="M588" s="93">
        <f>IF(OR($N514="RESTRINGIDO", $N515="RESTRINGIDO"), 0, M477)</f>
        <v>0</v>
      </c>
      <c r="N588" s="93">
        <f>IF(OR($N514="RESTRINGIDO", $N516="RESTRINGIDO"), 0, N477)</f>
        <v>0</v>
      </c>
      <c r="O588" s="93">
        <f>IF(OR($N514="RESTRINGIDO", $N517="RESTRINGIDO"), 0, O477)</f>
        <v>0</v>
      </c>
      <c r="P588" s="93">
        <f>IF(OR($N514="RESTRINGIDO", $N518="RESTRINGIDO"), 0, P477)</f>
        <v>0</v>
      </c>
      <c r="Q588" s="93">
        <f>IF(OR($N514="RESTRINGIDO", $N519="RESTRINGIDO"), 0, Q477)</f>
        <v>0</v>
      </c>
      <c r="R588" s="93">
        <f>IF(OR($N514="RESTRINGIDO", $N520="RESTRINGIDO"), 0, R477)</f>
        <v>0</v>
      </c>
      <c r="S588" s="93">
        <f>IF(OR($N514="RESTRINGIDO", $N521="RESTRINGIDO"), 0, S477)</f>
        <v>0</v>
      </c>
      <c r="T588" s="93">
        <f>IF(OR($N514="RESTRINGIDO", $N522="RESTRINGIDO"), 0, T477)</f>
        <v>0</v>
      </c>
      <c r="U588" s="93">
        <f>IF(OR($N514="RESTRINGIDO", $N523="RESTRINGIDO"), 0, U477)</f>
        <v>0</v>
      </c>
      <c r="V588" s="93">
        <f>IF(OR($N514="RESTRINGIDO", $N524="RESTRINGIDO"), 0, V477)</f>
        <v>0</v>
      </c>
      <c r="W588" s="93">
        <f>IF(OR($N514="RESTRINGIDO", $N525="RESTRINGIDO"), 0, W477)</f>
        <v>0</v>
      </c>
      <c r="X588" s="93">
        <f>IF(OR($N514="RESTRINGIDO", $N526="RESTRINGIDO"), 0, X477)</f>
        <v>0</v>
      </c>
      <c r="Y588" s="93">
        <f>IF(OR($N514="RESTRINGIDO", $N527="RESTRINGIDO"), 0, Y477)</f>
        <v>0</v>
      </c>
      <c r="Z588" s="93">
        <f>IF(OR($N514="RESTRINGIDO", $N528="RESTRINGIDO"), 0, Z477)</f>
        <v>0</v>
      </c>
      <c r="AA588" s="93">
        <f>IF(OR($N514="RESTRINGIDO", $N529="RESTRINGIDO"), 0, AA477)</f>
        <v>0</v>
      </c>
      <c r="AB588" s="93">
        <f>IF(OR($N514="RESTRINGIDO", $N530="RESTRINGIDO"), 0, AB477)</f>
        <v>0</v>
      </c>
      <c r="AC588" s="93">
        <f>IF(OR($N514="RESTRINGIDO", $N531="RESTRINGIDO"), 0, AC477)</f>
        <v>0</v>
      </c>
      <c r="AD588" s="93">
        <f>IF(OR($N514="RESTRINGIDO", $N532="RESTRINGIDO"), 0, AD477)</f>
        <v>0</v>
      </c>
      <c r="AE588" s="93">
        <f>IF(OR($N514="RESTRINGIDO", $N533="RESTRINGIDO"), 0, AE477)</f>
        <v>0</v>
      </c>
      <c r="AF588" s="93">
        <f>IF(OR($N514="RESTRINGIDO", $N534="RESTRINGIDO"), 0, AF477)</f>
        <v>0</v>
      </c>
      <c r="AG588" s="93">
        <f>IF(OR($N514="RESTRINGIDO", $N535="RESTRINGIDO"), 0, AG477)</f>
        <v>0</v>
      </c>
      <c r="AH588" s="93">
        <f>IF(OR($N514="RESTRINGIDO", $N536="RESTRINGIDO"), 0, AH477)</f>
        <v>0</v>
      </c>
      <c r="AJ588" s="93">
        <f t="shared" si="83"/>
        <v>0</v>
      </c>
      <c r="AL588" s="104">
        <v>0</v>
      </c>
      <c r="AN588" s="104">
        <v>0</v>
      </c>
    </row>
    <row r="589" spans="2:40" x14ac:dyDescent="0.3">
      <c r="B589" s="93">
        <f>IF(OR($N515="RESTRINGIDO", $N504="RESTRINGIDO"), 0, B478)</f>
        <v>0</v>
      </c>
      <c r="C589" s="93">
        <f>IF(OR($N515="RESTRINGIDO", $N505="RESTRINGIDO"), 0, C478)</f>
        <v>0</v>
      </c>
      <c r="D589" s="93">
        <f>IF(OR($N515="RESTRINGIDO", $N506="RESTRINGIDO"), 0, D478)</f>
        <v>0</v>
      </c>
      <c r="E589" s="93">
        <f>IF(OR($N515="RESTRINGIDO", $N507="RESTRINGIDO"), 0, E478)</f>
        <v>0</v>
      </c>
      <c r="F589" s="93">
        <f>IF(OR($N515="RESTRINGIDO", $N508="RESTRINGIDO"), 0, F478)</f>
        <v>0</v>
      </c>
      <c r="G589" s="93">
        <f>IF(OR($N515="RESTRINGIDO", $N509="RESTRINGIDO"), 0, G478)</f>
        <v>0</v>
      </c>
      <c r="H589" s="93">
        <f>IF(OR($N515="RESTRINGIDO", $N510="RESTRINGIDO"), 0, H478)</f>
        <v>0</v>
      </c>
      <c r="I589" s="93">
        <f>IF(OR($N515="RESTRINGIDO", $N511="RESTRINGIDO"), 0, I478)</f>
        <v>0</v>
      </c>
      <c r="J589" s="93">
        <f>IF(OR($N515="RESTRINGIDO", $N512="RESTRINGIDO"), 0, J478)</f>
        <v>0</v>
      </c>
      <c r="K589" s="93">
        <f>IF(OR($N515="RESTRINGIDO", $N513="RESTRINGIDO"), 0, K478)</f>
        <v>0</v>
      </c>
      <c r="L589" s="93">
        <f>IF(OR($N515="RESTRINGIDO", $N514="RESTRINGIDO"), 0, L478)</f>
        <v>0</v>
      </c>
      <c r="M589" s="93">
        <f>IF($N515="RESTRINGIDO", 1, IF(OR($N515="", $C478=""), 1, M478))</f>
        <v>1</v>
      </c>
      <c r="N589" s="93">
        <f>IF(OR($N515="RESTRINGIDO", $N516="RESTRINGIDO"), 0, N478)</f>
        <v>0</v>
      </c>
      <c r="O589" s="93">
        <f>IF(OR($N515="RESTRINGIDO", $N517="RESTRINGIDO"), 0, O478)</f>
        <v>0</v>
      </c>
      <c r="P589" s="93">
        <f>IF(OR($N515="RESTRINGIDO", $N518="RESTRINGIDO"), 0, P478)</f>
        <v>0</v>
      </c>
      <c r="Q589" s="93">
        <f>IF(OR($N515="RESTRINGIDO", $N519="RESTRINGIDO"), 0, Q478)</f>
        <v>0</v>
      </c>
      <c r="R589" s="93">
        <f>IF(OR($N515="RESTRINGIDO", $N520="RESTRINGIDO"), 0, R478)</f>
        <v>0</v>
      </c>
      <c r="S589" s="93">
        <f>IF(OR($N515="RESTRINGIDO", $N521="RESTRINGIDO"), 0, S478)</f>
        <v>0</v>
      </c>
      <c r="T589" s="93">
        <f>IF(OR($N515="RESTRINGIDO", $N522="RESTRINGIDO"), 0, T478)</f>
        <v>0</v>
      </c>
      <c r="U589" s="93">
        <f>IF(OR($N515="RESTRINGIDO", $N523="RESTRINGIDO"), 0, U478)</f>
        <v>0</v>
      </c>
      <c r="V589" s="93">
        <f>IF(OR($N515="RESTRINGIDO", $N524="RESTRINGIDO"), 0, V478)</f>
        <v>0</v>
      </c>
      <c r="W589" s="93">
        <f>IF(OR($N515="RESTRINGIDO", $N525="RESTRINGIDO"), 0, W478)</f>
        <v>0</v>
      </c>
      <c r="X589" s="93">
        <f>IF(OR($N515="RESTRINGIDO", $N526="RESTRINGIDO"), 0, X478)</f>
        <v>0</v>
      </c>
      <c r="Y589" s="93">
        <f>IF(OR($N515="RESTRINGIDO", $N527="RESTRINGIDO"), 0, Y478)</f>
        <v>0</v>
      </c>
      <c r="Z589" s="93">
        <f>IF(OR($N515="RESTRINGIDO", $N528="RESTRINGIDO"), 0, Z478)</f>
        <v>0</v>
      </c>
      <c r="AA589" s="93">
        <f>IF(OR($N515="RESTRINGIDO", $N529="RESTRINGIDO"), 0, AA478)</f>
        <v>0</v>
      </c>
      <c r="AB589" s="93">
        <f>IF(OR($N515="RESTRINGIDO", $N530="RESTRINGIDO"), 0, AB478)</f>
        <v>0</v>
      </c>
      <c r="AC589" s="93">
        <f>IF(OR($N515="RESTRINGIDO", $N531="RESTRINGIDO"), 0, AC478)</f>
        <v>0</v>
      </c>
      <c r="AD589" s="93">
        <f>IF(OR($N515="RESTRINGIDO", $N532="RESTRINGIDO"), 0, AD478)</f>
        <v>0</v>
      </c>
      <c r="AE589" s="93">
        <f>IF(OR($N515="RESTRINGIDO", $N533="RESTRINGIDO"), 0, AE478)</f>
        <v>0</v>
      </c>
      <c r="AF589" s="93">
        <f>IF(OR($N515="RESTRINGIDO", $N534="RESTRINGIDO"), 0, AF478)</f>
        <v>0</v>
      </c>
      <c r="AG589" s="93">
        <f>IF(OR($N515="RESTRINGIDO", $N535="RESTRINGIDO"), 0, AG478)</f>
        <v>0</v>
      </c>
      <c r="AH589" s="93">
        <f>IF(OR($N515="RESTRINGIDO", $N536="RESTRINGIDO"), 0, AH478)</f>
        <v>0</v>
      </c>
      <c r="AJ589" s="93">
        <f t="shared" si="83"/>
        <v>0</v>
      </c>
      <c r="AL589" s="104">
        <v>0</v>
      </c>
      <c r="AN589" s="104">
        <v>0</v>
      </c>
    </row>
    <row r="590" spans="2:40" x14ac:dyDescent="0.3">
      <c r="B590" s="93">
        <f>IF(OR($N516="RESTRINGIDO", $N504="RESTRINGIDO"), 0, B479)</f>
        <v>0</v>
      </c>
      <c r="C590" s="93">
        <f>IF(OR($N516="RESTRINGIDO", $N505="RESTRINGIDO"), 0, C479)</f>
        <v>0</v>
      </c>
      <c r="D590" s="93">
        <f>IF(OR($N516="RESTRINGIDO", $N506="RESTRINGIDO"), 0, D479)</f>
        <v>0</v>
      </c>
      <c r="E590" s="93">
        <f>IF(OR($N516="RESTRINGIDO", $N507="RESTRINGIDO"), 0, E479)</f>
        <v>0</v>
      </c>
      <c r="F590" s="93">
        <f>IF(OR($N516="RESTRINGIDO", $N508="RESTRINGIDO"), 0, F479)</f>
        <v>0</v>
      </c>
      <c r="G590" s="93">
        <f>IF(OR($N516="RESTRINGIDO", $N509="RESTRINGIDO"), 0, G479)</f>
        <v>0</v>
      </c>
      <c r="H590" s="93">
        <f>IF(OR($N516="RESTRINGIDO", $N510="RESTRINGIDO"), 0, H479)</f>
        <v>0</v>
      </c>
      <c r="I590" s="93">
        <f>IF(OR($N516="RESTRINGIDO", $N511="RESTRINGIDO"), 0, I479)</f>
        <v>0</v>
      </c>
      <c r="J590" s="93">
        <f>IF(OR($N516="RESTRINGIDO", $N512="RESTRINGIDO"), 0, J479)</f>
        <v>0</v>
      </c>
      <c r="K590" s="93">
        <f>IF(OR($N516="RESTRINGIDO", $N513="RESTRINGIDO"), 0, K479)</f>
        <v>0</v>
      </c>
      <c r="L590" s="93">
        <f>IF(OR($N516="RESTRINGIDO", $N514="RESTRINGIDO"), 0, L479)</f>
        <v>0</v>
      </c>
      <c r="M590" s="93">
        <f>IF(OR($N516="RESTRINGIDO", $N515="RESTRINGIDO"), 0, M479)</f>
        <v>0</v>
      </c>
      <c r="N590" s="93">
        <f>IF($N516="RESTRINGIDO", 1, IF(OR($N516="", $C479=""), 1, N479))</f>
        <v>1</v>
      </c>
      <c r="O590" s="93">
        <f>IF(OR($N516="RESTRINGIDO", $N517="RESTRINGIDO"), 0, O479)</f>
        <v>0</v>
      </c>
      <c r="P590" s="93">
        <f>IF(OR($N516="RESTRINGIDO", $N518="RESTRINGIDO"), 0, P479)</f>
        <v>0</v>
      </c>
      <c r="Q590" s="93">
        <f>IF(OR($N516="RESTRINGIDO", $N519="RESTRINGIDO"), 0, Q479)</f>
        <v>0</v>
      </c>
      <c r="R590" s="93">
        <f>IF(OR($N516="RESTRINGIDO", $N520="RESTRINGIDO"), 0, R479)</f>
        <v>0</v>
      </c>
      <c r="S590" s="93">
        <f>IF(OR($N516="RESTRINGIDO", $N521="RESTRINGIDO"), 0, S479)</f>
        <v>0</v>
      </c>
      <c r="T590" s="93">
        <f>IF(OR($N516="RESTRINGIDO", $N522="RESTRINGIDO"), 0, T479)</f>
        <v>0</v>
      </c>
      <c r="U590" s="93">
        <f>IF(OR($N516="RESTRINGIDO", $N523="RESTRINGIDO"), 0, U479)</f>
        <v>0</v>
      </c>
      <c r="V590" s="93">
        <f>IF(OR($N516="RESTRINGIDO", $N524="RESTRINGIDO"), 0, V479)</f>
        <v>0</v>
      </c>
      <c r="W590" s="93">
        <f>IF(OR($N516="RESTRINGIDO", $N525="RESTRINGIDO"), 0, W479)</f>
        <v>0</v>
      </c>
      <c r="X590" s="93">
        <f>IF(OR($N516="RESTRINGIDO", $N526="RESTRINGIDO"), 0, X479)</f>
        <v>0</v>
      </c>
      <c r="Y590" s="93">
        <f>IF(OR($N516="RESTRINGIDO", $N527="RESTRINGIDO"), 0, Y479)</f>
        <v>0</v>
      </c>
      <c r="Z590" s="93">
        <f>IF(OR($N516="RESTRINGIDO", $N528="RESTRINGIDO"), 0, Z479)</f>
        <v>0</v>
      </c>
      <c r="AA590" s="93">
        <f>IF(OR($N516="RESTRINGIDO", $N529="RESTRINGIDO"), 0, AA479)</f>
        <v>0</v>
      </c>
      <c r="AB590" s="93">
        <f>IF(OR($N516="RESTRINGIDO", $N530="RESTRINGIDO"), 0, AB479)</f>
        <v>0</v>
      </c>
      <c r="AC590" s="93">
        <f>IF(OR($N516="RESTRINGIDO", $N531="RESTRINGIDO"), 0, AC479)</f>
        <v>0</v>
      </c>
      <c r="AD590" s="93">
        <f>IF(OR($N516="RESTRINGIDO", $N532="RESTRINGIDO"), 0, AD479)</f>
        <v>0</v>
      </c>
      <c r="AE590" s="93">
        <f>IF(OR($N516="RESTRINGIDO", $N533="RESTRINGIDO"), 0, AE479)</f>
        <v>0</v>
      </c>
      <c r="AF590" s="93">
        <f>IF(OR($N516="RESTRINGIDO", $N534="RESTRINGIDO"), 0, AF479)</f>
        <v>0</v>
      </c>
      <c r="AG590" s="93">
        <f>IF(OR($N516="RESTRINGIDO", $N535="RESTRINGIDO"), 0, AG479)</f>
        <v>0</v>
      </c>
      <c r="AH590" s="93">
        <f>IF(OR($N516="RESTRINGIDO", $N536="RESTRINGIDO"), 0, AH479)</f>
        <v>0</v>
      </c>
      <c r="AJ590" s="93">
        <f t="shared" si="83"/>
        <v>0</v>
      </c>
      <c r="AL590" s="104">
        <v>0</v>
      </c>
      <c r="AN590" s="104">
        <v>0</v>
      </c>
    </row>
    <row r="591" spans="2:40" x14ac:dyDescent="0.3">
      <c r="B591" s="93">
        <f>IF(OR($N517="RESTRINGIDO", $N504="RESTRINGIDO"), 0, B480)</f>
        <v>0</v>
      </c>
      <c r="C591" s="93">
        <f>IF(OR($N517="RESTRINGIDO", $N505="RESTRINGIDO"), 0, C480)</f>
        <v>0</v>
      </c>
      <c r="D591" s="93">
        <f>IF(OR($N517="RESTRINGIDO", $N506="RESTRINGIDO"), 0, D480)</f>
        <v>0</v>
      </c>
      <c r="E591" s="93">
        <f>IF(OR($N517="RESTRINGIDO", $N507="RESTRINGIDO"), 0, E480)</f>
        <v>0</v>
      </c>
      <c r="F591" s="93">
        <f>IF(OR($N517="RESTRINGIDO", $N508="RESTRINGIDO"), 0, F480)</f>
        <v>0</v>
      </c>
      <c r="G591" s="93">
        <f>IF(OR($N517="RESTRINGIDO", $N509="RESTRINGIDO"), 0, G480)</f>
        <v>0</v>
      </c>
      <c r="H591" s="93">
        <f>IF(OR($N517="RESTRINGIDO", $N510="RESTRINGIDO"), 0, H480)</f>
        <v>0</v>
      </c>
      <c r="I591" s="93">
        <f>IF(OR($N517="RESTRINGIDO", $N511="RESTRINGIDO"), 0, I480)</f>
        <v>0</v>
      </c>
      <c r="J591" s="93">
        <f>IF(OR($N517="RESTRINGIDO", $N512="RESTRINGIDO"), 0, J480)</f>
        <v>0</v>
      </c>
      <c r="K591" s="93">
        <f>IF(OR($N517="RESTRINGIDO", $N513="RESTRINGIDO"), 0, K480)</f>
        <v>0</v>
      </c>
      <c r="L591" s="93">
        <f>IF(OR($N517="RESTRINGIDO", $N514="RESTRINGIDO"), 0, L480)</f>
        <v>0</v>
      </c>
      <c r="M591" s="93">
        <f>IF(OR($N517="RESTRINGIDO", $N515="RESTRINGIDO"), 0, M480)</f>
        <v>0</v>
      </c>
      <c r="N591" s="93">
        <f>IF(OR($N517="RESTRINGIDO", $N516="RESTRINGIDO"), 0, N480)</f>
        <v>0</v>
      </c>
      <c r="O591" s="93">
        <f>IF($N517="RESTRINGIDO", 1, IF(OR($N517="", $C480=""), 1, O480))</f>
        <v>1</v>
      </c>
      <c r="P591" s="93">
        <f>IF(OR($N517="RESTRINGIDO", $N518="RESTRINGIDO"), 0, P480)</f>
        <v>0</v>
      </c>
      <c r="Q591" s="93">
        <f>IF(OR($N517="RESTRINGIDO", $N519="RESTRINGIDO"), 0, Q480)</f>
        <v>0</v>
      </c>
      <c r="R591" s="93">
        <f>IF(OR($N517="RESTRINGIDO", $N520="RESTRINGIDO"), 0, R480)</f>
        <v>0</v>
      </c>
      <c r="S591" s="93">
        <f>IF(OR($N517="RESTRINGIDO", $N521="RESTRINGIDO"), 0, S480)</f>
        <v>0</v>
      </c>
      <c r="T591" s="93">
        <f>IF(OR($N517="RESTRINGIDO", $N522="RESTRINGIDO"), 0, T480)</f>
        <v>0</v>
      </c>
      <c r="U591" s="93">
        <f>IF(OR($N517="RESTRINGIDO", $N523="RESTRINGIDO"), 0, U480)</f>
        <v>0</v>
      </c>
      <c r="V591" s="93">
        <f>IF(OR($N517="RESTRINGIDO", $N524="RESTRINGIDO"), 0, V480)</f>
        <v>0</v>
      </c>
      <c r="W591" s="93">
        <f>IF(OR($N517="RESTRINGIDO", $N525="RESTRINGIDO"), 0, W480)</f>
        <v>0</v>
      </c>
      <c r="X591" s="93">
        <f>IF(OR($N517="RESTRINGIDO", $N526="RESTRINGIDO"), 0, X480)</f>
        <v>0</v>
      </c>
      <c r="Y591" s="93">
        <f>IF(OR($N517="RESTRINGIDO", $N527="RESTRINGIDO"), 0, Y480)</f>
        <v>0</v>
      </c>
      <c r="Z591" s="93">
        <f>IF(OR($N517="RESTRINGIDO", $N528="RESTRINGIDO"), 0, Z480)</f>
        <v>0</v>
      </c>
      <c r="AA591" s="93">
        <f>IF(OR($N517="RESTRINGIDO", $N529="RESTRINGIDO"), 0, AA480)</f>
        <v>0</v>
      </c>
      <c r="AB591" s="93">
        <f>IF(OR($N517="RESTRINGIDO", $N530="RESTRINGIDO"), 0, AB480)</f>
        <v>0</v>
      </c>
      <c r="AC591" s="93">
        <f>IF(OR($N517="RESTRINGIDO", $N531="RESTRINGIDO"), 0, AC480)</f>
        <v>0</v>
      </c>
      <c r="AD591" s="93">
        <f>IF(OR($N517="RESTRINGIDO", $N532="RESTRINGIDO"), 0, AD480)</f>
        <v>0</v>
      </c>
      <c r="AE591" s="93">
        <f>IF(OR($N517="RESTRINGIDO", $N533="RESTRINGIDO"), 0, AE480)</f>
        <v>0</v>
      </c>
      <c r="AF591" s="93">
        <f>IF(OR($N517="RESTRINGIDO", $N534="RESTRINGIDO"), 0, AF480)</f>
        <v>0</v>
      </c>
      <c r="AG591" s="93">
        <f>IF(OR($N517="RESTRINGIDO", $N535="RESTRINGIDO"), 0, AG480)</f>
        <v>0</v>
      </c>
      <c r="AH591" s="93">
        <f>IF(OR($N517="RESTRINGIDO", $N536="RESTRINGIDO"), 0, AH480)</f>
        <v>0</v>
      </c>
      <c r="AJ591" s="93">
        <f t="shared" si="83"/>
        <v>0</v>
      </c>
      <c r="AL591" s="104">
        <v>0</v>
      </c>
      <c r="AN591" s="104">
        <v>0</v>
      </c>
    </row>
    <row r="592" spans="2:40" x14ac:dyDescent="0.3">
      <c r="B592" s="93">
        <f>IF(OR($N518="RESTRINGIDO", $N504="RESTRINGIDO"), 0, B481)</f>
        <v>0</v>
      </c>
      <c r="C592" s="93">
        <f>IF(OR($N518="RESTRINGIDO", $N505="RESTRINGIDO"), 0, C481)</f>
        <v>0</v>
      </c>
      <c r="D592" s="93">
        <f>IF(OR($N518="RESTRINGIDO", $N506="RESTRINGIDO"), 0, D481)</f>
        <v>0</v>
      </c>
      <c r="E592" s="93">
        <f>IF(OR($N518="RESTRINGIDO", $N507="RESTRINGIDO"), 0, E481)</f>
        <v>0</v>
      </c>
      <c r="F592" s="93">
        <f>IF(OR($N518="RESTRINGIDO", $N508="RESTRINGIDO"), 0, F481)</f>
        <v>0</v>
      </c>
      <c r="G592" s="93">
        <f>IF(OR($N518="RESTRINGIDO", $N509="RESTRINGIDO"), 0, G481)</f>
        <v>0</v>
      </c>
      <c r="H592" s="93">
        <f>IF(OR($N518="RESTRINGIDO", $N510="RESTRINGIDO"), 0, H481)</f>
        <v>0</v>
      </c>
      <c r="I592" s="93">
        <f>IF(OR($N518="RESTRINGIDO", $N511="RESTRINGIDO"), 0, I481)</f>
        <v>0</v>
      </c>
      <c r="J592" s="93">
        <f>IF(OR($N518="RESTRINGIDO", $N512="RESTRINGIDO"), 0, J481)</f>
        <v>0</v>
      </c>
      <c r="K592" s="93">
        <f>IF(OR($N518="RESTRINGIDO", $N513="RESTRINGIDO"), 0, K481)</f>
        <v>0</v>
      </c>
      <c r="L592" s="93">
        <f>IF(OR($N518="RESTRINGIDO", $N514="RESTRINGIDO"), 0, L481)</f>
        <v>0</v>
      </c>
      <c r="M592" s="93">
        <f>IF(OR($N518="RESTRINGIDO", $N515="RESTRINGIDO"), 0, M481)</f>
        <v>0</v>
      </c>
      <c r="N592" s="93">
        <f>IF(OR($N518="RESTRINGIDO", $N516="RESTRINGIDO"), 0, N481)</f>
        <v>0</v>
      </c>
      <c r="O592" s="93">
        <f>IF(OR($N518="RESTRINGIDO", $N517="RESTRINGIDO"), 0, O481)</f>
        <v>0</v>
      </c>
      <c r="P592" s="93">
        <f>IF($N518="RESTRINGIDO", 1, IF(OR($N518="", $C481=""), 1, P481))</f>
        <v>1</v>
      </c>
      <c r="Q592" s="93">
        <f>IF(OR($N518="RESTRINGIDO", $N519="RESTRINGIDO"), 0, Q481)</f>
        <v>0</v>
      </c>
      <c r="R592" s="93">
        <f>IF(OR($N518="RESTRINGIDO", $N520="RESTRINGIDO"), 0, R481)</f>
        <v>0</v>
      </c>
      <c r="S592" s="93">
        <f>IF(OR($N518="RESTRINGIDO", $N521="RESTRINGIDO"), 0, S481)</f>
        <v>0</v>
      </c>
      <c r="T592" s="93">
        <f>IF(OR($N518="RESTRINGIDO", $N522="RESTRINGIDO"), 0, T481)</f>
        <v>0</v>
      </c>
      <c r="U592" s="93">
        <f>IF(OR($N518="RESTRINGIDO", $N523="RESTRINGIDO"), 0, U481)</f>
        <v>0</v>
      </c>
      <c r="V592" s="93">
        <f>IF(OR($N518="RESTRINGIDO", $N524="RESTRINGIDO"), 0, V481)</f>
        <v>0</v>
      </c>
      <c r="W592" s="93">
        <f>IF(OR($N518="RESTRINGIDO", $N525="RESTRINGIDO"), 0, W481)</f>
        <v>0</v>
      </c>
      <c r="X592" s="93">
        <f>IF(OR($N518="RESTRINGIDO", $N526="RESTRINGIDO"), 0, X481)</f>
        <v>0</v>
      </c>
      <c r="Y592" s="93">
        <f>IF(OR($N518="RESTRINGIDO", $N527="RESTRINGIDO"), 0, Y481)</f>
        <v>0</v>
      </c>
      <c r="Z592" s="93">
        <f>IF(OR($N518="RESTRINGIDO", $N528="RESTRINGIDO"), 0, Z481)</f>
        <v>0</v>
      </c>
      <c r="AA592" s="93">
        <f>IF(OR($N518="RESTRINGIDO", $N529="RESTRINGIDO"), 0, AA481)</f>
        <v>0</v>
      </c>
      <c r="AB592" s="93">
        <f>IF(OR($N518="RESTRINGIDO", $N530="RESTRINGIDO"), 0, AB481)</f>
        <v>0</v>
      </c>
      <c r="AC592" s="93">
        <f>IF(OR($N518="RESTRINGIDO", $N531="RESTRINGIDO"), 0, AC481)</f>
        <v>0</v>
      </c>
      <c r="AD592" s="93">
        <f>IF(OR($N518="RESTRINGIDO", $N532="RESTRINGIDO"), 0, AD481)</f>
        <v>0</v>
      </c>
      <c r="AE592" s="93">
        <f>IF(OR($N518="RESTRINGIDO", $N533="RESTRINGIDO"), 0, AE481)</f>
        <v>0</v>
      </c>
      <c r="AF592" s="93">
        <f>IF(OR($N518="RESTRINGIDO", $N534="RESTRINGIDO"), 0, AF481)</f>
        <v>0</v>
      </c>
      <c r="AG592" s="93">
        <f>IF(OR($N518="RESTRINGIDO", $N535="RESTRINGIDO"), 0, AG481)</f>
        <v>0</v>
      </c>
      <c r="AH592" s="93">
        <f>IF(OR($N518="RESTRINGIDO", $N536="RESTRINGIDO"), 0, AH481)</f>
        <v>0</v>
      </c>
      <c r="AJ592" s="93">
        <f t="shared" si="83"/>
        <v>0</v>
      </c>
      <c r="AL592" s="104">
        <v>0</v>
      </c>
      <c r="AN592" s="104">
        <v>0</v>
      </c>
    </row>
    <row r="593" spans="2:40" x14ac:dyDescent="0.3">
      <c r="B593" s="93">
        <f>IF(OR($N519="RESTRINGIDO", $N504="RESTRINGIDO"), 0, B482)</f>
        <v>0</v>
      </c>
      <c r="C593" s="93">
        <f>IF(OR($N519="RESTRINGIDO", $N505="RESTRINGIDO"), 0, C482)</f>
        <v>0</v>
      </c>
      <c r="D593" s="93">
        <f>IF(OR($N519="RESTRINGIDO", $N506="RESTRINGIDO"), 0, D482)</f>
        <v>0</v>
      </c>
      <c r="E593" s="93">
        <f>IF(OR($N519="RESTRINGIDO", $N507="RESTRINGIDO"), 0, E482)</f>
        <v>0</v>
      </c>
      <c r="F593" s="93">
        <f>IF(OR($N519="RESTRINGIDO", $N508="RESTRINGIDO"), 0, F482)</f>
        <v>0</v>
      </c>
      <c r="G593" s="93">
        <f>IF(OR($N519="RESTRINGIDO", $N509="RESTRINGIDO"), 0, G482)</f>
        <v>0</v>
      </c>
      <c r="H593" s="93">
        <f>IF(OR($N519="RESTRINGIDO", $N510="RESTRINGIDO"), 0, H482)</f>
        <v>0</v>
      </c>
      <c r="I593" s="93">
        <f>IF(OR($N519="RESTRINGIDO", $N511="RESTRINGIDO"), 0, I482)</f>
        <v>0</v>
      </c>
      <c r="J593" s="93">
        <f>IF(OR($N519="RESTRINGIDO", $N512="RESTRINGIDO"), 0, J482)</f>
        <v>0</v>
      </c>
      <c r="K593" s="93">
        <f>IF(OR($N519="RESTRINGIDO", $N513="RESTRINGIDO"), 0, K482)</f>
        <v>0</v>
      </c>
      <c r="L593" s="93">
        <f>IF(OR($N519="RESTRINGIDO", $N514="RESTRINGIDO"), 0, L482)</f>
        <v>0</v>
      </c>
      <c r="M593" s="93">
        <f>IF(OR($N519="RESTRINGIDO", $N515="RESTRINGIDO"), 0, M482)</f>
        <v>0</v>
      </c>
      <c r="N593" s="93">
        <f>IF(OR($N519="RESTRINGIDO", $N516="RESTRINGIDO"), 0, N482)</f>
        <v>0</v>
      </c>
      <c r="O593" s="93">
        <f>IF(OR($N519="RESTRINGIDO", $N517="RESTRINGIDO"), 0, O482)</f>
        <v>0</v>
      </c>
      <c r="P593" s="93">
        <f>IF(OR($N519="RESTRINGIDO", $N518="RESTRINGIDO"), 0, P482)</f>
        <v>0</v>
      </c>
      <c r="Q593" s="93">
        <f>IF($N519="RESTRINGIDO", 1, IF(OR($N519="", $C482=""), 1, Q482))</f>
        <v>1</v>
      </c>
      <c r="R593" s="93">
        <f>IF(OR($N519="RESTRINGIDO", $N520="RESTRINGIDO"), 0, R482)</f>
        <v>0</v>
      </c>
      <c r="S593" s="93">
        <f>IF(OR($N519="RESTRINGIDO", $N521="RESTRINGIDO"), 0, S482)</f>
        <v>0</v>
      </c>
      <c r="T593" s="93">
        <f>IF(OR($N519="RESTRINGIDO", $N522="RESTRINGIDO"), 0, T482)</f>
        <v>0</v>
      </c>
      <c r="U593" s="93">
        <f>IF(OR($N519="RESTRINGIDO", $N523="RESTRINGIDO"), 0, U482)</f>
        <v>0</v>
      </c>
      <c r="V593" s="93">
        <f>IF(OR($N519="RESTRINGIDO", $N524="RESTRINGIDO"), 0, V482)</f>
        <v>0</v>
      </c>
      <c r="W593" s="93">
        <f>IF(OR($N519="RESTRINGIDO", $N525="RESTRINGIDO"), 0, W482)</f>
        <v>0</v>
      </c>
      <c r="X593" s="93">
        <f>IF(OR($N519="RESTRINGIDO", $N526="RESTRINGIDO"), 0, X482)</f>
        <v>0</v>
      </c>
      <c r="Y593" s="93">
        <f>IF(OR($N519="RESTRINGIDO", $N527="RESTRINGIDO"), 0, Y482)</f>
        <v>0</v>
      </c>
      <c r="Z593" s="93">
        <f>IF(OR($N519="RESTRINGIDO", $N528="RESTRINGIDO"), 0, Z482)</f>
        <v>0</v>
      </c>
      <c r="AA593" s="93">
        <f>IF(OR($N519="RESTRINGIDO", $N529="RESTRINGIDO"), 0, AA482)</f>
        <v>0</v>
      </c>
      <c r="AB593" s="93">
        <f>IF(OR($N519="RESTRINGIDO", $N530="RESTRINGIDO"), 0, AB482)</f>
        <v>0</v>
      </c>
      <c r="AC593" s="93">
        <f>IF(OR($N519="RESTRINGIDO", $N531="RESTRINGIDO"), 0, AC482)</f>
        <v>0</v>
      </c>
      <c r="AD593" s="93">
        <f>IF(OR($N519="RESTRINGIDO", $N532="RESTRINGIDO"), 0, AD482)</f>
        <v>0</v>
      </c>
      <c r="AE593" s="93">
        <f>IF(OR($N519="RESTRINGIDO", $N533="RESTRINGIDO"), 0, AE482)</f>
        <v>0</v>
      </c>
      <c r="AF593" s="93">
        <f>IF(OR($N519="RESTRINGIDO", $N534="RESTRINGIDO"), 0, AF482)</f>
        <v>0</v>
      </c>
      <c r="AG593" s="93">
        <f>IF(OR($N519="RESTRINGIDO", $N535="RESTRINGIDO"), 0, AG482)</f>
        <v>0</v>
      </c>
      <c r="AH593" s="93">
        <f>IF(OR($N519="RESTRINGIDO", $N536="RESTRINGIDO"), 0, AH482)</f>
        <v>0</v>
      </c>
      <c r="AJ593" s="93">
        <f t="shared" si="83"/>
        <v>0</v>
      </c>
      <c r="AL593" s="104">
        <v>0</v>
      </c>
      <c r="AN593" s="104">
        <v>0</v>
      </c>
    </row>
    <row r="594" spans="2:40" x14ac:dyDescent="0.3">
      <c r="B594" s="93">
        <f>IF(OR($N520="RESTRINGIDO", $N504="RESTRINGIDO"), 0, B483)</f>
        <v>0</v>
      </c>
      <c r="C594" s="93">
        <f>IF(OR($N520="RESTRINGIDO", $N505="RESTRINGIDO"), 0, C483)</f>
        <v>0</v>
      </c>
      <c r="D594" s="93">
        <f>IF(OR($N520="RESTRINGIDO", $N506="RESTRINGIDO"), 0, D483)</f>
        <v>0</v>
      </c>
      <c r="E594" s="93">
        <f>IF(OR($N520="RESTRINGIDO", $N507="RESTRINGIDO"), 0, E483)</f>
        <v>0</v>
      </c>
      <c r="F594" s="93">
        <f>IF(OR($N520="RESTRINGIDO", $N508="RESTRINGIDO"), 0, F483)</f>
        <v>0</v>
      </c>
      <c r="G594" s="93">
        <f>IF(OR($N520="RESTRINGIDO", $N509="RESTRINGIDO"), 0, G483)</f>
        <v>0</v>
      </c>
      <c r="H594" s="93">
        <f>IF(OR($N520="RESTRINGIDO", $N510="RESTRINGIDO"), 0, H483)</f>
        <v>0</v>
      </c>
      <c r="I594" s="93">
        <f>IF(OR($N520="RESTRINGIDO", $N511="RESTRINGIDO"), 0, I483)</f>
        <v>0</v>
      </c>
      <c r="J594" s="93">
        <f>IF(OR($N520="RESTRINGIDO", $N512="RESTRINGIDO"), 0, J483)</f>
        <v>0</v>
      </c>
      <c r="K594" s="93">
        <f>IF(OR($N520="RESTRINGIDO", $N513="RESTRINGIDO"), 0, K483)</f>
        <v>0</v>
      </c>
      <c r="L594" s="93">
        <f>IF(OR($N520="RESTRINGIDO", $N514="RESTRINGIDO"), 0, L483)</f>
        <v>0</v>
      </c>
      <c r="M594" s="93">
        <f>IF(OR($N520="RESTRINGIDO", $N515="RESTRINGIDO"), 0, M483)</f>
        <v>0</v>
      </c>
      <c r="N594" s="93">
        <f>IF(OR($N520="RESTRINGIDO", $N516="RESTRINGIDO"), 0, N483)</f>
        <v>0</v>
      </c>
      <c r="O594" s="93">
        <f>IF(OR($N520="RESTRINGIDO", $N517="RESTRINGIDO"), 0, O483)</f>
        <v>0</v>
      </c>
      <c r="P594" s="93">
        <f>IF(OR($N520="RESTRINGIDO", $N518="RESTRINGIDO"), 0, P483)</f>
        <v>0</v>
      </c>
      <c r="Q594" s="93">
        <f>IF(OR($N520="RESTRINGIDO", $N519="RESTRINGIDO"), 0, Q483)</f>
        <v>0</v>
      </c>
      <c r="R594" s="93">
        <f>IF($N520="RESTRINGIDO", 1, IF(OR($N520="", $C483=""), 1, R483))</f>
        <v>1</v>
      </c>
      <c r="S594" s="93">
        <f>IF(OR($N520="RESTRINGIDO", $N521="RESTRINGIDO"), 0, S483)</f>
        <v>0</v>
      </c>
      <c r="T594" s="93">
        <f>IF(OR($N520="RESTRINGIDO", $N522="RESTRINGIDO"), 0, T483)</f>
        <v>0</v>
      </c>
      <c r="U594" s="93">
        <f>IF(OR($N520="RESTRINGIDO", $N523="RESTRINGIDO"), 0, U483)</f>
        <v>0</v>
      </c>
      <c r="V594" s="93">
        <f>IF(OR($N520="RESTRINGIDO", $N524="RESTRINGIDO"), 0, V483)</f>
        <v>0</v>
      </c>
      <c r="W594" s="93">
        <f>IF(OR($N520="RESTRINGIDO", $N525="RESTRINGIDO"), 0, W483)</f>
        <v>0</v>
      </c>
      <c r="X594" s="93">
        <f>IF(OR($N520="RESTRINGIDO", $N526="RESTRINGIDO"), 0, X483)</f>
        <v>0</v>
      </c>
      <c r="Y594" s="93">
        <f>IF(OR($N520="RESTRINGIDO", $N527="RESTRINGIDO"), 0, Y483)</f>
        <v>0</v>
      </c>
      <c r="Z594" s="93">
        <f>IF(OR($N520="RESTRINGIDO", $N528="RESTRINGIDO"), 0, Z483)</f>
        <v>0</v>
      </c>
      <c r="AA594" s="93">
        <f>IF(OR($N520="RESTRINGIDO", $N529="RESTRINGIDO"), 0, AA483)</f>
        <v>0</v>
      </c>
      <c r="AB594" s="93">
        <f>IF(OR($N520="RESTRINGIDO", $N530="RESTRINGIDO"), 0, AB483)</f>
        <v>0</v>
      </c>
      <c r="AC594" s="93">
        <f>IF(OR($N520="RESTRINGIDO", $N531="RESTRINGIDO"), 0, AC483)</f>
        <v>0</v>
      </c>
      <c r="AD594" s="93">
        <f>IF(OR($N520="RESTRINGIDO", $N532="RESTRINGIDO"), 0, AD483)</f>
        <v>0</v>
      </c>
      <c r="AE594" s="93">
        <f>IF(OR($N520="RESTRINGIDO", $N533="RESTRINGIDO"), 0, AE483)</f>
        <v>0</v>
      </c>
      <c r="AF594" s="93">
        <f>IF(OR($N520="RESTRINGIDO", $N534="RESTRINGIDO"), 0, AF483)</f>
        <v>0</v>
      </c>
      <c r="AG594" s="93">
        <f>IF(OR($N520="RESTRINGIDO", $N535="RESTRINGIDO"), 0, AG483)</f>
        <v>0</v>
      </c>
      <c r="AH594" s="93">
        <f>IF(OR($N520="RESTRINGIDO", $N536="RESTRINGIDO"), 0, AH483)</f>
        <v>0</v>
      </c>
      <c r="AJ594" s="93">
        <f t="shared" si="83"/>
        <v>0</v>
      </c>
      <c r="AL594" s="104">
        <v>0</v>
      </c>
      <c r="AN594" s="104">
        <v>0</v>
      </c>
    </row>
    <row r="595" spans="2:40" x14ac:dyDescent="0.3">
      <c r="B595" s="93">
        <f>IF(OR($N521="RESTRINGIDO", $N504="RESTRINGIDO"), 0, B484)</f>
        <v>0</v>
      </c>
      <c r="C595" s="93">
        <f>IF(OR($N521="RESTRINGIDO", $N505="RESTRINGIDO"), 0, C484)</f>
        <v>0</v>
      </c>
      <c r="D595" s="93">
        <f>IF(OR($N521="RESTRINGIDO", $N506="RESTRINGIDO"), 0, D484)</f>
        <v>0</v>
      </c>
      <c r="E595" s="93">
        <f>IF(OR($N521="RESTRINGIDO", $N507="RESTRINGIDO"), 0, E484)</f>
        <v>0</v>
      </c>
      <c r="F595" s="93">
        <f>IF(OR($N521="RESTRINGIDO", $N508="RESTRINGIDO"), 0, F484)</f>
        <v>0</v>
      </c>
      <c r="G595" s="93">
        <f>IF(OR($N521="RESTRINGIDO", $N509="RESTRINGIDO"), 0, G484)</f>
        <v>0</v>
      </c>
      <c r="H595" s="93">
        <f>IF(OR($N521="RESTRINGIDO", $N510="RESTRINGIDO"), 0, H484)</f>
        <v>0</v>
      </c>
      <c r="I595" s="93">
        <f>IF(OR($N521="RESTRINGIDO", $N511="RESTRINGIDO"), 0, I484)</f>
        <v>0</v>
      </c>
      <c r="J595" s="93">
        <f>IF(OR($N521="RESTRINGIDO", $N512="RESTRINGIDO"), 0, J484)</f>
        <v>0</v>
      </c>
      <c r="K595" s="93">
        <f>IF(OR($N521="RESTRINGIDO", $N513="RESTRINGIDO"), 0, K484)</f>
        <v>0</v>
      </c>
      <c r="L595" s="93">
        <f>IF(OR($N521="RESTRINGIDO", $N514="RESTRINGIDO"), 0, L484)</f>
        <v>0</v>
      </c>
      <c r="M595" s="93">
        <f>IF(OR($N521="RESTRINGIDO", $N515="RESTRINGIDO"), 0, M484)</f>
        <v>0</v>
      </c>
      <c r="N595" s="93">
        <f>IF(OR($N521="RESTRINGIDO", $N516="RESTRINGIDO"), 0, N484)</f>
        <v>0</v>
      </c>
      <c r="O595" s="93">
        <f>IF(OR($N521="RESTRINGIDO", $N517="RESTRINGIDO"), 0, O484)</f>
        <v>0</v>
      </c>
      <c r="P595" s="93">
        <f>IF(OR($N521="RESTRINGIDO", $N518="RESTRINGIDO"), 0, P484)</f>
        <v>0</v>
      </c>
      <c r="Q595" s="93">
        <f>IF(OR($N521="RESTRINGIDO", $N519="RESTRINGIDO"), 0, Q484)</f>
        <v>0</v>
      </c>
      <c r="R595" s="93">
        <f>IF(OR($N521="RESTRINGIDO", $N520="RESTRINGIDO"), 0, R484)</f>
        <v>0</v>
      </c>
      <c r="S595" s="93">
        <f>IF($N521="RESTRINGIDO", 1, IF(OR($N521="", $C484=""), 1, S484))</f>
        <v>1</v>
      </c>
      <c r="T595" s="93">
        <f>IF(OR($N521="RESTRINGIDO", $N522="RESTRINGIDO"), 0, T484)</f>
        <v>0</v>
      </c>
      <c r="U595" s="93">
        <f>IF(OR($N521="RESTRINGIDO", $N523="RESTRINGIDO"), 0, U484)</f>
        <v>0</v>
      </c>
      <c r="V595" s="93">
        <f>IF(OR($N521="RESTRINGIDO", $N524="RESTRINGIDO"), 0, V484)</f>
        <v>0</v>
      </c>
      <c r="W595" s="93">
        <f>IF(OR($N521="RESTRINGIDO", $N525="RESTRINGIDO"), 0, W484)</f>
        <v>0</v>
      </c>
      <c r="X595" s="93">
        <f>IF(OR($N521="RESTRINGIDO", $N526="RESTRINGIDO"), 0, X484)</f>
        <v>0</v>
      </c>
      <c r="Y595" s="93">
        <f>IF(OR($N521="RESTRINGIDO", $N527="RESTRINGIDO"), 0, Y484)</f>
        <v>0</v>
      </c>
      <c r="Z595" s="93">
        <f>IF(OR($N521="RESTRINGIDO", $N528="RESTRINGIDO"), 0, Z484)</f>
        <v>0</v>
      </c>
      <c r="AA595" s="93">
        <f>IF(OR($N521="RESTRINGIDO", $N529="RESTRINGIDO"), 0, AA484)</f>
        <v>0</v>
      </c>
      <c r="AB595" s="93">
        <f>IF(OR($N521="RESTRINGIDO", $N530="RESTRINGIDO"), 0, AB484)</f>
        <v>0</v>
      </c>
      <c r="AC595" s="93">
        <f>IF(OR($N521="RESTRINGIDO", $N531="RESTRINGIDO"), 0, AC484)</f>
        <v>0</v>
      </c>
      <c r="AD595" s="93">
        <f>IF(OR($N521="RESTRINGIDO", $N532="RESTRINGIDO"), 0, AD484)</f>
        <v>0</v>
      </c>
      <c r="AE595" s="93">
        <f>IF(OR($N521="RESTRINGIDO", $N533="RESTRINGIDO"), 0, AE484)</f>
        <v>0</v>
      </c>
      <c r="AF595" s="93">
        <f>IF(OR($N521="RESTRINGIDO", $N534="RESTRINGIDO"), 0, AF484)</f>
        <v>0</v>
      </c>
      <c r="AG595" s="93">
        <f>IF(OR($N521="RESTRINGIDO", $N535="RESTRINGIDO"), 0, AG484)</f>
        <v>0</v>
      </c>
      <c r="AH595" s="93">
        <f>IF(OR($N521="RESTRINGIDO", $N536="RESTRINGIDO"), 0, AH484)</f>
        <v>0</v>
      </c>
      <c r="AJ595" s="93">
        <f t="shared" si="83"/>
        <v>0</v>
      </c>
      <c r="AL595" s="104">
        <v>0</v>
      </c>
      <c r="AN595" s="104">
        <v>0</v>
      </c>
    </row>
    <row r="596" spans="2:40" x14ac:dyDescent="0.3">
      <c r="B596" s="93">
        <f>IF(OR($N522="RESTRINGIDO", $N504="RESTRINGIDO"), 0, B485)</f>
        <v>0</v>
      </c>
      <c r="C596" s="93">
        <f>IF(OR($N522="RESTRINGIDO", $N505="RESTRINGIDO"), 0, C485)</f>
        <v>0</v>
      </c>
      <c r="D596" s="93">
        <f>IF(OR($N522="RESTRINGIDO", $N506="RESTRINGIDO"), 0, D485)</f>
        <v>0</v>
      </c>
      <c r="E596" s="93">
        <f>IF(OR($N522="RESTRINGIDO", $N507="RESTRINGIDO"), 0, E485)</f>
        <v>0</v>
      </c>
      <c r="F596" s="93">
        <f>IF(OR($N522="RESTRINGIDO", $N508="RESTRINGIDO"), 0, F485)</f>
        <v>0</v>
      </c>
      <c r="G596" s="93">
        <f>IF(OR($N522="RESTRINGIDO", $N509="RESTRINGIDO"), 0, G485)</f>
        <v>0</v>
      </c>
      <c r="H596" s="93">
        <f>IF(OR($N522="RESTRINGIDO", $N510="RESTRINGIDO"), 0, H485)</f>
        <v>0</v>
      </c>
      <c r="I596" s="93">
        <f>IF(OR($N522="RESTRINGIDO", $N511="RESTRINGIDO"), 0, I485)</f>
        <v>0</v>
      </c>
      <c r="J596" s="93">
        <f>IF(OR($N522="RESTRINGIDO", $N512="RESTRINGIDO"), 0, J485)</f>
        <v>0</v>
      </c>
      <c r="K596" s="93">
        <f>IF(OR($N522="RESTRINGIDO", $N513="RESTRINGIDO"), 0, K485)</f>
        <v>0</v>
      </c>
      <c r="L596" s="93">
        <f>IF(OR($N522="RESTRINGIDO", $N514="RESTRINGIDO"), 0, L485)</f>
        <v>0</v>
      </c>
      <c r="M596" s="93">
        <f>IF(OR($N522="RESTRINGIDO", $N515="RESTRINGIDO"), 0, M485)</f>
        <v>0</v>
      </c>
      <c r="N596" s="93">
        <f>IF(OR($N522="RESTRINGIDO", $N516="RESTRINGIDO"), 0, N485)</f>
        <v>0</v>
      </c>
      <c r="O596" s="93">
        <f>IF(OR($N522="RESTRINGIDO", $N517="RESTRINGIDO"), 0, O485)</f>
        <v>0</v>
      </c>
      <c r="P596" s="93">
        <f>IF(OR($N522="RESTRINGIDO", $N518="RESTRINGIDO"), 0, P485)</f>
        <v>0</v>
      </c>
      <c r="Q596" s="93">
        <f>IF(OR($N522="RESTRINGIDO", $N519="RESTRINGIDO"), 0, Q485)</f>
        <v>0</v>
      </c>
      <c r="R596" s="93">
        <f>IF(OR($N522="RESTRINGIDO", $N520="RESTRINGIDO"), 0, R485)</f>
        <v>0</v>
      </c>
      <c r="S596" s="93">
        <f>IF(OR($N522="RESTRINGIDO", $N521="RESTRINGIDO"), 0, S485)</f>
        <v>0</v>
      </c>
      <c r="T596" s="93">
        <f>IF($N522="RESTRINGIDO", 1, IF(OR($N522="", $C485=""), 1, T485))</f>
        <v>1</v>
      </c>
      <c r="U596" s="93">
        <f>IF(OR($N522="RESTRINGIDO", $N523="RESTRINGIDO"), 0, U485)</f>
        <v>0</v>
      </c>
      <c r="V596" s="93">
        <f>IF(OR($N522="RESTRINGIDO", $N524="RESTRINGIDO"), 0, V485)</f>
        <v>0</v>
      </c>
      <c r="W596" s="93">
        <f>IF(OR($N522="RESTRINGIDO", $N525="RESTRINGIDO"), 0, W485)</f>
        <v>0</v>
      </c>
      <c r="X596" s="93">
        <f>IF(OR($N522="RESTRINGIDO", $N526="RESTRINGIDO"), 0, X485)</f>
        <v>0</v>
      </c>
      <c r="Y596" s="93">
        <f>IF(OR($N522="RESTRINGIDO", $N527="RESTRINGIDO"), 0, Y485)</f>
        <v>0</v>
      </c>
      <c r="Z596" s="93">
        <f>IF(OR($N522="RESTRINGIDO", $N528="RESTRINGIDO"), 0, Z485)</f>
        <v>0</v>
      </c>
      <c r="AA596" s="93">
        <f>IF(OR($N522="RESTRINGIDO", $N529="RESTRINGIDO"), 0, AA485)</f>
        <v>0</v>
      </c>
      <c r="AB596" s="93">
        <f>IF(OR($N522="RESTRINGIDO", $N530="RESTRINGIDO"), 0, AB485)</f>
        <v>0</v>
      </c>
      <c r="AC596" s="93">
        <f>IF(OR($N522="RESTRINGIDO", $N531="RESTRINGIDO"), 0, AC485)</f>
        <v>0</v>
      </c>
      <c r="AD596" s="93">
        <f>IF(OR($N522="RESTRINGIDO", $N532="RESTRINGIDO"), 0, AD485)</f>
        <v>0</v>
      </c>
      <c r="AE596" s="93">
        <f>IF(OR($N522="RESTRINGIDO", $N533="RESTRINGIDO"), 0, AE485)</f>
        <v>0</v>
      </c>
      <c r="AF596" s="93">
        <f>IF(OR($N522="RESTRINGIDO", $N534="RESTRINGIDO"), 0, AF485)</f>
        <v>0</v>
      </c>
      <c r="AG596" s="93">
        <f>IF(OR($N522="RESTRINGIDO", $N535="RESTRINGIDO"), 0, AG485)</f>
        <v>0</v>
      </c>
      <c r="AH596" s="93">
        <f>IF(OR($N522="RESTRINGIDO", $N536="RESTRINGIDO"), 0, AH485)</f>
        <v>0</v>
      </c>
      <c r="AJ596" s="93">
        <f t="shared" si="83"/>
        <v>0</v>
      </c>
      <c r="AL596" s="104">
        <v>0</v>
      </c>
      <c r="AN596" s="104">
        <v>0</v>
      </c>
    </row>
    <row r="597" spans="2:40" x14ac:dyDescent="0.3">
      <c r="B597" s="93">
        <f>IF(OR($N523="RESTRINGIDO", $N504="RESTRINGIDO"), 0, B486)</f>
        <v>0</v>
      </c>
      <c r="C597" s="93">
        <f>IF(OR($N523="RESTRINGIDO", $N505="RESTRINGIDO"), 0, C486)</f>
        <v>0</v>
      </c>
      <c r="D597" s="93">
        <f>IF(OR($N523="RESTRINGIDO", $N506="RESTRINGIDO"), 0, D486)</f>
        <v>0</v>
      </c>
      <c r="E597" s="93">
        <f>IF(OR($N523="RESTRINGIDO", $N507="RESTRINGIDO"), 0, E486)</f>
        <v>0</v>
      </c>
      <c r="F597" s="93">
        <f>IF(OR($N523="RESTRINGIDO", $N508="RESTRINGIDO"), 0, F486)</f>
        <v>0</v>
      </c>
      <c r="G597" s="93">
        <f>IF(OR($N523="RESTRINGIDO", $N509="RESTRINGIDO"), 0, G486)</f>
        <v>0</v>
      </c>
      <c r="H597" s="93">
        <f>IF(OR($N523="RESTRINGIDO", $N510="RESTRINGIDO"), 0, H486)</f>
        <v>0</v>
      </c>
      <c r="I597" s="93">
        <f>IF(OR($N523="RESTRINGIDO", $N511="RESTRINGIDO"), 0, I486)</f>
        <v>0</v>
      </c>
      <c r="J597" s="93">
        <f>IF(OR($N523="RESTRINGIDO", $N512="RESTRINGIDO"), 0, J486)</f>
        <v>0</v>
      </c>
      <c r="K597" s="93">
        <f>IF(OR($N523="RESTRINGIDO", $N513="RESTRINGIDO"), 0, K486)</f>
        <v>0</v>
      </c>
      <c r="L597" s="93">
        <f>IF(OR($N523="RESTRINGIDO", $N514="RESTRINGIDO"), 0, L486)</f>
        <v>0</v>
      </c>
      <c r="M597" s="93">
        <f>IF(OR($N523="RESTRINGIDO", $N515="RESTRINGIDO"), 0, M486)</f>
        <v>0</v>
      </c>
      <c r="N597" s="93">
        <f>IF(OR($N523="RESTRINGIDO", $N516="RESTRINGIDO"), 0, N486)</f>
        <v>0</v>
      </c>
      <c r="O597" s="93">
        <f>IF(OR($N523="RESTRINGIDO", $N517="RESTRINGIDO"), 0, O486)</f>
        <v>0</v>
      </c>
      <c r="P597" s="93">
        <f>IF(OR($N523="RESTRINGIDO", $N518="RESTRINGIDO"), 0, P486)</f>
        <v>0</v>
      </c>
      <c r="Q597" s="93">
        <f>IF(OR($N523="RESTRINGIDO", $N519="RESTRINGIDO"), 0, Q486)</f>
        <v>0</v>
      </c>
      <c r="R597" s="93">
        <f>IF(OR($N523="RESTRINGIDO", $N520="RESTRINGIDO"), 0, R486)</f>
        <v>0</v>
      </c>
      <c r="S597" s="93">
        <f>IF(OR($N523="RESTRINGIDO", $N521="RESTRINGIDO"), 0, S486)</f>
        <v>0</v>
      </c>
      <c r="T597" s="93">
        <f>IF(OR($N523="RESTRINGIDO", $N522="RESTRINGIDO"), 0, T486)</f>
        <v>0</v>
      </c>
      <c r="U597" s="93">
        <f>IF($N523="RESTRINGIDO", 1, IF(OR($N523="", $C486=""), 1, U486))</f>
        <v>1</v>
      </c>
      <c r="V597" s="93">
        <f>IF(OR($N523="RESTRINGIDO", $N524="RESTRINGIDO"), 0, V486)</f>
        <v>0</v>
      </c>
      <c r="W597" s="93">
        <f>IF(OR($N523="RESTRINGIDO", $N525="RESTRINGIDO"), 0, W486)</f>
        <v>0</v>
      </c>
      <c r="X597" s="93">
        <f>IF(OR($N523="RESTRINGIDO", $N526="RESTRINGIDO"), 0, X486)</f>
        <v>0</v>
      </c>
      <c r="Y597" s="93">
        <f>IF(OR($N523="RESTRINGIDO", $N527="RESTRINGIDO"), 0, Y486)</f>
        <v>0</v>
      </c>
      <c r="Z597" s="93">
        <f>IF(OR($N523="RESTRINGIDO", $N528="RESTRINGIDO"), 0, Z486)</f>
        <v>0</v>
      </c>
      <c r="AA597" s="93">
        <f>IF(OR($N523="RESTRINGIDO", $N529="RESTRINGIDO"), 0, AA486)</f>
        <v>0</v>
      </c>
      <c r="AB597" s="93">
        <f>IF(OR($N523="RESTRINGIDO", $N530="RESTRINGIDO"), 0, AB486)</f>
        <v>0</v>
      </c>
      <c r="AC597" s="93">
        <f>IF(OR($N523="RESTRINGIDO", $N531="RESTRINGIDO"), 0, AC486)</f>
        <v>0</v>
      </c>
      <c r="AD597" s="93">
        <f>IF(OR($N523="RESTRINGIDO", $N532="RESTRINGIDO"), 0, AD486)</f>
        <v>0</v>
      </c>
      <c r="AE597" s="93">
        <f>IF(OR($N523="RESTRINGIDO", $N533="RESTRINGIDO"), 0, AE486)</f>
        <v>0</v>
      </c>
      <c r="AF597" s="93">
        <f>IF(OR($N523="RESTRINGIDO", $N534="RESTRINGIDO"), 0, AF486)</f>
        <v>0</v>
      </c>
      <c r="AG597" s="93">
        <f>IF(OR($N523="RESTRINGIDO", $N535="RESTRINGIDO"), 0, AG486)</f>
        <v>0</v>
      </c>
      <c r="AH597" s="93">
        <f>IF(OR($N523="RESTRINGIDO", $N536="RESTRINGIDO"), 0, AH486)</f>
        <v>0</v>
      </c>
      <c r="AJ597" s="93">
        <f t="shared" si="83"/>
        <v>0</v>
      </c>
      <c r="AL597" s="104">
        <v>0</v>
      </c>
      <c r="AN597" s="104">
        <v>0</v>
      </c>
    </row>
    <row r="598" spans="2:40" x14ac:dyDescent="0.3">
      <c r="B598" s="93">
        <f>IF(OR($N524="RESTRINGIDO", $N504="RESTRINGIDO"), 0, B487)</f>
        <v>0</v>
      </c>
      <c r="C598" s="93">
        <f>IF(OR($N524="RESTRINGIDO", $N505="RESTRINGIDO"), 0, C487)</f>
        <v>0</v>
      </c>
      <c r="D598" s="93">
        <f>IF(OR($N524="RESTRINGIDO", $N506="RESTRINGIDO"), 0, D487)</f>
        <v>0</v>
      </c>
      <c r="E598" s="93">
        <f>IF(OR($N524="RESTRINGIDO", $N507="RESTRINGIDO"), 0, E487)</f>
        <v>0</v>
      </c>
      <c r="F598" s="93">
        <f>IF(OR($N524="RESTRINGIDO", $N508="RESTRINGIDO"), 0, F487)</f>
        <v>0</v>
      </c>
      <c r="G598" s="93">
        <f>IF(OR($N524="RESTRINGIDO", $N509="RESTRINGIDO"), 0, G487)</f>
        <v>0</v>
      </c>
      <c r="H598" s="93">
        <f>IF(OR($N524="RESTRINGIDO", $N510="RESTRINGIDO"), 0, H487)</f>
        <v>0</v>
      </c>
      <c r="I598" s="93">
        <f>IF(OR($N524="RESTRINGIDO", $N511="RESTRINGIDO"), 0, I487)</f>
        <v>0</v>
      </c>
      <c r="J598" s="93">
        <f>IF(OR($N524="RESTRINGIDO", $N512="RESTRINGIDO"), 0, J487)</f>
        <v>0</v>
      </c>
      <c r="K598" s="93">
        <f>IF(OR($N524="RESTRINGIDO", $N513="RESTRINGIDO"), 0, K487)</f>
        <v>0</v>
      </c>
      <c r="L598" s="93">
        <f>IF(OR($N524="RESTRINGIDO", $N514="RESTRINGIDO"), 0, L487)</f>
        <v>0</v>
      </c>
      <c r="M598" s="93">
        <f>IF(OR($N524="RESTRINGIDO", $N515="RESTRINGIDO"), 0, M487)</f>
        <v>0</v>
      </c>
      <c r="N598" s="93">
        <f>IF(OR($N524="RESTRINGIDO", $N516="RESTRINGIDO"), 0, N487)</f>
        <v>0</v>
      </c>
      <c r="O598" s="93">
        <f>IF(OR($N524="RESTRINGIDO", $N517="RESTRINGIDO"), 0, O487)</f>
        <v>0</v>
      </c>
      <c r="P598" s="93">
        <f>IF(OR($N524="RESTRINGIDO", $N518="RESTRINGIDO"), 0, P487)</f>
        <v>0</v>
      </c>
      <c r="Q598" s="93">
        <f>IF(OR($N524="RESTRINGIDO", $N519="RESTRINGIDO"), 0, Q487)</f>
        <v>0</v>
      </c>
      <c r="R598" s="93">
        <f>IF(OR($N524="RESTRINGIDO", $N520="RESTRINGIDO"), 0, R487)</f>
        <v>0</v>
      </c>
      <c r="S598" s="93">
        <f>IF(OR($N524="RESTRINGIDO", $N521="RESTRINGIDO"), 0, S487)</f>
        <v>0</v>
      </c>
      <c r="T598" s="93">
        <f>IF(OR($N524="RESTRINGIDO", $N522="RESTRINGIDO"), 0, T487)</f>
        <v>0</v>
      </c>
      <c r="U598" s="93">
        <f>IF(OR($N524="RESTRINGIDO", $N523="RESTRINGIDO"), 0, U487)</f>
        <v>0</v>
      </c>
      <c r="V598" s="93">
        <f>IF($N524="RESTRINGIDO", 1, IF(OR($N524="", $C487=""), 1, V487))</f>
        <v>1</v>
      </c>
      <c r="W598" s="93">
        <f>IF(OR($N524="RESTRINGIDO", $N525="RESTRINGIDO"), 0, W487)</f>
        <v>0</v>
      </c>
      <c r="X598" s="93">
        <f>IF(OR($N524="RESTRINGIDO", $N526="RESTRINGIDO"), 0, X487)</f>
        <v>0</v>
      </c>
      <c r="Y598" s="93">
        <f>IF(OR($N524="RESTRINGIDO", $N527="RESTRINGIDO"), 0, Y487)</f>
        <v>0</v>
      </c>
      <c r="Z598" s="93">
        <f>IF(OR($N524="RESTRINGIDO", $N528="RESTRINGIDO"), 0, Z487)</f>
        <v>0</v>
      </c>
      <c r="AA598" s="93">
        <f>IF(OR($N524="RESTRINGIDO", $N529="RESTRINGIDO"), 0, AA487)</f>
        <v>0</v>
      </c>
      <c r="AB598" s="93">
        <f>IF(OR($N524="RESTRINGIDO", $N530="RESTRINGIDO"), 0, AB487)</f>
        <v>0</v>
      </c>
      <c r="AC598" s="93">
        <f>IF(OR($N524="RESTRINGIDO", $N531="RESTRINGIDO"), 0, AC487)</f>
        <v>0</v>
      </c>
      <c r="AD598" s="93">
        <f>IF(OR($N524="RESTRINGIDO", $N532="RESTRINGIDO"), 0, AD487)</f>
        <v>0</v>
      </c>
      <c r="AE598" s="93">
        <f>IF(OR($N524="RESTRINGIDO", $N533="RESTRINGIDO"), 0, AE487)</f>
        <v>0</v>
      </c>
      <c r="AF598" s="93">
        <f>IF(OR($N524="RESTRINGIDO", $N534="RESTRINGIDO"), 0, AF487)</f>
        <v>0</v>
      </c>
      <c r="AG598" s="93">
        <f>IF(OR($N524="RESTRINGIDO", $N535="RESTRINGIDO"), 0, AG487)</f>
        <v>0</v>
      </c>
      <c r="AH598" s="93">
        <f>IF(OR($N524="RESTRINGIDO", $N536="RESTRINGIDO"), 0, AH487)</f>
        <v>0</v>
      </c>
      <c r="AJ598" s="93">
        <f t="shared" si="83"/>
        <v>0</v>
      </c>
      <c r="AL598" s="104">
        <v>0</v>
      </c>
      <c r="AN598" s="104">
        <v>0</v>
      </c>
    </row>
    <row r="599" spans="2:40" x14ac:dyDescent="0.3">
      <c r="B599" s="93">
        <f>IF(OR($N525="RESTRINGIDO", $N504="RESTRINGIDO"), 0, B488)</f>
        <v>0</v>
      </c>
      <c r="C599" s="93">
        <f>IF(OR($N525="RESTRINGIDO", $N505="RESTRINGIDO"), 0, C488)</f>
        <v>0</v>
      </c>
      <c r="D599" s="93">
        <f>IF(OR($N525="RESTRINGIDO", $N506="RESTRINGIDO"), 0, D488)</f>
        <v>0</v>
      </c>
      <c r="E599" s="93">
        <f>IF(OR($N525="RESTRINGIDO", $N507="RESTRINGIDO"), 0, E488)</f>
        <v>0</v>
      </c>
      <c r="F599" s="93">
        <f>IF(OR($N525="RESTRINGIDO", $N508="RESTRINGIDO"), 0, F488)</f>
        <v>0</v>
      </c>
      <c r="G599" s="93">
        <f>IF(OR($N525="RESTRINGIDO", $N509="RESTRINGIDO"), 0, G488)</f>
        <v>0</v>
      </c>
      <c r="H599" s="93">
        <f>IF(OR($N525="RESTRINGIDO", $N510="RESTRINGIDO"), 0, H488)</f>
        <v>0</v>
      </c>
      <c r="I599" s="93">
        <f>IF(OR($N525="RESTRINGIDO", $N511="RESTRINGIDO"), 0, I488)</f>
        <v>0</v>
      </c>
      <c r="J599" s="93">
        <f>IF(OR($N525="RESTRINGIDO", $N512="RESTRINGIDO"), 0, J488)</f>
        <v>0</v>
      </c>
      <c r="K599" s="93">
        <f>IF(OR($N525="RESTRINGIDO", $N513="RESTRINGIDO"), 0, K488)</f>
        <v>0</v>
      </c>
      <c r="L599" s="93">
        <f>IF(OR($N525="RESTRINGIDO", $N514="RESTRINGIDO"), 0, L488)</f>
        <v>0</v>
      </c>
      <c r="M599" s="93">
        <f>IF(OR($N525="RESTRINGIDO", $N515="RESTRINGIDO"), 0, M488)</f>
        <v>0</v>
      </c>
      <c r="N599" s="93">
        <f>IF(OR($N525="RESTRINGIDO", $N516="RESTRINGIDO"), 0, N488)</f>
        <v>0</v>
      </c>
      <c r="O599" s="93">
        <f>IF(OR($N525="RESTRINGIDO", $N517="RESTRINGIDO"), 0, O488)</f>
        <v>0</v>
      </c>
      <c r="P599" s="93">
        <f>IF(OR($N525="RESTRINGIDO", $N518="RESTRINGIDO"), 0, P488)</f>
        <v>0</v>
      </c>
      <c r="Q599" s="93">
        <f>IF(OR($N525="RESTRINGIDO", $N519="RESTRINGIDO"), 0, Q488)</f>
        <v>0</v>
      </c>
      <c r="R599" s="93">
        <f>IF(OR($N525="RESTRINGIDO", $N520="RESTRINGIDO"), 0, R488)</f>
        <v>0</v>
      </c>
      <c r="S599" s="93">
        <f>IF(OR($N525="RESTRINGIDO", $N521="RESTRINGIDO"), 0, S488)</f>
        <v>0</v>
      </c>
      <c r="T599" s="93">
        <f>IF(OR($N525="RESTRINGIDO", $N522="RESTRINGIDO"), 0, T488)</f>
        <v>0</v>
      </c>
      <c r="U599" s="93">
        <f>IF(OR($N525="RESTRINGIDO", $N523="RESTRINGIDO"), 0, U488)</f>
        <v>0</v>
      </c>
      <c r="V599" s="93">
        <f>IF(OR($N525="RESTRINGIDO", $N524="RESTRINGIDO"), 0, V488)</f>
        <v>0</v>
      </c>
      <c r="W599" s="93">
        <f>IF($N525="RESTRINGIDO", 1, IF(OR($N525="", $C488=""), 1, W488))</f>
        <v>1</v>
      </c>
      <c r="X599" s="93">
        <f>IF(OR($N525="RESTRINGIDO", $N526="RESTRINGIDO"), 0, X488)</f>
        <v>0</v>
      </c>
      <c r="Y599" s="93">
        <f>IF(OR($N525="RESTRINGIDO", $N527="RESTRINGIDO"), 0, Y488)</f>
        <v>0</v>
      </c>
      <c r="Z599" s="93">
        <f>IF(OR($N525="RESTRINGIDO", $N528="RESTRINGIDO"), 0, Z488)</f>
        <v>0</v>
      </c>
      <c r="AA599" s="93">
        <f>IF(OR($N525="RESTRINGIDO", $N529="RESTRINGIDO"), 0, AA488)</f>
        <v>0</v>
      </c>
      <c r="AB599" s="93">
        <f>IF(OR($N525="RESTRINGIDO", $N530="RESTRINGIDO"), 0, AB488)</f>
        <v>0</v>
      </c>
      <c r="AC599" s="93">
        <f>IF(OR($N525="RESTRINGIDO", $N531="RESTRINGIDO"), 0, AC488)</f>
        <v>0</v>
      </c>
      <c r="AD599" s="93">
        <f>IF(OR($N525="RESTRINGIDO", $N532="RESTRINGIDO"), 0, AD488)</f>
        <v>0</v>
      </c>
      <c r="AE599" s="93">
        <f>IF(OR($N525="RESTRINGIDO", $N533="RESTRINGIDO"), 0, AE488)</f>
        <v>0</v>
      </c>
      <c r="AF599" s="93">
        <f>IF(OR($N525="RESTRINGIDO", $N534="RESTRINGIDO"), 0, AF488)</f>
        <v>0</v>
      </c>
      <c r="AG599" s="93">
        <f>IF(OR($N525="RESTRINGIDO", $N535="RESTRINGIDO"), 0, AG488)</f>
        <v>0</v>
      </c>
      <c r="AH599" s="93">
        <f>IF(OR($N525="RESTRINGIDO", $N536="RESTRINGIDO"), 0, AH488)</f>
        <v>0</v>
      </c>
      <c r="AJ599" s="93">
        <f t="shared" si="83"/>
        <v>0</v>
      </c>
      <c r="AL599" s="104">
        <v>0</v>
      </c>
      <c r="AN599" s="104">
        <v>0</v>
      </c>
    </row>
    <row r="600" spans="2:40" x14ac:dyDescent="0.3">
      <c r="B600" s="93">
        <f>IF(OR($N526="RESTRINGIDO", $N504="RESTRINGIDO"), 0, B489)</f>
        <v>0</v>
      </c>
      <c r="C600" s="93">
        <f>IF(OR($N526="RESTRINGIDO", $N505="RESTRINGIDO"), 0, C489)</f>
        <v>0</v>
      </c>
      <c r="D600" s="93">
        <f>IF(OR($N526="RESTRINGIDO", $N506="RESTRINGIDO"), 0, D489)</f>
        <v>0</v>
      </c>
      <c r="E600" s="93">
        <f>IF(OR($N526="RESTRINGIDO", $N507="RESTRINGIDO"), 0, E489)</f>
        <v>0</v>
      </c>
      <c r="F600" s="93">
        <f>IF(OR($N526="RESTRINGIDO", $N508="RESTRINGIDO"), 0, F489)</f>
        <v>0</v>
      </c>
      <c r="G600" s="93">
        <f>IF(OR($N526="RESTRINGIDO", $N509="RESTRINGIDO"), 0, G489)</f>
        <v>0</v>
      </c>
      <c r="H600" s="93">
        <f>IF(OR($N526="RESTRINGIDO", $N510="RESTRINGIDO"), 0, H489)</f>
        <v>0</v>
      </c>
      <c r="I600" s="93">
        <f>IF(OR($N526="RESTRINGIDO", $N511="RESTRINGIDO"), 0, I489)</f>
        <v>0</v>
      </c>
      <c r="J600" s="93">
        <f>IF(OR($N526="RESTRINGIDO", $N512="RESTRINGIDO"), 0, J489)</f>
        <v>0</v>
      </c>
      <c r="K600" s="93">
        <f>IF(OR($N526="RESTRINGIDO", $N513="RESTRINGIDO"), 0, K489)</f>
        <v>0</v>
      </c>
      <c r="L600" s="93">
        <f>IF(OR($N526="RESTRINGIDO", $N514="RESTRINGIDO"), 0, L489)</f>
        <v>0</v>
      </c>
      <c r="M600" s="93">
        <f>IF(OR($N526="RESTRINGIDO", $N515="RESTRINGIDO"), 0, M489)</f>
        <v>0</v>
      </c>
      <c r="N600" s="93">
        <f>IF(OR($N526="RESTRINGIDO", $N516="RESTRINGIDO"), 0, N489)</f>
        <v>0</v>
      </c>
      <c r="O600" s="93">
        <f>IF(OR($N526="RESTRINGIDO", $N517="RESTRINGIDO"), 0, O489)</f>
        <v>0</v>
      </c>
      <c r="P600" s="93">
        <f>IF(OR($N526="RESTRINGIDO", $N518="RESTRINGIDO"), 0, P489)</f>
        <v>0</v>
      </c>
      <c r="Q600" s="93">
        <f>IF(OR($N526="RESTRINGIDO", $N519="RESTRINGIDO"), 0, Q489)</f>
        <v>0</v>
      </c>
      <c r="R600" s="93">
        <f>IF(OR($N526="RESTRINGIDO", $N520="RESTRINGIDO"), 0, R489)</f>
        <v>0</v>
      </c>
      <c r="S600" s="93">
        <f>IF(OR($N526="RESTRINGIDO", $N521="RESTRINGIDO"), 0, S489)</f>
        <v>0</v>
      </c>
      <c r="T600" s="93">
        <f>IF(OR($N526="RESTRINGIDO", $N522="RESTRINGIDO"), 0, T489)</f>
        <v>0</v>
      </c>
      <c r="U600" s="93">
        <f>IF(OR($N526="RESTRINGIDO", $N523="RESTRINGIDO"), 0, U489)</f>
        <v>0</v>
      </c>
      <c r="V600" s="93">
        <f>IF(OR($N526="RESTRINGIDO", $N524="RESTRINGIDO"), 0, V489)</f>
        <v>0</v>
      </c>
      <c r="W600" s="93">
        <f>IF(OR($N526="RESTRINGIDO", $N525="RESTRINGIDO"), 0, W489)</f>
        <v>0</v>
      </c>
      <c r="X600" s="93">
        <f>IF($N526="RESTRINGIDO", 1, IF(OR($N526="", $C489=""), 1, X489))</f>
        <v>1</v>
      </c>
      <c r="Y600" s="93">
        <f>IF(OR($N526="RESTRINGIDO", $N527="RESTRINGIDO"), 0, Y489)</f>
        <v>0</v>
      </c>
      <c r="Z600" s="93">
        <f>IF(OR($N526="RESTRINGIDO", $N528="RESTRINGIDO"), 0, Z489)</f>
        <v>0</v>
      </c>
      <c r="AA600" s="93">
        <f>IF(OR($N526="RESTRINGIDO", $N529="RESTRINGIDO"), 0, AA489)</f>
        <v>0</v>
      </c>
      <c r="AB600" s="93">
        <f>IF(OR($N526="RESTRINGIDO", $N530="RESTRINGIDO"), 0, AB489)</f>
        <v>0</v>
      </c>
      <c r="AC600" s="93">
        <f>IF(OR($N526="RESTRINGIDO", $N531="RESTRINGIDO"), 0, AC489)</f>
        <v>0</v>
      </c>
      <c r="AD600" s="93">
        <f>IF(OR($N526="RESTRINGIDO", $N532="RESTRINGIDO"), 0, AD489)</f>
        <v>0</v>
      </c>
      <c r="AE600" s="93">
        <f>IF(OR($N526="RESTRINGIDO", $N533="RESTRINGIDO"), 0, AE489)</f>
        <v>0</v>
      </c>
      <c r="AF600" s="93">
        <f>IF(OR($N526="RESTRINGIDO", $N534="RESTRINGIDO"), 0, AF489)</f>
        <v>0</v>
      </c>
      <c r="AG600" s="93">
        <f>IF(OR($N526="RESTRINGIDO", $N535="RESTRINGIDO"), 0, AG489)</f>
        <v>0</v>
      </c>
      <c r="AH600" s="93">
        <f>IF(OR($N526="RESTRINGIDO", $N536="RESTRINGIDO"), 0, AH489)</f>
        <v>0</v>
      </c>
      <c r="AJ600" s="93">
        <f t="shared" si="83"/>
        <v>0</v>
      </c>
      <c r="AL600" s="104">
        <v>0</v>
      </c>
      <c r="AN600" s="104">
        <v>0</v>
      </c>
    </row>
    <row r="601" spans="2:40" x14ac:dyDescent="0.3">
      <c r="B601" s="93">
        <f>IF(OR($N527="RESTRINGIDO", $N504="RESTRINGIDO"), 0, B490)</f>
        <v>0</v>
      </c>
      <c r="C601" s="93">
        <f>IF(OR($N527="RESTRINGIDO", $N505="RESTRINGIDO"), 0, C490)</f>
        <v>0</v>
      </c>
      <c r="D601" s="93">
        <f>IF(OR($N527="RESTRINGIDO", $N506="RESTRINGIDO"), 0, D490)</f>
        <v>0</v>
      </c>
      <c r="E601" s="93">
        <f>IF(OR($N527="RESTRINGIDO", $N507="RESTRINGIDO"), 0, E490)</f>
        <v>0</v>
      </c>
      <c r="F601" s="93">
        <f>IF(OR($N527="RESTRINGIDO", $N508="RESTRINGIDO"), 0, F490)</f>
        <v>0</v>
      </c>
      <c r="G601" s="93">
        <f>IF(OR($N527="RESTRINGIDO", $N509="RESTRINGIDO"), 0, G490)</f>
        <v>0</v>
      </c>
      <c r="H601" s="93">
        <f>IF(OR($N527="RESTRINGIDO", $N510="RESTRINGIDO"), 0, H490)</f>
        <v>0</v>
      </c>
      <c r="I601" s="93">
        <f>IF(OR($N527="RESTRINGIDO", $N511="RESTRINGIDO"), 0, I490)</f>
        <v>0</v>
      </c>
      <c r="J601" s="93">
        <f>IF(OR($N527="RESTRINGIDO", $N512="RESTRINGIDO"), 0, J490)</f>
        <v>0</v>
      </c>
      <c r="K601" s="93">
        <f>IF(OR($N527="RESTRINGIDO", $N513="RESTRINGIDO"), 0, K490)</f>
        <v>0</v>
      </c>
      <c r="L601" s="93">
        <f>IF(OR($N527="RESTRINGIDO", $N514="RESTRINGIDO"), 0, L490)</f>
        <v>0</v>
      </c>
      <c r="M601" s="93">
        <f>IF(OR($N527="RESTRINGIDO", $N515="RESTRINGIDO"), 0, M490)</f>
        <v>0</v>
      </c>
      <c r="N601" s="93">
        <f>IF(OR($N527="RESTRINGIDO", $N516="RESTRINGIDO"), 0, N490)</f>
        <v>0</v>
      </c>
      <c r="O601" s="93">
        <f>IF(OR($N527="RESTRINGIDO", $N517="RESTRINGIDO"), 0, O490)</f>
        <v>0</v>
      </c>
      <c r="P601" s="93">
        <f>IF(OR($N527="RESTRINGIDO", $N518="RESTRINGIDO"), 0, P490)</f>
        <v>0</v>
      </c>
      <c r="Q601" s="93">
        <f>IF(OR($N527="RESTRINGIDO", $N519="RESTRINGIDO"), 0, Q490)</f>
        <v>0</v>
      </c>
      <c r="R601" s="93">
        <f>IF(OR($N527="RESTRINGIDO", $N520="RESTRINGIDO"), 0, R490)</f>
        <v>0</v>
      </c>
      <c r="S601" s="93">
        <f>IF(OR($N527="RESTRINGIDO", $N521="RESTRINGIDO"), 0, S490)</f>
        <v>0</v>
      </c>
      <c r="T601" s="93">
        <f>IF(OR($N527="RESTRINGIDO", $N522="RESTRINGIDO"), 0, T490)</f>
        <v>0</v>
      </c>
      <c r="U601" s="93">
        <f>IF(OR($N527="RESTRINGIDO", $N523="RESTRINGIDO"), 0, U490)</f>
        <v>0</v>
      </c>
      <c r="V601" s="93">
        <f>IF(OR($N527="RESTRINGIDO", $N524="RESTRINGIDO"), 0, V490)</f>
        <v>0</v>
      </c>
      <c r="W601" s="93">
        <f>IF(OR($N527="RESTRINGIDO", $N525="RESTRINGIDO"), 0, W490)</f>
        <v>0</v>
      </c>
      <c r="X601" s="93">
        <f>IF(OR($N527="RESTRINGIDO", $N526="RESTRINGIDO"), 0, X490)</f>
        <v>0</v>
      </c>
      <c r="Y601" s="93">
        <f>IF($N527="RESTRINGIDO", 1, IF(OR($N527="", $C490=""), 1, Y490))</f>
        <v>1</v>
      </c>
      <c r="Z601" s="93">
        <f>IF(OR($N527="RESTRINGIDO", $N528="RESTRINGIDO"), 0, Z490)</f>
        <v>0</v>
      </c>
      <c r="AA601" s="93">
        <f>IF(OR($N527="RESTRINGIDO", $N529="RESTRINGIDO"), 0, AA490)</f>
        <v>0</v>
      </c>
      <c r="AB601" s="93">
        <f>IF(OR($N527="RESTRINGIDO", $N530="RESTRINGIDO"), 0, AB490)</f>
        <v>0</v>
      </c>
      <c r="AC601" s="93">
        <f>IF(OR($N527="RESTRINGIDO", $N531="RESTRINGIDO"), 0, AC490)</f>
        <v>0</v>
      </c>
      <c r="AD601" s="93">
        <f>IF(OR($N527="RESTRINGIDO", $N532="RESTRINGIDO"), 0, AD490)</f>
        <v>0</v>
      </c>
      <c r="AE601" s="93">
        <f>IF(OR($N527="RESTRINGIDO", $N533="RESTRINGIDO"), 0, AE490)</f>
        <v>0</v>
      </c>
      <c r="AF601" s="93">
        <f>IF(OR($N527="RESTRINGIDO", $N534="RESTRINGIDO"), 0, AF490)</f>
        <v>0</v>
      </c>
      <c r="AG601" s="93">
        <f>IF(OR($N527="RESTRINGIDO", $N535="RESTRINGIDO"), 0, AG490)</f>
        <v>0</v>
      </c>
      <c r="AH601" s="93">
        <f>IF(OR($N527="RESTRINGIDO", $N536="RESTRINGIDO"), 0, AH490)</f>
        <v>0</v>
      </c>
      <c r="AJ601" s="93">
        <f t="shared" si="83"/>
        <v>0</v>
      </c>
      <c r="AL601" s="104">
        <v>0</v>
      </c>
      <c r="AN601" s="104">
        <v>0</v>
      </c>
    </row>
    <row r="602" spans="2:40" x14ac:dyDescent="0.3">
      <c r="B602" s="93">
        <f>IF(OR($N528="RESTRINGIDO", $N504="RESTRINGIDO"), 0, B491)</f>
        <v>0</v>
      </c>
      <c r="C602" s="93">
        <f>IF(OR($N528="RESTRINGIDO", $N505="RESTRINGIDO"), 0, C491)</f>
        <v>0</v>
      </c>
      <c r="D602" s="93">
        <f>IF(OR($N528="RESTRINGIDO", $N506="RESTRINGIDO"), 0, D491)</f>
        <v>0</v>
      </c>
      <c r="E602" s="93">
        <f>IF(OR($N528="RESTRINGIDO", $N507="RESTRINGIDO"), 0, E491)</f>
        <v>0</v>
      </c>
      <c r="F602" s="93">
        <f>IF(OR($N528="RESTRINGIDO", $N508="RESTRINGIDO"), 0, F491)</f>
        <v>0</v>
      </c>
      <c r="G602" s="93">
        <f>IF(OR($N528="RESTRINGIDO", $N509="RESTRINGIDO"), 0, G491)</f>
        <v>0</v>
      </c>
      <c r="H602" s="93">
        <f>IF(OR($N528="RESTRINGIDO", $N510="RESTRINGIDO"), 0, H491)</f>
        <v>0</v>
      </c>
      <c r="I602" s="93">
        <f>IF(OR($N528="RESTRINGIDO", $N511="RESTRINGIDO"), 0, I491)</f>
        <v>0</v>
      </c>
      <c r="J602" s="93">
        <f>IF(OR($N528="RESTRINGIDO", $N512="RESTRINGIDO"), 0, J491)</f>
        <v>0</v>
      </c>
      <c r="K602" s="93">
        <f>IF(OR($N528="RESTRINGIDO", $N513="RESTRINGIDO"), 0, K491)</f>
        <v>0</v>
      </c>
      <c r="L602" s="93">
        <f>IF(OR($N528="RESTRINGIDO", $N514="RESTRINGIDO"), 0, L491)</f>
        <v>0</v>
      </c>
      <c r="M602" s="93">
        <f>IF(OR($N528="RESTRINGIDO", $N515="RESTRINGIDO"), 0, M491)</f>
        <v>0</v>
      </c>
      <c r="N602" s="93">
        <f>IF(OR($N528="RESTRINGIDO", $N516="RESTRINGIDO"), 0, N491)</f>
        <v>0</v>
      </c>
      <c r="O602" s="93">
        <f>IF(OR($N528="RESTRINGIDO", $N517="RESTRINGIDO"), 0, O491)</f>
        <v>0</v>
      </c>
      <c r="P602" s="93">
        <f>IF(OR($N528="RESTRINGIDO", $N518="RESTRINGIDO"), 0, P491)</f>
        <v>0</v>
      </c>
      <c r="Q602" s="93">
        <f>IF(OR($N528="RESTRINGIDO", $N519="RESTRINGIDO"), 0, Q491)</f>
        <v>0</v>
      </c>
      <c r="R602" s="93">
        <f>IF(OR($N528="RESTRINGIDO", $N520="RESTRINGIDO"), 0, R491)</f>
        <v>0</v>
      </c>
      <c r="S602" s="93">
        <f>IF(OR($N528="RESTRINGIDO", $N521="RESTRINGIDO"), 0, S491)</f>
        <v>0</v>
      </c>
      <c r="T602" s="93">
        <f>IF(OR($N528="RESTRINGIDO", $N522="RESTRINGIDO"), 0, T491)</f>
        <v>0</v>
      </c>
      <c r="U602" s="93">
        <f>IF(OR($N528="RESTRINGIDO", $N523="RESTRINGIDO"), 0, U491)</f>
        <v>0</v>
      </c>
      <c r="V602" s="93">
        <f>IF(OR($N528="RESTRINGIDO", $N524="RESTRINGIDO"), 0, V491)</f>
        <v>0</v>
      </c>
      <c r="W602" s="93">
        <f>IF(OR($N528="RESTRINGIDO", $N525="RESTRINGIDO"), 0, W491)</f>
        <v>0</v>
      </c>
      <c r="X602" s="93">
        <f>IF(OR($N528="RESTRINGIDO", $N526="RESTRINGIDO"), 0, X491)</f>
        <v>0</v>
      </c>
      <c r="Y602" s="93">
        <f>IF(OR($N528="RESTRINGIDO", $N527="RESTRINGIDO"), 0, Y491)</f>
        <v>0</v>
      </c>
      <c r="Z602" s="93">
        <f>IF($N528="RESTRINGIDO", 1, IF(OR($N528="", $C491=""), 1, Z491))</f>
        <v>1</v>
      </c>
      <c r="AA602" s="93">
        <f>IF(OR($N528="RESTRINGIDO", $N529="RESTRINGIDO"), 0, AA491)</f>
        <v>0</v>
      </c>
      <c r="AB602" s="93">
        <f>IF(OR($N528="RESTRINGIDO", $N530="RESTRINGIDO"), 0, AB491)</f>
        <v>0</v>
      </c>
      <c r="AC602" s="93">
        <f>IF(OR($N528="RESTRINGIDO", $N531="RESTRINGIDO"), 0, AC491)</f>
        <v>0</v>
      </c>
      <c r="AD602" s="93">
        <f>IF(OR($N528="RESTRINGIDO", $N532="RESTRINGIDO"), 0, AD491)</f>
        <v>0</v>
      </c>
      <c r="AE602" s="93">
        <f>IF(OR($N528="RESTRINGIDO", $N533="RESTRINGIDO"), 0, AE491)</f>
        <v>0</v>
      </c>
      <c r="AF602" s="93">
        <f>IF(OR($N528="RESTRINGIDO", $N534="RESTRINGIDO"), 0, AF491)</f>
        <v>0</v>
      </c>
      <c r="AG602" s="93">
        <f>IF(OR($N528="RESTRINGIDO", $N535="RESTRINGIDO"), 0, AG491)</f>
        <v>0</v>
      </c>
      <c r="AH602" s="93">
        <f>IF(OR($N528="RESTRINGIDO", $N536="RESTRINGIDO"), 0, AH491)</f>
        <v>0</v>
      </c>
      <c r="AJ602" s="93">
        <f t="shared" si="83"/>
        <v>0</v>
      </c>
      <c r="AL602" s="104">
        <v>0</v>
      </c>
      <c r="AN602" s="104">
        <v>0</v>
      </c>
    </row>
    <row r="603" spans="2:40" x14ac:dyDescent="0.3">
      <c r="B603" s="93">
        <f>IF(OR($N529="RESTRINGIDO", $N504="RESTRINGIDO"), 0, B492)</f>
        <v>0</v>
      </c>
      <c r="C603" s="93">
        <f>IF(OR($N529="RESTRINGIDO", $N505="RESTRINGIDO"), 0, C492)</f>
        <v>0</v>
      </c>
      <c r="D603" s="93">
        <f>IF(OR($N529="RESTRINGIDO", $N506="RESTRINGIDO"), 0, D492)</f>
        <v>0</v>
      </c>
      <c r="E603" s="93">
        <f>IF(OR($N529="RESTRINGIDO", $N507="RESTRINGIDO"), 0, E492)</f>
        <v>0</v>
      </c>
      <c r="F603" s="93">
        <f>IF(OR($N529="RESTRINGIDO", $N508="RESTRINGIDO"), 0, F492)</f>
        <v>0</v>
      </c>
      <c r="G603" s="93">
        <f>IF(OR($N529="RESTRINGIDO", $N509="RESTRINGIDO"), 0, G492)</f>
        <v>0</v>
      </c>
      <c r="H603" s="93">
        <f>IF(OR($N529="RESTRINGIDO", $N510="RESTRINGIDO"), 0, H492)</f>
        <v>0</v>
      </c>
      <c r="I603" s="93">
        <f>IF(OR($N529="RESTRINGIDO", $N511="RESTRINGIDO"), 0, I492)</f>
        <v>0</v>
      </c>
      <c r="J603" s="93">
        <f>IF(OR($N529="RESTRINGIDO", $N512="RESTRINGIDO"), 0, J492)</f>
        <v>0</v>
      </c>
      <c r="K603" s="93">
        <f>IF(OR($N529="RESTRINGIDO", $N513="RESTRINGIDO"), 0, K492)</f>
        <v>0</v>
      </c>
      <c r="L603" s="93">
        <f>IF(OR($N529="RESTRINGIDO", $N514="RESTRINGIDO"), 0, L492)</f>
        <v>0</v>
      </c>
      <c r="M603" s="93">
        <f>IF(OR($N529="RESTRINGIDO", $N515="RESTRINGIDO"), 0, M492)</f>
        <v>0</v>
      </c>
      <c r="N603" s="93">
        <f>IF(OR($N529="RESTRINGIDO", $N516="RESTRINGIDO"), 0, N492)</f>
        <v>0</v>
      </c>
      <c r="O603" s="93">
        <f>IF(OR($N529="RESTRINGIDO", $N517="RESTRINGIDO"), 0, O492)</f>
        <v>0</v>
      </c>
      <c r="P603" s="93">
        <f>IF(OR($N529="RESTRINGIDO", $N518="RESTRINGIDO"), 0, P492)</f>
        <v>0</v>
      </c>
      <c r="Q603" s="93">
        <f>IF(OR($N529="RESTRINGIDO", $N519="RESTRINGIDO"), 0, Q492)</f>
        <v>0</v>
      </c>
      <c r="R603" s="93">
        <f>IF(OR($N529="RESTRINGIDO", $N520="RESTRINGIDO"), 0, R492)</f>
        <v>0</v>
      </c>
      <c r="S603" s="93">
        <f>IF(OR($N529="RESTRINGIDO", $N521="RESTRINGIDO"), 0, S492)</f>
        <v>0</v>
      </c>
      <c r="T603" s="93">
        <f>IF(OR($N529="RESTRINGIDO", $N522="RESTRINGIDO"), 0, T492)</f>
        <v>0</v>
      </c>
      <c r="U603" s="93">
        <f>IF(OR($N529="RESTRINGIDO", $N523="RESTRINGIDO"), 0, U492)</f>
        <v>0</v>
      </c>
      <c r="V603" s="93">
        <f>IF(OR($N529="RESTRINGIDO", $N524="RESTRINGIDO"), 0, V492)</f>
        <v>0</v>
      </c>
      <c r="W603" s="93">
        <f>IF(OR($N529="RESTRINGIDO", $N525="RESTRINGIDO"), 0, W492)</f>
        <v>0</v>
      </c>
      <c r="X603" s="93">
        <f>IF(OR($N529="RESTRINGIDO", $N526="RESTRINGIDO"), 0, X492)</f>
        <v>0</v>
      </c>
      <c r="Y603" s="93">
        <f>IF(OR($N529="RESTRINGIDO", $N527="RESTRINGIDO"), 0, Y492)</f>
        <v>0</v>
      </c>
      <c r="Z603" s="93">
        <f>IF(OR($N529="RESTRINGIDO", $N528="RESTRINGIDO"), 0, Z492)</f>
        <v>0</v>
      </c>
      <c r="AA603" s="93">
        <f>IF($N529="RESTRINGIDO", 1, IF(OR($N529="", $C492=""), 1, AA492))</f>
        <v>1</v>
      </c>
      <c r="AB603" s="93">
        <f>IF(OR($N529="RESTRINGIDO", $N530="RESTRINGIDO"), 0, AB492)</f>
        <v>0</v>
      </c>
      <c r="AC603" s="93">
        <f>IF(OR($N529="RESTRINGIDO", $N531="RESTRINGIDO"), 0, AC492)</f>
        <v>0</v>
      </c>
      <c r="AD603" s="93">
        <f>IF(OR($N529="RESTRINGIDO", $N532="RESTRINGIDO"), 0, AD492)</f>
        <v>0</v>
      </c>
      <c r="AE603" s="93">
        <f>IF(OR($N529="RESTRINGIDO", $N533="RESTRINGIDO"), 0, AE492)</f>
        <v>0</v>
      </c>
      <c r="AF603" s="93">
        <f>IF(OR($N529="RESTRINGIDO", $N534="RESTRINGIDO"), 0, AF492)</f>
        <v>0</v>
      </c>
      <c r="AG603" s="93">
        <f>IF(OR($N529="RESTRINGIDO", $N535="RESTRINGIDO"), 0, AG492)</f>
        <v>0</v>
      </c>
      <c r="AH603" s="93">
        <f>IF(OR($N529="RESTRINGIDO", $N536="RESTRINGIDO"), 0, AH492)</f>
        <v>0</v>
      </c>
      <c r="AJ603" s="93">
        <f t="shared" si="83"/>
        <v>0</v>
      </c>
      <c r="AL603" s="104">
        <v>0</v>
      </c>
      <c r="AN603" s="104">
        <v>0</v>
      </c>
    </row>
    <row r="604" spans="2:40" x14ac:dyDescent="0.3">
      <c r="B604" s="93">
        <f>IF(OR($N530="RESTRINGIDO", $N504="RESTRINGIDO"), 0, B493)</f>
        <v>0</v>
      </c>
      <c r="C604" s="93">
        <f>IF(OR($N530="RESTRINGIDO", $N505="RESTRINGIDO"), 0, C493)</f>
        <v>0</v>
      </c>
      <c r="D604" s="93">
        <f>IF(OR($N530="RESTRINGIDO", $N506="RESTRINGIDO"), 0, D493)</f>
        <v>0</v>
      </c>
      <c r="E604" s="93">
        <f>IF(OR($N530="RESTRINGIDO", $N507="RESTRINGIDO"), 0, E493)</f>
        <v>0</v>
      </c>
      <c r="F604" s="93">
        <f>IF(OR($N530="RESTRINGIDO", $N508="RESTRINGIDO"), 0, F493)</f>
        <v>0</v>
      </c>
      <c r="G604" s="93">
        <f>IF(OR($N530="RESTRINGIDO", $N509="RESTRINGIDO"), 0, G493)</f>
        <v>0</v>
      </c>
      <c r="H604" s="93">
        <f>IF(OR($N530="RESTRINGIDO", $N510="RESTRINGIDO"), 0, H493)</f>
        <v>0</v>
      </c>
      <c r="I604" s="93">
        <f>IF(OR($N530="RESTRINGIDO", $N511="RESTRINGIDO"), 0, I493)</f>
        <v>0</v>
      </c>
      <c r="J604" s="93">
        <f>IF(OR($N530="RESTRINGIDO", $N512="RESTRINGIDO"), 0, J493)</f>
        <v>0</v>
      </c>
      <c r="K604" s="93">
        <f>IF(OR($N530="RESTRINGIDO", $N513="RESTRINGIDO"), 0, K493)</f>
        <v>0</v>
      </c>
      <c r="L604" s="93">
        <f>IF(OR($N530="RESTRINGIDO", $N514="RESTRINGIDO"), 0, L493)</f>
        <v>0</v>
      </c>
      <c r="M604" s="93">
        <f>IF(OR($N530="RESTRINGIDO", $N515="RESTRINGIDO"), 0, M493)</f>
        <v>0</v>
      </c>
      <c r="N604" s="93">
        <f>IF(OR($N530="RESTRINGIDO", $N516="RESTRINGIDO"), 0, N493)</f>
        <v>0</v>
      </c>
      <c r="O604" s="93">
        <f>IF(OR($N530="RESTRINGIDO", $N517="RESTRINGIDO"), 0, O493)</f>
        <v>0</v>
      </c>
      <c r="P604" s="93">
        <f>IF(OR($N530="RESTRINGIDO", $N518="RESTRINGIDO"), 0, P493)</f>
        <v>0</v>
      </c>
      <c r="Q604" s="93">
        <f>IF(OR($N530="RESTRINGIDO", $N519="RESTRINGIDO"), 0, Q493)</f>
        <v>0</v>
      </c>
      <c r="R604" s="93">
        <f>IF(OR($N530="RESTRINGIDO", $N520="RESTRINGIDO"), 0, R493)</f>
        <v>0</v>
      </c>
      <c r="S604" s="93">
        <f>IF(OR($N530="RESTRINGIDO", $N521="RESTRINGIDO"), 0, S493)</f>
        <v>0</v>
      </c>
      <c r="T604" s="93">
        <f>IF(OR($N530="RESTRINGIDO", $N522="RESTRINGIDO"), 0, T493)</f>
        <v>0</v>
      </c>
      <c r="U604" s="93">
        <f>IF(OR($N530="RESTRINGIDO", $N523="RESTRINGIDO"), 0, U493)</f>
        <v>0</v>
      </c>
      <c r="V604" s="93">
        <f>IF(OR($N530="RESTRINGIDO", $N524="RESTRINGIDO"), 0, V493)</f>
        <v>0</v>
      </c>
      <c r="W604" s="93">
        <f>IF(OR($N530="RESTRINGIDO", $N525="RESTRINGIDO"), 0, W493)</f>
        <v>0</v>
      </c>
      <c r="X604" s="93">
        <f>IF(OR($N530="RESTRINGIDO", $N526="RESTRINGIDO"), 0, X493)</f>
        <v>0</v>
      </c>
      <c r="Y604" s="93">
        <f>IF(OR($N530="RESTRINGIDO", $N527="RESTRINGIDO"), 0, Y493)</f>
        <v>0</v>
      </c>
      <c r="Z604" s="93">
        <f>IF(OR($N530="RESTRINGIDO", $N528="RESTRINGIDO"), 0, Z493)</f>
        <v>0</v>
      </c>
      <c r="AA604" s="93">
        <f>IF(OR($N530="RESTRINGIDO", $N529="RESTRINGIDO"), 0, AA493)</f>
        <v>0</v>
      </c>
      <c r="AB604" s="93">
        <f>IF($N530="RESTRINGIDO", 1, IF(OR($N530="", $C493=""), 1, AB493))</f>
        <v>1</v>
      </c>
      <c r="AC604" s="93">
        <f>IF(OR($N530="RESTRINGIDO", $N531="RESTRINGIDO"), 0, AC493)</f>
        <v>0</v>
      </c>
      <c r="AD604" s="93">
        <f>IF(OR($N530="RESTRINGIDO", $N532="RESTRINGIDO"), 0, AD493)</f>
        <v>0</v>
      </c>
      <c r="AE604" s="93">
        <f>IF(OR($N530="RESTRINGIDO", $N533="RESTRINGIDO"), 0, AE493)</f>
        <v>0</v>
      </c>
      <c r="AF604" s="93">
        <f>IF(OR($N530="RESTRINGIDO", $N534="RESTRINGIDO"), 0, AF493)</f>
        <v>0</v>
      </c>
      <c r="AG604" s="93">
        <f>IF(OR($N530="RESTRINGIDO", $N535="RESTRINGIDO"), 0, AG493)</f>
        <v>0</v>
      </c>
      <c r="AH604" s="93">
        <f>IF(OR($N530="RESTRINGIDO", $N536="RESTRINGIDO"), 0, AH493)</f>
        <v>0</v>
      </c>
      <c r="AJ604" s="93">
        <f t="shared" si="83"/>
        <v>0</v>
      </c>
      <c r="AL604" s="104">
        <v>0</v>
      </c>
      <c r="AN604" s="104">
        <v>0</v>
      </c>
    </row>
    <row r="605" spans="2:40" x14ac:dyDescent="0.3">
      <c r="B605" s="93">
        <f>IF(OR($N531="RESTRINGIDO", $N504="RESTRINGIDO"), 0, B494)</f>
        <v>0</v>
      </c>
      <c r="C605" s="93">
        <f>IF(OR($N531="RESTRINGIDO", $N505="RESTRINGIDO"), 0, C494)</f>
        <v>0</v>
      </c>
      <c r="D605" s="93">
        <f>IF(OR($N531="RESTRINGIDO", $N506="RESTRINGIDO"), 0, D494)</f>
        <v>0</v>
      </c>
      <c r="E605" s="93">
        <f>IF(OR($N531="RESTRINGIDO", $N507="RESTRINGIDO"), 0, E494)</f>
        <v>0</v>
      </c>
      <c r="F605" s="93">
        <f>IF(OR($N531="RESTRINGIDO", $N508="RESTRINGIDO"), 0, F494)</f>
        <v>0</v>
      </c>
      <c r="G605" s="93">
        <f>IF(OR($N531="RESTRINGIDO", $N509="RESTRINGIDO"), 0, G494)</f>
        <v>0</v>
      </c>
      <c r="H605" s="93">
        <f>IF(OR($N531="RESTRINGIDO", $N510="RESTRINGIDO"), 0, H494)</f>
        <v>0</v>
      </c>
      <c r="I605" s="93">
        <f>IF(OR($N531="RESTRINGIDO", $N511="RESTRINGIDO"), 0, I494)</f>
        <v>0</v>
      </c>
      <c r="J605" s="93">
        <f>IF(OR($N531="RESTRINGIDO", $N512="RESTRINGIDO"), 0, J494)</f>
        <v>0</v>
      </c>
      <c r="K605" s="93">
        <f>IF(OR($N531="RESTRINGIDO", $N513="RESTRINGIDO"), 0, K494)</f>
        <v>0</v>
      </c>
      <c r="L605" s="93">
        <f>IF(OR($N531="RESTRINGIDO", $N514="RESTRINGIDO"), 0, L494)</f>
        <v>0</v>
      </c>
      <c r="M605" s="93">
        <f>IF(OR($N531="RESTRINGIDO", $N515="RESTRINGIDO"), 0, M494)</f>
        <v>0</v>
      </c>
      <c r="N605" s="93">
        <f>IF(OR($N531="RESTRINGIDO", $N516="RESTRINGIDO"), 0, N494)</f>
        <v>0</v>
      </c>
      <c r="O605" s="93">
        <f>IF(OR($N531="RESTRINGIDO", $N517="RESTRINGIDO"), 0, O494)</f>
        <v>0</v>
      </c>
      <c r="P605" s="93">
        <f>IF(OR($N531="RESTRINGIDO", $N518="RESTRINGIDO"), 0, P494)</f>
        <v>0</v>
      </c>
      <c r="Q605" s="93">
        <f>IF(OR($N531="RESTRINGIDO", $N519="RESTRINGIDO"), 0, Q494)</f>
        <v>0</v>
      </c>
      <c r="R605" s="93">
        <f>IF(OR($N531="RESTRINGIDO", $N520="RESTRINGIDO"), 0, R494)</f>
        <v>0</v>
      </c>
      <c r="S605" s="93">
        <f>IF(OR($N531="RESTRINGIDO", $N521="RESTRINGIDO"), 0, S494)</f>
        <v>0</v>
      </c>
      <c r="T605" s="93">
        <f>IF(OR($N531="RESTRINGIDO", $N522="RESTRINGIDO"), 0, T494)</f>
        <v>0</v>
      </c>
      <c r="U605" s="93">
        <f>IF(OR($N531="RESTRINGIDO", $N523="RESTRINGIDO"), 0, U494)</f>
        <v>0</v>
      </c>
      <c r="V605" s="93">
        <f>IF(OR($N531="RESTRINGIDO", $N524="RESTRINGIDO"), 0, V494)</f>
        <v>0</v>
      </c>
      <c r="W605" s="93">
        <f>IF(OR($N531="RESTRINGIDO", $N525="RESTRINGIDO"), 0, W494)</f>
        <v>0</v>
      </c>
      <c r="X605" s="93">
        <f>IF(OR($N531="RESTRINGIDO", $N526="RESTRINGIDO"), 0, X494)</f>
        <v>0</v>
      </c>
      <c r="Y605" s="93">
        <f>IF(OR($N531="RESTRINGIDO", $N527="RESTRINGIDO"), 0, Y494)</f>
        <v>0</v>
      </c>
      <c r="Z605" s="93">
        <f>IF(OR($N531="RESTRINGIDO", $N528="RESTRINGIDO"), 0, Z494)</f>
        <v>0</v>
      </c>
      <c r="AA605" s="93">
        <f>IF(OR($N531="RESTRINGIDO", $N529="RESTRINGIDO"), 0, AA494)</f>
        <v>0</v>
      </c>
      <c r="AB605" s="93">
        <f>IF(OR($N531="RESTRINGIDO", $N530="RESTRINGIDO"), 0, AB494)</f>
        <v>0</v>
      </c>
      <c r="AC605" s="93">
        <f>IF($N531="RESTRINGIDO", 1, IF(OR($N531="", $C494=""), 1, AC494))</f>
        <v>1</v>
      </c>
      <c r="AD605" s="93">
        <f>IF(OR($N531="RESTRINGIDO", $N532="RESTRINGIDO"), 0, AD494)</f>
        <v>0</v>
      </c>
      <c r="AE605" s="93">
        <f>IF(OR($N531="RESTRINGIDO", $N533="RESTRINGIDO"), 0, AE494)</f>
        <v>0</v>
      </c>
      <c r="AF605" s="93">
        <f>IF(OR($N531="RESTRINGIDO", $N534="RESTRINGIDO"), 0, AF494)</f>
        <v>0</v>
      </c>
      <c r="AG605" s="93">
        <f>IF(OR($N531="RESTRINGIDO", $N535="RESTRINGIDO"), 0, AG494)</f>
        <v>0</v>
      </c>
      <c r="AH605" s="93">
        <f>IF(OR($N531="RESTRINGIDO", $N536="RESTRINGIDO"), 0, AH494)</f>
        <v>0</v>
      </c>
      <c r="AJ605" s="93">
        <f t="shared" si="83"/>
        <v>0</v>
      </c>
      <c r="AL605" s="104">
        <v>0</v>
      </c>
      <c r="AN605" s="104">
        <v>0</v>
      </c>
    </row>
    <row r="606" spans="2:40" x14ac:dyDescent="0.3">
      <c r="B606" s="93">
        <f>IF(OR($N532="RESTRINGIDO", $N504="RESTRINGIDO"), 0, B495)</f>
        <v>0</v>
      </c>
      <c r="C606" s="93">
        <f>IF(OR($N532="RESTRINGIDO", $N505="RESTRINGIDO"), 0, C495)</f>
        <v>0</v>
      </c>
      <c r="D606" s="93">
        <f>IF(OR($N532="RESTRINGIDO", $N506="RESTRINGIDO"), 0, D495)</f>
        <v>0</v>
      </c>
      <c r="E606" s="93">
        <f>IF(OR($N532="RESTRINGIDO", $N507="RESTRINGIDO"), 0, E495)</f>
        <v>0</v>
      </c>
      <c r="F606" s="93">
        <f>IF(OR($N532="RESTRINGIDO", $N508="RESTRINGIDO"), 0, F495)</f>
        <v>0</v>
      </c>
      <c r="G606" s="93">
        <f>IF(OR($N532="RESTRINGIDO", $N509="RESTRINGIDO"), 0, G495)</f>
        <v>0</v>
      </c>
      <c r="H606" s="93">
        <f>IF(OR($N532="RESTRINGIDO", $N510="RESTRINGIDO"), 0, H495)</f>
        <v>0</v>
      </c>
      <c r="I606" s="93">
        <f>IF(OR($N532="RESTRINGIDO", $N511="RESTRINGIDO"), 0, I495)</f>
        <v>0</v>
      </c>
      <c r="J606" s="93">
        <f>IF(OR($N532="RESTRINGIDO", $N512="RESTRINGIDO"), 0, J495)</f>
        <v>0</v>
      </c>
      <c r="K606" s="93">
        <f>IF(OR($N532="RESTRINGIDO", $N513="RESTRINGIDO"), 0, K495)</f>
        <v>0</v>
      </c>
      <c r="L606" s="93">
        <f>IF(OR($N532="RESTRINGIDO", $N514="RESTRINGIDO"), 0, L495)</f>
        <v>0</v>
      </c>
      <c r="M606" s="93">
        <f>IF(OR($N532="RESTRINGIDO", $N515="RESTRINGIDO"), 0, M495)</f>
        <v>0</v>
      </c>
      <c r="N606" s="93">
        <f>IF(OR($N532="RESTRINGIDO", $N516="RESTRINGIDO"), 0, N495)</f>
        <v>0</v>
      </c>
      <c r="O606" s="93">
        <f>IF(OR($N532="RESTRINGIDO", $N517="RESTRINGIDO"), 0, O495)</f>
        <v>0</v>
      </c>
      <c r="P606" s="93">
        <f>IF(OR($N532="RESTRINGIDO", $N518="RESTRINGIDO"), 0, P495)</f>
        <v>0</v>
      </c>
      <c r="Q606" s="93">
        <f>IF(OR($N532="RESTRINGIDO", $N519="RESTRINGIDO"), 0, Q495)</f>
        <v>0</v>
      </c>
      <c r="R606" s="93">
        <f>IF(OR($N532="RESTRINGIDO", $N520="RESTRINGIDO"), 0, R495)</f>
        <v>0</v>
      </c>
      <c r="S606" s="93">
        <f>IF(OR($N532="RESTRINGIDO", $N521="RESTRINGIDO"), 0, S495)</f>
        <v>0</v>
      </c>
      <c r="T606" s="93">
        <f>IF(OR($N532="RESTRINGIDO", $N522="RESTRINGIDO"), 0, T495)</f>
        <v>0</v>
      </c>
      <c r="U606" s="93">
        <f>IF(OR($N532="RESTRINGIDO", $N523="RESTRINGIDO"), 0, U495)</f>
        <v>0</v>
      </c>
      <c r="V606" s="93">
        <f>IF(OR($N532="RESTRINGIDO", $N524="RESTRINGIDO"), 0, V495)</f>
        <v>0</v>
      </c>
      <c r="W606" s="93">
        <f>IF(OR($N532="RESTRINGIDO", $N525="RESTRINGIDO"), 0, W495)</f>
        <v>0</v>
      </c>
      <c r="X606" s="93">
        <f>IF(OR($N532="RESTRINGIDO", $N526="RESTRINGIDO"), 0, X495)</f>
        <v>0</v>
      </c>
      <c r="Y606" s="93">
        <f>IF(OR($N532="RESTRINGIDO", $N527="RESTRINGIDO"), 0, Y495)</f>
        <v>0</v>
      </c>
      <c r="Z606" s="93">
        <f>IF(OR($N532="RESTRINGIDO", $N528="RESTRINGIDO"), 0, Z495)</f>
        <v>0</v>
      </c>
      <c r="AA606" s="93">
        <f>IF(OR($N532="RESTRINGIDO", $N529="RESTRINGIDO"), 0, AA495)</f>
        <v>0</v>
      </c>
      <c r="AB606" s="93">
        <f>IF(OR($N532="RESTRINGIDO", $N530="RESTRINGIDO"), 0, AB495)</f>
        <v>0</v>
      </c>
      <c r="AC606" s="93">
        <f>IF(OR($N532="RESTRINGIDO", $N531="RESTRINGIDO"), 0, AC495)</f>
        <v>0</v>
      </c>
      <c r="AD606" s="93">
        <f>IF($N532="RESTRINGIDO", 1, IF(OR($N532="", $C495=""), 1, AD495))</f>
        <v>1</v>
      </c>
      <c r="AE606" s="93">
        <f>IF(OR($N532="RESTRINGIDO", $N533="RESTRINGIDO"), 0, AE495)</f>
        <v>0</v>
      </c>
      <c r="AF606" s="93">
        <f>IF(OR($N532="RESTRINGIDO", $N534="RESTRINGIDO"), 0, AF495)</f>
        <v>0</v>
      </c>
      <c r="AG606" s="93">
        <f>IF(OR($N532="RESTRINGIDO", $N535="RESTRINGIDO"), 0, AG495)</f>
        <v>0</v>
      </c>
      <c r="AH606" s="93">
        <f>IF(OR($N532="RESTRINGIDO", $N536="RESTRINGIDO"), 0, AH495)</f>
        <v>0</v>
      </c>
      <c r="AJ606" s="93">
        <f t="shared" si="83"/>
        <v>0</v>
      </c>
      <c r="AL606" s="104">
        <v>0</v>
      </c>
      <c r="AN606" s="104">
        <v>0</v>
      </c>
    </row>
    <row r="607" spans="2:40" x14ac:dyDescent="0.3">
      <c r="B607" s="93">
        <f>IF(OR($N533="RESTRINGIDO", $N504="RESTRINGIDO"), 0, B496)</f>
        <v>0</v>
      </c>
      <c r="C607" s="93">
        <f>IF(OR($N533="RESTRINGIDO", $N505="RESTRINGIDO"), 0, C496)</f>
        <v>0</v>
      </c>
      <c r="D607" s="93">
        <f>IF(OR($N533="RESTRINGIDO", $N506="RESTRINGIDO"), 0, D496)</f>
        <v>0</v>
      </c>
      <c r="E607" s="93">
        <f>IF(OR($N533="RESTRINGIDO", $N507="RESTRINGIDO"), 0, E496)</f>
        <v>0</v>
      </c>
      <c r="F607" s="93">
        <f>IF(OR($N533="RESTRINGIDO", $N508="RESTRINGIDO"), 0, F496)</f>
        <v>0</v>
      </c>
      <c r="G607" s="93">
        <f>IF(OR($N533="RESTRINGIDO", $N509="RESTRINGIDO"), 0, G496)</f>
        <v>0</v>
      </c>
      <c r="H607" s="93">
        <f>IF(OR($N533="RESTRINGIDO", $N510="RESTRINGIDO"), 0, H496)</f>
        <v>0</v>
      </c>
      <c r="I607" s="93">
        <f>IF(OR($N533="RESTRINGIDO", $N511="RESTRINGIDO"), 0, I496)</f>
        <v>0</v>
      </c>
      <c r="J607" s="93">
        <f>IF(OR($N533="RESTRINGIDO", $N512="RESTRINGIDO"), 0, J496)</f>
        <v>0</v>
      </c>
      <c r="K607" s="93">
        <f>IF(OR($N533="RESTRINGIDO", $N513="RESTRINGIDO"), 0, K496)</f>
        <v>0</v>
      </c>
      <c r="L607" s="93">
        <f>IF(OR($N533="RESTRINGIDO", $N514="RESTRINGIDO"), 0, L496)</f>
        <v>0</v>
      </c>
      <c r="M607" s="93">
        <f>IF(OR($N533="RESTRINGIDO", $N515="RESTRINGIDO"), 0, M496)</f>
        <v>0</v>
      </c>
      <c r="N607" s="93">
        <f>IF(OR($N533="RESTRINGIDO", $N516="RESTRINGIDO"), 0, N496)</f>
        <v>0</v>
      </c>
      <c r="O607" s="93">
        <f>IF(OR($N533="RESTRINGIDO", $N517="RESTRINGIDO"), 0, O496)</f>
        <v>0</v>
      </c>
      <c r="P607" s="93">
        <f>IF(OR($N533="RESTRINGIDO", $N518="RESTRINGIDO"), 0, P496)</f>
        <v>0</v>
      </c>
      <c r="Q607" s="93">
        <f>IF(OR($N533="RESTRINGIDO", $N519="RESTRINGIDO"), 0, Q496)</f>
        <v>0</v>
      </c>
      <c r="R607" s="93">
        <f>IF(OR($N533="RESTRINGIDO", $N520="RESTRINGIDO"), 0, R496)</f>
        <v>0</v>
      </c>
      <c r="S607" s="93">
        <f>IF(OR($N533="RESTRINGIDO", $N521="RESTRINGIDO"), 0, S496)</f>
        <v>0</v>
      </c>
      <c r="T607" s="93">
        <f>IF(OR($N533="RESTRINGIDO", $N522="RESTRINGIDO"), 0, T496)</f>
        <v>0</v>
      </c>
      <c r="U607" s="93">
        <f>IF(OR($N533="RESTRINGIDO", $N523="RESTRINGIDO"), 0, U496)</f>
        <v>0</v>
      </c>
      <c r="V607" s="93">
        <f>IF(OR($N533="RESTRINGIDO", $N524="RESTRINGIDO"), 0, V496)</f>
        <v>0</v>
      </c>
      <c r="W607" s="93">
        <f>IF(OR($N533="RESTRINGIDO", $N525="RESTRINGIDO"), 0, W496)</f>
        <v>0</v>
      </c>
      <c r="X607" s="93">
        <f>IF(OR($N533="RESTRINGIDO", $N526="RESTRINGIDO"), 0, X496)</f>
        <v>0</v>
      </c>
      <c r="Y607" s="93">
        <f>IF(OR($N533="RESTRINGIDO", $N527="RESTRINGIDO"), 0, Y496)</f>
        <v>0</v>
      </c>
      <c r="Z607" s="93">
        <f>IF(OR($N533="RESTRINGIDO", $N528="RESTRINGIDO"), 0, Z496)</f>
        <v>0</v>
      </c>
      <c r="AA607" s="93">
        <f>IF(OR($N533="RESTRINGIDO", $N529="RESTRINGIDO"), 0, AA496)</f>
        <v>0</v>
      </c>
      <c r="AB607" s="93">
        <f>IF(OR($N533="RESTRINGIDO", $N530="RESTRINGIDO"), 0, AB496)</f>
        <v>0</v>
      </c>
      <c r="AC607" s="93">
        <f>IF(OR($N533="RESTRINGIDO", $N531="RESTRINGIDO"), 0, AC496)</f>
        <v>0</v>
      </c>
      <c r="AD607" s="93">
        <f>IF(OR($N533="RESTRINGIDO", $N532="RESTRINGIDO"), 0, AD496)</f>
        <v>0</v>
      </c>
      <c r="AE607" s="93">
        <f>IF($N533="RESTRINGIDO", 1, IF(OR($N533="", $C496=""), 1, AE496))</f>
        <v>1</v>
      </c>
      <c r="AF607" s="93">
        <f>IF(OR($N533="RESTRINGIDO", $N534="RESTRINGIDO"), 0, AF496)</f>
        <v>0</v>
      </c>
      <c r="AG607" s="93">
        <f>IF(OR($N533="RESTRINGIDO", $N535="RESTRINGIDO"), 0, AG496)</f>
        <v>0</v>
      </c>
      <c r="AH607" s="93">
        <f>IF(OR($N533="RESTRINGIDO", $N536="RESTRINGIDO"), 0, AH496)</f>
        <v>0</v>
      </c>
      <c r="AJ607" s="93">
        <f t="shared" si="83"/>
        <v>0</v>
      </c>
      <c r="AL607" s="104">
        <v>0</v>
      </c>
      <c r="AN607" s="104">
        <v>0</v>
      </c>
    </row>
    <row r="608" spans="2:40" x14ac:dyDescent="0.3">
      <c r="B608" s="93">
        <f>IF(OR($N534="RESTRINGIDO", $N504="RESTRINGIDO"), 0, B497)</f>
        <v>0</v>
      </c>
      <c r="C608" s="93">
        <f>IF(OR($N534="RESTRINGIDO", $N505="RESTRINGIDO"), 0, C497)</f>
        <v>0</v>
      </c>
      <c r="D608" s="93">
        <f>IF(OR($N534="RESTRINGIDO", $N506="RESTRINGIDO"), 0, D497)</f>
        <v>0</v>
      </c>
      <c r="E608" s="93">
        <f>IF(OR($N534="RESTRINGIDO", $N507="RESTRINGIDO"), 0, E497)</f>
        <v>0</v>
      </c>
      <c r="F608" s="93">
        <f>IF(OR($N534="RESTRINGIDO", $N508="RESTRINGIDO"), 0, F497)</f>
        <v>0</v>
      </c>
      <c r="G608" s="93">
        <f>IF(OR($N534="RESTRINGIDO", $N509="RESTRINGIDO"), 0, G497)</f>
        <v>0</v>
      </c>
      <c r="H608" s="93">
        <f>IF(OR($N534="RESTRINGIDO", $N510="RESTRINGIDO"), 0, H497)</f>
        <v>0</v>
      </c>
      <c r="I608" s="93">
        <f>IF(OR($N534="RESTRINGIDO", $N511="RESTRINGIDO"), 0, I497)</f>
        <v>0</v>
      </c>
      <c r="J608" s="93">
        <f>IF(OR($N534="RESTRINGIDO", $N512="RESTRINGIDO"), 0, J497)</f>
        <v>0</v>
      </c>
      <c r="K608" s="93">
        <f>IF(OR($N534="RESTRINGIDO", $N513="RESTRINGIDO"), 0, K497)</f>
        <v>0</v>
      </c>
      <c r="L608" s="93">
        <f>IF(OR($N534="RESTRINGIDO", $N514="RESTRINGIDO"), 0, L497)</f>
        <v>0</v>
      </c>
      <c r="M608" s="93">
        <f>IF(OR($N534="RESTRINGIDO", $N515="RESTRINGIDO"), 0, M497)</f>
        <v>0</v>
      </c>
      <c r="N608" s="93">
        <f>IF(OR($N534="RESTRINGIDO", $N516="RESTRINGIDO"), 0, N497)</f>
        <v>0</v>
      </c>
      <c r="O608" s="93">
        <f>IF(OR($N534="RESTRINGIDO", $N517="RESTRINGIDO"), 0, O497)</f>
        <v>0</v>
      </c>
      <c r="P608" s="93">
        <f>IF(OR($N534="RESTRINGIDO", $N518="RESTRINGIDO"), 0, P497)</f>
        <v>0</v>
      </c>
      <c r="Q608" s="93">
        <f>IF(OR($N534="RESTRINGIDO", $N519="RESTRINGIDO"), 0, Q497)</f>
        <v>0</v>
      </c>
      <c r="R608" s="93">
        <f>IF(OR($N534="RESTRINGIDO", $N520="RESTRINGIDO"), 0, R497)</f>
        <v>0</v>
      </c>
      <c r="S608" s="93">
        <f>IF(OR($N534="RESTRINGIDO", $N521="RESTRINGIDO"), 0, S497)</f>
        <v>0</v>
      </c>
      <c r="T608" s="93">
        <f>IF(OR($N534="RESTRINGIDO", $N522="RESTRINGIDO"), 0, T497)</f>
        <v>0</v>
      </c>
      <c r="U608" s="93">
        <f>IF(OR($N534="RESTRINGIDO", $N523="RESTRINGIDO"), 0, U497)</f>
        <v>0</v>
      </c>
      <c r="V608" s="93">
        <f>IF(OR($N534="RESTRINGIDO", $N524="RESTRINGIDO"), 0, V497)</f>
        <v>0</v>
      </c>
      <c r="W608" s="93">
        <f>IF(OR($N534="RESTRINGIDO", $N525="RESTRINGIDO"), 0, W497)</f>
        <v>0</v>
      </c>
      <c r="X608" s="93">
        <f>IF(OR($N534="RESTRINGIDO", $N526="RESTRINGIDO"), 0, X497)</f>
        <v>0</v>
      </c>
      <c r="Y608" s="93">
        <f>IF(OR($N534="RESTRINGIDO", $N527="RESTRINGIDO"), 0, Y497)</f>
        <v>0</v>
      </c>
      <c r="Z608" s="93">
        <f>IF(OR($N534="RESTRINGIDO", $N528="RESTRINGIDO"), 0, Z497)</f>
        <v>0</v>
      </c>
      <c r="AA608" s="93">
        <f>IF(OR($N534="RESTRINGIDO", $N529="RESTRINGIDO"), 0, AA497)</f>
        <v>0</v>
      </c>
      <c r="AB608" s="93">
        <f>IF(OR($N534="RESTRINGIDO", $N530="RESTRINGIDO"), 0, AB497)</f>
        <v>0</v>
      </c>
      <c r="AC608" s="93">
        <f>IF(OR($N534="RESTRINGIDO", $N531="RESTRINGIDO"), 0, AC497)</f>
        <v>0</v>
      </c>
      <c r="AD608" s="93">
        <f>IF(OR($N534="RESTRINGIDO", $N532="RESTRINGIDO"), 0, AD497)</f>
        <v>0</v>
      </c>
      <c r="AE608" s="93">
        <f>IF(OR($N534="RESTRINGIDO", $N533="RESTRINGIDO"), 0, AE497)</f>
        <v>0</v>
      </c>
      <c r="AF608" s="93">
        <f>IF($N534="RESTRINGIDO", 1, IF(OR($N534="", $C497=""), 1, AF497))</f>
        <v>1</v>
      </c>
      <c r="AG608" s="93">
        <f>IF(OR($N534="RESTRINGIDO", $N535="RESTRINGIDO"), 0, AG497)</f>
        <v>0</v>
      </c>
      <c r="AH608" s="93">
        <f>IF(OR($N534="RESTRINGIDO", $N536="RESTRINGIDO"), 0, AH497)</f>
        <v>0</v>
      </c>
      <c r="AJ608" s="93">
        <f t="shared" si="83"/>
        <v>0</v>
      </c>
      <c r="AL608" s="104">
        <v>0</v>
      </c>
      <c r="AN608" s="104">
        <v>0</v>
      </c>
    </row>
    <row r="609" spans="2:40" x14ac:dyDescent="0.3">
      <c r="B609" s="93">
        <f>IF(OR($N535="RESTRINGIDO", $N504="RESTRINGIDO"), 0, B498)</f>
        <v>0</v>
      </c>
      <c r="C609" s="93">
        <f>IF(OR($N535="RESTRINGIDO", $N505="RESTRINGIDO"), 0, C498)</f>
        <v>0</v>
      </c>
      <c r="D609" s="93">
        <f>IF(OR($N535="RESTRINGIDO", $N506="RESTRINGIDO"), 0, D498)</f>
        <v>0</v>
      </c>
      <c r="E609" s="93">
        <f>IF(OR($N535="RESTRINGIDO", $N507="RESTRINGIDO"), 0, E498)</f>
        <v>0</v>
      </c>
      <c r="F609" s="93">
        <f>IF(OR($N535="RESTRINGIDO", $N508="RESTRINGIDO"), 0, F498)</f>
        <v>0</v>
      </c>
      <c r="G609" s="93">
        <f>IF(OR($N535="RESTRINGIDO", $N509="RESTRINGIDO"), 0, G498)</f>
        <v>0</v>
      </c>
      <c r="H609" s="93">
        <f>IF(OR($N535="RESTRINGIDO", $N510="RESTRINGIDO"), 0, H498)</f>
        <v>0</v>
      </c>
      <c r="I609" s="93">
        <f>IF(OR($N535="RESTRINGIDO", $N511="RESTRINGIDO"), 0, I498)</f>
        <v>0</v>
      </c>
      <c r="J609" s="93">
        <f>IF(OR($N535="RESTRINGIDO", $N512="RESTRINGIDO"), 0, J498)</f>
        <v>0</v>
      </c>
      <c r="K609" s="93">
        <f>IF(OR($N535="RESTRINGIDO", $N513="RESTRINGIDO"), 0, K498)</f>
        <v>0</v>
      </c>
      <c r="L609" s="93">
        <f>IF(OR($N535="RESTRINGIDO", $N514="RESTRINGIDO"), 0, L498)</f>
        <v>0</v>
      </c>
      <c r="M609" s="93">
        <f>IF(OR($N535="RESTRINGIDO", $N515="RESTRINGIDO"), 0, M498)</f>
        <v>0</v>
      </c>
      <c r="N609" s="93">
        <f>IF(OR($N535="RESTRINGIDO", $N516="RESTRINGIDO"), 0, N498)</f>
        <v>0</v>
      </c>
      <c r="O609" s="93">
        <f>IF(OR($N535="RESTRINGIDO", $N517="RESTRINGIDO"), 0, O498)</f>
        <v>0</v>
      </c>
      <c r="P609" s="93">
        <f>IF(OR($N535="RESTRINGIDO", $N518="RESTRINGIDO"), 0, P498)</f>
        <v>0</v>
      </c>
      <c r="Q609" s="93">
        <f>IF(OR($N535="RESTRINGIDO", $N519="RESTRINGIDO"), 0, Q498)</f>
        <v>0</v>
      </c>
      <c r="R609" s="93">
        <f>IF(OR($N535="RESTRINGIDO", $N520="RESTRINGIDO"), 0, R498)</f>
        <v>0</v>
      </c>
      <c r="S609" s="93">
        <f>IF(OR($N535="RESTRINGIDO", $N521="RESTRINGIDO"), 0, S498)</f>
        <v>0</v>
      </c>
      <c r="T609" s="93">
        <f>IF(OR($N535="RESTRINGIDO", $N522="RESTRINGIDO"), 0, T498)</f>
        <v>0</v>
      </c>
      <c r="U609" s="93">
        <f>IF(OR($N535="RESTRINGIDO", $N523="RESTRINGIDO"), 0, U498)</f>
        <v>0</v>
      </c>
      <c r="V609" s="93">
        <f>IF(OR($N535="RESTRINGIDO", $N524="RESTRINGIDO"), 0, V498)</f>
        <v>0</v>
      </c>
      <c r="W609" s="93">
        <f>IF(OR($N535="RESTRINGIDO", $N525="RESTRINGIDO"), 0, W498)</f>
        <v>0</v>
      </c>
      <c r="X609" s="93">
        <f>IF(OR($N535="RESTRINGIDO", $N526="RESTRINGIDO"), 0, X498)</f>
        <v>0</v>
      </c>
      <c r="Y609" s="93">
        <f>IF(OR($N535="RESTRINGIDO", $N527="RESTRINGIDO"), 0, Y498)</f>
        <v>0</v>
      </c>
      <c r="Z609" s="93">
        <f>IF(OR($N535="RESTRINGIDO", $N528="RESTRINGIDO"), 0, Z498)</f>
        <v>0</v>
      </c>
      <c r="AA609" s="93">
        <f>IF(OR($N535="RESTRINGIDO", $N529="RESTRINGIDO"), 0, AA498)</f>
        <v>0</v>
      </c>
      <c r="AB609" s="93">
        <f>IF(OR($N535="RESTRINGIDO", $N530="RESTRINGIDO"), 0, AB498)</f>
        <v>0</v>
      </c>
      <c r="AC609" s="93">
        <f>IF(OR($N535="RESTRINGIDO", $N531="RESTRINGIDO"), 0, AC498)</f>
        <v>0</v>
      </c>
      <c r="AD609" s="93">
        <f>IF(OR($N535="RESTRINGIDO", $N532="RESTRINGIDO"), 0, AD498)</f>
        <v>0</v>
      </c>
      <c r="AE609" s="93">
        <f>IF(OR($N535="RESTRINGIDO", $N533="RESTRINGIDO"), 0, AE498)</f>
        <v>0</v>
      </c>
      <c r="AF609" s="93">
        <f>IF(OR($N535="RESTRINGIDO", $N534="RESTRINGIDO"), 0, AF498)</f>
        <v>0</v>
      </c>
      <c r="AG609" s="93">
        <f>IF($N535="RESTRINGIDO", 1, IF(OR($N535="", $C498=""), 1, AG498))</f>
        <v>1</v>
      </c>
      <c r="AH609" s="93">
        <f>IF(OR($N535="RESTRINGIDO", $N536="RESTRINGIDO"), 0, AH498)</f>
        <v>0</v>
      </c>
      <c r="AJ609" s="93">
        <f t="shared" si="83"/>
        <v>0</v>
      </c>
      <c r="AL609" s="104">
        <v>0</v>
      </c>
      <c r="AN609" s="104">
        <v>0</v>
      </c>
    </row>
    <row r="610" spans="2:40" x14ac:dyDescent="0.3">
      <c r="B610" s="93">
        <f>IF(OR($N536="RESTRINGIDO", $N504="RESTRINGIDO"), 0, B499)</f>
        <v>0</v>
      </c>
      <c r="C610" s="93">
        <f>IF(OR($N536="RESTRINGIDO", $N505="RESTRINGIDO"), 0, C499)</f>
        <v>0</v>
      </c>
      <c r="D610" s="93">
        <f>IF(OR($N536="RESTRINGIDO", $N506="RESTRINGIDO"), 0, D499)</f>
        <v>0</v>
      </c>
      <c r="E610" s="93">
        <f>IF(OR($N536="RESTRINGIDO", $N507="RESTRINGIDO"), 0, E499)</f>
        <v>0</v>
      </c>
      <c r="F610" s="93">
        <f>IF(OR($N536="RESTRINGIDO", $N508="RESTRINGIDO"), 0, F499)</f>
        <v>0</v>
      </c>
      <c r="G610" s="93">
        <f>IF(OR($N536="RESTRINGIDO", $N509="RESTRINGIDO"), 0, G499)</f>
        <v>0</v>
      </c>
      <c r="H610" s="93">
        <f>IF(OR($N536="RESTRINGIDO", $N510="RESTRINGIDO"), 0, H499)</f>
        <v>0</v>
      </c>
      <c r="I610" s="93">
        <f>IF(OR($N536="RESTRINGIDO", $N511="RESTRINGIDO"), 0, I499)</f>
        <v>0</v>
      </c>
      <c r="J610" s="93">
        <f>IF(OR($N536="RESTRINGIDO", $N512="RESTRINGIDO"), 0, J499)</f>
        <v>0</v>
      </c>
      <c r="K610" s="93">
        <f>IF(OR($N536="RESTRINGIDO", $N513="RESTRINGIDO"), 0, K499)</f>
        <v>0</v>
      </c>
      <c r="L610" s="93">
        <f>IF(OR($N536="RESTRINGIDO", $N514="RESTRINGIDO"), 0, L499)</f>
        <v>0</v>
      </c>
      <c r="M610" s="93">
        <f>IF(OR($N536="RESTRINGIDO", $N515="RESTRINGIDO"), 0, M499)</f>
        <v>0</v>
      </c>
      <c r="N610" s="93">
        <f>IF(OR($N536="RESTRINGIDO", $N516="RESTRINGIDO"), 0, N499)</f>
        <v>0</v>
      </c>
      <c r="O610" s="93">
        <f>IF(OR($N536="RESTRINGIDO", $N517="RESTRINGIDO"), 0, O499)</f>
        <v>0</v>
      </c>
      <c r="P610" s="93">
        <f>IF(OR($N536="RESTRINGIDO", $N518="RESTRINGIDO"), 0, P499)</f>
        <v>0</v>
      </c>
      <c r="Q610" s="93">
        <f>IF(OR($N536="RESTRINGIDO", $N519="RESTRINGIDO"), 0, Q499)</f>
        <v>0</v>
      </c>
      <c r="R610" s="93">
        <f>IF(OR($N536="RESTRINGIDO", $N520="RESTRINGIDO"), 0, R499)</f>
        <v>0</v>
      </c>
      <c r="S610" s="93">
        <f>IF(OR($N536="RESTRINGIDO", $N521="RESTRINGIDO"), 0, S499)</f>
        <v>0</v>
      </c>
      <c r="T610" s="93">
        <f>IF(OR($N536="RESTRINGIDO", $N522="RESTRINGIDO"), 0, T499)</f>
        <v>0</v>
      </c>
      <c r="U610" s="93">
        <f>IF(OR($N536="RESTRINGIDO", $N523="RESTRINGIDO"), 0, U499)</f>
        <v>0</v>
      </c>
      <c r="V610" s="93">
        <f>IF(OR($N536="RESTRINGIDO", $N524="RESTRINGIDO"), 0, V499)</f>
        <v>0</v>
      </c>
      <c r="W610" s="93">
        <f>IF(OR($N536="RESTRINGIDO", $N525="RESTRINGIDO"), 0, W499)</f>
        <v>0</v>
      </c>
      <c r="X610" s="93">
        <f>IF(OR($N536="RESTRINGIDO", $N526="RESTRINGIDO"), 0, X499)</f>
        <v>0</v>
      </c>
      <c r="Y610" s="93">
        <f>IF(OR($N536="RESTRINGIDO", $N527="RESTRINGIDO"), 0, Y499)</f>
        <v>0</v>
      </c>
      <c r="Z610" s="93">
        <f>IF(OR($N536="RESTRINGIDO", $N528="RESTRINGIDO"), 0, Z499)</f>
        <v>0</v>
      </c>
      <c r="AA610" s="93">
        <f>IF(OR($N536="RESTRINGIDO", $N529="RESTRINGIDO"), 0, AA499)</f>
        <v>0</v>
      </c>
      <c r="AB610" s="93">
        <f>IF(OR($N536="RESTRINGIDO", $N530="RESTRINGIDO"), 0, AB499)</f>
        <v>0</v>
      </c>
      <c r="AC610" s="93">
        <f>IF(OR($N536="RESTRINGIDO", $N531="RESTRINGIDO"), 0, AC499)</f>
        <v>0</v>
      </c>
      <c r="AD610" s="93">
        <f>IF(OR($N536="RESTRINGIDO", $N532="RESTRINGIDO"), 0, AD499)</f>
        <v>0</v>
      </c>
      <c r="AE610" s="93">
        <f>IF(OR($N536="RESTRINGIDO", $N533="RESTRINGIDO"), 0, AE499)</f>
        <v>0</v>
      </c>
      <c r="AF610" s="93">
        <f>IF(OR($N536="RESTRINGIDO", $N534="RESTRINGIDO"), 0, AF499)</f>
        <v>0</v>
      </c>
      <c r="AG610" s="93">
        <f>IF(OR($N536="RESTRINGIDO", $N535="RESTRINGIDO"), 0, AG499)</f>
        <v>0</v>
      </c>
      <c r="AH610" s="93">
        <f>IF($N536="RESTRINGIDO", 1, IF(OR($N536="", $C499=""), 1, AH499))</f>
        <v>1</v>
      </c>
      <c r="AJ610" s="93">
        <f t="shared" si="83"/>
        <v>0</v>
      </c>
      <c r="AL610" s="104">
        <v>0</v>
      </c>
      <c r="AN610" s="104">
        <v>0</v>
      </c>
    </row>
    <row r="615" spans="2:40" x14ac:dyDescent="0.3">
      <c r="B615" s="95" t="s">
        <v>341</v>
      </c>
      <c r="C615" s="96"/>
      <c r="D615" s="96"/>
      <c r="E615" s="96"/>
      <c r="F615" s="96"/>
      <c r="G615" s="96"/>
    </row>
    <row r="617" spans="2:40" x14ac:dyDescent="0.3">
      <c r="B617" s="99" t="s">
        <v>272</v>
      </c>
      <c r="C617" s="100" t="s">
        <v>125</v>
      </c>
      <c r="D617" s="83" t="s">
        <v>190</v>
      </c>
      <c r="E617" s="105">
        <f>IF(OR($G$5=0, 1&gt;$G$5), 0, IF(N504="RESTRINGIDO", 0, AL578))</f>
        <v>0</v>
      </c>
      <c r="F617" s="100" t="s">
        <v>125</v>
      </c>
      <c r="G617" s="83" t="s">
        <v>24</v>
      </c>
    </row>
    <row r="618" spans="2:40" x14ac:dyDescent="0.3">
      <c r="B618" s="99" t="s">
        <v>274</v>
      </c>
      <c r="C618" s="100" t="s">
        <v>126</v>
      </c>
      <c r="D618" s="83" t="s">
        <v>190</v>
      </c>
      <c r="E618" s="105">
        <f>IF(OR($G$5=0, 1&gt;$G$5), 0, IF(N505="RESTRINGIDO", 0, AL579))</f>
        <v>0</v>
      </c>
      <c r="F618" s="100" t="s">
        <v>126</v>
      </c>
      <c r="G618" s="83" t="s">
        <v>24</v>
      </c>
    </row>
    <row r="619" spans="2:40" x14ac:dyDescent="0.3">
      <c r="B619" s="99" t="s">
        <v>276</v>
      </c>
      <c r="C619" s="100" t="s">
        <v>127</v>
      </c>
      <c r="D619" s="83" t="s">
        <v>190</v>
      </c>
      <c r="E619" s="105">
        <f>IF(OR($G$5=0, 1&gt;$G$5), 0, IF(N506="RESTRINGIDO", 0, AL580))</f>
        <v>0</v>
      </c>
      <c r="F619" s="100" t="s">
        <v>127</v>
      </c>
      <c r="G619" s="83" t="s">
        <v>342</v>
      </c>
    </row>
    <row r="620" spans="2:40" x14ac:dyDescent="0.3">
      <c r="B620" s="99" t="s">
        <v>278</v>
      </c>
      <c r="C620" s="100" t="s">
        <v>128</v>
      </c>
      <c r="D620" s="83" t="s">
        <v>190</v>
      </c>
      <c r="E620" s="105">
        <f>IF(OR($G$5=0, 2&gt;$G$5), 0, IF(N507="RESTRINGIDO", 0, AL581))</f>
        <v>0</v>
      </c>
      <c r="F620" s="100" t="s">
        <v>128</v>
      </c>
      <c r="G620" s="83" t="s">
        <v>24</v>
      </c>
    </row>
    <row r="621" spans="2:40" x14ac:dyDescent="0.3">
      <c r="B621" s="99" t="s">
        <v>280</v>
      </c>
      <c r="C621" s="100" t="s">
        <v>129</v>
      </c>
      <c r="D621" s="83" t="s">
        <v>190</v>
      </c>
      <c r="E621" s="105">
        <f>IF(OR($G$5=0, 2&gt;$G$5), 0, IF(N508="RESTRINGIDO", 0, AL582))</f>
        <v>0</v>
      </c>
      <c r="F621" s="100" t="s">
        <v>129</v>
      </c>
      <c r="G621" s="83" t="s">
        <v>24</v>
      </c>
    </row>
    <row r="622" spans="2:40" x14ac:dyDescent="0.3">
      <c r="B622" s="99" t="s">
        <v>282</v>
      </c>
      <c r="C622" s="100" t="s">
        <v>130</v>
      </c>
      <c r="D622" s="83" t="s">
        <v>190</v>
      </c>
      <c r="E622" s="105">
        <f>IF(OR($G$5=0, 2&gt;$G$5), 0, IF(N509="RESTRINGIDO", 0, AL583))</f>
        <v>0</v>
      </c>
      <c r="F622" s="100" t="s">
        <v>130</v>
      </c>
      <c r="G622" s="83" t="s">
        <v>342</v>
      </c>
    </row>
    <row r="623" spans="2:40" x14ac:dyDescent="0.3">
      <c r="B623" s="99" t="s">
        <v>284</v>
      </c>
      <c r="C623" s="100" t="s">
        <v>131</v>
      </c>
      <c r="D623" s="83" t="s">
        <v>190</v>
      </c>
      <c r="E623" s="105">
        <f>IF(OR($G$5=0, 3&gt;$G$5), 0, IF(N510="RESTRINGIDO", 0, AL584))</f>
        <v>0</v>
      </c>
      <c r="F623" s="100" t="s">
        <v>131</v>
      </c>
      <c r="G623" s="83" t="s">
        <v>24</v>
      </c>
    </row>
    <row r="624" spans="2:40" x14ac:dyDescent="0.3">
      <c r="B624" s="99" t="s">
        <v>286</v>
      </c>
      <c r="C624" s="100" t="s">
        <v>132</v>
      </c>
      <c r="D624" s="83" t="s">
        <v>190</v>
      </c>
      <c r="E624" s="105">
        <f>IF(OR($G$5=0, 3&gt;$G$5), 0, IF(N511="RESTRINGIDO", 0, AL585))</f>
        <v>0</v>
      </c>
      <c r="F624" s="100" t="s">
        <v>132</v>
      </c>
      <c r="G624" s="83" t="s">
        <v>24</v>
      </c>
    </row>
    <row r="625" spans="2:7" x14ac:dyDescent="0.3">
      <c r="B625" s="99" t="s">
        <v>288</v>
      </c>
      <c r="C625" s="100" t="s">
        <v>133</v>
      </c>
      <c r="D625" s="83" t="s">
        <v>190</v>
      </c>
      <c r="E625" s="105">
        <f>IF(OR($G$5=0, 3&gt;$G$5), 0, IF(N512="RESTRINGIDO", 0, AL586))</f>
        <v>0</v>
      </c>
      <c r="F625" s="100" t="s">
        <v>133</v>
      </c>
      <c r="G625" s="83" t="s">
        <v>342</v>
      </c>
    </row>
    <row r="626" spans="2:7" x14ac:dyDescent="0.3">
      <c r="B626" s="99" t="s">
        <v>290</v>
      </c>
      <c r="C626" s="100" t="s">
        <v>134</v>
      </c>
      <c r="D626" s="83" t="s">
        <v>190</v>
      </c>
      <c r="E626" s="105">
        <f>IF(OR($G$5=0, 4&gt;$G$5), 0, IF(N513="RESTRINGIDO", 0, AL587))</f>
        <v>0</v>
      </c>
      <c r="F626" s="100" t="s">
        <v>134</v>
      </c>
      <c r="G626" s="83" t="s">
        <v>24</v>
      </c>
    </row>
    <row r="627" spans="2:7" x14ac:dyDescent="0.3">
      <c r="B627" s="99" t="s">
        <v>292</v>
      </c>
      <c r="C627" s="100" t="s">
        <v>135</v>
      </c>
      <c r="D627" s="83" t="s">
        <v>190</v>
      </c>
      <c r="E627" s="105">
        <f>IF(OR($G$5=0, 4&gt;$G$5), 0, IF(N514="RESTRINGIDO", 0, AL588))</f>
        <v>0</v>
      </c>
      <c r="F627" s="100" t="s">
        <v>135</v>
      </c>
      <c r="G627" s="83" t="s">
        <v>24</v>
      </c>
    </row>
    <row r="628" spans="2:7" x14ac:dyDescent="0.3">
      <c r="B628" s="99" t="s">
        <v>294</v>
      </c>
      <c r="C628" s="100" t="s">
        <v>136</v>
      </c>
      <c r="D628" s="83" t="s">
        <v>190</v>
      </c>
      <c r="E628" s="105">
        <f>IF(OR($G$5=0, 4&gt;$G$5), 0, IF(N515="RESTRINGIDO", 0, AL589))</f>
        <v>0</v>
      </c>
      <c r="F628" s="100" t="s">
        <v>136</v>
      </c>
      <c r="G628" s="83" t="s">
        <v>342</v>
      </c>
    </row>
    <row r="629" spans="2:7" x14ac:dyDescent="0.3">
      <c r="B629" s="99" t="s">
        <v>296</v>
      </c>
      <c r="C629" s="100" t="s">
        <v>137</v>
      </c>
      <c r="D629" s="83" t="s">
        <v>190</v>
      </c>
      <c r="E629" s="105">
        <f>IF(OR($G$5=0, 5&gt;$G$5), 0, IF(N516="RESTRINGIDO", 0, AL590))</f>
        <v>0</v>
      </c>
      <c r="F629" s="100" t="s">
        <v>137</v>
      </c>
      <c r="G629" s="83" t="s">
        <v>24</v>
      </c>
    </row>
    <row r="630" spans="2:7" x14ac:dyDescent="0.3">
      <c r="B630" s="99" t="s">
        <v>298</v>
      </c>
      <c r="C630" s="100" t="s">
        <v>138</v>
      </c>
      <c r="D630" s="83" t="s">
        <v>190</v>
      </c>
      <c r="E630" s="105">
        <f>IF(OR($G$5=0, 5&gt;$G$5), 0, IF(N517="RESTRINGIDO", 0, AL591))</f>
        <v>0</v>
      </c>
      <c r="F630" s="100" t="s">
        <v>138</v>
      </c>
      <c r="G630" s="83" t="s">
        <v>24</v>
      </c>
    </row>
    <row r="631" spans="2:7" x14ac:dyDescent="0.3">
      <c r="B631" s="99" t="s">
        <v>300</v>
      </c>
      <c r="C631" s="100" t="s">
        <v>139</v>
      </c>
      <c r="D631" s="83" t="s">
        <v>190</v>
      </c>
      <c r="E631" s="105">
        <f>IF(OR($G$5=0, 5&gt;$G$5), 0, IF(N518="RESTRINGIDO", 0, AL592))</f>
        <v>0</v>
      </c>
      <c r="F631" s="100" t="s">
        <v>139</v>
      </c>
      <c r="G631" s="83" t="s">
        <v>342</v>
      </c>
    </row>
    <row r="632" spans="2:7" x14ac:dyDescent="0.3">
      <c r="B632" s="99" t="s">
        <v>302</v>
      </c>
      <c r="C632" s="100" t="s">
        <v>140</v>
      </c>
      <c r="D632" s="83" t="s">
        <v>190</v>
      </c>
      <c r="E632" s="105">
        <f>IF(OR($G$5=0, 6&gt;$G$5), 0, IF(N519="RESTRINGIDO", 0, AL593))</f>
        <v>0</v>
      </c>
      <c r="F632" s="100" t="s">
        <v>140</v>
      </c>
      <c r="G632" s="83" t="s">
        <v>24</v>
      </c>
    </row>
    <row r="633" spans="2:7" x14ac:dyDescent="0.3">
      <c r="B633" s="99" t="s">
        <v>304</v>
      </c>
      <c r="C633" s="100" t="s">
        <v>141</v>
      </c>
      <c r="D633" s="83" t="s">
        <v>190</v>
      </c>
      <c r="E633" s="105">
        <f>IF(OR($G$5=0, 6&gt;$G$5), 0, IF(N520="RESTRINGIDO", 0, AL594))</f>
        <v>0</v>
      </c>
      <c r="F633" s="100" t="s">
        <v>141</v>
      </c>
      <c r="G633" s="83" t="s">
        <v>24</v>
      </c>
    </row>
    <row r="634" spans="2:7" x14ac:dyDescent="0.3">
      <c r="B634" s="99" t="s">
        <v>306</v>
      </c>
      <c r="C634" s="100" t="s">
        <v>142</v>
      </c>
      <c r="D634" s="83" t="s">
        <v>190</v>
      </c>
      <c r="E634" s="105">
        <f>IF(OR($G$5=0, 6&gt;$G$5), 0, IF(N521="RESTRINGIDO", 0, AL595))</f>
        <v>0</v>
      </c>
      <c r="F634" s="100" t="s">
        <v>142</v>
      </c>
      <c r="G634" s="83" t="s">
        <v>342</v>
      </c>
    </row>
    <row r="635" spans="2:7" x14ac:dyDescent="0.3">
      <c r="B635" s="99" t="s">
        <v>308</v>
      </c>
      <c r="C635" s="100" t="s">
        <v>143</v>
      </c>
      <c r="D635" s="83" t="s">
        <v>190</v>
      </c>
      <c r="E635" s="105">
        <f>IF(OR($G$5=0, 7&gt;$G$5), 0, IF(N522="RESTRINGIDO", 0, AL596))</f>
        <v>0</v>
      </c>
      <c r="F635" s="100" t="s">
        <v>143</v>
      </c>
      <c r="G635" s="83" t="s">
        <v>24</v>
      </c>
    </row>
    <row r="636" spans="2:7" x14ac:dyDescent="0.3">
      <c r="B636" s="99" t="s">
        <v>310</v>
      </c>
      <c r="C636" s="100" t="s">
        <v>144</v>
      </c>
      <c r="D636" s="83" t="s">
        <v>190</v>
      </c>
      <c r="E636" s="105">
        <f>IF(OR($G$5=0, 7&gt;$G$5), 0, IF(N523="RESTRINGIDO", 0, AL597))</f>
        <v>0</v>
      </c>
      <c r="F636" s="100" t="s">
        <v>144</v>
      </c>
      <c r="G636" s="83" t="s">
        <v>24</v>
      </c>
    </row>
    <row r="637" spans="2:7" x14ac:dyDescent="0.3">
      <c r="B637" s="99" t="s">
        <v>312</v>
      </c>
      <c r="C637" s="100" t="s">
        <v>145</v>
      </c>
      <c r="D637" s="83" t="s">
        <v>190</v>
      </c>
      <c r="E637" s="105">
        <f>IF(OR($G$5=0, 7&gt;$G$5), 0, IF(N524="RESTRINGIDO", 0, AL598))</f>
        <v>0</v>
      </c>
      <c r="F637" s="100" t="s">
        <v>145</v>
      </c>
      <c r="G637" s="83" t="s">
        <v>342</v>
      </c>
    </row>
    <row r="638" spans="2:7" x14ac:dyDescent="0.3">
      <c r="B638" s="99" t="s">
        <v>314</v>
      </c>
      <c r="C638" s="100" t="s">
        <v>146</v>
      </c>
      <c r="D638" s="83" t="s">
        <v>190</v>
      </c>
      <c r="E638" s="105">
        <f>IF(OR($G$5=0, 8&gt;$G$5), 0, IF(N525="RESTRINGIDO", 0, AL599))</f>
        <v>0</v>
      </c>
      <c r="F638" s="100" t="s">
        <v>146</v>
      </c>
      <c r="G638" s="83" t="s">
        <v>24</v>
      </c>
    </row>
    <row r="639" spans="2:7" x14ac:dyDescent="0.3">
      <c r="B639" s="99" t="s">
        <v>316</v>
      </c>
      <c r="C639" s="100" t="s">
        <v>147</v>
      </c>
      <c r="D639" s="83" t="s">
        <v>190</v>
      </c>
      <c r="E639" s="105">
        <f>IF(OR($G$5=0, 8&gt;$G$5), 0, IF(N526="RESTRINGIDO", 0, AL600))</f>
        <v>0</v>
      </c>
      <c r="F639" s="100" t="s">
        <v>147</v>
      </c>
      <c r="G639" s="83" t="s">
        <v>24</v>
      </c>
    </row>
    <row r="640" spans="2:7" x14ac:dyDescent="0.3">
      <c r="B640" s="99" t="s">
        <v>318</v>
      </c>
      <c r="C640" s="100" t="s">
        <v>148</v>
      </c>
      <c r="D640" s="83" t="s">
        <v>190</v>
      </c>
      <c r="E640" s="105">
        <f>IF(OR($G$5=0, 8&gt;$G$5), 0, IF(N527="RESTRINGIDO", 0, AL601))</f>
        <v>0</v>
      </c>
      <c r="F640" s="100" t="s">
        <v>148</v>
      </c>
      <c r="G640" s="83" t="s">
        <v>342</v>
      </c>
    </row>
    <row r="641" spans="2:7" x14ac:dyDescent="0.3">
      <c r="B641" s="99" t="s">
        <v>320</v>
      </c>
      <c r="C641" s="100" t="s">
        <v>149</v>
      </c>
      <c r="D641" s="83" t="s">
        <v>190</v>
      </c>
      <c r="E641" s="105">
        <f>IF(OR($G$5=0, 9&gt;$G$5), 0, IF(N528="RESTRINGIDO", 0, AL602))</f>
        <v>0</v>
      </c>
      <c r="F641" s="100" t="s">
        <v>149</v>
      </c>
      <c r="G641" s="83" t="s">
        <v>24</v>
      </c>
    </row>
    <row r="642" spans="2:7" x14ac:dyDescent="0.3">
      <c r="B642" s="99" t="s">
        <v>322</v>
      </c>
      <c r="C642" s="100" t="s">
        <v>150</v>
      </c>
      <c r="D642" s="83" t="s">
        <v>190</v>
      </c>
      <c r="E642" s="105">
        <f>IF(OR($G$5=0, 9&gt;$G$5), 0, IF(N529="RESTRINGIDO", 0, AL603))</f>
        <v>0</v>
      </c>
      <c r="F642" s="100" t="s">
        <v>150</v>
      </c>
      <c r="G642" s="83" t="s">
        <v>24</v>
      </c>
    </row>
    <row r="643" spans="2:7" x14ac:dyDescent="0.3">
      <c r="B643" s="99" t="s">
        <v>324</v>
      </c>
      <c r="C643" s="100" t="s">
        <v>151</v>
      </c>
      <c r="D643" s="83" t="s">
        <v>190</v>
      </c>
      <c r="E643" s="105">
        <f>IF(OR($G$5=0, 9&gt;$G$5), 0, IF(N530="RESTRINGIDO", 0, AL604))</f>
        <v>0</v>
      </c>
      <c r="F643" s="100" t="s">
        <v>151</v>
      </c>
      <c r="G643" s="83" t="s">
        <v>342</v>
      </c>
    </row>
    <row r="644" spans="2:7" x14ac:dyDescent="0.3">
      <c r="B644" s="99" t="s">
        <v>326</v>
      </c>
      <c r="C644" s="100" t="s">
        <v>152</v>
      </c>
      <c r="D644" s="83" t="s">
        <v>190</v>
      </c>
      <c r="E644" s="105">
        <f>IF(OR($G$5=0, 10&gt;$G$5), 0, IF(N531="RESTRINGIDO", 0, AL605))</f>
        <v>0</v>
      </c>
      <c r="F644" s="100" t="s">
        <v>152</v>
      </c>
      <c r="G644" s="83" t="s">
        <v>24</v>
      </c>
    </row>
    <row r="645" spans="2:7" x14ac:dyDescent="0.3">
      <c r="B645" s="99" t="s">
        <v>328</v>
      </c>
      <c r="C645" s="100" t="s">
        <v>153</v>
      </c>
      <c r="D645" s="83" t="s">
        <v>190</v>
      </c>
      <c r="E645" s="105">
        <f>IF(OR($G$5=0, 10&gt;$G$5), 0, IF(N532="RESTRINGIDO", 0, AL606))</f>
        <v>0</v>
      </c>
      <c r="F645" s="100" t="s">
        <v>153</v>
      </c>
      <c r="G645" s="83" t="s">
        <v>24</v>
      </c>
    </row>
    <row r="646" spans="2:7" x14ac:dyDescent="0.3">
      <c r="B646" s="99" t="s">
        <v>330</v>
      </c>
      <c r="C646" s="100" t="s">
        <v>154</v>
      </c>
      <c r="D646" s="83" t="s">
        <v>190</v>
      </c>
      <c r="E646" s="105">
        <f>IF(OR($G$5=0, 10&gt;$G$5), 0, IF(N533="RESTRINGIDO", 0, AL607))</f>
        <v>0</v>
      </c>
      <c r="F646" s="100" t="s">
        <v>154</v>
      </c>
      <c r="G646" s="83" t="s">
        <v>342</v>
      </c>
    </row>
    <row r="647" spans="2:7" x14ac:dyDescent="0.3">
      <c r="B647" s="99" t="s">
        <v>332</v>
      </c>
      <c r="C647" s="100" t="s">
        <v>155</v>
      </c>
      <c r="D647" s="83" t="s">
        <v>190</v>
      </c>
      <c r="E647" s="105">
        <f>IF(OR($G$5=0, 11&gt;$G$5), 0, IF(N534="RESTRINGIDO", 0, AL608))</f>
        <v>0</v>
      </c>
      <c r="F647" s="100" t="s">
        <v>155</v>
      </c>
      <c r="G647" s="83" t="s">
        <v>24</v>
      </c>
    </row>
    <row r="648" spans="2:7" x14ac:dyDescent="0.3">
      <c r="B648" s="99" t="s">
        <v>334</v>
      </c>
      <c r="C648" s="100" t="s">
        <v>156</v>
      </c>
      <c r="D648" s="83" t="s">
        <v>190</v>
      </c>
      <c r="E648" s="105">
        <f>IF(OR($G$5=0, 11&gt;$G$5), 0, IF(N535="RESTRINGIDO", 0, AL609))</f>
        <v>0</v>
      </c>
      <c r="F648" s="100" t="s">
        <v>156</v>
      </c>
      <c r="G648" s="83" t="s">
        <v>24</v>
      </c>
    </row>
    <row r="649" spans="2:7" x14ac:dyDescent="0.3">
      <c r="B649" s="99" t="s">
        <v>336</v>
      </c>
      <c r="C649" s="100" t="s">
        <v>157</v>
      </c>
      <c r="D649" s="83" t="s">
        <v>190</v>
      </c>
      <c r="E649" s="105">
        <f>IF(OR($G$5=0, 11&gt;$G$5), 0, IF(N536="RESTRINGIDO", 0, AL610))</f>
        <v>0</v>
      </c>
      <c r="F649" s="100" t="s">
        <v>157</v>
      </c>
      <c r="G649" s="83" t="s">
        <v>342</v>
      </c>
    </row>
    <row r="653" spans="2:7" x14ac:dyDescent="0.3">
      <c r="B653" s="95" t="s">
        <v>343</v>
      </c>
      <c r="C653" s="96"/>
      <c r="D653" s="96"/>
    </row>
    <row r="654" spans="2:7" x14ac:dyDescent="0.3">
      <c r="B654" s="106" t="s">
        <v>344</v>
      </c>
      <c r="C654" s="106" t="s">
        <v>345</v>
      </c>
      <c r="D654" s="106" t="s">
        <v>346</v>
      </c>
    </row>
    <row r="655" spans="2:7" x14ac:dyDescent="0.3">
      <c r="B655" s="83">
        <v>1</v>
      </c>
      <c r="C655" s="93">
        <v>0</v>
      </c>
      <c r="D655" s="104">
        <f>IF(E618="","", E618)</f>
        <v>0</v>
      </c>
    </row>
    <row r="656" spans="2:7" x14ac:dyDescent="0.3">
      <c r="B656" s="83">
        <v>2</v>
      </c>
      <c r="C656" s="93" t="str">
        <f t="shared" ref="C656:C665" si="84">IF(I9="","", C655+I9)</f>
        <v/>
      </c>
      <c r="D656" s="104" t="str">
        <f>IF(I9="","", E621)</f>
        <v/>
      </c>
    </row>
    <row r="657" spans="2:4" x14ac:dyDescent="0.3">
      <c r="B657" s="83">
        <v>3</v>
      </c>
      <c r="C657" s="93" t="str">
        <f t="shared" si="84"/>
        <v/>
      </c>
      <c r="D657" s="104" t="str">
        <f>IF(I10="","", E624)</f>
        <v/>
      </c>
    </row>
    <row r="658" spans="2:4" x14ac:dyDescent="0.3">
      <c r="B658" s="83">
        <v>4</v>
      </c>
      <c r="C658" s="93" t="str">
        <f t="shared" si="84"/>
        <v/>
      </c>
      <c r="D658" s="104" t="str">
        <f>IF(I11="","", E627)</f>
        <v/>
      </c>
    </row>
    <row r="659" spans="2:4" x14ac:dyDescent="0.3">
      <c r="B659" s="83">
        <v>5</v>
      </c>
      <c r="C659" s="93" t="str">
        <f t="shared" si="84"/>
        <v/>
      </c>
      <c r="D659" s="104" t="str">
        <f>IF(I12="","", E630)</f>
        <v/>
      </c>
    </row>
    <row r="660" spans="2:4" x14ac:dyDescent="0.3">
      <c r="B660" s="83">
        <v>6</v>
      </c>
      <c r="C660" s="93" t="str">
        <f t="shared" si="84"/>
        <v/>
      </c>
      <c r="D660" s="104" t="str">
        <f>IF(I13="","", E633)</f>
        <v/>
      </c>
    </row>
    <row r="661" spans="2:4" x14ac:dyDescent="0.3">
      <c r="B661" s="83">
        <v>7</v>
      </c>
      <c r="C661" s="93" t="str">
        <f t="shared" si="84"/>
        <v/>
      </c>
      <c r="D661" s="104" t="str">
        <f>IF(I14="","", E636)</f>
        <v/>
      </c>
    </row>
    <row r="662" spans="2:4" x14ac:dyDescent="0.3">
      <c r="B662" s="83">
        <v>8</v>
      </c>
      <c r="C662" s="93" t="str">
        <f t="shared" si="84"/>
        <v/>
      </c>
      <c r="D662" s="104" t="str">
        <f>IF(I15="","", E639)</f>
        <v/>
      </c>
    </row>
    <row r="663" spans="2:4" x14ac:dyDescent="0.3">
      <c r="B663" s="83">
        <v>9</v>
      </c>
      <c r="C663" s="93" t="str">
        <f t="shared" si="84"/>
        <v/>
      </c>
      <c r="D663" s="104" t="str">
        <f>IF(I16="","", E642)</f>
        <v/>
      </c>
    </row>
    <row r="664" spans="2:4" x14ac:dyDescent="0.3">
      <c r="B664" s="83">
        <v>10</v>
      </c>
      <c r="C664" s="93" t="str">
        <f t="shared" si="84"/>
        <v/>
      </c>
      <c r="D664" s="104" t="str">
        <f>IF(I17="","", E645)</f>
        <v/>
      </c>
    </row>
    <row r="665" spans="2:4" x14ac:dyDescent="0.3">
      <c r="B665" s="83">
        <v>11</v>
      </c>
      <c r="C665" s="93" t="str">
        <f t="shared" si="84"/>
        <v/>
      </c>
      <c r="D665" s="104" t="str">
        <f>IF(I18="","", E648)</f>
        <v/>
      </c>
    </row>
  </sheetData>
  <mergeCells count="30">
    <mergeCell ref="B615:G615"/>
    <mergeCell ref="B653:D653"/>
    <mergeCell ref="B465:AH465"/>
    <mergeCell ref="B502:AH502"/>
    <mergeCell ref="B503:F503"/>
    <mergeCell ref="H503:L503"/>
    <mergeCell ref="B539:AH539"/>
    <mergeCell ref="B576:AH576"/>
    <mergeCell ref="S7:S8"/>
    <mergeCell ref="AK14:AS14"/>
    <mergeCell ref="B20:B21"/>
    <mergeCell ref="C20:E20"/>
    <mergeCell ref="F20:H20"/>
    <mergeCell ref="AK27:AS27"/>
    <mergeCell ref="M7:M8"/>
    <mergeCell ref="N7:N8"/>
    <mergeCell ref="O7:O8"/>
    <mergeCell ref="P7:P8"/>
    <mergeCell ref="Q7:Q8"/>
    <mergeCell ref="R7:R8"/>
    <mergeCell ref="AK1:AR1"/>
    <mergeCell ref="B7:B8"/>
    <mergeCell ref="C7:D7"/>
    <mergeCell ref="E7:F7"/>
    <mergeCell ref="G7:G8"/>
    <mergeCell ref="H7:H8"/>
    <mergeCell ref="I7:I8"/>
    <mergeCell ref="J7:J8"/>
    <mergeCell ref="K7:K8"/>
    <mergeCell ref="L7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PLANTILLA ULIANOV</vt:lpstr>
      <vt:lpstr>GRÁFICAS</vt:lpstr>
      <vt:lpstr>1.1 PUNTUALES (10 TRAMOS)</vt:lpstr>
      <vt:lpstr>2.1 DISTRIBUIDAS (10 TRAMOS)</vt:lpstr>
      <vt:lpstr>3.1 MIXTAS (10 TRAMOS)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ULIANOV SABATH CUBA VALENCIA</dc:creator>
  <cp:lastModifiedBy>ULIANOV SABATH CUBA VALENCIA</cp:lastModifiedBy>
  <dcterms:created xsi:type="dcterms:W3CDTF">2026-10-20T07:43:16Z</dcterms:created>
  <dcterms:modified xsi:type="dcterms:W3CDTF">2026-10-20T07:43:16Z</dcterms:modified>
</cp:coreProperties>
</file>